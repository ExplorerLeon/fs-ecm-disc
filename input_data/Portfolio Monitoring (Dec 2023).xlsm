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tables/table5.xml" ContentType="application/vnd.openxmlformats-officedocument.spreadsheetml.table+xml"/>
  <Override PartName="/xl/comments6.xml" ContentType="application/vnd.openxmlformats-officedocument.spreadsheetml.comments+xml"/>
  <Override PartName="/xl/tables/table6.xml" ContentType="application/vnd.openxmlformats-officedocument.spreadsheetml.table+xml"/>
  <Override PartName="/xl/comments7.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comments8.xml" ContentType="application/vnd.openxmlformats-officedocument.spreadsheetml.comments+xml"/>
  <Override PartName="/xl/threadedComments/threadedComment2.xml" ContentType="application/vnd.ms-excel.threadedcomments+xml"/>
  <Override PartName="/xl/tables/table8.xml" ContentType="application/vnd.openxmlformats-officedocument.spreadsheetml.table+xml"/>
  <Override PartName="/xl/comments9.xml" ContentType="application/vnd.openxmlformats-officedocument.spreadsheetml.comments+xml"/>
  <Override PartName="/xl/threadedComments/threadedComment3.xml" ContentType="application/vnd.ms-excel.threadedcomments+xml"/>
  <Override PartName="/xl/tables/table9.xml" ContentType="application/vnd.openxmlformats-officedocument.spreadsheetml.table+xml"/>
  <Override PartName="/xl/comments10.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aictxsfc01\UserData\JzD\Desktop\"/>
    </mc:Choice>
  </mc:AlternateContent>
  <xr:revisionPtr revIDLastSave="0" documentId="13_ncr:1_{8592B3F5-861C-4259-9E05-0E9BA6F92F76}" xr6:coauthVersionLast="47" xr6:coauthVersionMax="47" xr10:uidLastSave="{00000000-0000-0000-0000-000000000000}"/>
  <bookViews>
    <workbookView xWindow="28680" yWindow="-8220" windowWidth="25440" windowHeight="15390" xr2:uid="{7576C4E3-82FA-4F4C-8435-CAE4DD67DB20}"/>
  </bookViews>
  <sheets>
    <sheet name="Policies Outstanding DEC23" sheetId="89" r:id="rId1"/>
    <sheet name="Charts Currency" sheetId="47" state="hidden" r:id="rId2"/>
    <sheet name="Progress Log" sheetId="36" state="hidden" r:id="rId3"/>
    <sheet name="ICRC - June 21" sheetId="61" state="hidden" r:id="rId4"/>
    <sheet name="ICRC - Sep 21" sheetId="62" state="hidden" r:id="rId5"/>
    <sheet name="ICRC - Dec 21" sheetId="64" state="hidden" r:id="rId6"/>
    <sheet name="ICRC - Mar 22" sheetId="65" state="hidden" r:id="rId7"/>
    <sheet name="ICRC - Jun 22" sheetId="66" state="hidden" r:id="rId8"/>
    <sheet name="ICRC - Sep 22" sheetId="77" state="hidden" r:id="rId9"/>
    <sheet name="ICRC - Dec 22" sheetId="80" state="hidden" r:id="rId10"/>
    <sheet name="ICRC - Mar 23" sheetId="83" state="hidden" r:id="rId11"/>
    <sheet name="ICRC - Jun 23" sheetId="85" state="hidden" r:id="rId12"/>
  </sheets>
  <functionGroups builtInGroupCount="19"/>
  <definedNames>
    <definedName name="_xlnm._FilterDatabase" localSheetId="5" hidden="1">'ICRC - Dec 21'!$A$2:$AL$2</definedName>
    <definedName name="_xlnm._FilterDatabase" localSheetId="9" hidden="1">'ICRC - Dec 22'!$A$2:$AL$2</definedName>
    <definedName name="_xlnm._FilterDatabase" localSheetId="11" hidden="1">'ICRC - Jun 23'!$BI$2:$BQ$201</definedName>
    <definedName name="_xlnm._FilterDatabase" localSheetId="3" hidden="1">'ICRC - June 21'!$A$2:$AL$2</definedName>
    <definedName name="_xlnm._FilterDatabase" localSheetId="6" hidden="1">'ICRC - Mar 22'!$A$2:$AL$2</definedName>
    <definedName name="_xlnm._FilterDatabase" localSheetId="10" hidden="1">'ICRC - Mar 23'!$BD$2:$BL$191</definedName>
    <definedName name="_xlnm._FilterDatabase" localSheetId="4" hidden="1">'ICRC - Sep 21'!$A$2:$AL$2</definedName>
    <definedName name="_xlnm._FilterDatabase" localSheetId="8" hidden="1">'ICRC - Sep 22'!$A$2:$AL$2</definedName>
    <definedName name="CAD">#REF!</definedName>
    <definedName name="ccy">#REF!</definedName>
    <definedName name="CHF">#REF!</definedName>
    <definedName name="DJ">#REF!</definedName>
    <definedName name="EUR">#REF!</definedName>
    <definedName name="GBP">#REF!</definedName>
    <definedName name="HKD">#REF!</definedName>
    <definedName name="INR">#REF!</definedName>
    <definedName name="JPY">#REF!</definedName>
    <definedName name="MYR">#REF!</definedName>
    <definedName name="NOK">#REF!</definedName>
    <definedName name="NZD">#REF!</definedName>
    <definedName name="SEK">#REF!</definedName>
    <definedName name="SGD">#REF!</definedName>
    <definedName name="US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2" i="85" l="1"/>
  <c r="BJ211" i="85"/>
  <c r="BI211" i="85"/>
  <c r="BH211" i="85"/>
  <c r="BG211" i="85"/>
  <c r="BC210" i="85"/>
  <c r="AZ210" i="85"/>
  <c r="AU210" i="85"/>
  <c r="AT210" i="85"/>
  <c r="AI210" i="85"/>
  <c r="AJ210" i="85" s="1"/>
  <c r="AG210" i="85"/>
  <c r="X210" i="85"/>
  <c r="W210" i="85"/>
  <c r="V210" i="85"/>
  <c r="AY210" i="85" s="1"/>
  <c r="T210" i="85"/>
  <c r="BC209" i="85"/>
  <c r="AU209" i="85"/>
  <c r="AT209" i="85"/>
  <c r="AI209" i="85"/>
  <c r="AJ209" i="85" s="1"/>
  <c r="AG209" i="85"/>
  <c r="AC209" i="85"/>
  <c r="X209" i="85"/>
  <c r="W209" i="85"/>
  <c r="V209" i="85"/>
  <c r="AY209" i="85" s="1"/>
  <c r="T209" i="85"/>
  <c r="BC208" i="85"/>
  <c r="AU208" i="85"/>
  <c r="AT208" i="85"/>
  <c r="AI208" i="85"/>
  <c r="AJ208" i="85" s="1"/>
  <c r="AG208" i="85"/>
  <c r="AC208" i="85"/>
  <c r="X208" i="85"/>
  <c r="W208" i="85"/>
  <c r="V208" i="85"/>
  <c r="AY208" i="85" s="1"/>
  <c r="T208" i="85"/>
  <c r="BC207" i="85"/>
  <c r="AZ207" i="85"/>
  <c r="AU207" i="85"/>
  <c r="AT207" i="85"/>
  <c r="AI207" i="85"/>
  <c r="AJ207" i="85" s="1"/>
  <c r="AG207" i="85"/>
  <c r="AC207" i="85"/>
  <c r="X207" i="85"/>
  <c r="W207" i="85"/>
  <c r="V207" i="85"/>
  <c r="T207" i="85"/>
  <c r="BC206" i="85"/>
  <c r="AU206" i="85"/>
  <c r="AT206" i="85"/>
  <c r="AI206" i="85"/>
  <c r="AJ206" i="85" s="1"/>
  <c r="AG206" i="85"/>
  <c r="AC206" i="85"/>
  <c r="X206" i="85"/>
  <c r="W206" i="85"/>
  <c r="V206" i="85"/>
  <c r="AY206" i="85" s="1"/>
  <c r="T206" i="85"/>
  <c r="BC205" i="85"/>
  <c r="AZ205" i="85"/>
  <c r="AU205" i="85"/>
  <c r="AT205" i="85"/>
  <c r="AI205" i="85"/>
  <c r="AJ205" i="85" s="1"/>
  <c r="AG205" i="85"/>
  <c r="AC205" i="85"/>
  <c r="X205" i="85"/>
  <c r="W205" i="85"/>
  <c r="V205" i="85"/>
  <c r="AY205" i="85" s="1"/>
  <c r="T205" i="85"/>
  <c r="BC204" i="85"/>
  <c r="AU204" i="85"/>
  <c r="AT204" i="85"/>
  <c r="AI204" i="85"/>
  <c r="AJ204" i="85" s="1"/>
  <c r="AG204" i="85"/>
  <c r="AC204" i="85"/>
  <c r="X204" i="85"/>
  <c r="W204" i="85"/>
  <c r="V204" i="85"/>
  <c r="AY204" i="85" s="1"/>
  <c r="T204" i="85"/>
  <c r="BC203" i="85"/>
  <c r="AU203" i="85"/>
  <c r="AT203" i="85"/>
  <c r="AI203" i="85"/>
  <c r="AJ203" i="85" s="1"/>
  <c r="AG203" i="85"/>
  <c r="AC203" i="85"/>
  <c r="X203" i="85"/>
  <c r="W203" i="85"/>
  <c r="V203" i="85"/>
  <c r="AX203" i="85" s="1"/>
  <c r="T203" i="85"/>
  <c r="BC202" i="85"/>
  <c r="AZ202" i="85"/>
  <c r="AU202" i="85"/>
  <c r="AT202" i="85"/>
  <c r="AI202" i="85"/>
  <c r="AJ202" i="85" s="1"/>
  <c r="AG202" i="85"/>
  <c r="AC202" i="85"/>
  <c r="X202" i="85"/>
  <c r="W202" i="85"/>
  <c r="V202" i="85"/>
  <c r="AY202" i="85" s="1"/>
  <c r="T202" i="85"/>
  <c r="BC201" i="85"/>
  <c r="AU201" i="85"/>
  <c r="AT201" i="85"/>
  <c r="AI201" i="85"/>
  <c r="AJ201" i="85" s="1"/>
  <c r="AG201" i="85"/>
  <c r="X201" i="85"/>
  <c r="W201" i="85"/>
  <c r="V201" i="85"/>
  <c r="AY201" i="85" s="1"/>
  <c r="AZ201" i="85" s="1"/>
  <c r="T201" i="85"/>
  <c r="BC200" i="85"/>
  <c r="AU200" i="85"/>
  <c r="AT200" i="85"/>
  <c r="AI200" i="85"/>
  <c r="AJ200" i="85" s="1"/>
  <c r="AG200" i="85"/>
  <c r="X200" i="85"/>
  <c r="W200" i="85"/>
  <c r="V200" i="85"/>
  <c r="AY200" i="85" s="1"/>
  <c r="AZ200" i="85" s="1"/>
  <c r="T200" i="85"/>
  <c r="BC199" i="85"/>
  <c r="AZ199" i="85"/>
  <c r="AU199" i="85"/>
  <c r="AT199" i="85"/>
  <c r="AI199" i="85"/>
  <c r="AJ199" i="85" s="1"/>
  <c r="AG199" i="85"/>
  <c r="X199" i="85"/>
  <c r="W199" i="85"/>
  <c r="V199" i="85"/>
  <c r="AY199" i="85" s="1"/>
  <c r="T199" i="85"/>
  <c r="BC198" i="85"/>
  <c r="AZ198" i="85"/>
  <c r="AU198" i="85"/>
  <c r="AT198" i="85"/>
  <c r="AI198" i="85"/>
  <c r="AJ198" i="85" s="1"/>
  <c r="AG198" i="85"/>
  <c r="X198" i="85"/>
  <c r="W198" i="85"/>
  <c r="V198" i="85"/>
  <c r="AY198" i="85" s="1"/>
  <c r="T198" i="85"/>
  <c r="BC197" i="85"/>
  <c r="AZ197" i="85"/>
  <c r="AU197" i="85"/>
  <c r="AT197" i="85"/>
  <c r="AI197" i="85"/>
  <c r="AJ197" i="85" s="1"/>
  <c r="AG197" i="85"/>
  <c r="X197" i="85"/>
  <c r="W197" i="85"/>
  <c r="V197" i="85"/>
  <c r="AY197" i="85" s="1"/>
  <c r="T197" i="85"/>
  <c r="BC196" i="85"/>
  <c r="AZ196" i="85"/>
  <c r="AU196" i="85"/>
  <c r="AT196" i="85"/>
  <c r="AI196" i="85"/>
  <c r="AJ196" i="85" s="1"/>
  <c r="AG196" i="85"/>
  <c r="X196" i="85"/>
  <c r="W196" i="85"/>
  <c r="V196" i="85"/>
  <c r="AY196" i="85" s="1"/>
  <c r="T196" i="85"/>
  <c r="BC195" i="85"/>
  <c r="AZ195" i="85"/>
  <c r="AU195" i="85"/>
  <c r="AT195" i="85"/>
  <c r="AI195" i="85"/>
  <c r="AJ195" i="85" s="1"/>
  <c r="AG195" i="85"/>
  <c r="X195" i="85"/>
  <c r="W195" i="85"/>
  <c r="V195" i="85"/>
  <c r="AY195" i="85" s="1"/>
  <c r="T195" i="85"/>
  <c r="BC194" i="85"/>
  <c r="AZ194" i="85"/>
  <c r="AU194" i="85"/>
  <c r="AT194" i="85"/>
  <c r="AI194" i="85"/>
  <c r="AJ194" i="85" s="1"/>
  <c r="AG194" i="85"/>
  <c r="X194" i="85"/>
  <c r="W194" i="85"/>
  <c r="V194" i="85"/>
  <c r="AY194" i="85" s="1"/>
  <c r="T194" i="85"/>
  <c r="BC193" i="85"/>
  <c r="AZ193" i="85"/>
  <c r="AU193" i="85"/>
  <c r="AT193" i="85"/>
  <c r="AI193" i="85"/>
  <c r="AJ193" i="85" s="1"/>
  <c r="AG193" i="85"/>
  <c r="X193" i="85"/>
  <c r="W193" i="85"/>
  <c r="V193" i="85"/>
  <c r="AY193" i="85" s="1"/>
  <c r="T193" i="85"/>
  <c r="BC192" i="85"/>
  <c r="AU192" i="85"/>
  <c r="AT192" i="85"/>
  <c r="AI192" i="85"/>
  <c r="AJ192" i="85" s="1"/>
  <c r="AG192" i="85"/>
  <c r="X192" i="85"/>
  <c r="W192" i="85"/>
  <c r="V192" i="85"/>
  <c r="AY192" i="85" s="1"/>
  <c r="AZ192" i="85" s="1"/>
  <c r="T192" i="85"/>
  <c r="BC191" i="85"/>
  <c r="AU191" i="85"/>
  <c r="AT191" i="85"/>
  <c r="AI191" i="85"/>
  <c r="AJ191" i="85" s="1"/>
  <c r="AG191" i="85"/>
  <c r="X191" i="85"/>
  <c r="W191" i="85"/>
  <c r="V191" i="85"/>
  <c r="AX191" i="85" s="1"/>
  <c r="T191" i="85"/>
  <c r="BC190" i="85"/>
  <c r="AU190" i="85"/>
  <c r="AT190" i="85"/>
  <c r="AI190" i="85"/>
  <c r="AJ190" i="85" s="1"/>
  <c r="AG190" i="85"/>
  <c r="X190" i="85"/>
  <c r="W190" i="85"/>
  <c r="V190" i="85"/>
  <c r="AY190" i="85" s="1"/>
  <c r="AZ190" i="85" s="1"/>
  <c r="T190" i="85"/>
  <c r="BC189" i="85"/>
  <c r="AZ189" i="85"/>
  <c r="AU189" i="85"/>
  <c r="AT189" i="85"/>
  <c r="AI189" i="85"/>
  <c r="AJ189" i="85" s="1"/>
  <c r="AG189" i="85"/>
  <c r="X189" i="85"/>
  <c r="W189" i="85"/>
  <c r="V189" i="85"/>
  <c r="AY189" i="85" s="1"/>
  <c r="T189" i="85"/>
  <c r="BC188" i="85"/>
  <c r="AZ188" i="85"/>
  <c r="AU188" i="85"/>
  <c r="AT188" i="85"/>
  <c r="AI188" i="85"/>
  <c r="AJ188" i="85" s="1"/>
  <c r="AG188" i="85"/>
  <c r="X188" i="85"/>
  <c r="W188" i="85"/>
  <c r="V188" i="85"/>
  <c r="AY188" i="85" s="1"/>
  <c r="T188" i="85"/>
  <c r="BC187" i="85"/>
  <c r="AZ187" i="85"/>
  <c r="AU187" i="85"/>
  <c r="AT187" i="85"/>
  <c r="AI187" i="85"/>
  <c r="AJ187" i="85" s="1"/>
  <c r="AG187" i="85"/>
  <c r="X187" i="85"/>
  <c r="W187" i="85"/>
  <c r="V187" i="85"/>
  <c r="AY187" i="85" s="1"/>
  <c r="T187" i="85"/>
  <c r="BC186" i="85"/>
  <c r="AZ186" i="85"/>
  <c r="AU186" i="85"/>
  <c r="AT186" i="85"/>
  <c r="AI186" i="85"/>
  <c r="AJ186" i="85" s="1"/>
  <c r="AG186" i="85"/>
  <c r="X186" i="85"/>
  <c r="W186" i="85"/>
  <c r="V186" i="85"/>
  <c r="AY186" i="85" s="1"/>
  <c r="T186" i="85"/>
  <c r="BC185" i="85"/>
  <c r="AZ185" i="85"/>
  <c r="AU185" i="85"/>
  <c r="AT185" i="85"/>
  <c r="AI185" i="85"/>
  <c r="AJ185" i="85" s="1"/>
  <c r="AG185" i="85"/>
  <c r="X185" i="85"/>
  <c r="W185" i="85"/>
  <c r="V185" i="85"/>
  <c r="AY185" i="85" s="1"/>
  <c r="T185" i="85"/>
  <c r="BC184" i="85"/>
  <c r="AZ184" i="85"/>
  <c r="AU184" i="85"/>
  <c r="AT184" i="85"/>
  <c r="AI184" i="85"/>
  <c r="AJ184" i="85" s="1"/>
  <c r="AG184" i="85"/>
  <c r="X184" i="85"/>
  <c r="W184" i="85"/>
  <c r="V184" i="85"/>
  <c r="AY184" i="85" s="1"/>
  <c r="T184" i="85"/>
  <c r="BC183" i="85"/>
  <c r="AU183" i="85"/>
  <c r="AT183" i="85"/>
  <c r="AI183" i="85"/>
  <c r="AJ183" i="85" s="1"/>
  <c r="AG183" i="85"/>
  <c r="X183" i="85"/>
  <c r="W183" i="85"/>
  <c r="V183" i="85"/>
  <c r="AY183" i="85" s="1"/>
  <c r="AZ183" i="85" s="1"/>
  <c r="T183" i="85"/>
  <c r="BC182" i="85"/>
  <c r="AU182" i="85"/>
  <c r="AT182" i="85"/>
  <c r="AI182" i="85"/>
  <c r="AJ182" i="85" s="1"/>
  <c r="AG182" i="85"/>
  <c r="X182" i="85"/>
  <c r="W182" i="85"/>
  <c r="V182" i="85"/>
  <c r="AY182" i="85" s="1"/>
  <c r="T182" i="85"/>
  <c r="BC181" i="85"/>
  <c r="AZ181" i="85"/>
  <c r="AU181" i="85"/>
  <c r="AT181" i="85"/>
  <c r="AI181" i="85"/>
  <c r="AJ181" i="85" s="1"/>
  <c r="AG181" i="85"/>
  <c r="X181" i="85"/>
  <c r="W181" i="85"/>
  <c r="V181" i="85"/>
  <c r="AY181" i="85" s="1"/>
  <c r="T181" i="85"/>
  <c r="BC180" i="85"/>
  <c r="AZ180" i="85"/>
  <c r="AU180" i="85"/>
  <c r="AT180" i="85"/>
  <c r="AI180" i="85"/>
  <c r="AJ180" i="85" s="1"/>
  <c r="AG180" i="85"/>
  <c r="V180" i="85"/>
  <c r="BC179" i="85"/>
  <c r="AZ179" i="85"/>
  <c r="AU179" i="85"/>
  <c r="AT179" i="85"/>
  <c r="AI179" i="85"/>
  <c r="AJ179" i="85" s="1"/>
  <c r="AG179" i="85"/>
  <c r="V179" i="85"/>
  <c r="AY179" i="85" s="1"/>
  <c r="BC178" i="85"/>
  <c r="AZ178" i="85"/>
  <c r="AU178" i="85"/>
  <c r="AT178" i="85"/>
  <c r="AI178" i="85"/>
  <c r="AJ178" i="85" s="1"/>
  <c r="AG178" i="85"/>
  <c r="X178" i="85"/>
  <c r="W178" i="85"/>
  <c r="V178" i="85"/>
  <c r="AY178" i="85" s="1"/>
  <c r="U178" i="85"/>
  <c r="T178" i="85"/>
  <c r="BC177" i="85"/>
  <c r="AZ177" i="85"/>
  <c r="AU177" i="85"/>
  <c r="AT177" i="85"/>
  <c r="AI177" i="85"/>
  <c r="AJ177" i="85" s="1"/>
  <c r="AG177" i="85"/>
  <c r="X177" i="85"/>
  <c r="W177" i="85"/>
  <c r="V177" i="85"/>
  <c r="T177" i="85"/>
  <c r="BC176" i="85"/>
  <c r="AU176" i="85"/>
  <c r="AT176" i="85"/>
  <c r="AI176" i="85"/>
  <c r="AJ176" i="85" s="1"/>
  <c r="AG176" i="85"/>
  <c r="X176" i="85"/>
  <c r="W176" i="85"/>
  <c r="V176" i="85"/>
  <c r="T176" i="85"/>
  <c r="BC175" i="85"/>
  <c r="AZ175" i="85"/>
  <c r="AU175" i="85"/>
  <c r="AT175" i="85"/>
  <c r="AI175" i="85"/>
  <c r="AJ175" i="85" s="1"/>
  <c r="AG175" i="85"/>
  <c r="X175" i="85"/>
  <c r="W175" i="85"/>
  <c r="V175" i="85"/>
  <c r="T175" i="85"/>
  <c r="BC174" i="85"/>
  <c r="AZ174" i="85"/>
  <c r="AU174" i="85"/>
  <c r="AT174" i="85"/>
  <c r="AI174" i="85"/>
  <c r="AJ174" i="85" s="1"/>
  <c r="AG174" i="85"/>
  <c r="X174" i="85"/>
  <c r="W174" i="85"/>
  <c r="V174" i="85"/>
  <c r="T174" i="85"/>
  <c r="BC173" i="85"/>
  <c r="AZ173" i="85"/>
  <c r="AU173" i="85"/>
  <c r="AT173" i="85"/>
  <c r="AI173" i="85"/>
  <c r="AJ173" i="85" s="1"/>
  <c r="AG173" i="85"/>
  <c r="X173" i="85"/>
  <c r="W173" i="85"/>
  <c r="V173" i="85"/>
  <c r="T173" i="85"/>
  <c r="BC172" i="85"/>
  <c r="AU172" i="85"/>
  <c r="AT172" i="85"/>
  <c r="AI172" i="85"/>
  <c r="AJ172" i="85" s="1"/>
  <c r="AG172" i="85"/>
  <c r="X172" i="85"/>
  <c r="W172" i="85"/>
  <c r="V172" i="85"/>
  <c r="U172" i="85"/>
  <c r="T172" i="85"/>
  <c r="BC171" i="85"/>
  <c r="AZ171" i="85"/>
  <c r="AU171" i="85"/>
  <c r="AT171" i="85"/>
  <c r="AI171" i="85"/>
  <c r="AJ171" i="85" s="1"/>
  <c r="AG171" i="85"/>
  <c r="X171" i="85"/>
  <c r="W171" i="85"/>
  <c r="V171" i="85"/>
  <c r="AX171" i="85" s="1"/>
  <c r="T171" i="85"/>
  <c r="BC170" i="85"/>
  <c r="AZ170" i="85"/>
  <c r="AU170" i="85"/>
  <c r="AT170" i="85"/>
  <c r="AI170" i="85"/>
  <c r="AJ170" i="85" s="1"/>
  <c r="AG170" i="85"/>
  <c r="X170" i="85"/>
  <c r="W170" i="85"/>
  <c r="U170" i="85"/>
  <c r="V170" i="85" s="1"/>
  <c r="T170" i="85"/>
  <c r="BC169" i="85"/>
  <c r="AU169" i="85"/>
  <c r="AT169" i="85"/>
  <c r="AI169" i="85"/>
  <c r="AJ169" i="85" s="1"/>
  <c r="AG169" i="85"/>
  <c r="X169" i="85"/>
  <c r="W169" i="85"/>
  <c r="V169" i="85"/>
  <c r="AY169" i="85" s="1"/>
  <c r="T169" i="85"/>
  <c r="BC168" i="85"/>
  <c r="AZ168" i="85"/>
  <c r="AU168" i="85"/>
  <c r="AT168" i="85"/>
  <c r="AI168" i="85"/>
  <c r="AJ168" i="85" s="1"/>
  <c r="AG168" i="85"/>
  <c r="X168" i="85"/>
  <c r="W168" i="85"/>
  <c r="V168" i="85"/>
  <c r="AY168" i="85" s="1"/>
  <c r="T168" i="85"/>
  <c r="BC167" i="85"/>
  <c r="AU167" i="85"/>
  <c r="AT167" i="85"/>
  <c r="AI167" i="85"/>
  <c r="AJ167" i="85" s="1"/>
  <c r="AG167" i="85"/>
  <c r="X167" i="85"/>
  <c r="W167" i="85"/>
  <c r="U167" i="85"/>
  <c r="V167" i="85" s="1"/>
  <c r="T167" i="85"/>
  <c r="BC166" i="85"/>
  <c r="AZ166" i="85"/>
  <c r="AU166" i="85"/>
  <c r="AT166" i="85"/>
  <c r="AI166" i="85"/>
  <c r="AJ166" i="85" s="1"/>
  <c r="AG166" i="85"/>
  <c r="X166" i="85"/>
  <c r="W166" i="85"/>
  <c r="V166" i="85"/>
  <c r="AX166" i="85" s="1"/>
  <c r="T166" i="85"/>
  <c r="BC165" i="85"/>
  <c r="AZ165" i="85"/>
  <c r="AU165" i="85"/>
  <c r="AT165" i="85"/>
  <c r="AI165" i="85"/>
  <c r="AJ165" i="85" s="1"/>
  <c r="AG165" i="85"/>
  <c r="AB165" i="85"/>
  <c r="X165" i="85"/>
  <c r="W165" i="85"/>
  <c r="V165" i="85"/>
  <c r="AX165" i="85" s="1"/>
  <c r="T165" i="85"/>
  <c r="BC164" i="85"/>
  <c r="AU164" i="85"/>
  <c r="AT164" i="85"/>
  <c r="AI164" i="85"/>
  <c r="AJ164" i="85" s="1"/>
  <c r="AG164" i="85"/>
  <c r="X164" i="85"/>
  <c r="V164" i="85"/>
  <c r="AY164" i="85" s="1"/>
  <c r="T164" i="85"/>
  <c r="BC163" i="85"/>
  <c r="AU163" i="85"/>
  <c r="AT163" i="85"/>
  <c r="AI163" i="85"/>
  <c r="AJ163" i="85" s="1"/>
  <c r="AG163" i="85"/>
  <c r="V163" i="85"/>
  <c r="AX163" i="85" s="1"/>
  <c r="BC162" i="85"/>
  <c r="AZ162" i="85"/>
  <c r="AU162" i="85"/>
  <c r="AT162" i="85"/>
  <c r="AI162" i="85"/>
  <c r="AJ162" i="85" s="1"/>
  <c r="AG162" i="85"/>
  <c r="X162" i="85"/>
  <c r="W162" i="85"/>
  <c r="V162" i="85"/>
  <c r="T162" i="85"/>
  <c r="BC161" i="85"/>
  <c r="AU161" i="85"/>
  <c r="AT161" i="85"/>
  <c r="AI161" i="85"/>
  <c r="AJ161" i="85" s="1"/>
  <c r="AG161" i="85"/>
  <c r="X161" i="85"/>
  <c r="W161" i="85"/>
  <c r="V161" i="85"/>
  <c r="T161" i="85"/>
  <c r="BC160" i="85"/>
  <c r="AZ160" i="85"/>
  <c r="AU160" i="85"/>
  <c r="AT160" i="85"/>
  <c r="AI160" i="85"/>
  <c r="AJ160" i="85" s="1"/>
  <c r="AG160" i="85"/>
  <c r="X160" i="85"/>
  <c r="W160" i="85"/>
  <c r="V160" i="85"/>
  <c r="T160" i="85"/>
  <c r="BC159" i="85"/>
  <c r="AZ159" i="85"/>
  <c r="AU159" i="85"/>
  <c r="AT159" i="85"/>
  <c r="AI159" i="85"/>
  <c r="AJ159" i="85" s="1"/>
  <c r="AG159" i="85"/>
  <c r="X159" i="85"/>
  <c r="W159" i="85"/>
  <c r="V159" i="85"/>
  <c r="T159" i="85"/>
  <c r="BC158" i="85"/>
  <c r="AZ158" i="85"/>
  <c r="AU158" i="85"/>
  <c r="AT158" i="85"/>
  <c r="AI158" i="85"/>
  <c r="AJ158" i="85" s="1"/>
  <c r="AG158" i="85"/>
  <c r="V158" i="85"/>
  <c r="AX158" i="85" s="1"/>
  <c r="BC157" i="85"/>
  <c r="AZ157" i="85"/>
  <c r="AU157" i="85"/>
  <c r="AT157" i="85"/>
  <c r="AI157" i="85"/>
  <c r="AJ157" i="85" s="1"/>
  <c r="AG157" i="85"/>
  <c r="X157" i="85"/>
  <c r="W157" i="85"/>
  <c r="U157" i="85"/>
  <c r="V157" i="85" s="1"/>
  <c r="AY157" i="85" s="1"/>
  <c r="T157" i="85"/>
  <c r="BC156" i="85"/>
  <c r="AZ156" i="85"/>
  <c r="AU156" i="85"/>
  <c r="AT156" i="85"/>
  <c r="AI156" i="85"/>
  <c r="AJ156" i="85" s="1"/>
  <c r="AG156" i="85"/>
  <c r="V156" i="85"/>
  <c r="AX156" i="85" s="1"/>
  <c r="BC155" i="85"/>
  <c r="AZ155" i="85"/>
  <c r="AU155" i="85"/>
  <c r="AT155" i="85"/>
  <c r="AI155" i="85"/>
  <c r="AJ155" i="85" s="1"/>
  <c r="AG155" i="85"/>
  <c r="X155" i="85"/>
  <c r="W155" i="85"/>
  <c r="V155" i="85"/>
  <c r="AX155" i="85" s="1"/>
  <c r="T155" i="85"/>
  <c r="BC154" i="85"/>
  <c r="AZ154" i="85"/>
  <c r="AU154" i="85"/>
  <c r="AT154" i="85"/>
  <c r="AI154" i="85"/>
  <c r="AJ154" i="85" s="1"/>
  <c r="AG154" i="85"/>
  <c r="V154" i="85"/>
  <c r="AX154" i="85" s="1"/>
  <c r="BC153" i="85"/>
  <c r="AZ153" i="85"/>
  <c r="AU153" i="85"/>
  <c r="AT153" i="85"/>
  <c r="AI153" i="85"/>
  <c r="AJ153" i="85" s="1"/>
  <c r="AG153" i="85"/>
  <c r="V153" i="85"/>
  <c r="AX153" i="85" s="1"/>
  <c r="BC152" i="85"/>
  <c r="AZ152" i="85"/>
  <c r="AU152" i="85"/>
  <c r="AT152" i="85"/>
  <c r="AI152" i="85"/>
  <c r="AJ152" i="85" s="1"/>
  <c r="AG152" i="85"/>
  <c r="X152" i="85"/>
  <c r="W152" i="85"/>
  <c r="V152" i="85"/>
  <c r="AY152" i="85" s="1"/>
  <c r="T152" i="85"/>
  <c r="BC151" i="85"/>
  <c r="AZ151" i="85"/>
  <c r="AU151" i="85"/>
  <c r="AT151" i="85"/>
  <c r="AI151" i="85"/>
  <c r="AJ151" i="85" s="1"/>
  <c r="AG151" i="85"/>
  <c r="X151" i="85"/>
  <c r="W151" i="85"/>
  <c r="V151" i="85"/>
  <c r="AY151" i="85" s="1"/>
  <c r="T151" i="85"/>
  <c r="BC150" i="85"/>
  <c r="AZ150" i="85"/>
  <c r="AU150" i="85"/>
  <c r="AT150" i="85"/>
  <c r="AI150" i="85"/>
  <c r="AJ150" i="85" s="1"/>
  <c r="AG150" i="85"/>
  <c r="X150" i="85"/>
  <c r="W150" i="85"/>
  <c r="U150" i="85"/>
  <c r="V150" i="85" s="1"/>
  <c r="AY150" i="85" s="1"/>
  <c r="T150" i="85"/>
  <c r="BC149" i="85"/>
  <c r="AZ149" i="85"/>
  <c r="AU149" i="85"/>
  <c r="AT149" i="85"/>
  <c r="AI149" i="85"/>
  <c r="AJ149" i="85" s="1"/>
  <c r="AG149" i="85"/>
  <c r="X149" i="85"/>
  <c r="W149" i="85"/>
  <c r="V149" i="85"/>
  <c r="AY149" i="85" s="1"/>
  <c r="T149" i="85"/>
  <c r="BC148" i="85"/>
  <c r="AZ148" i="85"/>
  <c r="AU148" i="85"/>
  <c r="AT148" i="85"/>
  <c r="AI148" i="85"/>
  <c r="AJ148" i="85" s="1"/>
  <c r="AG148" i="85"/>
  <c r="V148" i="85"/>
  <c r="AY148" i="85" s="1"/>
  <c r="BC147" i="85"/>
  <c r="AZ147" i="85"/>
  <c r="AU147" i="85"/>
  <c r="AT147" i="85"/>
  <c r="AI147" i="85"/>
  <c r="AJ147" i="85" s="1"/>
  <c r="AG147" i="85"/>
  <c r="X147" i="85"/>
  <c r="W147" i="85"/>
  <c r="V147" i="85"/>
  <c r="AX147" i="85" s="1"/>
  <c r="T147" i="85"/>
  <c r="BC146" i="85"/>
  <c r="AZ146" i="85"/>
  <c r="AU146" i="85"/>
  <c r="AT146" i="85"/>
  <c r="AI146" i="85"/>
  <c r="AJ146" i="85" s="1"/>
  <c r="AG146" i="85"/>
  <c r="X146" i="85"/>
  <c r="W146" i="85"/>
  <c r="V146" i="85"/>
  <c r="T146" i="85"/>
  <c r="BC145" i="85"/>
  <c r="AZ145" i="85"/>
  <c r="AU145" i="85"/>
  <c r="AT145" i="85"/>
  <c r="AI145" i="85"/>
  <c r="AJ145" i="85" s="1"/>
  <c r="AG145" i="85"/>
  <c r="X145" i="85"/>
  <c r="W145" i="85"/>
  <c r="V145" i="85"/>
  <c r="T145" i="85"/>
  <c r="BC144" i="85"/>
  <c r="AZ144" i="85"/>
  <c r="AU144" i="85"/>
  <c r="AT144" i="85"/>
  <c r="AI144" i="85"/>
  <c r="AJ144" i="85" s="1"/>
  <c r="AG144" i="85"/>
  <c r="X144" i="85"/>
  <c r="W144" i="85"/>
  <c r="V144" i="85"/>
  <c r="AX144" i="85" s="1"/>
  <c r="T144" i="85"/>
  <c r="BC143" i="85"/>
  <c r="AZ143" i="85"/>
  <c r="AU143" i="85"/>
  <c r="AT143" i="85"/>
  <c r="AI143" i="85"/>
  <c r="AJ143" i="85" s="1"/>
  <c r="AG143" i="85"/>
  <c r="V143" i="85"/>
  <c r="AX143" i="85" s="1"/>
  <c r="BC142" i="85"/>
  <c r="AZ142" i="85"/>
  <c r="AU142" i="85"/>
  <c r="AT142" i="85"/>
  <c r="AI142" i="85"/>
  <c r="AJ142" i="85" s="1"/>
  <c r="AG142" i="85"/>
  <c r="X142" i="85"/>
  <c r="W142" i="85"/>
  <c r="V142" i="85"/>
  <c r="T142" i="85"/>
  <c r="BC141" i="85"/>
  <c r="AZ141" i="85"/>
  <c r="AU141" i="85"/>
  <c r="AT141" i="85"/>
  <c r="AI141" i="85"/>
  <c r="AJ141" i="85" s="1"/>
  <c r="AG141" i="85"/>
  <c r="X141" i="85"/>
  <c r="W141" i="85"/>
  <c r="V141" i="85"/>
  <c r="T141" i="85"/>
  <c r="BC140" i="85"/>
  <c r="AZ140" i="85"/>
  <c r="AU140" i="85"/>
  <c r="AT140" i="85"/>
  <c r="AI140" i="85"/>
  <c r="AJ140" i="85" s="1"/>
  <c r="AG140" i="85"/>
  <c r="X140" i="85"/>
  <c r="W140" i="85"/>
  <c r="V140" i="85"/>
  <c r="T140" i="85"/>
  <c r="BC139" i="85"/>
  <c r="AZ139" i="85"/>
  <c r="AU139" i="85"/>
  <c r="AT139" i="85"/>
  <c r="AI139" i="85"/>
  <c r="AJ139" i="85" s="1"/>
  <c r="AG139" i="85"/>
  <c r="X139" i="85"/>
  <c r="W139" i="85"/>
  <c r="V139" i="85"/>
  <c r="T139" i="85"/>
  <c r="BC138" i="85"/>
  <c r="AU138" i="85"/>
  <c r="AT138" i="85"/>
  <c r="AI138" i="85"/>
  <c r="AJ138" i="85" s="1"/>
  <c r="AG138" i="85"/>
  <c r="AE138" i="85"/>
  <c r="X138" i="85"/>
  <c r="W138" i="85"/>
  <c r="U138" i="85"/>
  <c r="V138" i="85" s="1"/>
  <c r="T138" i="85"/>
  <c r="BC137" i="85"/>
  <c r="AZ137" i="85"/>
  <c r="AU137" i="85"/>
  <c r="AT137" i="85"/>
  <c r="AI137" i="85"/>
  <c r="AJ137" i="85" s="1"/>
  <c r="AG137" i="85"/>
  <c r="W137" i="85"/>
  <c r="V137" i="85"/>
  <c r="AX137" i="85" s="1"/>
  <c r="BC136" i="85"/>
  <c r="AU136" i="85"/>
  <c r="AT136" i="85"/>
  <c r="AI136" i="85"/>
  <c r="AJ136" i="85" s="1"/>
  <c r="AG136" i="85"/>
  <c r="X136" i="85"/>
  <c r="U136" i="85"/>
  <c r="V136" i="85" s="1"/>
  <c r="AX136" i="85" s="1"/>
  <c r="T136" i="85"/>
  <c r="BC135" i="85"/>
  <c r="AU135" i="85"/>
  <c r="AT135" i="85"/>
  <c r="AI135" i="85"/>
  <c r="AJ135" i="85" s="1"/>
  <c r="AG135" i="85"/>
  <c r="AE135" i="85"/>
  <c r="X135" i="85"/>
  <c r="W135" i="85"/>
  <c r="V135" i="85"/>
  <c r="AX135" i="85" s="1"/>
  <c r="T135" i="85"/>
  <c r="BC134" i="85"/>
  <c r="AZ134" i="85"/>
  <c r="AU134" i="85"/>
  <c r="AT134" i="85"/>
  <c r="AI134" i="85"/>
  <c r="AJ134" i="85" s="1"/>
  <c r="AG134" i="85"/>
  <c r="AB134" i="85"/>
  <c r="V134" i="85"/>
  <c r="BC133" i="85"/>
  <c r="AZ133" i="85"/>
  <c r="AU133" i="85"/>
  <c r="AT133" i="85"/>
  <c r="AI133" i="85"/>
  <c r="AJ133" i="85" s="1"/>
  <c r="AG133" i="85"/>
  <c r="X133" i="85"/>
  <c r="V133" i="85"/>
  <c r="AX133" i="85" s="1"/>
  <c r="T133" i="85"/>
  <c r="BC132" i="85"/>
  <c r="AZ132" i="85"/>
  <c r="AU132" i="85"/>
  <c r="AT132" i="85"/>
  <c r="AI132" i="85"/>
  <c r="AJ132" i="85" s="1"/>
  <c r="AG132" i="85"/>
  <c r="X132" i="85"/>
  <c r="V132" i="85"/>
  <c r="AX132" i="85" s="1"/>
  <c r="T132" i="85"/>
  <c r="BC131" i="85"/>
  <c r="AU131" i="85"/>
  <c r="AT131" i="85"/>
  <c r="AI131" i="85"/>
  <c r="AJ131" i="85" s="1"/>
  <c r="AG131" i="85"/>
  <c r="X131" i="85"/>
  <c r="V131" i="85"/>
  <c r="AY131" i="85" s="1"/>
  <c r="T131" i="85"/>
  <c r="BC130" i="85"/>
  <c r="AU130" i="85"/>
  <c r="AT130" i="85"/>
  <c r="AI130" i="85"/>
  <c r="AJ130" i="85" s="1"/>
  <c r="AG130" i="85"/>
  <c r="X130" i="85"/>
  <c r="V130" i="85" a="1"/>
  <c r="V130" i="85" s="1"/>
  <c r="T130" i="85"/>
  <c r="BC129" i="85"/>
  <c r="AZ129" i="85"/>
  <c r="AU129" i="85"/>
  <c r="AT129" i="85"/>
  <c r="AI129" i="85"/>
  <c r="AJ129" i="85" s="1"/>
  <c r="AG129" i="85"/>
  <c r="X129" i="85"/>
  <c r="W129" i="85"/>
  <c r="V129" i="85"/>
  <c r="T129" i="85"/>
  <c r="BC128" i="85"/>
  <c r="AZ128" i="85"/>
  <c r="AU128" i="85"/>
  <c r="AT128" i="85"/>
  <c r="AI128" i="85"/>
  <c r="AJ128" i="85" s="1"/>
  <c r="AG128" i="85"/>
  <c r="X128" i="85"/>
  <c r="W128" i="85"/>
  <c r="V128" i="85"/>
  <c r="AX128" i="85" s="1"/>
  <c r="T128" i="85"/>
  <c r="BC127" i="85"/>
  <c r="AU127" i="85"/>
  <c r="AT127" i="85"/>
  <c r="AI127" i="85"/>
  <c r="AJ127" i="85" s="1"/>
  <c r="AG127" i="85"/>
  <c r="X127" i="85"/>
  <c r="W127" i="85"/>
  <c r="V127" i="85"/>
  <c r="AX127" i="85" s="1"/>
  <c r="T127" i="85"/>
  <c r="BC126" i="85"/>
  <c r="AZ126" i="85"/>
  <c r="AU126" i="85"/>
  <c r="AT126" i="85"/>
  <c r="AI126" i="85"/>
  <c r="AJ126" i="85" s="1"/>
  <c r="AG126" i="85"/>
  <c r="W126" i="85"/>
  <c r="V126" i="85"/>
  <c r="AX126" i="85" s="1"/>
  <c r="BC125" i="85"/>
  <c r="AZ125" i="85"/>
  <c r="AU125" i="85"/>
  <c r="AT125" i="85"/>
  <c r="AI125" i="85"/>
  <c r="AJ125" i="85" s="1"/>
  <c r="AG125" i="85"/>
  <c r="X125" i="85"/>
  <c r="W125" i="85"/>
  <c r="V125" i="85"/>
  <c r="AY125" i="85" s="1"/>
  <c r="T125" i="85"/>
  <c r="BC124" i="85"/>
  <c r="AU124" i="85"/>
  <c r="AT124" i="85"/>
  <c r="AI124" i="85"/>
  <c r="AJ124" i="85" s="1"/>
  <c r="AG124" i="85"/>
  <c r="X124" i="85"/>
  <c r="W124" i="85"/>
  <c r="V124" i="85"/>
  <c r="AX124" i="85" s="1"/>
  <c r="T124" i="85"/>
  <c r="BC123" i="85"/>
  <c r="AZ123" i="85"/>
  <c r="AU123" i="85"/>
  <c r="AT123" i="85"/>
  <c r="AI123" i="85"/>
  <c r="AJ123" i="85" s="1"/>
  <c r="AG123" i="85"/>
  <c r="X123" i="85"/>
  <c r="W123" i="85"/>
  <c r="U123" i="85"/>
  <c r="V123" i="85" s="1"/>
  <c r="T123" i="85"/>
  <c r="BC122" i="85"/>
  <c r="AZ122" i="85"/>
  <c r="AU122" i="85"/>
  <c r="AT122" i="85"/>
  <c r="AI122" i="85"/>
  <c r="AJ122" i="85" s="1"/>
  <c r="AG122" i="85"/>
  <c r="X122" i="85"/>
  <c r="V122" i="85"/>
  <c r="W122" i="85" s="1"/>
  <c r="T122" i="85"/>
  <c r="BC121" i="85"/>
  <c r="AU121" i="85"/>
  <c r="AT121" i="85"/>
  <c r="AI121" i="85"/>
  <c r="AJ121" i="85" s="1"/>
  <c r="AG121" i="85"/>
  <c r="X121" i="85"/>
  <c r="U121" i="85"/>
  <c r="V121" i="85" s="1"/>
  <c r="AY121" i="85" s="1"/>
  <c r="BC120" i="85"/>
  <c r="AZ120" i="85"/>
  <c r="AU120" i="85"/>
  <c r="AT120" i="85"/>
  <c r="AI120" i="85"/>
  <c r="AJ120" i="85" s="1"/>
  <c r="AG120" i="85"/>
  <c r="X120" i="85"/>
  <c r="W120" i="85"/>
  <c r="U120" i="85"/>
  <c r="V120" i="85" s="1"/>
  <c r="T120" i="85"/>
  <c r="BC119" i="85"/>
  <c r="AZ119" i="85"/>
  <c r="AU119" i="85"/>
  <c r="AT119" i="85"/>
  <c r="AI119" i="85"/>
  <c r="AJ119" i="85" s="1"/>
  <c r="AG119" i="85"/>
  <c r="W119" i="85"/>
  <c r="V119" i="85"/>
  <c r="AY119" i="85" s="1"/>
  <c r="BC118" i="85"/>
  <c r="AU118" i="85"/>
  <c r="AT118" i="85"/>
  <c r="AI118" i="85"/>
  <c r="AJ118" i="85" s="1"/>
  <c r="AG118" i="85"/>
  <c r="X118" i="85"/>
  <c r="W118" i="85"/>
  <c r="V118" i="85"/>
  <c r="T118" i="85"/>
  <c r="BC117" i="85"/>
  <c r="AU117" i="85"/>
  <c r="AT117" i="85"/>
  <c r="AI117" i="85"/>
  <c r="AJ117" i="85" s="1"/>
  <c r="AG117" i="85"/>
  <c r="X117" i="85"/>
  <c r="W117" i="85"/>
  <c r="V117" i="85"/>
  <c r="T117" i="85"/>
  <c r="BC116" i="85"/>
  <c r="AZ116" i="85"/>
  <c r="AU116" i="85"/>
  <c r="AT116" i="85"/>
  <c r="AI116" i="85"/>
  <c r="AJ116" i="85" s="1"/>
  <c r="AG116" i="85"/>
  <c r="X116" i="85"/>
  <c r="W116" i="85"/>
  <c r="V116" i="85"/>
  <c r="T116" i="85"/>
  <c r="BC115" i="85"/>
  <c r="AZ115" i="85"/>
  <c r="AU115" i="85"/>
  <c r="AT115" i="85"/>
  <c r="AF115" i="85"/>
  <c r="AG115" i="85" s="1"/>
  <c r="X115" i="85"/>
  <c r="W115" i="85"/>
  <c r="V115" i="85"/>
  <c r="AY115" i="85" s="1"/>
  <c r="T115" i="85"/>
  <c r="BC114" i="85"/>
  <c r="AZ114" i="85"/>
  <c r="AU114" i="85"/>
  <c r="AT114" i="85"/>
  <c r="AI114" i="85"/>
  <c r="AJ114" i="85" s="1"/>
  <c r="AG114" i="85"/>
  <c r="V114" i="85"/>
  <c r="AY114" i="85" s="1"/>
  <c r="T114" i="85"/>
  <c r="BC113" i="85"/>
  <c r="AZ113" i="85"/>
  <c r="AY113" i="85"/>
  <c r="AX113" i="85"/>
  <c r="AU113" i="85"/>
  <c r="AT113" i="85"/>
  <c r="AI113" i="85"/>
  <c r="AJ113" i="85" s="1"/>
  <c r="AG113" i="85"/>
  <c r="BC112" i="85"/>
  <c r="AU112" i="85"/>
  <c r="AT112" i="85"/>
  <c r="AF112" i="85"/>
  <c r="AI112" i="85" s="1"/>
  <c r="AJ112" i="85" s="1"/>
  <c r="AB112" i="85"/>
  <c r="X112" i="85"/>
  <c r="W112" i="85"/>
  <c r="V112" i="85"/>
  <c r="AX112" i="85" s="1"/>
  <c r="T112" i="85"/>
  <c r="BC111" i="85"/>
  <c r="AU111" i="85"/>
  <c r="AT111" i="85"/>
  <c r="AF111" i="85"/>
  <c r="X111" i="85"/>
  <c r="W111" i="85"/>
  <c r="V111" i="85"/>
  <c r="AY111" i="85" s="1"/>
  <c r="AZ111" i="85" s="1"/>
  <c r="T111" i="85"/>
  <c r="BC110" i="85"/>
  <c r="AZ110" i="85"/>
  <c r="AU110" i="85"/>
  <c r="AT110" i="85"/>
  <c r="AI110" i="85"/>
  <c r="AJ110" i="85" s="1"/>
  <c r="AG110" i="85"/>
  <c r="X110" i="85"/>
  <c r="W110" i="85"/>
  <c r="V110" i="85"/>
  <c r="AY110" i="85" s="1"/>
  <c r="T110" i="85"/>
  <c r="BC109" i="85"/>
  <c r="AZ109" i="85"/>
  <c r="AU109" i="85"/>
  <c r="AT109" i="85"/>
  <c r="AI109" i="85"/>
  <c r="AJ109" i="85" s="1"/>
  <c r="AG109" i="85"/>
  <c r="X109" i="85"/>
  <c r="W109" i="85"/>
  <c r="V109" i="85"/>
  <c r="AY109" i="85" s="1"/>
  <c r="T109" i="85"/>
  <c r="BC108" i="85"/>
  <c r="AZ108" i="85"/>
  <c r="AU108" i="85"/>
  <c r="AT108" i="85"/>
  <c r="AI108" i="85"/>
  <c r="AJ108" i="85" s="1"/>
  <c r="AG108" i="85"/>
  <c r="X108" i="85"/>
  <c r="W108" i="85"/>
  <c r="U108" i="85"/>
  <c r="V108" i="85" s="1"/>
  <c r="AX108" i="85" s="1"/>
  <c r="T108" i="85"/>
  <c r="BC107" i="85"/>
  <c r="AZ107" i="85"/>
  <c r="AU107" i="85"/>
  <c r="AT107" i="85"/>
  <c r="AI107" i="85"/>
  <c r="AJ107" i="85" s="1"/>
  <c r="AG107" i="85"/>
  <c r="X107" i="85"/>
  <c r="W107" i="85"/>
  <c r="V107" i="85"/>
  <c r="AY107" i="85" s="1"/>
  <c r="T107" i="85"/>
  <c r="BC106" i="85"/>
  <c r="AZ106" i="85"/>
  <c r="AU106" i="85"/>
  <c r="AT106" i="85"/>
  <c r="AI106" i="85"/>
  <c r="AJ106" i="85" s="1"/>
  <c r="AG106" i="85"/>
  <c r="X106" i="85"/>
  <c r="W106" i="85"/>
  <c r="V106" i="85"/>
  <c r="AY106" i="85" s="1"/>
  <c r="T106" i="85"/>
  <c r="BC105" i="85"/>
  <c r="AZ105" i="85"/>
  <c r="AU105" i="85"/>
  <c r="AT105" i="85"/>
  <c r="AI105" i="85"/>
  <c r="AJ105" i="85" s="1"/>
  <c r="AG105" i="85"/>
  <c r="X105" i="85"/>
  <c r="W105" i="85"/>
  <c r="U105" i="85"/>
  <c r="V105" i="85" s="1"/>
  <c r="T105" i="85"/>
  <c r="BC104" i="85"/>
  <c r="AU104" i="85"/>
  <c r="AT104" i="85"/>
  <c r="AI104" i="85"/>
  <c r="AJ104" i="85" s="1"/>
  <c r="AG104" i="85"/>
  <c r="X104" i="85"/>
  <c r="W104" i="85"/>
  <c r="V104" i="85"/>
  <c r="T104" i="85"/>
  <c r="BC103" i="85"/>
  <c r="AU103" i="85"/>
  <c r="AT103" i="85"/>
  <c r="AI103" i="85"/>
  <c r="AJ103" i="85" s="1"/>
  <c r="AG103" i="85"/>
  <c r="X103" i="85"/>
  <c r="W103" i="85"/>
  <c r="U103" i="85"/>
  <c r="V103" i="85" s="1"/>
  <c r="T103" i="85"/>
  <c r="BC102" i="85"/>
  <c r="AZ102" i="85"/>
  <c r="AU102" i="85"/>
  <c r="AT102" i="85"/>
  <c r="AI102" i="85"/>
  <c r="AJ102" i="85" s="1"/>
  <c r="AG102" i="85"/>
  <c r="X102" i="85"/>
  <c r="W102" i="85"/>
  <c r="V102" i="85"/>
  <c r="AX102" i="85" s="1"/>
  <c r="T102" i="85"/>
  <c r="BC101" i="85"/>
  <c r="AZ101" i="85"/>
  <c r="AU101" i="85"/>
  <c r="AT101" i="85"/>
  <c r="AF101" i="85"/>
  <c r="AI101" i="85" s="1"/>
  <c r="AJ101" i="85" s="1"/>
  <c r="X101" i="85"/>
  <c r="W101" i="85"/>
  <c r="V101" i="85"/>
  <c r="AY101" i="85" s="1"/>
  <c r="T101" i="85"/>
  <c r="BC100" i="85"/>
  <c r="AZ100" i="85"/>
  <c r="AU100" i="85"/>
  <c r="AT100" i="85"/>
  <c r="AI100" i="85"/>
  <c r="AJ100" i="85" s="1"/>
  <c r="AG100" i="85"/>
  <c r="X100" i="85"/>
  <c r="W100" i="85"/>
  <c r="V100" i="85"/>
  <c r="AX100" i="85" s="1"/>
  <c r="T100" i="85"/>
  <c r="BC99" i="85"/>
  <c r="AZ99" i="85"/>
  <c r="AU99" i="85"/>
  <c r="AT99" i="85"/>
  <c r="AI99" i="85"/>
  <c r="AJ99" i="85" s="1"/>
  <c r="AG99" i="85"/>
  <c r="X99" i="85"/>
  <c r="T99" i="85"/>
  <c r="U99" i="85" s="1"/>
  <c r="V99" i="85" s="1"/>
  <c r="AY99" i="85" s="1"/>
  <c r="BC98" i="85"/>
  <c r="AU98" i="85"/>
  <c r="AT98" i="85"/>
  <c r="AI98" i="85"/>
  <c r="AJ98" i="85" s="1"/>
  <c r="AG98" i="85"/>
  <c r="X98" i="85"/>
  <c r="W98" i="85"/>
  <c r="U98" i="85"/>
  <c r="T98" i="85"/>
  <c r="V98" i="85" s="1"/>
  <c r="AY98" i="85" s="1"/>
  <c r="AZ98" i="85" s="1"/>
  <c r="BC97" i="85"/>
  <c r="AZ97" i="85"/>
  <c r="AU97" i="85"/>
  <c r="AT97" i="85"/>
  <c r="AI97" i="85"/>
  <c r="AJ97" i="85" s="1"/>
  <c r="AG97" i="85"/>
  <c r="X97" i="85"/>
  <c r="W97" i="85"/>
  <c r="U97" i="85"/>
  <c r="V97" i="85" s="1"/>
  <c r="AX97" i="85" s="1"/>
  <c r="T97" i="85"/>
  <c r="BC96" i="85"/>
  <c r="AZ96" i="85"/>
  <c r="AU96" i="85"/>
  <c r="AT96" i="85"/>
  <c r="AI96" i="85"/>
  <c r="AJ96" i="85" s="1"/>
  <c r="AG96" i="85"/>
  <c r="X96" i="85"/>
  <c r="W96" i="85"/>
  <c r="V96" i="85"/>
  <c r="AY96" i="85" s="1"/>
  <c r="T96" i="85"/>
  <c r="BC95" i="85"/>
  <c r="AZ95" i="85"/>
  <c r="AU95" i="85"/>
  <c r="AT95" i="85"/>
  <c r="AI95" i="85"/>
  <c r="AJ95" i="85" s="1"/>
  <c r="AG95" i="85"/>
  <c r="X95" i="85"/>
  <c r="W95" i="85"/>
  <c r="V95" i="85"/>
  <c r="AY95" i="85" s="1"/>
  <c r="T95" i="85"/>
  <c r="BC94" i="85"/>
  <c r="AZ94" i="85"/>
  <c r="AU94" i="85"/>
  <c r="AT94" i="85"/>
  <c r="AI94" i="85"/>
  <c r="AJ94" i="85" s="1"/>
  <c r="AG94" i="85"/>
  <c r="X94" i="85"/>
  <c r="W94" i="85"/>
  <c r="T94" i="85"/>
  <c r="V94" i="85" s="1"/>
  <c r="BC93" i="85"/>
  <c r="AZ93" i="85"/>
  <c r="AU93" i="85"/>
  <c r="AT93" i="85"/>
  <c r="AI93" i="85"/>
  <c r="AJ93" i="85" s="1"/>
  <c r="AG93" i="85"/>
  <c r="AE93" i="85"/>
  <c r="X93" i="85"/>
  <c r="W93" i="85"/>
  <c r="U93" i="85"/>
  <c r="V93" i="85" s="1"/>
  <c r="T93" i="85"/>
  <c r="BC92" i="85"/>
  <c r="AZ92" i="85"/>
  <c r="AU92" i="85"/>
  <c r="AT92" i="85"/>
  <c r="AI92" i="85"/>
  <c r="AJ92" i="85" s="1"/>
  <c r="AG92" i="85"/>
  <c r="V92" i="85"/>
  <c r="AX92" i="85" s="1"/>
  <c r="BC91" i="85"/>
  <c r="AZ91" i="85"/>
  <c r="AU91" i="85"/>
  <c r="AT91" i="85"/>
  <c r="AI91" i="85"/>
  <c r="AJ91" i="85" s="1"/>
  <c r="AG91" i="85"/>
  <c r="X91" i="85"/>
  <c r="W91" i="85"/>
  <c r="V91" i="85"/>
  <c r="AX91" i="85" s="1"/>
  <c r="T91" i="85"/>
  <c r="BC90" i="85"/>
  <c r="AU90" i="85"/>
  <c r="AT90" i="85"/>
  <c r="AF90" i="85"/>
  <c r="AI90" i="85" s="1"/>
  <c r="AJ90" i="85" s="1"/>
  <c r="X90" i="85"/>
  <c r="W90" i="85"/>
  <c r="U90" i="85"/>
  <c r="T90" i="85"/>
  <c r="V90" i="85" s="1"/>
  <c r="BC89" i="85"/>
  <c r="AU89" i="85"/>
  <c r="AT89" i="85"/>
  <c r="AI89" i="85"/>
  <c r="AJ89" i="85" s="1"/>
  <c r="AG89" i="85"/>
  <c r="X89" i="85"/>
  <c r="W89" i="85"/>
  <c r="U89" i="85"/>
  <c r="T89" i="85"/>
  <c r="V89" i="85" s="1"/>
  <c r="BC88" i="85"/>
  <c r="AU88" i="85"/>
  <c r="AT88" i="85"/>
  <c r="AI88" i="85"/>
  <c r="AJ88" i="85" s="1"/>
  <c r="AG88" i="85"/>
  <c r="U88" i="85"/>
  <c r="V88" i="85" s="1"/>
  <c r="AX88" i="85" s="1"/>
  <c r="BC87" i="85"/>
  <c r="AZ87" i="85"/>
  <c r="AU87" i="85"/>
  <c r="AT87" i="85"/>
  <c r="AI87" i="85"/>
  <c r="AJ87" i="85" s="1"/>
  <c r="AG87" i="85"/>
  <c r="X87" i="85"/>
  <c r="W87" i="85"/>
  <c r="T87" i="85"/>
  <c r="V87" i="85" s="1"/>
  <c r="BC86" i="85"/>
  <c r="AZ86" i="85"/>
  <c r="AU86" i="85"/>
  <c r="AT86" i="85"/>
  <c r="AI86" i="85"/>
  <c r="AJ86" i="85" s="1"/>
  <c r="AG86" i="85"/>
  <c r="X86" i="85"/>
  <c r="W86" i="85"/>
  <c r="V86" i="85"/>
  <c r="AY86" i="85" s="1"/>
  <c r="T86" i="85"/>
  <c r="BC85" i="85"/>
  <c r="AU85" i="85"/>
  <c r="AT85" i="85"/>
  <c r="AI85" i="85"/>
  <c r="AJ85" i="85" s="1"/>
  <c r="AG85" i="85"/>
  <c r="X85" i="85"/>
  <c r="W85" i="85"/>
  <c r="U85" i="85"/>
  <c r="T85" i="85"/>
  <c r="V85" i="85" s="1"/>
  <c r="BC84" i="85"/>
  <c r="AZ84" i="85"/>
  <c r="AU84" i="85"/>
  <c r="AT84" i="85"/>
  <c r="AI84" i="85"/>
  <c r="AJ84" i="85" s="1"/>
  <c r="AG84" i="85"/>
  <c r="X84" i="85"/>
  <c r="W84" i="85"/>
  <c r="T84" i="85"/>
  <c r="V84" i="85" s="1"/>
  <c r="BC83" i="85"/>
  <c r="AU83" i="85"/>
  <c r="AT83" i="85"/>
  <c r="AI83" i="85"/>
  <c r="AJ83" i="85" s="1"/>
  <c r="AG83" i="85"/>
  <c r="X83" i="85"/>
  <c r="W83" i="85"/>
  <c r="V83" i="85"/>
  <c r="AX83" i="85" s="1"/>
  <c r="T83" i="85"/>
  <c r="BC82" i="85"/>
  <c r="AZ82" i="85"/>
  <c r="AU82" i="85"/>
  <c r="AT82" i="85"/>
  <c r="AI82" i="85"/>
  <c r="AJ82" i="85" s="1"/>
  <c r="AG82" i="85"/>
  <c r="X82" i="85"/>
  <c r="W82" i="85"/>
  <c r="U82" i="85"/>
  <c r="V82" i="85" s="1"/>
  <c r="AX82" i="85" s="1"/>
  <c r="T82" i="85"/>
  <c r="BC81" i="85"/>
  <c r="AZ81" i="85"/>
  <c r="AU81" i="85"/>
  <c r="AT81" i="85"/>
  <c r="AI81" i="85"/>
  <c r="AJ81" i="85" s="1"/>
  <c r="AG81" i="85"/>
  <c r="X81" i="85"/>
  <c r="W81" i="85"/>
  <c r="V81" i="85"/>
  <c r="AY81" i="85" s="1"/>
  <c r="T81" i="85"/>
  <c r="BC80" i="85"/>
  <c r="AZ80" i="85"/>
  <c r="AU80" i="85"/>
  <c r="AT80" i="85"/>
  <c r="AI80" i="85"/>
  <c r="AJ80" i="85" s="1"/>
  <c r="AG80" i="85"/>
  <c r="X80" i="85"/>
  <c r="W80" i="85"/>
  <c r="T80" i="85"/>
  <c r="V80" i="85" s="1"/>
  <c r="AY80" i="85" s="1"/>
  <c r="BC79" i="85"/>
  <c r="AZ79" i="85"/>
  <c r="AU79" i="85"/>
  <c r="AT79" i="85"/>
  <c r="AI79" i="85"/>
  <c r="AJ79" i="85" s="1"/>
  <c r="AG79" i="85"/>
  <c r="X79" i="85"/>
  <c r="W79" i="85"/>
  <c r="T79" i="85"/>
  <c r="V79" i="85" s="1"/>
  <c r="BC78" i="85"/>
  <c r="AU78" i="85"/>
  <c r="AT78" i="85"/>
  <c r="AI78" i="85"/>
  <c r="AJ78" i="85" s="1"/>
  <c r="AG78" i="85"/>
  <c r="X78" i="85"/>
  <c r="W78" i="85"/>
  <c r="T78" i="85"/>
  <c r="V78" i="85" s="1"/>
  <c r="BC77" i="85"/>
  <c r="AZ77" i="85"/>
  <c r="AU77" i="85"/>
  <c r="AT77" i="85"/>
  <c r="AI77" i="85"/>
  <c r="AJ77" i="85" s="1"/>
  <c r="AG77" i="85"/>
  <c r="X77" i="85"/>
  <c r="W77" i="85"/>
  <c r="T77" i="85"/>
  <c r="V77" i="85" s="1"/>
  <c r="BC76" i="85"/>
  <c r="AZ76" i="85"/>
  <c r="AU76" i="85"/>
  <c r="AT76" i="85"/>
  <c r="AI76" i="85"/>
  <c r="AJ76" i="85" s="1"/>
  <c r="AG76" i="85"/>
  <c r="X76" i="85"/>
  <c r="W76" i="85"/>
  <c r="T76" i="85"/>
  <c r="V76" i="85" s="1"/>
  <c r="BC75" i="85"/>
  <c r="AZ75" i="85"/>
  <c r="AU75" i="85"/>
  <c r="AT75" i="85"/>
  <c r="AI75" i="85"/>
  <c r="AJ75" i="85" s="1"/>
  <c r="AG75" i="85"/>
  <c r="X75" i="85"/>
  <c r="W75" i="85"/>
  <c r="T75" i="85"/>
  <c r="V75" i="85" s="1"/>
  <c r="BC74" i="85"/>
  <c r="AU74" i="85"/>
  <c r="AT74" i="85"/>
  <c r="AI74" i="85"/>
  <c r="AJ74" i="85" s="1"/>
  <c r="AG74" i="85"/>
  <c r="X74" i="85"/>
  <c r="W74" i="85"/>
  <c r="U74" i="85"/>
  <c r="V74" i="85" s="1"/>
  <c r="T74" i="85"/>
  <c r="BC73" i="85"/>
  <c r="AZ73" i="85"/>
  <c r="AU73" i="85"/>
  <c r="AT73" i="85"/>
  <c r="AI73" i="85"/>
  <c r="AJ73" i="85" s="1"/>
  <c r="AG73" i="85"/>
  <c r="X73" i="85"/>
  <c r="W73" i="85"/>
  <c r="T73" i="85"/>
  <c r="V73" i="85" s="1"/>
  <c r="AX73" i="85" s="1"/>
  <c r="BC72" i="85"/>
  <c r="AZ72" i="85"/>
  <c r="AU72" i="85"/>
  <c r="AT72" i="85"/>
  <c r="AI72" i="85"/>
  <c r="AJ72" i="85" s="1"/>
  <c r="AG72" i="85"/>
  <c r="X72" i="85"/>
  <c r="W72" i="85"/>
  <c r="T72" i="85"/>
  <c r="V72" i="85" s="1"/>
  <c r="BC71" i="85"/>
  <c r="AZ71" i="85"/>
  <c r="AU71" i="85"/>
  <c r="AT71" i="85"/>
  <c r="AR71" i="85"/>
  <c r="AI71" i="85"/>
  <c r="AJ71" i="85" s="1"/>
  <c r="AG71" i="85"/>
  <c r="X71" i="85"/>
  <c r="W71" i="85"/>
  <c r="V71" i="85"/>
  <c r="AX71" i="85" s="1"/>
  <c r="T71" i="85"/>
  <c r="BC70" i="85"/>
  <c r="AZ70" i="85"/>
  <c r="AU70" i="85"/>
  <c r="AT70" i="85"/>
  <c r="AI70" i="85"/>
  <c r="AJ70" i="85" s="1"/>
  <c r="AG70" i="85"/>
  <c r="X70" i="85"/>
  <c r="W70" i="85"/>
  <c r="U70" i="85"/>
  <c r="T70" i="85"/>
  <c r="V70" i="85" s="1"/>
  <c r="AY70" i="85" s="1"/>
  <c r="BC69" i="85"/>
  <c r="AZ69" i="85"/>
  <c r="AU69" i="85"/>
  <c r="AT69" i="85"/>
  <c r="AI69" i="85"/>
  <c r="AJ69" i="85" s="1"/>
  <c r="AG69" i="85"/>
  <c r="X69" i="85"/>
  <c r="W69" i="85"/>
  <c r="V69" i="85"/>
  <c r="AY69" i="85" s="1"/>
  <c r="T69" i="85"/>
  <c r="BC68" i="85"/>
  <c r="AZ68" i="85"/>
  <c r="AU68" i="85"/>
  <c r="AT68" i="85"/>
  <c r="AI68" i="85"/>
  <c r="AJ68" i="85" s="1"/>
  <c r="AG68" i="85"/>
  <c r="X68" i="85"/>
  <c r="W68" i="85"/>
  <c r="V68" i="85"/>
  <c r="AY68" i="85" s="1"/>
  <c r="T68" i="85"/>
  <c r="BC67" i="85"/>
  <c r="AZ67" i="85"/>
  <c r="AU67" i="85"/>
  <c r="AT67" i="85"/>
  <c r="AF67" i="85"/>
  <c r="AI67" i="85" s="1"/>
  <c r="AJ67" i="85" s="1"/>
  <c r="X67" i="85"/>
  <c r="W67" i="85"/>
  <c r="U67" i="85"/>
  <c r="T67" i="85"/>
  <c r="V67" i="85" s="1"/>
  <c r="AY67" i="85" s="1"/>
  <c r="BC66" i="85"/>
  <c r="AU66" i="85"/>
  <c r="AT66" i="85"/>
  <c r="AI66" i="85"/>
  <c r="AJ66" i="85" s="1"/>
  <c r="AG66" i="85"/>
  <c r="X66" i="85"/>
  <c r="V66" i="85"/>
  <c r="BC65" i="85"/>
  <c r="AZ65" i="85"/>
  <c r="AU65" i="85"/>
  <c r="AT65" i="85"/>
  <c r="AI65" i="85"/>
  <c r="AJ65" i="85" s="1"/>
  <c r="AG65" i="85"/>
  <c r="X65" i="85"/>
  <c r="W65" i="85"/>
  <c r="V65" i="85"/>
  <c r="AY65" i="85" s="1"/>
  <c r="T65" i="85"/>
  <c r="BC64" i="85"/>
  <c r="AU64" i="85"/>
  <c r="AT64" i="85"/>
  <c r="AI64" i="85"/>
  <c r="AJ64" i="85" s="1"/>
  <c r="AG64" i="85"/>
  <c r="X64" i="85"/>
  <c r="W64" i="85"/>
  <c r="V64" i="85"/>
  <c r="AY64" i="85" s="1"/>
  <c r="AZ64" i="85" s="1"/>
  <c r="T64" i="85"/>
  <c r="BC63" i="85"/>
  <c r="AZ63" i="85"/>
  <c r="AU63" i="85"/>
  <c r="AT63" i="85"/>
  <c r="AI63" i="85"/>
  <c r="AJ63" i="85" s="1"/>
  <c r="AG63" i="85"/>
  <c r="X63" i="85"/>
  <c r="W63" i="85"/>
  <c r="V63" i="85"/>
  <c r="AY63" i="85" s="1"/>
  <c r="T63" i="85"/>
  <c r="BC62" i="85"/>
  <c r="AU62" i="85"/>
  <c r="AT62" i="85"/>
  <c r="AI62" i="85"/>
  <c r="AJ62" i="85" s="1"/>
  <c r="AG62" i="85"/>
  <c r="W62" i="85"/>
  <c r="V62" i="85"/>
  <c r="AY62" i="85" s="1"/>
  <c r="T62" i="85"/>
  <c r="BC61" i="85"/>
  <c r="AZ61" i="85"/>
  <c r="AU61" i="85"/>
  <c r="AT61" i="85"/>
  <c r="AI61" i="85"/>
  <c r="AJ61" i="85" s="1"/>
  <c r="AG61" i="85"/>
  <c r="X61" i="85"/>
  <c r="W61" i="85"/>
  <c r="V61" i="85"/>
  <c r="AX61" i="85" s="1"/>
  <c r="T61" i="85"/>
  <c r="BC60" i="85"/>
  <c r="AZ60" i="85"/>
  <c r="AU60" i="85"/>
  <c r="AT60" i="85"/>
  <c r="AI60" i="85"/>
  <c r="AJ60" i="85" s="1"/>
  <c r="AG60" i="85"/>
  <c r="X60" i="85"/>
  <c r="V60" i="85"/>
  <c r="AX60" i="85" s="1"/>
  <c r="U60" i="85"/>
  <c r="T60" i="85"/>
  <c r="BC59" i="85"/>
  <c r="AU59" i="85"/>
  <c r="AT59" i="85"/>
  <c r="AI59" i="85"/>
  <c r="AJ59" i="85" s="1"/>
  <c r="AG59" i="85"/>
  <c r="X59" i="85"/>
  <c r="W59" i="85"/>
  <c r="T59" i="85" a="1"/>
  <c r="T59" i="85" s="1"/>
  <c r="V59" i="85" s="1"/>
  <c r="AX59" i="85" s="1"/>
  <c r="BC58" i="85"/>
  <c r="AY58" i="85"/>
  <c r="AZ58" i="85" s="1"/>
  <c r="AX58" i="85"/>
  <c r="AU58" i="85"/>
  <c r="AT58" i="85"/>
  <c r="AI58" i="85"/>
  <c r="AJ58" i="85" s="1"/>
  <c r="AG58" i="85"/>
  <c r="T58" i="85"/>
  <c r="BC57" i="85"/>
  <c r="AZ57" i="85"/>
  <c r="AU57" i="85"/>
  <c r="AT57" i="85"/>
  <c r="AI57" i="85"/>
  <c r="AJ57" i="85" s="1"/>
  <c r="AG57" i="85"/>
  <c r="X57" i="85"/>
  <c r="W57" i="85"/>
  <c r="V57" i="85"/>
  <c r="AX57" i="85" s="1"/>
  <c r="T57" i="85"/>
  <c r="BC56" i="85"/>
  <c r="AZ56" i="85"/>
  <c r="AU56" i="85"/>
  <c r="AT56" i="85"/>
  <c r="AI56" i="85"/>
  <c r="AJ56" i="85" s="1"/>
  <c r="AG56" i="85"/>
  <c r="X56" i="85"/>
  <c r="V56" i="85"/>
  <c r="AY56" i="85" s="1"/>
  <c r="U56" i="85"/>
  <c r="T56" i="85"/>
  <c r="BC55" i="85"/>
  <c r="AZ55" i="85"/>
  <c r="AU55" i="85"/>
  <c r="AT55" i="85"/>
  <c r="AI55" i="85"/>
  <c r="AJ55" i="85" s="1"/>
  <c r="AG55" i="85"/>
  <c r="X55" i="85"/>
  <c r="W55" i="85"/>
  <c r="T55" i="85"/>
  <c r="V55" i="85" s="1"/>
  <c r="BC54" i="85"/>
  <c r="AU54" i="85"/>
  <c r="AT54" i="85"/>
  <c r="AI54" i="85"/>
  <c r="AJ54" i="85" s="1"/>
  <c r="AG54" i="85"/>
  <c r="X54" i="85"/>
  <c r="W54" i="85"/>
  <c r="V54" i="85"/>
  <c r="AY54" i="85" s="1"/>
  <c r="AZ54" i="85" s="1"/>
  <c r="T54" i="85"/>
  <c r="BC53" i="85"/>
  <c r="AU53" i="85"/>
  <c r="AT53" i="85"/>
  <c r="AI53" i="85"/>
  <c r="AJ53" i="85" s="1"/>
  <c r="AG53" i="85"/>
  <c r="X53" i="85"/>
  <c r="W53" i="85"/>
  <c r="T53" i="85"/>
  <c r="V53" i="85" s="1"/>
  <c r="BC52" i="85"/>
  <c r="AZ52" i="85"/>
  <c r="AU52" i="85"/>
  <c r="AT52" i="85"/>
  <c r="AI52" i="85"/>
  <c r="AJ52" i="85" s="1"/>
  <c r="AG52" i="85"/>
  <c r="X52" i="85"/>
  <c r="W52" i="85"/>
  <c r="V52" i="85"/>
  <c r="AY52" i="85" s="1"/>
  <c r="T52" i="85"/>
  <c r="BC51" i="85"/>
  <c r="AU51" i="85"/>
  <c r="AT51" i="85"/>
  <c r="AI51" i="85"/>
  <c r="AJ51" i="85" s="1"/>
  <c r="AG51" i="85"/>
  <c r="X51" i="85"/>
  <c r="W51" i="85"/>
  <c r="V51" i="85"/>
  <c r="AY51" i="85" s="1"/>
  <c r="AZ51" i="85" s="1"/>
  <c r="T51" i="85"/>
  <c r="BC50" i="85"/>
  <c r="AZ50" i="85"/>
  <c r="AU50" i="85"/>
  <c r="AT50" i="85"/>
  <c r="AI50" i="85"/>
  <c r="AJ50" i="85" s="1"/>
  <c r="AG50" i="85"/>
  <c r="X50" i="85"/>
  <c r="W50" i="85"/>
  <c r="V50" i="85"/>
  <c r="AY50" i="85" s="1"/>
  <c r="T50" i="85"/>
  <c r="BC49" i="85"/>
  <c r="AY49" i="85"/>
  <c r="AZ49" i="85" s="1"/>
  <c r="AX49" i="85"/>
  <c r="AU49" i="85"/>
  <c r="AT49" i="85"/>
  <c r="AI49" i="85"/>
  <c r="AJ49" i="85" s="1"/>
  <c r="AG49" i="85"/>
  <c r="BC48" i="85"/>
  <c r="AY48" i="85"/>
  <c r="AZ48" i="85" s="1"/>
  <c r="AX48" i="85"/>
  <c r="AU48" i="85"/>
  <c r="AT48" i="85"/>
  <c r="AI48" i="85"/>
  <c r="AJ48" i="85" s="1"/>
  <c r="AG48" i="85"/>
  <c r="X48" i="85"/>
  <c r="BC47" i="85"/>
  <c r="AZ47" i="85"/>
  <c r="AU47" i="85"/>
  <c r="AT47" i="85"/>
  <c r="AI47" i="85"/>
  <c r="AJ47" i="85" s="1"/>
  <c r="AG47" i="85"/>
  <c r="X47" i="85"/>
  <c r="W47" i="85"/>
  <c r="T47" i="85"/>
  <c r="V47" i="85" s="1"/>
  <c r="AY47" i="85" s="1"/>
  <c r="BC46" i="85"/>
  <c r="AU46" i="85"/>
  <c r="AT46" i="85"/>
  <c r="AI46" i="85"/>
  <c r="AJ46" i="85" s="1"/>
  <c r="AG46" i="85"/>
  <c r="X46" i="85"/>
  <c r="W46" i="85"/>
  <c r="V46" i="85"/>
  <c r="AX46" i="85" s="1"/>
  <c r="T46" i="85"/>
  <c r="BC45" i="85"/>
  <c r="AZ45" i="85"/>
  <c r="AU45" i="85"/>
  <c r="AT45" i="85"/>
  <c r="AI45" i="85"/>
  <c r="AJ45" i="85" s="1"/>
  <c r="AG45" i="85"/>
  <c r="X45" i="85"/>
  <c r="W45" i="85"/>
  <c r="V45" i="85"/>
  <c r="AX45" i="85" s="1"/>
  <c r="T45" i="85"/>
  <c r="BC44" i="85"/>
  <c r="AZ44" i="85"/>
  <c r="AU44" i="85"/>
  <c r="AT44" i="85"/>
  <c r="AI44" i="85"/>
  <c r="AJ44" i="85" s="1"/>
  <c r="AG44" i="85"/>
  <c r="X44" i="85"/>
  <c r="W44" i="85"/>
  <c r="V44" i="85"/>
  <c r="AY44" i="85" s="1"/>
  <c r="T44" i="85"/>
  <c r="BC43" i="85"/>
  <c r="AZ43" i="85"/>
  <c r="AU43" i="85"/>
  <c r="AT43" i="85"/>
  <c r="AI43" i="85"/>
  <c r="AJ43" i="85" s="1"/>
  <c r="AG43" i="85"/>
  <c r="X43" i="85"/>
  <c r="W43" i="85"/>
  <c r="V43" i="85"/>
  <c r="AX43" i="85" s="1"/>
  <c r="T43" i="85"/>
  <c r="BC42" i="85"/>
  <c r="AZ42" i="85"/>
  <c r="AU42" i="85"/>
  <c r="AT42" i="85"/>
  <c r="AI42" i="85"/>
  <c r="AJ42" i="85" s="1"/>
  <c r="AG42" i="85"/>
  <c r="X42" i="85"/>
  <c r="W42" i="85"/>
  <c r="V42" i="85"/>
  <c r="AX42" i="85" s="1"/>
  <c r="T42" i="85"/>
  <c r="BC41" i="85"/>
  <c r="AU41" i="85"/>
  <c r="AT41" i="85"/>
  <c r="AI41" i="85"/>
  <c r="AJ41" i="85" s="1"/>
  <c r="AG41" i="85"/>
  <c r="X41" i="85"/>
  <c r="W41" i="85"/>
  <c r="U41" i="85"/>
  <c r="V41" i="85" s="1"/>
  <c r="AX41" i="85" s="1"/>
  <c r="T41" i="85"/>
  <c r="BC40" i="85"/>
  <c r="AZ40" i="85"/>
  <c r="AY40" i="85"/>
  <c r="AX40" i="85"/>
  <c r="AU40" i="85"/>
  <c r="AT40" i="85"/>
  <c r="AI40" i="85"/>
  <c r="AJ40" i="85" s="1"/>
  <c r="AG40" i="85"/>
  <c r="X40" i="85"/>
  <c r="BC39" i="85"/>
  <c r="AZ39" i="85"/>
  <c r="AU39" i="85"/>
  <c r="AT39" i="85"/>
  <c r="AI39" i="85"/>
  <c r="AJ39" i="85" s="1"/>
  <c r="AG39" i="85"/>
  <c r="X39" i="85"/>
  <c r="W39" i="85"/>
  <c r="T39" i="85"/>
  <c r="V39" i="85" s="1"/>
  <c r="BC38" i="85"/>
  <c r="AZ38" i="85"/>
  <c r="AU38" i="85"/>
  <c r="AT38" i="85"/>
  <c r="AF38" i="85"/>
  <c r="AG38" i="85" s="1"/>
  <c r="X38" i="85"/>
  <c r="W38" i="85"/>
  <c r="T38" i="85"/>
  <c r="V38" i="85" s="1"/>
  <c r="BC37" i="85"/>
  <c r="AZ37" i="85"/>
  <c r="AU37" i="85"/>
  <c r="AT37" i="85"/>
  <c r="AI37" i="85"/>
  <c r="AJ37" i="85" s="1"/>
  <c r="AG37" i="85"/>
  <c r="X37" i="85"/>
  <c r="W37" i="85"/>
  <c r="U37" i="85"/>
  <c r="V37" i="85" s="1"/>
  <c r="T37" i="85"/>
  <c r="BC36" i="85"/>
  <c r="AZ36" i="85"/>
  <c r="AU36" i="85"/>
  <c r="AT36" i="85"/>
  <c r="AI36" i="85"/>
  <c r="AJ36" i="85" s="1"/>
  <c r="AG36" i="85"/>
  <c r="X36" i="85"/>
  <c r="W36" i="85"/>
  <c r="V36" i="85"/>
  <c r="AY36" i="85" s="1"/>
  <c r="T36" i="85"/>
  <c r="BC35" i="85"/>
  <c r="AU35" i="85"/>
  <c r="AT35" i="85"/>
  <c r="AI35" i="85"/>
  <c r="AJ35" i="85" s="1"/>
  <c r="AG35" i="85"/>
  <c r="X35" i="85"/>
  <c r="V35" i="85"/>
  <c r="AY35" i="85" s="1"/>
  <c r="T35" i="85"/>
  <c r="BC34" i="85"/>
  <c r="AZ34" i="85"/>
  <c r="AU34" i="85"/>
  <c r="AT34" i="85"/>
  <c r="AI34" i="85"/>
  <c r="AJ34" i="85" s="1"/>
  <c r="AG34" i="85"/>
  <c r="X34" i="85"/>
  <c r="W34" i="85"/>
  <c r="T34" i="85"/>
  <c r="V34" i="85" s="1"/>
  <c r="BC33" i="85"/>
  <c r="AZ33" i="85"/>
  <c r="AU33" i="85"/>
  <c r="AT33" i="85"/>
  <c r="AI33" i="85"/>
  <c r="AJ33" i="85" s="1"/>
  <c r="AG33" i="85"/>
  <c r="X33" i="85"/>
  <c r="W33" i="85"/>
  <c r="T33" i="85"/>
  <c r="V33" i="85" s="1"/>
  <c r="AY33" i="85" s="1"/>
  <c r="BC32" i="85"/>
  <c r="AU32" i="85"/>
  <c r="AT32" i="85"/>
  <c r="AI32" i="85"/>
  <c r="AJ32" i="85" s="1"/>
  <c r="AG32" i="85"/>
  <c r="V32" i="85"/>
  <c r="AX32" i="85" s="1"/>
  <c r="BC31" i="85"/>
  <c r="AU31" i="85"/>
  <c r="AT31" i="85"/>
  <c r="AR31" i="85"/>
  <c r="AI31" i="85"/>
  <c r="AJ31" i="85" s="1"/>
  <c r="AG31" i="85"/>
  <c r="X31" i="85"/>
  <c r="W31" i="85"/>
  <c r="T31" i="85"/>
  <c r="V31" i="85" s="1"/>
  <c r="AY31" i="85" s="1"/>
  <c r="BC30" i="85"/>
  <c r="AU30" i="85"/>
  <c r="AT30" i="85"/>
  <c r="AF30" i="85"/>
  <c r="AI30" i="85" s="1"/>
  <c r="AJ30" i="85" s="1"/>
  <c r="X30" i="85"/>
  <c r="W30" i="85"/>
  <c r="T30" i="85"/>
  <c r="V30" i="85" s="1"/>
  <c r="AY30" i="85" s="1"/>
  <c r="BC29" i="85"/>
  <c r="AU29" i="85"/>
  <c r="AT29" i="85"/>
  <c r="AI29" i="85"/>
  <c r="AJ29" i="85" s="1"/>
  <c r="AG29" i="85"/>
  <c r="X29" i="85"/>
  <c r="W29" i="85"/>
  <c r="T29" i="85"/>
  <c r="V29" i="85" s="1"/>
  <c r="AY29" i="85" s="1"/>
  <c r="BC28" i="85"/>
  <c r="AZ28" i="85"/>
  <c r="AU28" i="85"/>
  <c r="AT28" i="85"/>
  <c r="AI28" i="85"/>
  <c r="AJ28" i="85" s="1"/>
  <c r="AG28" i="85"/>
  <c r="X28" i="85"/>
  <c r="W28" i="85"/>
  <c r="V28" i="85"/>
  <c r="AY28" i="85" s="1"/>
  <c r="T28" i="85"/>
  <c r="BC27" i="85"/>
  <c r="AU27" i="85"/>
  <c r="AT27" i="85"/>
  <c r="AI27" i="85"/>
  <c r="AG27" i="85"/>
  <c r="X27" i="85"/>
  <c r="W27" i="85"/>
  <c r="T27" i="85"/>
  <c r="V27" i="85" s="1"/>
  <c r="BC26" i="85"/>
  <c r="AZ26" i="85"/>
  <c r="AU26" i="85"/>
  <c r="AT26" i="85"/>
  <c r="AI26" i="85"/>
  <c r="AJ26" i="85" s="1"/>
  <c r="AG26" i="85"/>
  <c r="X26" i="85"/>
  <c r="W26" i="85"/>
  <c r="T26" i="85"/>
  <c r="V26" i="85" s="1"/>
  <c r="BC25" i="85"/>
  <c r="AU25" i="85"/>
  <c r="AT25" i="85"/>
  <c r="AI25" i="85"/>
  <c r="AJ25" i="85" s="1"/>
  <c r="AG25" i="85"/>
  <c r="X25" i="85"/>
  <c r="V25" i="85"/>
  <c r="T25" i="85"/>
  <c r="BC24" i="85"/>
  <c r="AZ24" i="85"/>
  <c r="AU24" i="85"/>
  <c r="AT24" i="85"/>
  <c r="AI24" i="85"/>
  <c r="AJ24" i="85" s="1"/>
  <c r="AG24" i="85"/>
  <c r="AE24" i="85"/>
  <c r="X24" i="85"/>
  <c r="W24" i="85"/>
  <c r="V24" i="85"/>
  <c r="AY24" i="85" s="1"/>
  <c r="T24" i="85"/>
  <c r="BC23" i="85"/>
  <c r="AZ23" i="85"/>
  <c r="AU23" i="85"/>
  <c r="AT23" i="85"/>
  <c r="AI23" i="85"/>
  <c r="AJ23" i="85" s="1"/>
  <c r="AG23" i="85"/>
  <c r="X23" i="85"/>
  <c r="V23" i="85"/>
  <c r="AY23" i="85" s="1"/>
  <c r="T23" i="85"/>
  <c r="BC22" i="85"/>
  <c r="AZ22" i="85"/>
  <c r="AU22" i="85"/>
  <c r="AT22" i="85"/>
  <c r="AI22" i="85"/>
  <c r="AJ22" i="85" s="1"/>
  <c r="AG22" i="85"/>
  <c r="V22" i="85"/>
  <c r="AX22" i="85" s="1"/>
  <c r="BC21" i="85"/>
  <c r="AZ21" i="85"/>
  <c r="AU21" i="85"/>
  <c r="AT21" i="85"/>
  <c r="AI21" i="85"/>
  <c r="AJ21" i="85" s="1"/>
  <c r="AG21" i="85"/>
  <c r="X21" i="85"/>
  <c r="V21" i="85"/>
  <c r="AX21" i="85" s="1"/>
  <c r="T21" i="85"/>
  <c r="BC20" i="85"/>
  <c r="AU20" i="85"/>
  <c r="AT20" i="85"/>
  <c r="AI20" i="85"/>
  <c r="AJ20" i="85" s="1"/>
  <c r="AG20" i="85"/>
  <c r="X20" i="85"/>
  <c r="W20" i="85"/>
  <c r="T20" i="85"/>
  <c r="V20" i="85" s="1"/>
  <c r="AX20" i="85" s="1"/>
  <c r="BC19" i="85"/>
  <c r="AZ19" i="85"/>
  <c r="AU19" i="85"/>
  <c r="AT19" i="85"/>
  <c r="AF19" i="85"/>
  <c r="X19" i="85"/>
  <c r="W19" i="85"/>
  <c r="V19" i="85"/>
  <c r="AX19" i="85" s="1"/>
  <c r="T19" i="85"/>
  <c r="BC18" i="85"/>
  <c r="AZ18" i="85"/>
  <c r="AU18" i="85"/>
  <c r="AT18" i="85"/>
  <c r="AI18" i="85"/>
  <c r="AJ18" i="85" s="1"/>
  <c r="AG18" i="85"/>
  <c r="X18" i="85"/>
  <c r="V18" i="85"/>
  <c r="AY18" i="85" s="1"/>
  <c r="T18" i="85"/>
  <c r="BC17" i="85"/>
  <c r="AZ17" i="85"/>
  <c r="AY17" i="85"/>
  <c r="AX17" i="85"/>
  <c r="AU17" i="85"/>
  <c r="AT17" i="85"/>
  <c r="AI17" i="85"/>
  <c r="AJ17" i="85" s="1"/>
  <c r="AG17" i="85"/>
  <c r="BC16" i="85"/>
  <c r="AZ16" i="85"/>
  <c r="AU16" i="85"/>
  <c r="AT16" i="85"/>
  <c r="AF16" i="85"/>
  <c r="AI16" i="85" s="1"/>
  <c r="AJ16" i="85" s="1"/>
  <c r="X16" i="85"/>
  <c r="W16" i="85"/>
  <c r="V16" i="85"/>
  <c r="AX16" i="85" s="1"/>
  <c r="T16" i="85"/>
  <c r="BC15" i="85"/>
  <c r="AZ15" i="85"/>
  <c r="AU15" i="85"/>
  <c r="AT15" i="85"/>
  <c r="AI15" i="85"/>
  <c r="AJ15" i="85" s="1"/>
  <c r="AG15" i="85"/>
  <c r="T15" i="85"/>
  <c r="T212" i="85" s="1"/>
  <c r="BC14" i="85"/>
  <c r="AZ14" i="85"/>
  <c r="AU14" i="85"/>
  <c r="AT14" i="85"/>
  <c r="AI14" i="85"/>
  <c r="AJ14" i="85" s="1"/>
  <c r="AG14" i="85"/>
  <c r="U14" i="85"/>
  <c r="V14" i="85" s="1"/>
  <c r="BC13" i="85"/>
  <c r="AZ13" i="85"/>
  <c r="AU13" i="85"/>
  <c r="AT13" i="85"/>
  <c r="AF13" i="85"/>
  <c r="AI13" i="85" s="1"/>
  <c r="AJ13" i="85" s="1"/>
  <c r="X13" i="85"/>
  <c r="W13" i="85"/>
  <c r="T13" i="85"/>
  <c r="V13" i="85" s="1"/>
  <c r="BC12" i="85"/>
  <c r="AZ12" i="85"/>
  <c r="AU12" i="85"/>
  <c r="AT12" i="85"/>
  <c r="AF12" i="85"/>
  <c r="AG12" i="85" s="1"/>
  <c r="X12" i="85"/>
  <c r="V12" i="85"/>
  <c r="AY12" i="85" s="1"/>
  <c r="T12" i="85"/>
  <c r="BC11" i="85"/>
  <c r="AZ11" i="85"/>
  <c r="AU11" i="85"/>
  <c r="AT11" i="85"/>
  <c r="AF11" i="85"/>
  <c r="AI11" i="85" s="1"/>
  <c r="AJ11" i="85" s="1"/>
  <c r="X11" i="85"/>
  <c r="V11" i="85"/>
  <c r="AY11" i="85" s="1"/>
  <c r="T11" i="85"/>
  <c r="BC10" i="85"/>
  <c r="AZ10" i="85"/>
  <c r="AU10" i="85"/>
  <c r="AT10" i="85"/>
  <c r="AI10" i="85"/>
  <c r="AJ10" i="85" s="1"/>
  <c r="AG10" i="85"/>
  <c r="X10" i="85"/>
  <c r="V10" i="85"/>
  <c r="AX10" i="85" s="1"/>
  <c r="BC9" i="85"/>
  <c r="AZ9" i="85"/>
  <c r="AU9" i="85"/>
  <c r="AT9" i="85"/>
  <c r="AI9" i="85"/>
  <c r="AJ9" i="85" s="1"/>
  <c r="AG9" i="85"/>
  <c r="X9" i="85"/>
  <c r="W9" i="85"/>
  <c r="V9" i="85"/>
  <c r="AY9" i="85" s="1"/>
  <c r="T9" i="85"/>
  <c r="BC8" i="85"/>
  <c r="AZ8" i="85"/>
  <c r="AU8" i="85"/>
  <c r="AT8" i="85"/>
  <c r="AF8" i="85"/>
  <c r="AG8" i="85" s="1"/>
  <c r="AB8" i="85"/>
  <c r="X8" i="85"/>
  <c r="W8" i="85"/>
  <c r="V8" i="85"/>
  <c r="AY8" i="85" s="1"/>
  <c r="T8" i="85"/>
  <c r="BC7" i="85"/>
  <c r="AZ7" i="85"/>
  <c r="AU7" i="85"/>
  <c r="AT7" i="85"/>
  <c r="AF7" i="85"/>
  <c r="AI7" i="85" s="1"/>
  <c r="AJ7" i="85" s="1"/>
  <c r="X7" i="85"/>
  <c r="W7" i="85"/>
  <c r="T7" i="85"/>
  <c r="V7" i="85" s="1"/>
  <c r="U7" i="85" s="1"/>
  <c r="BC6" i="85"/>
  <c r="AZ6" i="85"/>
  <c r="AU6" i="85"/>
  <c r="AT6" i="85"/>
  <c r="AR6" i="85"/>
  <c r="AI6" i="85"/>
  <c r="AJ6" i="85" s="1"/>
  <c r="AG6" i="85"/>
  <c r="AB6" i="85"/>
  <c r="X6" i="85"/>
  <c r="W6" i="85"/>
  <c r="V6" i="85"/>
  <c r="AY6" i="85" s="1"/>
  <c r="T6" i="85"/>
  <c r="BC5" i="85"/>
  <c r="AU5" i="85"/>
  <c r="AT5" i="85"/>
  <c r="AI5" i="85"/>
  <c r="AJ5" i="85" s="1"/>
  <c r="AG5" i="85"/>
  <c r="X5" i="85"/>
  <c r="W5" i="85"/>
  <c r="V5" i="85"/>
  <c r="AY5" i="85" s="1"/>
  <c r="AZ5" i="85" s="1"/>
  <c r="T5" i="85"/>
  <c r="BC4" i="85"/>
  <c r="AU4" i="85"/>
  <c r="AT4" i="85"/>
  <c r="AF4" i="85"/>
  <c r="AI4" i="85" s="1"/>
  <c r="AJ4" i="85" s="1"/>
  <c r="X4" i="85"/>
  <c r="V4" i="85"/>
  <c r="AY4" i="85" s="1"/>
  <c r="AZ4" i="85" s="1"/>
  <c r="BC3" i="85"/>
  <c r="AZ3" i="85"/>
  <c r="AU3" i="85"/>
  <c r="AT3" i="85"/>
  <c r="AI3" i="85"/>
  <c r="AJ3" i="85" s="1"/>
  <c r="AG3" i="85"/>
  <c r="AB3" i="85"/>
  <c r="X3" i="85"/>
  <c r="V3" i="85"/>
  <c r="AX3" i="85" s="1"/>
  <c r="A1" i="85"/>
  <c r="AH113" i="85" s="1"/>
  <c r="U5" i="85" l="1"/>
  <c r="AX182" i="85"/>
  <c r="AX119" i="85"/>
  <c r="BB119" i="85" s="1"/>
  <c r="AX181" i="85"/>
  <c r="BB181" i="85" s="1"/>
  <c r="AY191" i="85"/>
  <c r="AZ191" i="85" s="1"/>
  <c r="AX111" i="85"/>
  <c r="BB111" i="85" s="1"/>
  <c r="W18" i="85"/>
  <c r="AX65" i="85"/>
  <c r="BB65" i="85" s="1"/>
  <c r="AX186" i="85"/>
  <c r="BB186" i="85" s="1"/>
  <c r="AI8" i="85"/>
  <c r="AJ8" i="85" s="1"/>
  <c r="AX69" i="85"/>
  <c r="BB69" i="85" s="1"/>
  <c r="AY135" i="85"/>
  <c r="AZ135" i="85" s="1"/>
  <c r="BB135" i="85" s="1"/>
  <c r="AY112" i="85"/>
  <c r="AZ112" i="85" s="1"/>
  <c r="BB112" i="85" s="1"/>
  <c r="AX178" i="85"/>
  <c r="BB178" i="85" s="1"/>
  <c r="AY3" i="85"/>
  <c r="BB3" i="85" s="1"/>
  <c r="AX4" i="85"/>
  <c r="BB4" i="85" s="1"/>
  <c r="AX51" i="85"/>
  <c r="BB51" i="85" s="1"/>
  <c r="AI38" i="85"/>
  <c r="AJ38" i="85" s="1"/>
  <c r="AG30" i="85"/>
  <c r="AG212" i="85" s="1"/>
  <c r="AY165" i="85"/>
  <c r="BB165" i="85" s="1"/>
  <c r="BB17" i="85"/>
  <c r="AY32" i="85"/>
  <c r="AZ32" i="85" s="1"/>
  <c r="AX56" i="85"/>
  <c r="BB56" i="85" s="1"/>
  <c r="AX99" i="85"/>
  <c r="BB99" i="85" s="1"/>
  <c r="BB113" i="85"/>
  <c r="AX189" i="85"/>
  <c r="BB189" i="85" s="1"/>
  <c r="AH19" i="85"/>
  <c r="AO22" i="85"/>
  <c r="AO34" i="85"/>
  <c r="AH9" i="85"/>
  <c r="AO12" i="85"/>
  <c r="AO23" i="85"/>
  <c r="AH3" i="85"/>
  <c r="AH5" i="85"/>
  <c r="AH20" i="85"/>
  <c r="AH8" i="85"/>
  <c r="AO10" i="85"/>
  <c r="AY16" i="85"/>
  <c r="BB16" i="85" s="1"/>
  <c r="AH18" i="85"/>
  <c r="AH21" i="85"/>
  <c r="W25" i="85"/>
  <c r="AY43" i="85"/>
  <c r="BB43" i="85" s="1"/>
  <c r="BB49" i="85"/>
  <c r="AH76" i="85"/>
  <c r="AH81" i="85"/>
  <c r="AY100" i="85"/>
  <c r="BB100" i="85" s="1"/>
  <c r="AY132" i="85"/>
  <c r="BB132" i="85" s="1"/>
  <c r="AY137" i="85"/>
  <c r="BB137" i="85" s="1"/>
  <c r="AX195" i="85"/>
  <c r="BB195" i="85" s="1"/>
  <c r="AX210" i="85"/>
  <c r="BB210" i="85" s="1"/>
  <c r="AO24" i="85"/>
  <c r="AH4" i="85"/>
  <c r="AO13" i="85"/>
  <c r="AO28" i="85"/>
  <c r="AO55" i="85"/>
  <c r="AY61" i="85"/>
  <c r="BB61" i="85" s="1"/>
  <c r="AO66" i="85"/>
  <c r="AX68" i="85"/>
  <c r="BB68" i="85" s="1"/>
  <c r="AX107" i="85"/>
  <c r="BB107" i="85" s="1"/>
  <c r="AO115" i="85"/>
  <c r="AY127" i="85"/>
  <c r="AZ127" i="85" s="1"/>
  <c r="BB127" i="85" s="1"/>
  <c r="AX192" i="85"/>
  <c r="BB192" i="85" s="1"/>
  <c r="AX199" i="85"/>
  <c r="BB199" i="85" s="1"/>
  <c r="AO8" i="85"/>
  <c r="AH12" i="85"/>
  <c r="AO19" i="85"/>
  <c r="AO86" i="85"/>
  <c r="AO4" i="85"/>
  <c r="AX5" i="85"/>
  <c r="BB5" i="85" s="1"/>
  <c r="AX11" i="85"/>
  <c r="BB11" i="85" s="1"/>
  <c r="AI12" i="85"/>
  <c r="AJ12" i="85" s="1"/>
  <c r="AO15" i="85"/>
  <c r="AG19" i="85"/>
  <c r="AH39" i="85"/>
  <c r="AG67" i="85"/>
  <c r="AX95" i="85"/>
  <c r="BB95" i="85" s="1"/>
  <c r="AH96" i="85"/>
  <c r="AX101" i="85"/>
  <c r="BB101" i="85" s="1"/>
  <c r="AI115" i="85"/>
  <c r="AJ115" i="85" s="1"/>
  <c r="AY128" i="85"/>
  <c r="BB128" i="85" s="1"/>
  <c r="AX148" i="85"/>
  <c r="BB148" i="85" s="1"/>
  <c r="AX208" i="85"/>
  <c r="AH17" i="85"/>
  <c r="AH70" i="85"/>
  <c r="W11" i="85"/>
  <c r="AG13" i="85"/>
  <c r="AI19" i="85"/>
  <c r="AJ19" i="85" s="1"/>
  <c r="AY22" i="85"/>
  <c r="BB22" i="85" s="1"/>
  <c r="AO26" i="85"/>
  <c r="AH32" i="85"/>
  <c r="AO40" i="85"/>
  <c r="AH52" i="85"/>
  <c r="AG90" i="85"/>
  <c r="AH94" i="85"/>
  <c r="AO100" i="85"/>
  <c r="AG112" i="85"/>
  <c r="AY143" i="85"/>
  <c r="BB143" i="85" s="1"/>
  <c r="AY153" i="85"/>
  <c r="BB153" i="85" s="1"/>
  <c r="AX179" i="85"/>
  <c r="BB179" i="85" s="1"/>
  <c r="AX184" i="85"/>
  <c r="BB184" i="85" s="1"/>
  <c r="AX187" i="85"/>
  <c r="BB187" i="85" s="1"/>
  <c r="AX190" i="85"/>
  <c r="BB190" i="85" s="1"/>
  <c r="AX194" i="85"/>
  <c r="BB194" i="85" s="1"/>
  <c r="AX201" i="85"/>
  <c r="BB201" i="85" s="1"/>
  <c r="AO25" i="85"/>
  <c r="AO9" i="85"/>
  <c r="AH13" i="85"/>
  <c r="AH148" i="85"/>
  <c r="AH63" i="85"/>
  <c r="AO29" i="85"/>
  <c r="AO79" i="85"/>
  <c r="AO106" i="85"/>
  <c r="AO30" i="85"/>
  <c r="U15" i="85"/>
  <c r="V15" i="85" s="1"/>
  <c r="W15" i="85" s="1"/>
  <c r="AO27" i="85"/>
  <c r="AO74" i="85"/>
  <c r="AY102" i="85"/>
  <c r="BB102" i="85" s="1"/>
  <c r="AY154" i="85"/>
  <c r="BB154" i="85" s="1"/>
  <c r="AY163" i="85"/>
  <c r="AZ163" i="85" s="1"/>
  <c r="BB163" i="85" s="1"/>
  <c r="AX90" i="85"/>
  <c r="AY90" i="85"/>
  <c r="AZ90" i="85" s="1"/>
  <c r="AY84" i="85"/>
  <c r="AX84" i="85"/>
  <c r="AY85" i="85"/>
  <c r="AZ85" i="85" s="1"/>
  <c r="AX85" i="85"/>
  <c r="AZ182" i="85"/>
  <c r="AZ206" i="85"/>
  <c r="AX72" i="85"/>
  <c r="AY72" i="85"/>
  <c r="AY89" i="85"/>
  <c r="AZ89" i="85" s="1"/>
  <c r="AX89" i="85"/>
  <c r="AZ209" i="85"/>
  <c r="AY7" i="85"/>
  <c r="AY20" i="85"/>
  <c r="AZ20" i="85" s="1"/>
  <c r="AY25" i="85"/>
  <c r="AZ25" i="85" s="1"/>
  <c r="AX62" i="85"/>
  <c r="AX64" i="85"/>
  <c r="BB64" i="85" s="1"/>
  <c r="AY88" i="85"/>
  <c r="AZ88" i="85" s="1"/>
  <c r="AX96" i="85"/>
  <c r="BB96" i="85" s="1"/>
  <c r="AX98" i="85"/>
  <c r="BB98" i="85" s="1"/>
  <c r="AY122" i="85"/>
  <c r="AY124" i="85"/>
  <c r="AZ124" i="85" s="1"/>
  <c r="BB124" i="85" s="1"/>
  <c r="AX131" i="85"/>
  <c r="AX150" i="85"/>
  <c r="BB150" i="85" s="1"/>
  <c r="AX152" i="85"/>
  <c r="BB152" i="85" s="1"/>
  <c r="AY156" i="85"/>
  <c r="BB156" i="85" s="1"/>
  <c r="AX197" i="85"/>
  <c r="BB197" i="85" s="1"/>
  <c r="AX109" i="85"/>
  <c r="BB109" i="85" s="1"/>
  <c r="AY171" i="85"/>
  <c r="BB171" i="85" s="1"/>
  <c r="AY71" i="85"/>
  <c r="BB71" i="85" s="1"/>
  <c r="AY92" i="85"/>
  <c r="BB92" i="85" s="1"/>
  <c r="AX115" i="85"/>
  <c r="BB115" i="85" s="1"/>
  <c r="AX149" i="85"/>
  <c r="BB149" i="85" s="1"/>
  <c r="AX209" i="85"/>
  <c r="AX6" i="85"/>
  <c r="BB6" i="85" s="1"/>
  <c r="AY19" i="85"/>
  <c r="BB19" i="85" s="1"/>
  <c r="W21" i="85"/>
  <c r="AX36" i="85"/>
  <c r="BB36" i="85" s="1"/>
  <c r="AX54" i="85"/>
  <c r="BB54" i="85" s="1"/>
  <c r="AX63" i="85"/>
  <c r="BB63" i="85" s="1"/>
  <c r="AX125" i="85"/>
  <c r="BB125" i="85" s="1"/>
  <c r="AY133" i="85"/>
  <c r="BB133" i="85" s="1"/>
  <c r="AY144" i="85"/>
  <c r="BB144" i="85" s="1"/>
  <c r="AX151" i="85"/>
  <c r="BB151" i="85" s="1"/>
  <c r="AX157" i="85"/>
  <c r="BB157" i="85" s="1"/>
  <c r="AX188" i="85"/>
  <c r="BB188" i="85" s="1"/>
  <c r="AX196" i="85"/>
  <c r="BB196" i="85" s="1"/>
  <c r="AX198" i="85"/>
  <c r="BB198" i="85" s="1"/>
  <c r="AX206" i="85"/>
  <c r="AY126" i="85"/>
  <c r="BB126" i="85" s="1"/>
  <c r="AY158" i="85"/>
  <c r="BB158" i="85" s="1"/>
  <c r="AX183" i="85"/>
  <c r="BB183" i="85" s="1"/>
  <c r="AX185" i="85"/>
  <c r="BB185" i="85" s="1"/>
  <c r="AX193" i="85"/>
  <c r="BB193" i="85" s="1"/>
  <c r="AX200" i="85"/>
  <c r="BB200" i="85" s="1"/>
  <c r="AX202" i="85"/>
  <c r="BB202" i="85" s="1"/>
  <c r="AX204" i="85"/>
  <c r="AX52" i="85"/>
  <c r="BB52" i="85" s="1"/>
  <c r="AX168" i="85"/>
  <c r="BB168" i="85" s="1"/>
  <c r="AY203" i="85"/>
  <c r="AZ203" i="85" s="1"/>
  <c r="BB203" i="85" s="1"/>
  <c r="AY21" i="85"/>
  <c r="BB21" i="85" s="1"/>
  <c r="AX28" i="85"/>
  <c r="BB28" i="85" s="1"/>
  <c r="AX86" i="85"/>
  <c r="BB86" i="85" s="1"/>
  <c r="AX110" i="85"/>
  <c r="BB110" i="85" s="1"/>
  <c r="AX7" i="85"/>
  <c r="AX18" i="85"/>
  <c r="BB18" i="85" s="1"/>
  <c r="AX25" i="85"/>
  <c r="AX106" i="85"/>
  <c r="BB106" i="85" s="1"/>
  <c r="AX122" i="85"/>
  <c r="AY37" i="85"/>
  <c r="AX37" i="85"/>
  <c r="AY77" i="85"/>
  <c r="AX77" i="85"/>
  <c r="AY78" i="85"/>
  <c r="AX78" i="85"/>
  <c r="AY14" i="85"/>
  <c r="W14" i="85"/>
  <c r="AX14" i="85"/>
  <c r="AY79" i="85"/>
  <c r="AX79" i="85"/>
  <c r="AY27" i="85"/>
  <c r="AX27" i="85"/>
  <c r="AY26" i="85"/>
  <c r="AX26" i="85"/>
  <c r="AY74" i="85"/>
  <c r="AX74" i="85"/>
  <c r="AZ35" i="85"/>
  <c r="AX39" i="85"/>
  <c r="AY39" i="85"/>
  <c r="AY75" i="85"/>
  <c r="AX75" i="85"/>
  <c r="AY34" i="85"/>
  <c r="AX34" i="85"/>
  <c r="AY13" i="85"/>
  <c r="AX13" i="85"/>
  <c r="AZ29" i="85"/>
  <c r="AX38" i="85"/>
  <c r="AY38" i="85"/>
  <c r="AZ30" i="85"/>
  <c r="AZ31" i="85"/>
  <c r="AY76" i="85"/>
  <c r="AX76" i="85"/>
  <c r="AX50" i="85"/>
  <c r="BB50" i="85" s="1"/>
  <c r="AG4" i="85"/>
  <c r="AO7" i="85"/>
  <c r="AO11" i="85"/>
  <c r="AO14" i="85"/>
  <c r="AO16" i="85"/>
  <c r="AH24" i="85"/>
  <c r="AH25" i="85"/>
  <c r="AH26" i="85"/>
  <c r="AH27" i="85"/>
  <c r="AH28" i="85"/>
  <c r="AO31" i="85"/>
  <c r="AH34" i="85"/>
  <c r="AO35" i="85"/>
  <c r="AY42" i="85"/>
  <c r="BB42" i="85" s="1"/>
  <c r="AY46" i="85"/>
  <c r="AO49" i="85"/>
  <c r="AO53" i="85"/>
  <c r="AH55" i="85"/>
  <c r="AY60" i="85"/>
  <c r="BB60" i="85" s="1"/>
  <c r="AO64" i="85"/>
  <c r="AH66" i="85"/>
  <c r="AO67" i="85"/>
  <c r="AO77" i="85"/>
  <c r="AH79" i="85"/>
  <c r="AH86" i="85"/>
  <c r="AY87" i="85"/>
  <c r="AX87" i="85"/>
  <c r="AH93" i="85"/>
  <c r="AY117" i="85"/>
  <c r="AX117" i="85"/>
  <c r="AX121" i="85"/>
  <c r="AH130" i="85"/>
  <c r="AY175" i="85"/>
  <c r="AX175" i="85"/>
  <c r="AY45" i="85"/>
  <c r="BB45" i="85" s="1"/>
  <c r="AZ62" i="85"/>
  <c r="AX80" i="85"/>
  <c r="BB80" i="85" s="1"/>
  <c r="AX146" i="85"/>
  <c r="AY146" i="85"/>
  <c r="AG7" i="85"/>
  <c r="AX35" i="85"/>
  <c r="AY41" i="85"/>
  <c r="AX44" i="85"/>
  <c r="BB44" i="85" s="1"/>
  <c r="AH48" i="85"/>
  <c r="BB48" i="85"/>
  <c r="AH51" i="85"/>
  <c r="AO52" i="85"/>
  <c r="AH54" i="85"/>
  <c r="BB58" i="85"/>
  <c r="AX67" i="85"/>
  <c r="BB67" i="85" s="1"/>
  <c r="AO76" i="85"/>
  <c r="AH78" i="85"/>
  <c r="AY82" i="85"/>
  <c r="BB82" i="85" s="1"/>
  <c r="AH85" i="85"/>
  <c r="AY93" i="85"/>
  <c r="AX93" i="85"/>
  <c r="AY103" i="85"/>
  <c r="AX103" i="85"/>
  <c r="AH105" i="85"/>
  <c r="AH142" i="85"/>
  <c r="AO147" i="85"/>
  <c r="AH164" i="85"/>
  <c r="AY167" i="85"/>
  <c r="AX167" i="85"/>
  <c r="AY170" i="85"/>
  <c r="AX170" i="85"/>
  <c r="AY172" i="85"/>
  <c r="AX172" i="85"/>
  <c r="AY176" i="85"/>
  <c r="AX176" i="85"/>
  <c r="AY180" i="85"/>
  <c r="AX180" i="85"/>
  <c r="W12" i="85"/>
  <c r="AJ27" i="85"/>
  <c r="AY129" i="85"/>
  <c r="AX129" i="85"/>
  <c r="BC211" i="85"/>
  <c r="AY10" i="85"/>
  <c r="BB10" i="85" s="1"/>
  <c r="AO3" i="85"/>
  <c r="AX9" i="85"/>
  <c r="BB9" i="85" s="1"/>
  <c r="AH10" i="85"/>
  <c r="AG11" i="85"/>
  <c r="AO17" i="85"/>
  <c r="W23" i="85"/>
  <c r="AX30" i="85"/>
  <c r="AX31" i="85"/>
  <c r="AO33" i="85"/>
  <c r="AH37" i="85"/>
  <c r="AH38" i="85"/>
  <c r="AX47" i="85"/>
  <c r="BB47" i="85" s="1"/>
  <c r="AY55" i="85"/>
  <c r="AX55" i="85"/>
  <c r="AO57" i="85"/>
  <c r="AH58" i="85"/>
  <c r="AH62" i="85"/>
  <c r="AO69" i="85"/>
  <c r="AH75" i="85"/>
  <c r="AO81" i="85"/>
  <c r="AH87" i="85"/>
  <c r="AO98" i="85"/>
  <c r="AH107" i="85"/>
  <c r="AY155" i="85"/>
  <c r="BB155" i="85" s="1"/>
  <c r="AY118" i="85"/>
  <c r="AX118" i="85"/>
  <c r="T211" i="85"/>
  <c r="AH206" i="85"/>
  <c r="AO203" i="85"/>
  <c r="AH177" i="85"/>
  <c r="AH176" i="85"/>
  <c r="AH175" i="85"/>
  <c r="AH174" i="85"/>
  <c r="AH173" i="85"/>
  <c r="AH172" i="85"/>
  <c r="AO166" i="85"/>
  <c r="AO165" i="85"/>
  <c r="AO163" i="85"/>
  <c r="AH162" i="85"/>
  <c r="AH161" i="85"/>
  <c r="AH160" i="85"/>
  <c r="AH159" i="85"/>
  <c r="AH158" i="85"/>
  <c r="AO155" i="85"/>
  <c r="AH205" i="85"/>
  <c r="AO202" i="85"/>
  <c r="AH171" i="85"/>
  <c r="AH170" i="85"/>
  <c r="AO164" i="85"/>
  <c r="AO210" i="85"/>
  <c r="AO209" i="85"/>
  <c r="AH204" i="85"/>
  <c r="AO201" i="85"/>
  <c r="AO200" i="85"/>
  <c r="AO199" i="85"/>
  <c r="AO198" i="85"/>
  <c r="AO197" i="85"/>
  <c r="AO196" i="85"/>
  <c r="AO195" i="85"/>
  <c r="AO194" i="85"/>
  <c r="AO193" i="85"/>
  <c r="AO192" i="85"/>
  <c r="AO191" i="85"/>
  <c r="AO190" i="85"/>
  <c r="AO189" i="85"/>
  <c r="AO188" i="85"/>
  <c r="AO187" i="85"/>
  <c r="AO186" i="85"/>
  <c r="AO185" i="85"/>
  <c r="AO184" i="85"/>
  <c r="AO183" i="85"/>
  <c r="AO182" i="85"/>
  <c r="AO181" i="85"/>
  <c r="AO180" i="85"/>
  <c r="AH179" i="85"/>
  <c r="AH169" i="85"/>
  <c r="AH168" i="85"/>
  <c r="AH167" i="85"/>
  <c r="AO157" i="85"/>
  <c r="AO152" i="85"/>
  <c r="AO151" i="85"/>
  <c r="AO150" i="85"/>
  <c r="AH137" i="85"/>
  <c r="AO208" i="85"/>
  <c r="AH203" i="85"/>
  <c r="AH166" i="85"/>
  <c r="AH165" i="85"/>
  <c r="AH163" i="85"/>
  <c r="AO156" i="85"/>
  <c r="AH155" i="85"/>
  <c r="AH154" i="85"/>
  <c r="AO149" i="85"/>
  <c r="AO148" i="85"/>
  <c r="AH147" i="85"/>
  <c r="AH146" i="85"/>
  <c r="AH145" i="85"/>
  <c r="AH144" i="85"/>
  <c r="AH143" i="85"/>
  <c r="AO132" i="85"/>
  <c r="AH210" i="85"/>
  <c r="AH209" i="85"/>
  <c r="AO206" i="85"/>
  <c r="AH201" i="85"/>
  <c r="AH200" i="85"/>
  <c r="AH199" i="85"/>
  <c r="AH198" i="85"/>
  <c r="AH197" i="85"/>
  <c r="AH196" i="85"/>
  <c r="AH195" i="85"/>
  <c r="AH194" i="85"/>
  <c r="AH193" i="85"/>
  <c r="AH192" i="85"/>
  <c r="AH191" i="85"/>
  <c r="AH190" i="85"/>
  <c r="AH189" i="85"/>
  <c r="AH188" i="85"/>
  <c r="AH187" i="85"/>
  <c r="AH186" i="85"/>
  <c r="AH185" i="85"/>
  <c r="AH184" i="85"/>
  <c r="AH183" i="85"/>
  <c r="AH182" i="85"/>
  <c r="AH181" i="85"/>
  <c r="AH180" i="85"/>
  <c r="AO177" i="85"/>
  <c r="AO176" i="85"/>
  <c r="AO175" i="85"/>
  <c r="AO174" i="85"/>
  <c r="AO173" i="85"/>
  <c r="AO172" i="85"/>
  <c r="AO162" i="85"/>
  <c r="AO161" i="85"/>
  <c r="AO160" i="85"/>
  <c r="AO159" i="85"/>
  <c r="AO158" i="85"/>
  <c r="AH157" i="85"/>
  <c r="AO153" i="85"/>
  <c r="AH152" i="85"/>
  <c r="AH151" i="85"/>
  <c r="AH150" i="85"/>
  <c r="AO142" i="85"/>
  <c r="AO141" i="85"/>
  <c r="AO140" i="85"/>
  <c r="AO139" i="85"/>
  <c r="AO138" i="85"/>
  <c r="AO136" i="85"/>
  <c r="AO135" i="85"/>
  <c r="AH131" i="85"/>
  <c r="AH208" i="85"/>
  <c r="AO205" i="85"/>
  <c r="AO171" i="85"/>
  <c r="AO170" i="85"/>
  <c r="AO178" i="85"/>
  <c r="AO143" i="85"/>
  <c r="AH138" i="85"/>
  <c r="AH134" i="85"/>
  <c r="AO129" i="85"/>
  <c r="AO128" i="85"/>
  <c r="AO127" i="85"/>
  <c r="AO126" i="85"/>
  <c r="AH118" i="85"/>
  <c r="AH117" i="85"/>
  <c r="AH116" i="85"/>
  <c r="AH115" i="85"/>
  <c r="AO112" i="85"/>
  <c r="AH104" i="85"/>
  <c r="AH103" i="85"/>
  <c r="AO97" i="85"/>
  <c r="AO91" i="85"/>
  <c r="AO90" i="85"/>
  <c r="AH73" i="85"/>
  <c r="AH72" i="85"/>
  <c r="AH61" i="85"/>
  <c r="AH60" i="85"/>
  <c r="AH59" i="85"/>
  <c r="AO146" i="85"/>
  <c r="AH141" i="85"/>
  <c r="AH135" i="85"/>
  <c r="AO130" i="85"/>
  <c r="AH125" i="85"/>
  <c r="AH124" i="85"/>
  <c r="AH123" i="85"/>
  <c r="AH120" i="85"/>
  <c r="AH114" i="85"/>
  <c r="AH102" i="85"/>
  <c r="AH101" i="85"/>
  <c r="AO96" i="85"/>
  <c r="AO95" i="85"/>
  <c r="AO94" i="85"/>
  <c r="AO93" i="85"/>
  <c r="AH178" i="85"/>
  <c r="AO168" i="85"/>
  <c r="AH156" i="85"/>
  <c r="AH132" i="85"/>
  <c r="AH122" i="85"/>
  <c r="AH121" i="85"/>
  <c r="AH119" i="85"/>
  <c r="AH100" i="85"/>
  <c r="AH99" i="85"/>
  <c r="AH98" i="85"/>
  <c r="AO89" i="85"/>
  <c r="AO84" i="85"/>
  <c r="AO83" i="85"/>
  <c r="AH69" i="85"/>
  <c r="AH68" i="85"/>
  <c r="AH65" i="85"/>
  <c r="AO56" i="85"/>
  <c r="AO47" i="85"/>
  <c r="AO46" i="85"/>
  <c r="AO45" i="85"/>
  <c r="AO44" i="85"/>
  <c r="AO43" i="85"/>
  <c r="AO42" i="85"/>
  <c r="AO41" i="85"/>
  <c r="AO204" i="85"/>
  <c r="AH153" i="85"/>
  <c r="AO144" i="85"/>
  <c r="AH139" i="85"/>
  <c r="AH136" i="85"/>
  <c r="AO133" i="85"/>
  <c r="AH129" i="85"/>
  <c r="AH128" i="85"/>
  <c r="AH127" i="85"/>
  <c r="AH126" i="85"/>
  <c r="AH112" i="85"/>
  <c r="AO110" i="85"/>
  <c r="AO109" i="85"/>
  <c r="AO108" i="85"/>
  <c r="AH97" i="85"/>
  <c r="AO92" i="85"/>
  <c r="AH91" i="85"/>
  <c r="AH90" i="85"/>
  <c r="AO88" i="85"/>
  <c r="AO82" i="85"/>
  <c r="AO179" i="85"/>
  <c r="AO169" i="85"/>
  <c r="AO137" i="85"/>
  <c r="AO134" i="85"/>
  <c r="AH133" i="85"/>
  <c r="AO131" i="85"/>
  <c r="AO118" i="85"/>
  <c r="AO117" i="85"/>
  <c r="AO116" i="85"/>
  <c r="AO104" i="85"/>
  <c r="AO103" i="85"/>
  <c r="AH89" i="85"/>
  <c r="AH84" i="85"/>
  <c r="AH83" i="85"/>
  <c r="AO73" i="85"/>
  <c r="AO72" i="85"/>
  <c r="AO61" i="85"/>
  <c r="AO60" i="85"/>
  <c r="AO59" i="85"/>
  <c r="AO48" i="85"/>
  <c r="AH47" i="85"/>
  <c r="AH46" i="85"/>
  <c r="AH45" i="85"/>
  <c r="AH44" i="85"/>
  <c r="AH43" i="85"/>
  <c r="AH42" i="85"/>
  <c r="AH41" i="85"/>
  <c r="AH36" i="85"/>
  <c r="AH35" i="85"/>
  <c r="AH207" i="85"/>
  <c r="AH202" i="85"/>
  <c r="AO167" i="85"/>
  <c r="AO154" i="85"/>
  <c r="AH149" i="85"/>
  <c r="AO145" i="85"/>
  <c r="AH140" i="85"/>
  <c r="AO125" i="85"/>
  <c r="AO124" i="85"/>
  <c r="AO123" i="85"/>
  <c r="AO120" i="85"/>
  <c r="AO114" i="85"/>
  <c r="AH110" i="85"/>
  <c r="AH109" i="85"/>
  <c r="AH108" i="85"/>
  <c r="AO102" i="85"/>
  <c r="AH92" i="85"/>
  <c r="AH88" i="85"/>
  <c r="AH82" i="85"/>
  <c r="AO71" i="85"/>
  <c r="AO70" i="85"/>
  <c r="AO63" i="85"/>
  <c r="AO62" i="85"/>
  <c r="AO58" i="85"/>
  <c r="AO5" i="85"/>
  <c r="AO6" i="85"/>
  <c r="AH7" i="85"/>
  <c r="AX8" i="85"/>
  <c r="BB8" i="85" s="1"/>
  <c r="AX12" i="85"/>
  <c r="BB12" i="85" s="1"/>
  <c r="AG16" i="85"/>
  <c r="AO18" i="85"/>
  <c r="V211" i="85"/>
  <c r="AH11" i="85"/>
  <c r="AH16" i="85"/>
  <c r="AO20" i="85"/>
  <c r="AO21" i="85"/>
  <c r="AX23" i="85"/>
  <c r="BB23" i="85" s="1"/>
  <c r="AX29" i="85"/>
  <c r="AH31" i="85"/>
  <c r="BB40" i="85"/>
  <c r="AH50" i="85"/>
  <c r="AO51" i="85"/>
  <c r="AO54" i="85"/>
  <c r="AY59" i="85"/>
  <c r="AO65" i="85"/>
  <c r="AY66" i="85"/>
  <c r="AX66" i="85"/>
  <c r="AH67" i="85"/>
  <c r="AY73" i="85"/>
  <c r="BB73" i="85" s="1"/>
  <c r="AO78" i="85"/>
  <c r="AH80" i="85"/>
  <c r="AO85" i="85"/>
  <c r="AY91" i="85"/>
  <c r="BB91" i="85" s="1"/>
  <c r="AH95" i="85"/>
  <c r="AY104" i="85"/>
  <c r="AX104" i="85"/>
  <c r="AO105" i="85"/>
  <c r="AY108" i="85"/>
  <c r="BB108" i="85" s="1"/>
  <c r="AY116" i="85"/>
  <c r="AX116" i="85"/>
  <c r="AO121" i="85"/>
  <c r="AY130" i="85"/>
  <c r="AX130" i="85"/>
  <c r="AY53" i="85"/>
  <c r="AX53" i="85"/>
  <c r="AX24" i="85"/>
  <c r="BB24" i="85" s="1"/>
  <c r="AO32" i="85"/>
  <c r="AO36" i="85"/>
  <c r="AO39" i="85"/>
  <c r="AH40" i="85"/>
  <c r="AH49" i="85"/>
  <c r="AH53" i="85"/>
  <c r="AO68" i="85"/>
  <c r="AX70" i="85"/>
  <c r="BB70" i="85" s="1"/>
  <c r="AH71" i="85"/>
  <c r="AO75" i="85"/>
  <c r="AH77" i="85"/>
  <c r="AO87" i="85"/>
  <c r="AY94" i="85"/>
  <c r="AX94" i="85"/>
  <c r="AO99" i="85"/>
  <c r="AO107" i="85"/>
  <c r="AO111" i="85"/>
  <c r="AH111" i="85"/>
  <c r="AG111" i="85"/>
  <c r="AO113" i="85"/>
  <c r="AZ121" i="85"/>
  <c r="AY97" i="85"/>
  <c r="BB97" i="85" s="1"/>
  <c r="X211" i="85"/>
  <c r="X213" i="85" s="1"/>
  <c r="AH22" i="85"/>
  <c r="AH23" i="85"/>
  <c r="AH29" i="85"/>
  <c r="AX33" i="85"/>
  <c r="BB33" i="85" s="1"/>
  <c r="AO37" i="85"/>
  <c r="AO38" i="85"/>
  <c r="AO50" i="85"/>
  <c r="AY57" i="85"/>
  <c r="BB57" i="85" s="1"/>
  <c r="AH74" i="85"/>
  <c r="AO80" i="85"/>
  <c r="AX81" i="85"/>
  <c r="BB81" i="85" s="1"/>
  <c r="U83" i="85"/>
  <c r="AY83" i="85"/>
  <c r="AY105" i="85"/>
  <c r="AX105" i="85"/>
  <c r="AH106" i="85"/>
  <c r="AI111" i="85"/>
  <c r="AJ111" i="85" s="1"/>
  <c r="AO119" i="85"/>
  <c r="AY120" i="85"/>
  <c r="AX120" i="85"/>
  <c r="AO122" i="85"/>
  <c r="AY123" i="85"/>
  <c r="AX123" i="85"/>
  <c r="AZ131" i="85"/>
  <c r="AY139" i="85"/>
  <c r="AX139" i="85"/>
  <c r="AX145" i="85"/>
  <c r="AY145" i="85"/>
  <c r="AO207" i="85"/>
  <c r="AZ208" i="85"/>
  <c r="AO101" i="85"/>
  <c r="AY136" i="85"/>
  <c r="AY162" i="85"/>
  <c r="AX162" i="85"/>
  <c r="AY138" i="85"/>
  <c r="AX138" i="85"/>
  <c r="AY141" i="85"/>
  <c r="AX141" i="85"/>
  <c r="AY160" i="85"/>
  <c r="AX160" i="85"/>
  <c r="AY173" i="85"/>
  <c r="AX173" i="85"/>
  <c r="AX114" i="85"/>
  <c r="BB114" i="85" s="1"/>
  <c r="AY134" i="85"/>
  <c r="AX134" i="85"/>
  <c r="AZ169" i="85"/>
  <c r="AY207" i="85"/>
  <c r="AX207" i="85"/>
  <c r="AG101" i="85"/>
  <c r="AY140" i="85"/>
  <c r="AX140" i="85"/>
  <c r="AX164" i="85"/>
  <c r="AX169" i="85"/>
  <c r="AY174" i="85"/>
  <c r="AX174" i="85"/>
  <c r="AY177" i="85"/>
  <c r="AX177" i="85"/>
  <c r="AZ204" i="85"/>
  <c r="AY147" i="85"/>
  <c r="BB147" i="85" s="1"/>
  <c r="AY159" i="85"/>
  <c r="AX159" i="85"/>
  <c r="AY161" i="85"/>
  <c r="AX161" i="85"/>
  <c r="AZ164" i="85"/>
  <c r="AY166" i="85"/>
  <c r="BB166" i="85" s="1"/>
  <c r="AY142" i="85"/>
  <c r="AX142" i="85"/>
  <c r="AX205" i="85"/>
  <c r="BB205" i="85" s="1"/>
  <c r="AX15" i="85" l="1"/>
  <c r="BB32" i="85"/>
  <c r="BB182" i="85"/>
  <c r="AI212" i="85"/>
  <c r="AJ212" i="85" s="1"/>
  <c r="BB90" i="85"/>
  <c r="BB87" i="85"/>
  <c r="BB191" i="85"/>
  <c r="BB122" i="85"/>
  <c r="AB211" i="85"/>
  <c r="V212" i="85"/>
  <c r="V213" i="85" s="1"/>
  <c r="BB164" i="85"/>
  <c r="F215" i="85"/>
  <c r="AY15" i="85"/>
  <c r="BB131" i="85"/>
  <c r="BB208" i="85"/>
  <c r="W211" i="85"/>
  <c r="BB38" i="85"/>
  <c r="BB177" i="85"/>
  <c r="BB39" i="85"/>
  <c r="BB72" i="85"/>
  <c r="BB121" i="85"/>
  <c r="BB94" i="85"/>
  <c r="BB35" i="85"/>
  <c r="BB160" i="85"/>
  <c r="BB162" i="85"/>
  <c r="BB26" i="85"/>
  <c r="BB89" i="85"/>
  <c r="BB180" i="85"/>
  <c r="BB93" i="85"/>
  <c r="BB206" i="85"/>
  <c r="BB55" i="85"/>
  <c r="BB88" i="85"/>
  <c r="BB209" i="85"/>
  <c r="BB62" i="85"/>
  <c r="BB123" i="85"/>
  <c r="BB105" i="85"/>
  <c r="BB7" i="85"/>
  <c r="BB204" i="85"/>
  <c r="BB85" i="85"/>
  <c r="BB129" i="85"/>
  <c r="BB146" i="85"/>
  <c r="BB31" i="85"/>
  <c r="BB34" i="85"/>
  <c r="BB84" i="85"/>
  <c r="BB75" i="85"/>
  <c r="BB77" i="85"/>
  <c r="BB174" i="85"/>
  <c r="BB20" i="85"/>
  <c r="BB29" i="85"/>
  <c r="BB169" i="85"/>
  <c r="BB173" i="85"/>
  <c r="BB30" i="85"/>
  <c r="BB25" i="85"/>
  <c r="AZ161" i="85"/>
  <c r="BB161" i="85" s="1"/>
  <c r="AZ59" i="85"/>
  <c r="BB59" i="85" s="1"/>
  <c r="AZ172" i="85"/>
  <c r="BB172" i="85" s="1"/>
  <c r="AZ46" i="85"/>
  <c r="BB46" i="85" s="1"/>
  <c r="BB139" i="85"/>
  <c r="AZ83" i="85"/>
  <c r="BB83" i="85" s="1"/>
  <c r="BB170" i="85"/>
  <c r="AZ103" i="85"/>
  <c r="BB103" i="85" s="1"/>
  <c r="AZ74" i="85"/>
  <c r="BB74" i="85" s="1"/>
  <c r="AZ78" i="85"/>
  <c r="BB78" i="85" s="1"/>
  <c r="BB142" i="85"/>
  <c r="BB120" i="85"/>
  <c r="AZ130" i="85"/>
  <c r="BB130" i="85" s="1"/>
  <c r="AZ118" i="85"/>
  <c r="BB118" i="85" s="1"/>
  <c r="BB175" i="85"/>
  <c r="BB76" i="85"/>
  <c r="AZ41" i="85"/>
  <c r="BB41" i="85" s="1"/>
  <c r="BB207" i="85"/>
  <c r="AI211" i="85"/>
  <c r="AJ211" i="85" s="1"/>
  <c r="AZ167" i="85"/>
  <c r="BB167" i="85" s="1"/>
  <c r="W212" i="85"/>
  <c r="BB159" i="85"/>
  <c r="AZ104" i="85"/>
  <c r="BB104" i="85" s="1"/>
  <c r="BB141" i="85"/>
  <c r="AZ66" i="85"/>
  <c r="BB66" i="85" s="1"/>
  <c r="BB140" i="85"/>
  <c r="BB134" i="85"/>
  <c r="AZ53" i="85"/>
  <c r="BB53" i="85" s="1"/>
  <c r="BB116" i="85"/>
  <c r="AZ176" i="85"/>
  <c r="BB176" i="85" s="1"/>
  <c r="BB13" i="85"/>
  <c r="BB79" i="85"/>
  <c r="BB14" i="85"/>
  <c r="BB37" i="85"/>
  <c r="AG211" i="85"/>
  <c r="AH211" i="85" s="1"/>
  <c r="T213" i="85"/>
  <c r="AZ136" i="85"/>
  <c r="BB136" i="85" s="1"/>
  <c r="AZ138" i="85"/>
  <c r="BB138" i="85" s="1"/>
  <c r="BB145" i="85"/>
  <c r="AZ117" i="85"/>
  <c r="BB117" i="85" s="1"/>
  <c r="AZ27" i="85"/>
  <c r="BB27" i="85" s="1"/>
  <c r="BB15" i="85" l="1"/>
  <c r="BB211" i="85" s="1"/>
  <c r="W213" i="85"/>
  <c r="AY10" i="83" l="1"/>
  <c r="W192" i="83" l="1"/>
  <c r="BD191" i="83"/>
  <c r="BC191" i="83"/>
  <c r="AY190" i="83"/>
  <c r="AV190" i="83"/>
  <c r="AQ190" i="83"/>
  <c r="AP190" i="83"/>
  <c r="AE190" i="83"/>
  <c r="AF190" i="83" s="1"/>
  <c r="AC190" i="83"/>
  <c r="W190" i="83"/>
  <c r="V190" i="83"/>
  <c r="U190" i="83"/>
  <c r="AT190" i="83" s="1"/>
  <c r="S190" i="83"/>
  <c r="AY189" i="83"/>
  <c r="AV189" i="83"/>
  <c r="AQ189" i="83"/>
  <c r="AP189" i="83"/>
  <c r="AE189" i="83"/>
  <c r="AF189" i="83" s="1"/>
  <c r="AC189" i="83"/>
  <c r="W189" i="83"/>
  <c r="V189" i="83"/>
  <c r="U189" i="83"/>
  <c r="AU189" i="83" s="1"/>
  <c r="S189" i="83"/>
  <c r="AY188" i="83"/>
  <c r="AV188" i="83"/>
  <c r="AQ188" i="83"/>
  <c r="AP188" i="83"/>
  <c r="AE188" i="83"/>
  <c r="AF188" i="83" s="1"/>
  <c r="AC188" i="83"/>
  <c r="W188" i="83"/>
  <c r="V188" i="83"/>
  <c r="U188" i="83"/>
  <c r="AT188" i="83" s="1"/>
  <c r="S188" i="83"/>
  <c r="AY187" i="83"/>
  <c r="AQ187" i="83"/>
  <c r="AP187" i="83"/>
  <c r="AE187" i="83"/>
  <c r="AF187" i="83" s="1"/>
  <c r="AC187" i="83"/>
  <c r="W187" i="83"/>
  <c r="V187" i="83"/>
  <c r="U187" i="83"/>
  <c r="AT187" i="83" s="1"/>
  <c r="S187" i="83"/>
  <c r="AY186" i="83"/>
  <c r="AQ186" i="83"/>
  <c r="AP186" i="83"/>
  <c r="AE186" i="83"/>
  <c r="AF186" i="83" s="1"/>
  <c r="AC186" i="83"/>
  <c r="W186" i="83"/>
  <c r="V186" i="83"/>
  <c r="U186" i="83"/>
  <c r="AT186" i="83" s="1"/>
  <c r="S186" i="83"/>
  <c r="AY185" i="83"/>
  <c r="AV185" i="83"/>
  <c r="AQ185" i="83"/>
  <c r="AP185" i="83"/>
  <c r="AE185" i="83"/>
  <c r="AF185" i="83" s="1"/>
  <c r="AC185" i="83"/>
  <c r="W185" i="83"/>
  <c r="V185" i="83"/>
  <c r="U185" i="83"/>
  <c r="AU185" i="83" s="1"/>
  <c r="S185" i="83"/>
  <c r="AY184" i="83"/>
  <c r="AV184" i="83"/>
  <c r="AQ184" i="83"/>
  <c r="AP184" i="83"/>
  <c r="AE184" i="83"/>
  <c r="AF184" i="83" s="1"/>
  <c r="AC184" i="83"/>
  <c r="U184" i="83"/>
  <c r="AU184" i="83" s="1"/>
  <c r="AY183" i="83"/>
  <c r="AV183" i="83"/>
  <c r="AQ183" i="83"/>
  <c r="AP183" i="83"/>
  <c r="AE183" i="83"/>
  <c r="AF183" i="83" s="1"/>
  <c r="AC183" i="83"/>
  <c r="U183" i="83"/>
  <c r="AT183" i="83" s="1"/>
  <c r="AY182" i="83"/>
  <c r="AV182" i="83"/>
  <c r="AQ182" i="83"/>
  <c r="AP182" i="83"/>
  <c r="AE182" i="83"/>
  <c r="AF182" i="83" s="1"/>
  <c r="AC182" i="83"/>
  <c r="W182" i="83"/>
  <c r="V182" i="83"/>
  <c r="U182" i="83"/>
  <c r="T182" i="83"/>
  <c r="S182" i="83"/>
  <c r="AY181" i="83"/>
  <c r="AV181" i="83"/>
  <c r="AQ181" i="83"/>
  <c r="AP181" i="83"/>
  <c r="AE181" i="83"/>
  <c r="AF181" i="83" s="1"/>
  <c r="AC181" i="83"/>
  <c r="W181" i="83"/>
  <c r="V181" i="83"/>
  <c r="U181" i="83"/>
  <c r="AU181" i="83" s="1"/>
  <c r="S181" i="83"/>
  <c r="AY180" i="83"/>
  <c r="AQ180" i="83"/>
  <c r="AP180" i="83"/>
  <c r="AE180" i="83"/>
  <c r="AF180" i="83" s="1"/>
  <c r="AC180" i="83"/>
  <c r="W180" i="83"/>
  <c r="V180" i="83"/>
  <c r="U180" i="83"/>
  <c r="AT180" i="83" s="1"/>
  <c r="S180" i="83"/>
  <c r="AY179" i="83"/>
  <c r="AV179" i="83"/>
  <c r="AQ179" i="83"/>
  <c r="AP179" i="83"/>
  <c r="AE179" i="83"/>
  <c r="AF179" i="83" s="1"/>
  <c r="AC179" i="83"/>
  <c r="W179" i="83"/>
  <c r="V179" i="83"/>
  <c r="U179" i="83"/>
  <c r="AT179" i="83" s="1"/>
  <c r="S179" i="83"/>
  <c r="AY178" i="83"/>
  <c r="AV178" i="83"/>
  <c r="AQ178" i="83"/>
  <c r="AP178" i="83"/>
  <c r="AE178" i="83"/>
  <c r="AF178" i="83" s="1"/>
  <c r="AC178" i="83"/>
  <c r="W178" i="83"/>
  <c r="V178" i="83"/>
  <c r="U178" i="83"/>
  <c r="AT178" i="83" s="1"/>
  <c r="S178" i="83"/>
  <c r="AY177" i="83"/>
  <c r="AV177" i="83"/>
  <c r="AQ177" i="83"/>
  <c r="AP177" i="83"/>
  <c r="AE177" i="83"/>
  <c r="AF177" i="83" s="1"/>
  <c r="AC177" i="83"/>
  <c r="W177" i="83"/>
  <c r="V177" i="83"/>
  <c r="U177" i="83"/>
  <c r="AT177" i="83" s="1"/>
  <c r="S177" i="83"/>
  <c r="AY176" i="83"/>
  <c r="AQ176" i="83"/>
  <c r="AP176" i="83"/>
  <c r="AE176" i="83"/>
  <c r="AF176" i="83" s="1"/>
  <c r="AC176" i="83"/>
  <c r="W176" i="83"/>
  <c r="V176" i="83"/>
  <c r="U176" i="83"/>
  <c r="AU176" i="83" s="1"/>
  <c r="T176" i="83"/>
  <c r="S176" i="83"/>
  <c r="AY175" i="83"/>
  <c r="AV175" i="83"/>
  <c r="AQ175" i="83"/>
  <c r="AP175" i="83"/>
  <c r="AE175" i="83"/>
  <c r="AF175" i="83" s="1"/>
  <c r="AC175" i="83"/>
  <c r="W175" i="83"/>
  <c r="V175" i="83"/>
  <c r="U175" i="83"/>
  <c r="AU175" i="83" s="1"/>
  <c r="S175" i="83"/>
  <c r="AY174" i="83"/>
  <c r="AV174" i="83"/>
  <c r="AQ174" i="83"/>
  <c r="AP174" i="83"/>
  <c r="AE174" i="83"/>
  <c r="AF174" i="83" s="1"/>
  <c r="AC174" i="83"/>
  <c r="W174" i="83"/>
  <c r="V174" i="83"/>
  <c r="T174" i="83"/>
  <c r="U174" i="83" s="1"/>
  <c r="AU174" i="83" s="1"/>
  <c r="S174" i="83"/>
  <c r="AY173" i="83"/>
  <c r="AQ173" i="83"/>
  <c r="AP173" i="83"/>
  <c r="AE173" i="83"/>
  <c r="AF173" i="83" s="1"/>
  <c r="AC173" i="83"/>
  <c r="W173" i="83"/>
  <c r="V173" i="83"/>
  <c r="U173" i="83"/>
  <c r="AT173" i="83" s="1"/>
  <c r="S173" i="83"/>
  <c r="AY172" i="83"/>
  <c r="AV172" i="83"/>
  <c r="AQ172" i="83"/>
  <c r="AP172" i="83"/>
  <c r="AE172" i="83"/>
  <c r="AF172" i="83" s="1"/>
  <c r="AC172" i="83"/>
  <c r="W172" i="83"/>
  <c r="V172" i="83"/>
  <c r="U172" i="83"/>
  <c r="AT172" i="83" s="1"/>
  <c r="S172" i="83"/>
  <c r="AY171" i="83"/>
  <c r="AV171" i="83"/>
  <c r="AQ171" i="83"/>
  <c r="AP171" i="83"/>
  <c r="AE171" i="83"/>
  <c r="AF171" i="83" s="1"/>
  <c r="AC171" i="83"/>
  <c r="W171" i="83"/>
  <c r="V171" i="83"/>
  <c r="U171" i="83"/>
  <c r="AT171" i="83" s="1"/>
  <c r="S171" i="83"/>
  <c r="AY170" i="83"/>
  <c r="AV170" i="83"/>
  <c r="AQ170" i="83"/>
  <c r="AP170" i="83"/>
  <c r="AE170" i="83"/>
  <c r="AF170" i="83" s="1"/>
  <c r="AC170" i="83"/>
  <c r="W170" i="83"/>
  <c r="V170" i="83"/>
  <c r="U170" i="83"/>
  <c r="AT170" i="83" s="1"/>
  <c r="S170" i="83"/>
  <c r="AY169" i="83"/>
  <c r="AV169" i="83"/>
  <c r="AQ169" i="83"/>
  <c r="AP169" i="83"/>
  <c r="AE169" i="83"/>
  <c r="AF169" i="83" s="1"/>
  <c r="AC169" i="83"/>
  <c r="Y169" i="83"/>
  <c r="W169" i="83"/>
  <c r="V169" i="83"/>
  <c r="U169" i="83"/>
  <c r="AT169" i="83" s="1"/>
  <c r="S169" i="83"/>
  <c r="AY168" i="83"/>
  <c r="AQ168" i="83"/>
  <c r="AP168" i="83"/>
  <c r="AE168" i="83"/>
  <c r="AF168" i="83" s="1"/>
  <c r="AC168" i="83"/>
  <c r="W168" i="83"/>
  <c r="U168" i="83"/>
  <c r="AU168" i="83" s="1"/>
  <c r="AV168" i="83" s="1"/>
  <c r="S168" i="83"/>
  <c r="AY167" i="83"/>
  <c r="AQ167" i="83"/>
  <c r="AP167" i="83"/>
  <c r="AE167" i="83"/>
  <c r="AF167" i="83" s="1"/>
  <c r="AC167" i="83"/>
  <c r="U167" i="83"/>
  <c r="AT167" i="83" s="1"/>
  <c r="AY166" i="83"/>
  <c r="AV166" i="83"/>
  <c r="AQ166" i="83"/>
  <c r="AP166" i="83"/>
  <c r="AE166" i="83"/>
  <c r="AF166" i="83" s="1"/>
  <c r="AC166" i="83"/>
  <c r="W166" i="83"/>
  <c r="V166" i="83"/>
  <c r="U166" i="83"/>
  <c r="S166" i="83"/>
  <c r="AY165" i="83"/>
  <c r="AQ165" i="83"/>
  <c r="AP165" i="83"/>
  <c r="AE165" i="83"/>
  <c r="AF165" i="83" s="1"/>
  <c r="AC165" i="83"/>
  <c r="W165" i="83"/>
  <c r="V165" i="83"/>
  <c r="U165" i="83"/>
  <c r="AU165" i="83" s="1"/>
  <c r="AV165" i="83" s="1"/>
  <c r="S165" i="83"/>
  <c r="AY164" i="83"/>
  <c r="AV164" i="83"/>
  <c r="AQ164" i="83"/>
  <c r="AP164" i="83"/>
  <c r="AE164" i="83"/>
  <c r="AF164" i="83" s="1"/>
  <c r="AC164" i="83"/>
  <c r="W164" i="83"/>
  <c r="V164" i="83"/>
  <c r="U164" i="83"/>
  <c r="S164" i="83"/>
  <c r="AY163" i="83"/>
  <c r="AV163" i="83"/>
  <c r="AQ163" i="83"/>
  <c r="AP163" i="83"/>
  <c r="AE163" i="83"/>
  <c r="AF163" i="83" s="1"/>
  <c r="AC163" i="83"/>
  <c r="W163" i="83"/>
  <c r="V163" i="83"/>
  <c r="U163" i="83"/>
  <c r="AU163" i="83" s="1"/>
  <c r="S163" i="83"/>
  <c r="AY162" i="83"/>
  <c r="AV162" i="83"/>
  <c r="AQ162" i="83"/>
  <c r="AP162" i="83"/>
  <c r="AE162" i="83"/>
  <c r="AF162" i="83" s="1"/>
  <c r="AC162" i="83"/>
  <c r="U162" i="83"/>
  <c r="AU162" i="83" s="1"/>
  <c r="AY161" i="83"/>
  <c r="AV161" i="83"/>
  <c r="AQ161" i="83"/>
  <c r="AP161" i="83"/>
  <c r="AE161" i="83"/>
  <c r="AF161" i="83" s="1"/>
  <c r="AC161" i="83"/>
  <c r="W161" i="83"/>
  <c r="V161" i="83"/>
  <c r="T161" i="83"/>
  <c r="U161" i="83" s="1"/>
  <c r="S161" i="83"/>
  <c r="AY160" i="83"/>
  <c r="AV160" i="83"/>
  <c r="AQ160" i="83"/>
  <c r="AP160" i="83"/>
  <c r="AE160" i="83"/>
  <c r="AF160" i="83" s="1"/>
  <c r="AC160" i="83"/>
  <c r="U160" i="83"/>
  <c r="AT160" i="83" s="1"/>
  <c r="AY159" i="83"/>
  <c r="AV159" i="83"/>
  <c r="AQ159" i="83"/>
  <c r="AP159" i="83"/>
  <c r="AE159" i="83"/>
  <c r="AF159" i="83" s="1"/>
  <c r="AC159" i="83"/>
  <c r="W159" i="83"/>
  <c r="V159" i="83"/>
  <c r="U159" i="83"/>
  <c r="AT159" i="83" s="1"/>
  <c r="S159" i="83"/>
  <c r="AY158" i="83"/>
  <c r="AV158" i="83"/>
  <c r="AQ158" i="83"/>
  <c r="AP158" i="83"/>
  <c r="AE158" i="83"/>
  <c r="AF158" i="83" s="1"/>
  <c r="AC158" i="83"/>
  <c r="U158" i="83"/>
  <c r="AT158" i="83" s="1"/>
  <c r="AY157" i="83"/>
  <c r="AV157" i="83"/>
  <c r="AQ157" i="83"/>
  <c r="AP157" i="83"/>
  <c r="AE157" i="83"/>
  <c r="AF157" i="83" s="1"/>
  <c r="AC157" i="83"/>
  <c r="U157" i="83"/>
  <c r="AU157" i="83" s="1"/>
  <c r="AY156" i="83"/>
  <c r="AV156" i="83"/>
  <c r="AQ156" i="83"/>
  <c r="AP156" i="83"/>
  <c r="AE156" i="83"/>
  <c r="AF156" i="83" s="1"/>
  <c r="AC156" i="83"/>
  <c r="W156" i="83"/>
  <c r="V156" i="83"/>
  <c r="U156" i="83"/>
  <c r="AU156" i="83" s="1"/>
  <c r="S156" i="83"/>
  <c r="AY155" i="83"/>
  <c r="AV155" i="83"/>
  <c r="AQ155" i="83"/>
  <c r="AP155" i="83"/>
  <c r="AE155" i="83"/>
  <c r="AF155" i="83" s="1"/>
  <c r="AC155" i="83"/>
  <c r="W155" i="83"/>
  <c r="V155" i="83"/>
  <c r="U155" i="83"/>
  <c r="AU155" i="83" s="1"/>
  <c r="S155" i="83"/>
  <c r="AY154" i="83"/>
  <c r="AV154" i="83"/>
  <c r="AQ154" i="83"/>
  <c r="AP154" i="83"/>
  <c r="AE154" i="83"/>
  <c r="AF154" i="83" s="1"/>
  <c r="AC154" i="83"/>
  <c r="W154" i="83"/>
  <c r="V154" i="83"/>
  <c r="T154" i="83"/>
  <c r="U154" i="83" s="1"/>
  <c r="AU154" i="83" s="1"/>
  <c r="S154" i="83"/>
  <c r="AY153" i="83"/>
  <c r="AV153" i="83"/>
  <c r="AQ153" i="83"/>
  <c r="AP153" i="83"/>
  <c r="AE153" i="83"/>
  <c r="AF153" i="83" s="1"/>
  <c r="AC153" i="83"/>
  <c r="W153" i="83"/>
  <c r="V153" i="83"/>
  <c r="U153" i="83"/>
  <c r="S153" i="83"/>
  <c r="AY152" i="83"/>
  <c r="AV152" i="83"/>
  <c r="AQ152" i="83"/>
  <c r="AP152" i="83"/>
  <c r="AE152" i="83"/>
  <c r="AF152" i="83" s="1"/>
  <c r="AC152" i="83"/>
  <c r="U152" i="83"/>
  <c r="AT152" i="83" s="1"/>
  <c r="AY151" i="83"/>
  <c r="AV151" i="83"/>
  <c r="AQ151" i="83"/>
  <c r="AP151" i="83"/>
  <c r="AE151" i="83"/>
  <c r="AF151" i="83" s="1"/>
  <c r="AC151" i="83"/>
  <c r="W151" i="83"/>
  <c r="V151" i="83"/>
  <c r="U151" i="83"/>
  <c r="AT151" i="83" s="1"/>
  <c r="S151" i="83"/>
  <c r="AY150" i="83"/>
  <c r="AV150" i="83"/>
  <c r="AQ150" i="83"/>
  <c r="AP150" i="83"/>
  <c r="AE150" i="83"/>
  <c r="AF150" i="83" s="1"/>
  <c r="AC150" i="83"/>
  <c r="W150" i="83"/>
  <c r="V150" i="83"/>
  <c r="U150" i="83"/>
  <c r="S150" i="83"/>
  <c r="AY149" i="83"/>
  <c r="AV149" i="83"/>
  <c r="AQ149" i="83"/>
  <c r="AP149" i="83"/>
  <c r="AE149" i="83"/>
  <c r="AF149" i="83" s="1"/>
  <c r="AC149" i="83"/>
  <c r="W149" i="83"/>
  <c r="V149" i="83"/>
  <c r="U149" i="83"/>
  <c r="AT149" i="83" s="1"/>
  <c r="S149" i="83"/>
  <c r="AY148" i="83"/>
  <c r="AV148" i="83"/>
  <c r="AQ148" i="83"/>
  <c r="AP148" i="83"/>
  <c r="AE148" i="83"/>
  <c r="AF148" i="83" s="1"/>
  <c r="AC148" i="83"/>
  <c r="W148" i="83"/>
  <c r="V148" i="83"/>
  <c r="U148" i="83"/>
  <c r="S148" i="83"/>
  <c r="AY147" i="83"/>
  <c r="AV147" i="83"/>
  <c r="AQ147" i="83"/>
  <c r="AP147" i="83"/>
  <c r="AE147" i="83"/>
  <c r="AF147" i="83" s="1"/>
  <c r="AC147" i="83"/>
  <c r="U147" i="83"/>
  <c r="AT147" i="83" s="1"/>
  <c r="AY146" i="83"/>
  <c r="AV146" i="83"/>
  <c r="AQ146" i="83"/>
  <c r="AP146" i="83"/>
  <c r="AE146" i="83"/>
  <c r="AF146" i="83" s="1"/>
  <c r="AC146" i="83"/>
  <c r="W146" i="83"/>
  <c r="V146" i="83"/>
  <c r="U146" i="83"/>
  <c r="AU146" i="83" s="1"/>
  <c r="S146" i="83"/>
  <c r="AY145" i="83"/>
  <c r="AV145" i="83"/>
  <c r="AQ145" i="83"/>
  <c r="AP145" i="83"/>
  <c r="AE145" i="83"/>
  <c r="AF145" i="83" s="1"/>
  <c r="AC145" i="83"/>
  <c r="W145" i="83"/>
  <c r="V145" i="83"/>
  <c r="U145" i="83"/>
  <c r="AU145" i="83" s="1"/>
  <c r="S145" i="83"/>
  <c r="AY144" i="83"/>
  <c r="AV144" i="83"/>
  <c r="AQ144" i="83"/>
  <c r="AP144" i="83"/>
  <c r="AE144" i="83"/>
  <c r="AF144" i="83" s="1"/>
  <c r="AC144" i="83"/>
  <c r="W144" i="83"/>
  <c r="V144" i="83"/>
  <c r="U144" i="83"/>
  <c r="AU144" i="83" s="1"/>
  <c r="S144" i="83"/>
  <c r="AY143" i="83"/>
  <c r="AV143" i="83"/>
  <c r="AQ143" i="83"/>
  <c r="AP143" i="83"/>
  <c r="AE143" i="83"/>
  <c r="AF143" i="83" s="1"/>
  <c r="AC143" i="83"/>
  <c r="W143" i="83"/>
  <c r="V143" i="83"/>
  <c r="U143" i="83"/>
  <c r="AU143" i="83" s="1"/>
  <c r="S143" i="83"/>
  <c r="AY142" i="83"/>
  <c r="AQ142" i="83"/>
  <c r="AP142" i="83"/>
  <c r="AE142" i="83"/>
  <c r="AF142" i="83" s="1"/>
  <c r="AC142" i="83"/>
  <c r="W142" i="83"/>
  <c r="V142" i="83"/>
  <c r="T142" i="83"/>
  <c r="U142" i="83" s="1"/>
  <c r="S142" i="83"/>
  <c r="AY141" i="83"/>
  <c r="AV141" i="83"/>
  <c r="AQ141" i="83"/>
  <c r="AP141" i="83"/>
  <c r="AE141" i="83"/>
  <c r="AF141" i="83" s="1"/>
  <c r="AC141" i="83"/>
  <c r="V141" i="83"/>
  <c r="U141" i="83"/>
  <c r="AT141" i="83" s="1"/>
  <c r="AY140" i="83"/>
  <c r="AQ140" i="83"/>
  <c r="AP140" i="83"/>
  <c r="AE140" i="83"/>
  <c r="AF140" i="83" s="1"/>
  <c r="AC140" i="83"/>
  <c r="W140" i="83"/>
  <c r="T140" i="83"/>
  <c r="U140" i="83" s="1"/>
  <c r="S140" i="83"/>
  <c r="AY139" i="83"/>
  <c r="AQ139" i="83"/>
  <c r="AP139" i="83"/>
  <c r="AE139" i="83"/>
  <c r="AF139" i="83" s="1"/>
  <c r="AC139" i="83"/>
  <c r="W139" i="83"/>
  <c r="V139" i="83"/>
  <c r="U139" i="83"/>
  <c r="AT139" i="83" s="1"/>
  <c r="S139" i="83"/>
  <c r="AY138" i="83"/>
  <c r="AV138" i="83"/>
  <c r="AQ138" i="83"/>
  <c r="AP138" i="83"/>
  <c r="AE138" i="83"/>
  <c r="AF138" i="83" s="1"/>
  <c r="AC138" i="83"/>
  <c r="Y138" i="83"/>
  <c r="U138" i="83"/>
  <c r="AY137" i="83"/>
  <c r="AV137" i="83"/>
  <c r="AQ137" i="83"/>
  <c r="AP137" i="83"/>
  <c r="AE137" i="83"/>
  <c r="AF137" i="83" s="1"/>
  <c r="AC137" i="83"/>
  <c r="W137" i="83"/>
  <c r="U137" i="83"/>
  <c r="AT137" i="83" s="1"/>
  <c r="S137" i="83"/>
  <c r="AY136" i="83"/>
  <c r="AV136" i="83"/>
  <c r="AQ136" i="83"/>
  <c r="AP136" i="83"/>
  <c r="AE136" i="83"/>
  <c r="AF136" i="83" s="1"/>
  <c r="AC136" i="83"/>
  <c r="W136" i="83"/>
  <c r="U136" i="83"/>
  <c r="AU136" i="83" s="1"/>
  <c r="S136" i="83"/>
  <c r="AY135" i="83"/>
  <c r="AQ135" i="83"/>
  <c r="AP135" i="83"/>
  <c r="AE135" i="83"/>
  <c r="AF135" i="83" s="1"/>
  <c r="AC135" i="83"/>
  <c r="W135" i="83"/>
  <c r="U135" i="83"/>
  <c r="S135" i="83"/>
  <c r="AY134" i="83"/>
  <c r="AQ134" i="83"/>
  <c r="AP134" i="83"/>
  <c r="AE134" i="83"/>
  <c r="AF134" i="83" s="1"/>
  <c r="AC134" i="83"/>
  <c r="W134" i="83"/>
  <c r="U134" i="83" a="1"/>
  <c r="U134" i="83" s="1"/>
  <c r="S134" i="83"/>
  <c r="AY133" i="83"/>
  <c r="AV133" i="83"/>
  <c r="AQ133" i="83"/>
  <c r="AP133" i="83"/>
  <c r="AE133" i="83"/>
  <c r="AF133" i="83" s="1"/>
  <c r="AC133" i="83"/>
  <c r="W133" i="83"/>
  <c r="V133" i="83"/>
  <c r="U133" i="83"/>
  <c r="S133" i="83"/>
  <c r="AY132" i="83"/>
  <c r="AV132" i="83"/>
  <c r="AQ132" i="83"/>
  <c r="AP132" i="83"/>
  <c r="AE132" i="83"/>
  <c r="AF132" i="83" s="1"/>
  <c r="AC132" i="83"/>
  <c r="W132" i="83"/>
  <c r="V132" i="83"/>
  <c r="U132" i="83"/>
  <c r="S132" i="83"/>
  <c r="AY131" i="83"/>
  <c r="AQ131" i="83"/>
  <c r="AP131" i="83"/>
  <c r="AE131" i="83"/>
  <c r="AF131" i="83" s="1"/>
  <c r="AC131" i="83"/>
  <c r="W131" i="83"/>
  <c r="V131" i="83"/>
  <c r="U131" i="83"/>
  <c r="AU131" i="83" s="1"/>
  <c r="AV131" i="83" s="1"/>
  <c r="S131" i="83"/>
  <c r="AY130" i="83"/>
  <c r="AV130" i="83"/>
  <c r="AQ130" i="83"/>
  <c r="AP130" i="83"/>
  <c r="AE130" i="83"/>
  <c r="AF130" i="83" s="1"/>
  <c r="AC130" i="83"/>
  <c r="V130" i="83"/>
  <c r="U130" i="83"/>
  <c r="AU130" i="83" s="1"/>
  <c r="AY129" i="83"/>
  <c r="AV129" i="83"/>
  <c r="AQ129" i="83"/>
  <c r="AP129" i="83"/>
  <c r="AE129" i="83"/>
  <c r="AF129" i="83" s="1"/>
  <c r="AC129" i="83"/>
  <c r="W129" i="83"/>
  <c r="V129" i="83"/>
  <c r="U129" i="83"/>
  <c r="AU129" i="83" s="1"/>
  <c r="S129" i="83"/>
  <c r="AY128" i="83"/>
  <c r="AQ128" i="83"/>
  <c r="AP128" i="83"/>
  <c r="AE128" i="83"/>
  <c r="AF128" i="83" s="1"/>
  <c r="AC128" i="83"/>
  <c r="W128" i="83"/>
  <c r="V128" i="83"/>
  <c r="U128" i="83"/>
  <c r="S128" i="83"/>
  <c r="AY127" i="83"/>
  <c r="AV127" i="83"/>
  <c r="AQ127" i="83"/>
  <c r="AP127" i="83"/>
  <c r="AE127" i="83"/>
  <c r="AF127" i="83" s="1"/>
  <c r="AC127" i="83"/>
  <c r="W127" i="83"/>
  <c r="V127" i="83"/>
  <c r="T127" i="83"/>
  <c r="U127" i="83" s="1"/>
  <c r="S127" i="83"/>
  <c r="AY126" i="83"/>
  <c r="AV126" i="83"/>
  <c r="AQ126" i="83"/>
  <c r="AP126" i="83"/>
  <c r="AE126" i="83"/>
  <c r="AF126" i="83" s="1"/>
  <c r="AC126" i="83"/>
  <c r="W126" i="83"/>
  <c r="U126" i="83"/>
  <c r="AU126" i="83" s="1"/>
  <c r="S126" i="83"/>
  <c r="AY125" i="83"/>
  <c r="AQ125" i="83"/>
  <c r="AP125" i="83"/>
  <c r="AE125" i="83"/>
  <c r="AF125" i="83" s="1"/>
  <c r="AC125" i="83"/>
  <c r="W125" i="83"/>
  <c r="T125" i="83"/>
  <c r="U125" i="83" s="1"/>
  <c r="AT125" i="83" s="1"/>
  <c r="AY124" i="83"/>
  <c r="AV124" i="83"/>
  <c r="AQ124" i="83"/>
  <c r="AP124" i="83"/>
  <c r="AE124" i="83"/>
  <c r="AF124" i="83" s="1"/>
  <c r="AC124" i="83"/>
  <c r="W124" i="83"/>
  <c r="V124" i="83"/>
  <c r="T124" i="83"/>
  <c r="U124" i="83" s="1"/>
  <c r="S124" i="83"/>
  <c r="AY123" i="83"/>
  <c r="AV123" i="83"/>
  <c r="AQ123" i="83"/>
  <c r="AP123" i="83"/>
  <c r="AE123" i="83"/>
  <c r="AF123" i="83" s="1"/>
  <c r="AC123" i="83"/>
  <c r="V123" i="83"/>
  <c r="U123" i="83"/>
  <c r="AT123" i="83" s="1"/>
  <c r="AY122" i="83"/>
  <c r="AQ122" i="83"/>
  <c r="AP122" i="83"/>
  <c r="AE122" i="83"/>
  <c r="AF122" i="83" s="1"/>
  <c r="AC122" i="83"/>
  <c r="W122" i="83"/>
  <c r="V122" i="83"/>
  <c r="U122" i="83"/>
  <c r="AT122" i="83" s="1"/>
  <c r="S122" i="83"/>
  <c r="AY121" i="83"/>
  <c r="AQ121" i="83"/>
  <c r="AP121" i="83"/>
  <c r="AE121" i="83"/>
  <c r="AF121" i="83" s="1"/>
  <c r="AC121" i="83"/>
  <c r="W121" i="83"/>
  <c r="V121" i="83"/>
  <c r="U121" i="83"/>
  <c r="AT121" i="83" s="1"/>
  <c r="S121" i="83"/>
  <c r="AY120" i="83"/>
  <c r="AV120" i="83"/>
  <c r="AQ120" i="83"/>
  <c r="AP120" i="83"/>
  <c r="AE120" i="83"/>
  <c r="AF120" i="83" s="1"/>
  <c r="AC120" i="83"/>
  <c r="W120" i="83"/>
  <c r="V120" i="83"/>
  <c r="U120" i="83"/>
  <c r="AT120" i="83" s="1"/>
  <c r="S120" i="83"/>
  <c r="AY119" i="83"/>
  <c r="AV119" i="83"/>
  <c r="AQ119" i="83"/>
  <c r="AP119" i="83"/>
  <c r="AB119" i="83"/>
  <c r="AC119" i="83" s="1"/>
  <c r="W119" i="83"/>
  <c r="V119" i="83"/>
  <c r="U119" i="83"/>
  <c r="AT119" i="83" s="1"/>
  <c r="S119" i="83"/>
  <c r="AY118" i="83"/>
  <c r="AV118" i="83"/>
  <c r="AQ118" i="83"/>
  <c r="AP118" i="83"/>
  <c r="AE118" i="83"/>
  <c r="AF118" i="83" s="1"/>
  <c r="AC118" i="83"/>
  <c r="U118" i="83"/>
  <c r="AU118" i="83" s="1"/>
  <c r="S118" i="83"/>
  <c r="AY117" i="83"/>
  <c r="AV117" i="83"/>
  <c r="AU117" i="83"/>
  <c r="AT117" i="83"/>
  <c r="AQ117" i="83"/>
  <c r="AP117" i="83"/>
  <c r="AE117" i="83"/>
  <c r="AF117" i="83" s="1"/>
  <c r="AC117" i="83"/>
  <c r="AY116" i="83"/>
  <c r="AQ116" i="83"/>
  <c r="AP116" i="83"/>
  <c r="AB116" i="83"/>
  <c r="Y116" i="83"/>
  <c r="W116" i="83"/>
  <c r="V116" i="83"/>
  <c r="U116" i="83"/>
  <c r="AU116" i="83" s="1"/>
  <c r="AV116" i="83" s="1"/>
  <c r="S116" i="83"/>
  <c r="AY115" i="83"/>
  <c r="AQ115" i="83"/>
  <c r="AP115" i="83"/>
  <c r="AB115" i="83"/>
  <c r="W115" i="83"/>
  <c r="V115" i="83"/>
  <c r="U115" i="83"/>
  <c r="AU115" i="83" s="1"/>
  <c r="AV115" i="83" s="1"/>
  <c r="S115" i="83"/>
  <c r="AY114" i="83"/>
  <c r="AV114" i="83"/>
  <c r="AQ114" i="83"/>
  <c r="AP114" i="83"/>
  <c r="AE114" i="83"/>
  <c r="AF114" i="83" s="1"/>
  <c r="AC114" i="83"/>
  <c r="W114" i="83"/>
  <c r="V114" i="83"/>
  <c r="U114" i="83"/>
  <c r="AU114" i="83" s="1"/>
  <c r="S114" i="83"/>
  <c r="AY113" i="83"/>
  <c r="AV113" i="83"/>
  <c r="AQ113" i="83"/>
  <c r="AP113" i="83"/>
  <c r="AE113" i="83"/>
  <c r="AF113" i="83" s="1"/>
  <c r="AC113" i="83"/>
  <c r="W113" i="83"/>
  <c r="V113" i="83"/>
  <c r="U113" i="83"/>
  <c r="AU113" i="83" s="1"/>
  <c r="S113" i="83"/>
  <c r="AY112" i="83"/>
  <c r="AV112" i="83"/>
  <c r="AQ112" i="83"/>
  <c r="AP112" i="83"/>
  <c r="AE112" i="83"/>
  <c r="AF112" i="83" s="1"/>
  <c r="AC112" i="83"/>
  <c r="W112" i="83"/>
  <c r="V112" i="83"/>
  <c r="T112" i="83"/>
  <c r="U112" i="83" s="1"/>
  <c r="S112" i="83"/>
  <c r="AY111" i="83"/>
  <c r="AV111" i="83"/>
  <c r="AQ111" i="83"/>
  <c r="AP111" i="83"/>
  <c r="AE111" i="83"/>
  <c r="AF111" i="83" s="1"/>
  <c r="AC111" i="83"/>
  <c r="W111" i="83"/>
  <c r="V111" i="83"/>
  <c r="U111" i="83"/>
  <c r="AU111" i="83" s="1"/>
  <c r="S111" i="83"/>
  <c r="AY110" i="83"/>
  <c r="AV110" i="83"/>
  <c r="AQ110" i="83"/>
  <c r="AP110" i="83"/>
  <c r="AE110" i="83"/>
  <c r="AF110" i="83" s="1"/>
  <c r="AC110" i="83"/>
  <c r="W110" i="83"/>
  <c r="V110" i="83"/>
  <c r="U110" i="83"/>
  <c r="AT110" i="83" s="1"/>
  <c r="S110" i="83"/>
  <c r="AY109" i="83"/>
  <c r="AV109" i="83"/>
  <c r="AQ109" i="83"/>
  <c r="AP109" i="83"/>
  <c r="AE109" i="83"/>
  <c r="AF109" i="83" s="1"/>
  <c r="AC109" i="83"/>
  <c r="W109" i="83"/>
  <c r="V109" i="83"/>
  <c r="T109" i="83"/>
  <c r="U109" i="83" s="1"/>
  <c r="AT109" i="83" s="1"/>
  <c r="S109" i="83"/>
  <c r="AY108" i="83"/>
  <c r="AQ108" i="83"/>
  <c r="AP108" i="83"/>
  <c r="AE108" i="83"/>
  <c r="AF108" i="83" s="1"/>
  <c r="AC108" i="83"/>
  <c r="W108" i="83"/>
  <c r="V108" i="83"/>
  <c r="U108" i="83"/>
  <c r="S108" i="83"/>
  <c r="AY107" i="83"/>
  <c r="AQ107" i="83"/>
  <c r="AP107" i="83"/>
  <c r="AE107" i="83"/>
  <c r="AF107" i="83" s="1"/>
  <c r="AC107" i="83"/>
  <c r="W107" i="83"/>
  <c r="V107" i="83"/>
  <c r="T107" i="83"/>
  <c r="U107" i="83" s="1"/>
  <c r="S107" i="83"/>
  <c r="AY106" i="83"/>
  <c r="AV106" i="83"/>
  <c r="AQ106" i="83"/>
  <c r="AP106" i="83"/>
  <c r="AE106" i="83"/>
  <c r="AF106" i="83" s="1"/>
  <c r="AC106" i="83"/>
  <c r="W106" i="83"/>
  <c r="V106" i="83"/>
  <c r="U106" i="83"/>
  <c r="AT106" i="83" s="1"/>
  <c r="S106" i="83"/>
  <c r="AY105" i="83"/>
  <c r="AV105" i="83"/>
  <c r="AQ105" i="83"/>
  <c r="AP105" i="83"/>
  <c r="AB105" i="83"/>
  <c r="AE105" i="83" s="1"/>
  <c r="AF105" i="83" s="1"/>
  <c r="W105" i="83"/>
  <c r="V105" i="83"/>
  <c r="U105" i="83"/>
  <c r="AU105" i="83" s="1"/>
  <c r="S105" i="83"/>
  <c r="AY104" i="83"/>
  <c r="AV104" i="83"/>
  <c r="AQ104" i="83"/>
  <c r="AP104" i="83"/>
  <c r="AE104" i="83"/>
  <c r="AF104" i="83" s="1"/>
  <c r="AC104" i="83"/>
  <c r="W104" i="83"/>
  <c r="V104" i="83"/>
  <c r="U104" i="83"/>
  <c r="AU104" i="83" s="1"/>
  <c r="S104" i="83"/>
  <c r="AY103" i="83"/>
  <c r="AV103" i="83"/>
  <c r="AQ103" i="83"/>
  <c r="AP103" i="83"/>
  <c r="AE103" i="83"/>
  <c r="AF103" i="83" s="1"/>
  <c r="AC103" i="83"/>
  <c r="S103" i="83"/>
  <c r="T103" i="83" s="1"/>
  <c r="U103" i="83" s="1"/>
  <c r="AU103" i="83" s="1"/>
  <c r="AY102" i="83"/>
  <c r="AV102" i="83"/>
  <c r="AQ102" i="83"/>
  <c r="AP102" i="83"/>
  <c r="AE102" i="83"/>
  <c r="AF102" i="83" s="1"/>
  <c r="AC102" i="83"/>
  <c r="W102" i="83"/>
  <c r="U102" i="83"/>
  <c r="AY101" i="83"/>
  <c r="AV101" i="83"/>
  <c r="AQ101" i="83"/>
  <c r="AP101" i="83"/>
  <c r="AE101" i="83"/>
  <c r="AF101" i="83" s="1"/>
  <c r="AC101" i="83"/>
  <c r="W101" i="83"/>
  <c r="V101" i="83"/>
  <c r="T101" i="83"/>
  <c r="U101" i="83" s="1"/>
  <c r="AT101" i="83" s="1"/>
  <c r="S101" i="83"/>
  <c r="AY100" i="83"/>
  <c r="AV100" i="83"/>
  <c r="AQ100" i="83"/>
  <c r="AP100" i="83"/>
  <c r="AE100" i="83"/>
  <c r="AF100" i="83" s="1"/>
  <c r="AC100" i="83"/>
  <c r="W100" i="83"/>
  <c r="V100" i="83"/>
  <c r="U100" i="83"/>
  <c r="S100" i="83"/>
  <c r="AY99" i="83"/>
  <c r="AV99" i="83"/>
  <c r="AQ99" i="83"/>
  <c r="AP99" i="83"/>
  <c r="AE99" i="83"/>
  <c r="AF99" i="83" s="1"/>
  <c r="AC99" i="83"/>
  <c r="W99" i="83"/>
  <c r="V99" i="83"/>
  <c r="U99" i="83"/>
  <c r="S99" i="83"/>
  <c r="AY98" i="83"/>
  <c r="AV98" i="83"/>
  <c r="AQ98" i="83"/>
  <c r="AP98" i="83"/>
  <c r="AE98" i="83"/>
  <c r="AF98" i="83" s="1"/>
  <c r="AC98" i="83"/>
  <c r="W98" i="83"/>
  <c r="V98" i="83"/>
  <c r="S98" i="83"/>
  <c r="U98" i="83" s="1"/>
  <c r="AY97" i="83"/>
  <c r="AV97" i="83"/>
  <c r="AQ97" i="83"/>
  <c r="AP97" i="83"/>
  <c r="AE97" i="83"/>
  <c r="AF97" i="83" s="1"/>
  <c r="AC97" i="83"/>
  <c r="W97" i="83"/>
  <c r="V97" i="83"/>
  <c r="T97" i="83"/>
  <c r="U97" i="83" s="1"/>
  <c r="S97" i="83"/>
  <c r="AY96" i="83"/>
  <c r="AV96" i="83"/>
  <c r="AQ96" i="83"/>
  <c r="AP96" i="83"/>
  <c r="AE96" i="83"/>
  <c r="AF96" i="83" s="1"/>
  <c r="AC96" i="83"/>
  <c r="U96" i="83"/>
  <c r="AT96" i="83" s="1"/>
  <c r="AY95" i="83"/>
  <c r="AV95" i="83"/>
  <c r="AQ95" i="83"/>
  <c r="AP95" i="83"/>
  <c r="AE95" i="83"/>
  <c r="AF95" i="83" s="1"/>
  <c r="AC95" i="83"/>
  <c r="W95" i="83"/>
  <c r="V95" i="83"/>
  <c r="U95" i="83"/>
  <c r="AU95" i="83" s="1"/>
  <c r="S95" i="83"/>
  <c r="AY94" i="83"/>
  <c r="AQ94" i="83"/>
  <c r="AP94" i="83"/>
  <c r="AB94" i="83"/>
  <c r="W94" i="83"/>
  <c r="V94" i="83"/>
  <c r="T94" i="83"/>
  <c r="S94" i="83"/>
  <c r="U94" i="83" s="1"/>
  <c r="AU94" i="83" s="1"/>
  <c r="AY93" i="83"/>
  <c r="AQ93" i="83"/>
  <c r="AP93" i="83"/>
  <c r="AE93" i="83"/>
  <c r="AF93" i="83" s="1"/>
  <c r="AC93" i="83"/>
  <c r="W93" i="83"/>
  <c r="V93" i="83"/>
  <c r="T93" i="83"/>
  <c r="S93" i="83"/>
  <c r="U93" i="83" s="1"/>
  <c r="AY92" i="83"/>
  <c r="AQ92" i="83"/>
  <c r="AP92" i="83"/>
  <c r="AE92" i="83"/>
  <c r="AF92" i="83" s="1"/>
  <c r="AC92" i="83"/>
  <c r="T92" i="83"/>
  <c r="U92" i="83" s="1"/>
  <c r="AY91" i="83"/>
  <c r="AV91" i="83"/>
  <c r="AQ91" i="83"/>
  <c r="AP91" i="83"/>
  <c r="AE91" i="83"/>
  <c r="AF91" i="83" s="1"/>
  <c r="AC91" i="83"/>
  <c r="W91" i="83"/>
  <c r="V91" i="83"/>
  <c r="S91" i="83"/>
  <c r="U91" i="83" s="1"/>
  <c r="AT91" i="83" s="1"/>
  <c r="AY90" i="83"/>
  <c r="AV90" i="83"/>
  <c r="AQ90" i="83"/>
  <c r="AP90" i="83"/>
  <c r="AE90" i="83"/>
  <c r="AF90" i="83" s="1"/>
  <c r="AC90" i="83"/>
  <c r="W90" i="83"/>
  <c r="V90" i="83"/>
  <c r="U90" i="83"/>
  <c r="AU90" i="83" s="1"/>
  <c r="S90" i="83"/>
  <c r="AY89" i="83"/>
  <c r="AQ89" i="83"/>
  <c r="AP89" i="83"/>
  <c r="AE89" i="83"/>
  <c r="AF89" i="83" s="1"/>
  <c r="AC89" i="83"/>
  <c r="W89" i="83"/>
  <c r="V89" i="83"/>
  <c r="T89" i="83"/>
  <c r="S89" i="83"/>
  <c r="U89" i="83" s="1"/>
  <c r="AT89" i="83" s="1"/>
  <c r="AY88" i="83"/>
  <c r="AV88" i="83"/>
  <c r="AQ88" i="83"/>
  <c r="AP88" i="83"/>
  <c r="AE88" i="83"/>
  <c r="AF88" i="83" s="1"/>
  <c r="AC88" i="83"/>
  <c r="W88" i="83"/>
  <c r="V88" i="83"/>
  <c r="S88" i="83"/>
  <c r="U88" i="83" s="1"/>
  <c r="AY87" i="83"/>
  <c r="AQ87" i="83"/>
  <c r="AP87" i="83"/>
  <c r="AE87" i="83"/>
  <c r="AF87" i="83" s="1"/>
  <c r="AC87" i="83"/>
  <c r="W87" i="83"/>
  <c r="V87" i="83"/>
  <c r="U87" i="83"/>
  <c r="S87" i="83"/>
  <c r="AY86" i="83"/>
  <c r="AV86" i="83"/>
  <c r="AQ86" i="83"/>
  <c r="AP86" i="83"/>
  <c r="AE86" i="83"/>
  <c r="AF86" i="83" s="1"/>
  <c r="AC86" i="83"/>
  <c r="W86" i="83"/>
  <c r="V86" i="83"/>
  <c r="T86" i="83"/>
  <c r="U86" i="83" s="1"/>
  <c r="S86" i="83"/>
  <c r="AY85" i="83"/>
  <c r="AV85" i="83"/>
  <c r="AQ85" i="83"/>
  <c r="AP85" i="83"/>
  <c r="AE85" i="83"/>
  <c r="AF85" i="83" s="1"/>
  <c r="AC85" i="83"/>
  <c r="W85" i="83"/>
  <c r="V85" i="83"/>
  <c r="U85" i="83"/>
  <c r="AU85" i="83" s="1"/>
  <c r="S85" i="83"/>
  <c r="AY84" i="83"/>
  <c r="AV84" i="83"/>
  <c r="AQ84" i="83"/>
  <c r="AP84" i="83"/>
  <c r="AE84" i="83"/>
  <c r="AF84" i="83" s="1"/>
  <c r="AC84" i="83"/>
  <c r="W84" i="83"/>
  <c r="V84" i="83"/>
  <c r="S84" i="83"/>
  <c r="U84" i="83" s="1"/>
  <c r="AY83" i="83"/>
  <c r="AV83" i="83"/>
  <c r="AQ83" i="83"/>
  <c r="AP83" i="83"/>
  <c r="AE83" i="83"/>
  <c r="AF83" i="83" s="1"/>
  <c r="AC83" i="83"/>
  <c r="W83" i="83"/>
  <c r="V83" i="83"/>
  <c r="S83" i="83"/>
  <c r="U83" i="83" s="1"/>
  <c r="AY82" i="83"/>
  <c r="AQ82" i="83"/>
  <c r="AP82" i="83"/>
  <c r="AE82" i="83"/>
  <c r="AF82" i="83" s="1"/>
  <c r="AC82" i="83"/>
  <c r="W82" i="83"/>
  <c r="V82" i="83"/>
  <c r="S82" i="83"/>
  <c r="U82" i="83" s="1"/>
  <c r="AU82" i="83" s="1"/>
  <c r="AY81" i="83"/>
  <c r="AV81" i="83"/>
  <c r="AQ81" i="83"/>
  <c r="AP81" i="83"/>
  <c r="AE81" i="83"/>
  <c r="AF81" i="83" s="1"/>
  <c r="AC81" i="83"/>
  <c r="W81" i="83"/>
  <c r="V81" i="83"/>
  <c r="S81" i="83"/>
  <c r="U81" i="83" s="1"/>
  <c r="AU81" i="83" s="1"/>
  <c r="AY80" i="83"/>
  <c r="AV80" i="83"/>
  <c r="AQ80" i="83"/>
  <c r="AP80" i="83"/>
  <c r="AE80" i="83"/>
  <c r="AF80" i="83" s="1"/>
  <c r="AC80" i="83"/>
  <c r="W80" i="83"/>
  <c r="V80" i="83"/>
  <c r="S80" i="83"/>
  <c r="U80" i="83" s="1"/>
  <c r="AU80" i="83" s="1"/>
  <c r="AY79" i="83"/>
  <c r="AV79" i="83"/>
  <c r="AQ79" i="83"/>
  <c r="AP79" i="83"/>
  <c r="AE79" i="83"/>
  <c r="AF79" i="83" s="1"/>
  <c r="AC79" i="83"/>
  <c r="W79" i="83"/>
  <c r="V79" i="83"/>
  <c r="S79" i="83"/>
  <c r="U79" i="83" s="1"/>
  <c r="AU79" i="83" s="1"/>
  <c r="AY78" i="83"/>
  <c r="AQ78" i="83"/>
  <c r="AP78" i="83"/>
  <c r="AE78" i="83"/>
  <c r="AF78" i="83" s="1"/>
  <c r="AC78" i="83"/>
  <c r="W78" i="83"/>
  <c r="V78" i="83"/>
  <c r="S78" i="83"/>
  <c r="U78" i="83" s="1"/>
  <c r="AY77" i="83"/>
  <c r="AQ77" i="83"/>
  <c r="AP77" i="83"/>
  <c r="AE77" i="83"/>
  <c r="AF77" i="83" s="1"/>
  <c r="AC77" i="83"/>
  <c r="W77" i="83"/>
  <c r="V77" i="83"/>
  <c r="T77" i="83"/>
  <c r="U77" i="83" s="1"/>
  <c r="AU77" i="83" s="1"/>
  <c r="S77" i="83"/>
  <c r="AY76" i="83"/>
  <c r="AV76" i="83"/>
  <c r="AQ76" i="83"/>
  <c r="AP76" i="83"/>
  <c r="AE76" i="83"/>
  <c r="AF76" i="83" s="1"/>
  <c r="AC76" i="83"/>
  <c r="W76" i="83"/>
  <c r="V76" i="83"/>
  <c r="S76" i="83"/>
  <c r="U76" i="83" s="1"/>
  <c r="AT76" i="83" s="1"/>
  <c r="AY75" i="83"/>
  <c r="AV75" i="83"/>
  <c r="AQ75" i="83"/>
  <c r="AP75" i="83"/>
  <c r="AE75" i="83"/>
  <c r="AF75" i="83" s="1"/>
  <c r="AC75" i="83"/>
  <c r="W75" i="83"/>
  <c r="V75" i="83"/>
  <c r="S75" i="83"/>
  <c r="U75" i="83" s="1"/>
  <c r="AT75" i="83" s="1"/>
  <c r="AY74" i="83"/>
  <c r="AV74" i="83"/>
  <c r="AQ74" i="83"/>
  <c r="AP74" i="83"/>
  <c r="AN74" i="83"/>
  <c r="AE74" i="83"/>
  <c r="AF74" i="83" s="1"/>
  <c r="AC74" i="83"/>
  <c r="W74" i="83"/>
  <c r="V74" i="83"/>
  <c r="U74" i="83"/>
  <c r="AT74" i="83" s="1"/>
  <c r="S74" i="83"/>
  <c r="AY73" i="83"/>
  <c r="AV73" i="83"/>
  <c r="AQ73" i="83"/>
  <c r="AP73" i="83"/>
  <c r="AE73" i="83"/>
  <c r="AF73" i="83" s="1"/>
  <c r="AC73" i="83"/>
  <c r="W73" i="83"/>
  <c r="V73" i="83"/>
  <c r="T73" i="83"/>
  <c r="S73" i="83"/>
  <c r="U73" i="83" s="1"/>
  <c r="AY72" i="83"/>
  <c r="AV72" i="83"/>
  <c r="AQ72" i="83"/>
  <c r="AP72" i="83"/>
  <c r="AE72" i="83"/>
  <c r="AF72" i="83" s="1"/>
  <c r="AC72" i="83"/>
  <c r="W72" i="83"/>
  <c r="V72" i="83"/>
  <c r="U72" i="83"/>
  <c r="AT72" i="83" s="1"/>
  <c r="S72" i="83"/>
  <c r="AY71" i="83"/>
  <c r="AV71" i="83"/>
  <c r="AQ71" i="83"/>
  <c r="AP71" i="83"/>
  <c r="AE71" i="83"/>
  <c r="AF71" i="83" s="1"/>
  <c r="AC71" i="83"/>
  <c r="W71" i="83"/>
  <c r="V71" i="83"/>
  <c r="U71" i="83"/>
  <c r="AT71" i="83" s="1"/>
  <c r="S71" i="83"/>
  <c r="AY70" i="83"/>
  <c r="AV70" i="83"/>
  <c r="AQ70" i="83"/>
  <c r="AP70" i="83"/>
  <c r="AB70" i="83"/>
  <c r="AE70" i="83" s="1"/>
  <c r="AF70" i="83" s="1"/>
  <c r="W70" i="83"/>
  <c r="V70" i="83"/>
  <c r="T70" i="83"/>
  <c r="S70" i="83"/>
  <c r="U70" i="83" s="1"/>
  <c r="AY69" i="83"/>
  <c r="AQ69" i="83"/>
  <c r="AP69" i="83"/>
  <c r="AE69" i="83"/>
  <c r="AF69" i="83" s="1"/>
  <c r="AC69" i="83"/>
  <c r="W69" i="83"/>
  <c r="U69" i="83"/>
  <c r="AT69" i="83" s="1"/>
  <c r="AY68" i="83"/>
  <c r="AV68" i="83"/>
  <c r="AQ68" i="83"/>
  <c r="AP68" i="83"/>
  <c r="AE68" i="83"/>
  <c r="AF68" i="83" s="1"/>
  <c r="AC68" i="83"/>
  <c r="W68" i="83"/>
  <c r="V68" i="83"/>
  <c r="U68" i="83"/>
  <c r="AT68" i="83" s="1"/>
  <c r="S68" i="83"/>
  <c r="AY67" i="83"/>
  <c r="AQ67" i="83"/>
  <c r="AP67" i="83"/>
  <c r="AE67" i="83"/>
  <c r="AF67" i="83" s="1"/>
  <c r="AC67" i="83"/>
  <c r="W67" i="83"/>
  <c r="V67" i="83"/>
  <c r="U67" i="83"/>
  <c r="S67" i="83"/>
  <c r="AY66" i="83"/>
  <c r="AV66" i="83"/>
  <c r="AQ66" i="83"/>
  <c r="AP66" i="83"/>
  <c r="AE66" i="83"/>
  <c r="AF66" i="83" s="1"/>
  <c r="AC66" i="83"/>
  <c r="W66" i="83"/>
  <c r="V66" i="83"/>
  <c r="U66" i="83"/>
  <c r="S66" i="83"/>
  <c r="AY65" i="83"/>
  <c r="AQ65" i="83"/>
  <c r="AP65" i="83"/>
  <c r="AE65" i="83"/>
  <c r="AF65" i="83" s="1"/>
  <c r="AC65" i="83"/>
  <c r="V65" i="83"/>
  <c r="U65" i="83"/>
  <c r="AU65" i="83" s="1"/>
  <c r="AV65" i="83" s="1"/>
  <c r="S65" i="83"/>
  <c r="AY64" i="83"/>
  <c r="AV64" i="83"/>
  <c r="AQ64" i="83"/>
  <c r="AP64" i="83"/>
  <c r="AE64" i="83"/>
  <c r="AF64" i="83" s="1"/>
  <c r="AC64" i="83"/>
  <c r="W64" i="83"/>
  <c r="V64" i="83"/>
  <c r="U64" i="83"/>
  <c r="AT64" i="83" s="1"/>
  <c r="S64" i="83"/>
  <c r="AY63" i="83"/>
  <c r="AV63" i="83"/>
  <c r="AQ63" i="83"/>
  <c r="AP63" i="83"/>
  <c r="AE63" i="83"/>
  <c r="AF63" i="83" s="1"/>
  <c r="AC63" i="83"/>
  <c r="W63" i="83"/>
  <c r="U63" i="83"/>
  <c r="AT63" i="83" s="1"/>
  <c r="T63" i="83"/>
  <c r="S63" i="83"/>
  <c r="AY62" i="83"/>
  <c r="AQ62" i="83"/>
  <c r="AP62" i="83"/>
  <c r="AE62" i="83"/>
  <c r="AF62" i="83" s="1"/>
  <c r="AC62" i="83"/>
  <c r="W62" i="83"/>
  <c r="V62" i="83"/>
  <c r="S62" i="83" a="1"/>
  <c r="S62" i="83" s="1"/>
  <c r="U62" i="83" s="1"/>
  <c r="AT62" i="83" s="1"/>
  <c r="AY61" i="83"/>
  <c r="AU61" i="83"/>
  <c r="AV61" i="83" s="1"/>
  <c r="AT61" i="83"/>
  <c r="AQ61" i="83"/>
  <c r="AP61" i="83"/>
  <c r="AE61" i="83"/>
  <c r="AF61" i="83" s="1"/>
  <c r="AC61" i="83"/>
  <c r="S61" i="83"/>
  <c r="AY60" i="83"/>
  <c r="AV60" i="83"/>
  <c r="AQ60" i="83"/>
  <c r="AP60" i="83"/>
  <c r="AE60" i="83"/>
  <c r="AF60" i="83" s="1"/>
  <c r="AC60" i="83"/>
  <c r="W60" i="83"/>
  <c r="V60" i="83"/>
  <c r="U60" i="83"/>
  <c r="S60" i="83"/>
  <c r="AY59" i="83"/>
  <c r="AV59" i="83"/>
  <c r="AQ59" i="83"/>
  <c r="AP59" i="83"/>
  <c r="AE59" i="83"/>
  <c r="AF59" i="83" s="1"/>
  <c r="AC59" i="83"/>
  <c r="W59" i="83"/>
  <c r="U59" i="83"/>
  <c r="T59" i="83"/>
  <c r="S59" i="83"/>
  <c r="AY58" i="83"/>
  <c r="AV58" i="83"/>
  <c r="AQ58" i="83"/>
  <c r="AP58" i="83"/>
  <c r="AE58" i="83"/>
  <c r="AF58" i="83" s="1"/>
  <c r="AC58" i="83"/>
  <c r="W58" i="83"/>
  <c r="V58" i="83"/>
  <c r="S58" i="83"/>
  <c r="U58" i="83" s="1"/>
  <c r="AT58" i="83" s="1"/>
  <c r="AY57" i="83"/>
  <c r="AQ57" i="83"/>
  <c r="AP57" i="83"/>
  <c r="AE57" i="83"/>
  <c r="AF57" i="83" s="1"/>
  <c r="AC57" i="83"/>
  <c r="W57" i="83"/>
  <c r="V57" i="83"/>
  <c r="U57" i="83"/>
  <c r="AT57" i="83" s="1"/>
  <c r="S57" i="83"/>
  <c r="AY56" i="83"/>
  <c r="AQ56" i="83"/>
  <c r="AP56" i="83"/>
  <c r="AE56" i="83"/>
  <c r="AF56" i="83" s="1"/>
  <c r="AC56" i="83"/>
  <c r="W56" i="83"/>
  <c r="V56" i="83"/>
  <c r="S56" i="83"/>
  <c r="U56" i="83" s="1"/>
  <c r="AT56" i="83" s="1"/>
  <c r="AY55" i="83"/>
  <c r="AV55" i="83"/>
  <c r="AQ55" i="83"/>
  <c r="AP55" i="83"/>
  <c r="AE55" i="83"/>
  <c r="AF55" i="83" s="1"/>
  <c r="AC55" i="83"/>
  <c r="W55" i="83"/>
  <c r="V55" i="83"/>
  <c r="U55" i="83"/>
  <c r="AT55" i="83" s="1"/>
  <c r="S55" i="83"/>
  <c r="AY54" i="83"/>
  <c r="AQ54" i="83"/>
  <c r="AP54" i="83"/>
  <c r="AE54" i="83"/>
  <c r="AF54" i="83" s="1"/>
  <c r="AC54" i="83"/>
  <c r="W54" i="83"/>
  <c r="V54" i="83"/>
  <c r="U54" i="83"/>
  <c r="AT54" i="83" s="1"/>
  <c r="S54" i="83"/>
  <c r="AY53" i="83"/>
  <c r="AV53" i="83"/>
  <c r="AQ53" i="83"/>
  <c r="AP53" i="83"/>
  <c r="AE53" i="83"/>
  <c r="AF53" i="83" s="1"/>
  <c r="AC53" i="83"/>
  <c r="W53" i="83"/>
  <c r="V53" i="83"/>
  <c r="U53" i="83"/>
  <c r="AT53" i="83" s="1"/>
  <c r="S53" i="83"/>
  <c r="AY52" i="83"/>
  <c r="AU52" i="83"/>
  <c r="AV52" i="83" s="1"/>
  <c r="AT52" i="83"/>
  <c r="AQ52" i="83"/>
  <c r="AP52" i="83"/>
  <c r="AE52" i="83"/>
  <c r="AF52" i="83" s="1"/>
  <c r="AC52" i="83"/>
  <c r="AY51" i="83"/>
  <c r="AU51" i="83"/>
  <c r="AV51" i="83" s="1"/>
  <c r="AT51" i="83"/>
  <c r="AQ51" i="83"/>
  <c r="AP51" i="83"/>
  <c r="AE51" i="83"/>
  <c r="AF51" i="83" s="1"/>
  <c r="AC51" i="83"/>
  <c r="W51" i="83"/>
  <c r="AY50" i="83"/>
  <c r="AV50" i="83"/>
  <c r="AQ50" i="83"/>
  <c r="AP50" i="83"/>
  <c r="AE50" i="83"/>
  <c r="AF50" i="83" s="1"/>
  <c r="AC50" i="83"/>
  <c r="W50" i="83"/>
  <c r="V50" i="83"/>
  <c r="S50" i="83"/>
  <c r="U50" i="83" s="1"/>
  <c r="AU50" i="83" s="1"/>
  <c r="AY49" i="83"/>
  <c r="AQ49" i="83"/>
  <c r="AP49" i="83"/>
  <c r="AE49" i="83"/>
  <c r="AF49" i="83" s="1"/>
  <c r="AC49" i="83"/>
  <c r="W49" i="83"/>
  <c r="V49" i="83"/>
  <c r="U49" i="83"/>
  <c r="AU49" i="83" s="1"/>
  <c r="AV49" i="83" s="1"/>
  <c r="S49" i="83"/>
  <c r="AY48" i="83"/>
  <c r="AV48" i="83"/>
  <c r="AQ48" i="83"/>
  <c r="AP48" i="83"/>
  <c r="AN48" i="83"/>
  <c r="AE48" i="83"/>
  <c r="AF48" i="83" s="1"/>
  <c r="AC48" i="83"/>
  <c r="W48" i="83"/>
  <c r="V48" i="83"/>
  <c r="U48" i="83"/>
  <c r="AU48" i="83" s="1"/>
  <c r="S48" i="83"/>
  <c r="AY47" i="83"/>
  <c r="AV47" i="83"/>
  <c r="AQ47" i="83"/>
  <c r="AP47" i="83"/>
  <c r="AE47" i="83"/>
  <c r="AF47" i="83" s="1"/>
  <c r="AC47" i="83"/>
  <c r="W47" i="83"/>
  <c r="V47" i="83"/>
  <c r="U47" i="83"/>
  <c r="AT47" i="83" s="1"/>
  <c r="S47" i="83"/>
  <c r="AY46" i="83"/>
  <c r="AV46" i="83"/>
  <c r="AQ46" i="83"/>
  <c r="AP46" i="83"/>
  <c r="AE46" i="83"/>
  <c r="AF46" i="83" s="1"/>
  <c r="AC46" i="83"/>
  <c r="W46" i="83"/>
  <c r="V46" i="83"/>
  <c r="U46" i="83"/>
  <c r="AU46" i="83" s="1"/>
  <c r="S46" i="83"/>
  <c r="AY45" i="83"/>
  <c r="AV45" i="83"/>
  <c r="AQ45" i="83"/>
  <c r="AP45" i="83"/>
  <c r="AE45" i="83"/>
  <c r="AF45" i="83" s="1"/>
  <c r="AC45" i="83"/>
  <c r="W45" i="83"/>
  <c r="V45" i="83"/>
  <c r="U45" i="83"/>
  <c r="AT45" i="83" s="1"/>
  <c r="S45" i="83"/>
  <c r="AY44" i="83"/>
  <c r="AV44" i="83"/>
  <c r="AQ44" i="83"/>
  <c r="AP44" i="83"/>
  <c r="AE44" i="83"/>
  <c r="AF44" i="83" s="1"/>
  <c r="AC44" i="83"/>
  <c r="W44" i="83"/>
  <c r="V44" i="83"/>
  <c r="U44" i="83"/>
  <c r="AT44" i="83" s="1"/>
  <c r="S44" i="83"/>
  <c r="AY43" i="83"/>
  <c r="AQ43" i="83"/>
  <c r="AP43" i="83"/>
  <c r="AE43" i="83"/>
  <c r="AF43" i="83" s="1"/>
  <c r="AC43" i="83"/>
  <c r="W43" i="83"/>
  <c r="V43" i="83"/>
  <c r="T43" i="83"/>
  <c r="U43" i="83" s="1"/>
  <c r="AU43" i="83" s="1"/>
  <c r="S43" i="83"/>
  <c r="AY42" i="83"/>
  <c r="AV42" i="83"/>
  <c r="AU42" i="83"/>
  <c r="AT42" i="83"/>
  <c r="AQ42" i="83"/>
  <c r="AP42" i="83"/>
  <c r="AE42" i="83"/>
  <c r="AF42" i="83" s="1"/>
  <c r="AC42" i="83"/>
  <c r="W42" i="83"/>
  <c r="AY41" i="83"/>
  <c r="AV41" i="83"/>
  <c r="AQ41" i="83"/>
  <c r="AP41" i="83"/>
  <c r="AE41" i="83"/>
  <c r="AF41" i="83" s="1"/>
  <c r="AC41" i="83"/>
  <c r="W41" i="83"/>
  <c r="V41" i="83"/>
  <c r="S41" i="83"/>
  <c r="U41" i="83" s="1"/>
  <c r="AY40" i="83"/>
  <c r="AV40" i="83"/>
  <c r="AQ40" i="83"/>
  <c r="AP40" i="83"/>
  <c r="AB40" i="83"/>
  <c r="W40" i="83"/>
  <c r="V40" i="83"/>
  <c r="S40" i="83"/>
  <c r="U40" i="83" s="1"/>
  <c r="AT40" i="83" s="1"/>
  <c r="AY39" i="83"/>
  <c r="AV39" i="83"/>
  <c r="AQ39" i="83"/>
  <c r="AP39" i="83"/>
  <c r="AE39" i="83"/>
  <c r="AF39" i="83" s="1"/>
  <c r="AC39" i="83"/>
  <c r="W39" i="83"/>
  <c r="V39" i="83"/>
  <c r="T39" i="83"/>
  <c r="U39" i="83" s="1"/>
  <c r="AU39" i="83" s="1"/>
  <c r="S39" i="83"/>
  <c r="AY38" i="83"/>
  <c r="AV38" i="83"/>
  <c r="AQ38" i="83"/>
  <c r="AP38" i="83"/>
  <c r="AE38" i="83"/>
  <c r="AF38" i="83" s="1"/>
  <c r="AC38" i="83"/>
  <c r="W38" i="83"/>
  <c r="V38" i="83"/>
  <c r="U38" i="83"/>
  <c r="AT38" i="83" s="1"/>
  <c r="S38" i="83"/>
  <c r="AY37" i="83"/>
  <c r="AQ37" i="83"/>
  <c r="AP37" i="83"/>
  <c r="AE37" i="83"/>
  <c r="AF37" i="83" s="1"/>
  <c r="AC37" i="83"/>
  <c r="W37" i="83"/>
  <c r="U37" i="83"/>
  <c r="AU37" i="83" s="1"/>
  <c r="S37" i="83"/>
  <c r="AY36" i="83"/>
  <c r="AV36" i="83"/>
  <c r="AQ36" i="83"/>
  <c r="AP36" i="83"/>
  <c r="AE36" i="83"/>
  <c r="AF36" i="83" s="1"/>
  <c r="AC36" i="83"/>
  <c r="W36" i="83"/>
  <c r="V36" i="83"/>
  <c r="S36" i="83"/>
  <c r="U36" i="83" s="1"/>
  <c r="AU36" i="83" s="1"/>
  <c r="AY35" i="83"/>
  <c r="AV35" i="83"/>
  <c r="AQ35" i="83"/>
  <c r="AP35" i="83"/>
  <c r="AE35" i="83"/>
  <c r="AF35" i="83" s="1"/>
  <c r="AC35" i="83"/>
  <c r="W35" i="83"/>
  <c r="V35" i="83"/>
  <c r="S35" i="83"/>
  <c r="U35" i="83" s="1"/>
  <c r="AY34" i="83"/>
  <c r="AQ34" i="83"/>
  <c r="AP34" i="83"/>
  <c r="AE34" i="83"/>
  <c r="AF34" i="83" s="1"/>
  <c r="AC34" i="83"/>
  <c r="U34" i="83"/>
  <c r="AT34" i="83" s="1"/>
  <c r="AY33" i="83"/>
  <c r="AQ33" i="83"/>
  <c r="AP33" i="83"/>
  <c r="AN33" i="83"/>
  <c r="AE33" i="83"/>
  <c r="AF33" i="83" s="1"/>
  <c r="AC33" i="83"/>
  <c r="W33" i="83"/>
  <c r="V33" i="83"/>
  <c r="S33" i="83"/>
  <c r="U33" i="83" s="1"/>
  <c r="AY32" i="83"/>
  <c r="AQ32" i="83"/>
  <c r="AP32" i="83"/>
  <c r="AB32" i="83"/>
  <c r="AC32" i="83" s="1"/>
  <c r="W32" i="83"/>
  <c r="V32" i="83"/>
  <c r="S32" i="83"/>
  <c r="U32" i="83" s="1"/>
  <c r="AY31" i="83"/>
  <c r="AQ31" i="83"/>
  <c r="AP31" i="83"/>
  <c r="AE31" i="83"/>
  <c r="AF31" i="83" s="1"/>
  <c r="AC31" i="83"/>
  <c r="W31" i="83"/>
  <c r="V31" i="83"/>
  <c r="S31" i="83"/>
  <c r="U31" i="83" s="1"/>
  <c r="AY30" i="83"/>
  <c r="AV30" i="83"/>
  <c r="AQ30" i="83"/>
  <c r="AP30" i="83"/>
  <c r="AE30" i="83"/>
  <c r="AF30" i="83" s="1"/>
  <c r="AC30" i="83"/>
  <c r="W30" i="83"/>
  <c r="V30" i="83"/>
  <c r="U30" i="83"/>
  <c r="AT30" i="83" s="1"/>
  <c r="S30" i="83"/>
  <c r="AY29" i="83"/>
  <c r="AQ29" i="83"/>
  <c r="AP29" i="83"/>
  <c r="AB29" i="83"/>
  <c r="AE29" i="83" s="1"/>
  <c r="W29" i="83"/>
  <c r="V29" i="83"/>
  <c r="S29" i="83"/>
  <c r="U29" i="83" s="1"/>
  <c r="AU29" i="83" s="1"/>
  <c r="AY28" i="83"/>
  <c r="AQ28" i="83"/>
  <c r="AP28" i="83"/>
  <c r="AE28" i="83"/>
  <c r="AF28" i="83" s="1"/>
  <c r="AC28" i="83"/>
  <c r="W28" i="83"/>
  <c r="U28" i="83"/>
  <c r="S28" i="83"/>
  <c r="AY27" i="83"/>
  <c r="AV27" i="83"/>
  <c r="AQ27" i="83"/>
  <c r="AP27" i="83"/>
  <c r="AE27" i="83"/>
  <c r="AF27" i="83" s="1"/>
  <c r="AC27" i="83"/>
  <c r="W27" i="83"/>
  <c r="V27" i="83"/>
  <c r="S27" i="83"/>
  <c r="U27" i="83" s="1"/>
  <c r="AU27" i="83" s="1"/>
  <c r="AY26" i="83"/>
  <c r="AQ26" i="83"/>
  <c r="AP26" i="83"/>
  <c r="AE26" i="83"/>
  <c r="AF26" i="83" s="1"/>
  <c r="AC26" i="83"/>
  <c r="W26" i="83"/>
  <c r="U26" i="83"/>
  <c r="S26" i="83"/>
  <c r="AY25" i="83"/>
  <c r="AV25" i="83"/>
  <c r="AQ25" i="83"/>
  <c r="AP25" i="83"/>
  <c r="AE25" i="83"/>
  <c r="AF25" i="83" s="1"/>
  <c r="AC25" i="83"/>
  <c r="W25" i="83"/>
  <c r="V25" i="83"/>
  <c r="U25" i="83"/>
  <c r="AU25" i="83" s="1"/>
  <c r="S25" i="83"/>
  <c r="AY24" i="83"/>
  <c r="AV24" i="83"/>
  <c r="AQ24" i="83"/>
  <c r="AP24" i="83"/>
  <c r="AE24" i="83"/>
  <c r="AF24" i="83" s="1"/>
  <c r="AC24" i="83"/>
  <c r="W24" i="83"/>
  <c r="U24" i="83"/>
  <c r="AT24" i="83" s="1"/>
  <c r="S24" i="83"/>
  <c r="AY23" i="83"/>
  <c r="AV23" i="83"/>
  <c r="AQ23" i="83"/>
  <c r="AP23" i="83"/>
  <c r="AE23" i="83"/>
  <c r="AF23" i="83" s="1"/>
  <c r="AC23" i="83"/>
  <c r="U23" i="83"/>
  <c r="AT23" i="83" s="1"/>
  <c r="AY22" i="83"/>
  <c r="AV22" i="83"/>
  <c r="AQ22" i="83"/>
  <c r="AP22" i="83"/>
  <c r="AE22" i="83"/>
  <c r="AF22" i="83" s="1"/>
  <c r="AC22" i="83"/>
  <c r="W22" i="83"/>
  <c r="U22" i="83"/>
  <c r="AU22" i="83" s="1"/>
  <c r="S22" i="83"/>
  <c r="AY21" i="83"/>
  <c r="AQ21" i="83"/>
  <c r="AP21" i="83"/>
  <c r="AE21" i="83"/>
  <c r="AF21" i="83" s="1"/>
  <c r="AC21" i="83"/>
  <c r="W21" i="83"/>
  <c r="V21" i="83"/>
  <c r="S21" i="83"/>
  <c r="U21" i="83" s="1"/>
  <c r="AY20" i="83"/>
  <c r="AV20" i="83"/>
  <c r="AQ20" i="83"/>
  <c r="AP20" i="83"/>
  <c r="AB20" i="83"/>
  <c r="W20" i="83"/>
  <c r="V20" i="83"/>
  <c r="U20" i="83"/>
  <c r="AT20" i="83" s="1"/>
  <c r="S20" i="83"/>
  <c r="AY19" i="83"/>
  <c r="AV19" i="83"/>
  <c r="AQ19" i="83"/>
  <c r="AP19" i="83"/>
  <c r="AE19" i="83"/>
  <c r="AF19" i="83" s="1"/>
  <c r="AC19" i="83"/>
  <c r="W19" i="83"/>
  <c r="U19" i="83"/>
  <c r="AU19" i="83" s="1"/>
  <c r="S19" i="83"/>
  <c r="AY18" i="83"/>
  <c r="AV18" i="83"/>
  <c r="AU18" i="83"/>
  <c r="AT18" i="83"/>
  <c r="AQ18" i="83"/>
  <c r="AP18" i="83"/>
  <c r="AE18" i="83"/>
  <c r="AF18" i="83" s="1"/>
  <c r="AC18" i="83"/>
  <c r="AY17" i="83"/>
  <c r="AV17" i="83"/>
  <c r="AQ17" i="83"/>
  <c r="AP17" i="83"/>
  <c r="AB17" i="83"/>
  <c r="W17" i="83"/>
  <c r="V17" i="83"/>
  <c r="U17" i="83"/>
  <c r="AU17" i="83" s="1"/>
  <c r="S17" i="83"/>
  <c r="AY16" i="83"/>
  <c r="AV16" i="83"/>
  <c r="AQ16" i="83"/>
  <c r="AP16" i="83"/>
  <c r="AE16" i="83"/>
  <c r="AF16" i="83" s="1"/>
  <c r="AC16" i="83"/>
  <c r="S16" i="83"/>
  <c r="S192" i="83" s="1"/>
  <c r="AY15" i="83"/>
  <c r="AV15" i="83"/>
  <c r="AQ15" i="83"/>
  <c r="AP15" i="83"/>
  <c r="AE15" i="83"/>
  <c r="AF15" i="83" s="1"/>
  <c r="AC15" i="83"/>
  <c r="T15" i="83"/>
  <c r="U15" i="83" s="1"/>
  <c r="AY14" i="83"/>
  <c r="AV14" i="83"/>
  <c r="AQ14" i="83"/>
  <c r="AP14" i="83"/>
  <c r="AB14" i="83"/>
  <c r="AE14" i="83" s="1"/>
  <c r="AF14" i="83" s="1"/>
  <c r="W14" i="83"/>
  <c r="V14" i="83"/>
  <c r="S14" i="83"/>
  <c r="U14" i="83" s="1"/>
  <c r="AY13" i="83"/>
  <c r="AV13" i="83"/>
  <c r="AQ13" i="83"/>
  <c r="AP13" i="83"/>
  <c r="AB13" i="83"/>
  <c r="W13" i="83"/>
  <c r="U13" i="83"/>
  <c r="AT13" i="83" s="1"/>
  <c r="S13" i="83"/>
  <c r="AY12" i="83"/>
  <c r="AV12" i="83"/>
  <c r="AQ12" i="83"/>
  <c r="AP12" i="83"/>
  <c r="AB12" i="83"/>
  <c r="W12" i="83"/>
  <c r="U12" i="83"/>
  <c r="AU12" i="83" s="1"/>
  <c r="S12" i="83"/>
  <c r="AY11" i="83"/>
  <c r="AV11" i="83"/>
  <c r="AQ11" i="83"/>
  <c r="AP11" i="83"/>
  <c r="AE11" i="83"/>
  <c r="AF11" i="83" s="1"/>
  <c r="AC11" i="83"/>
  <c r="W11" i="83"/>
  <c r="U11" i="83"/>
  <c r="AU11" i="83" s="1"/>
  <c r="AV10" i="83"/>
  <c r="AQ10" i="83"/>
  <c r="AP10" i="83"/>
  <c r="AE10" i="83"/>
  <c r="AF10" i="83" s="1"/>
  <c r="AC10" i="83"/>
  <c r="W10" i="83"/>
  <c r="V10" i="83"/>
  <c r="U10" i="83"/>
  <c r="AU10" i="83" s="1"/>
  <c r="S10" i="83"/>
  <c r="AY9" i="83"/>
  <c r="AV9" i="83"/>
  <c r="AQ9" i="83"/>
  <c r="AP9" i="83"/>
  <c r="AE9" i="83"/>
  <c r="AF9" i="83" s="1"/>
  <c r="AC9" i="83"/>
  <c r="W9" i="83"/>
  <c r="V9" i="83"/>
  <c r="U9" i="83"/>
  <c r="AT9" i="83" s="1"/>
  <c r="S9" i="83"/>
  <c r="AY8" i="83"/>
  <c r="AV8" i="83"/>
  <c r="AQ8" i="83"/>
  <c r="AP8" i="83"/>
  <c r="AB8" i="83"/>
  <c r="Y8" i="83"/>
  <c r="W8" i="83"/>
  <c r="V8" i="83"/>
  <c r="U8" i="83"/>
  <c r="AT8" i="83" s="1"/>
  <c r="S8" i="83"/>
  <c r="AY7" i="83"/>
  <c r="AV7" i="83"/>
  <c r="AQ7" i="83"/>
  <c r="AP7" i="83"/>
  <c r="AB7" i="83"/>
  <c r="AE7" i="83" s="1"/>
  <c r="AF7" i="83" s="1"/>
  <c r="W7" i="83"/>
  <c r="V7" i="83"/>
  <c r="S7" i="83"/>
  <c r="U7" i="83" s="1"/>
  <c r="AY6" i="83"/>
  <c r="AV6" i="83"/>
  <c r="AQ6" i="83"/>
  <c r="AP6" i="83"/>
  <c r="AN6" i="83"/>
  <c r="AE6" i="83"/>
  <c r="AF6" i="83" s="1"/>
  <c r="AC6" i="83"/>
  <c r="Y6" i="83"/>
  <c r="W6" i="83"/>
  <c r="V6" i="83"/>
  <c r="U6" i="83"/>
  <c r="AT6" i="83" s="1"/>
  <c r="S6" i="83"/>
  <c r="AY5" i="83"/>
  <c r="AV5" i="83"/>
  <c r="AQ5" i="83"/>
  <c r="AP5" i="83"/>
  <c r="AE5" i="83"/>
  <c r="AF5" i="83" s="1"/>
  <c r="AC5" i="83"/>
  <c r="Y5" i="83"/>
  <c r="W5" i="83"/>
  <c r="V5" i="83"/>
  <c r="U5" i="83"/>
  <c r="AU5" i="83" s="1"/>
  <c r="S5" i="83"/>
  <c r="AY4" i="83"/>
  <c r="AQ4" i="83"/>
  <c r="AP4" i="83"/>
  <c r="AB4" i="83"/>
  <c r="AE4" i="83" s="1"/>
  <c r="AF4" i="83" s="1"/>
  <c r="W4" i="83"/>
  <c r="U4" i="83"/>
  <c r="AU4" i="83" s="1"/>
  <c r="AY3" i="83"/>
  <c r="AV3" i="83"/>
  <c r="AQ3" i="83"/>
  <c r="AP3" i="83"/>
  <c r="AE3" i="83"/>
  <c r="AF3" i="83" s="1"/>
  <c r="AC3" i="83"/>
  <c r="Y3" i="83"/>
  <c r="W3" i="83"/>
  <c r="U3" i="83"/>
  <c r="AT3" i="83" s="1"/>
  <c r="A1" i="83"/>
  <c r="AD166" i="83" s="1"/>
  <c r="T5" i="83" l="1"/>
  <c r="AD8" i="83"/>
  <c r="AD5" i="83"/>
  <c r="AD17" i="83"/>
  <c r="AT130" i="83"/>
  <c r="AX130" i="83" s="1"/>
  <c r="T16" i="83"/>
  <c r="U16" i="83" s="1"/>
  <c r="U192" i="83" s="1"/>
  <c r="AU158" i="83"/>
  <c r="AX158" i="83" s="1"/>
  <c r="V26" i="83"/>
  <c r="AX51" i="83"/>
  <c r="AU141" i="83"/>
  <c r="AX141" i="83" s="1"/>
  <c r="AU96" i="83"/>
  <c r="AX96" i="83" s="1"/>
  <c r="V28" i="83"/>
  <c r="AK12" i="83"/>
  <c r="AU72" i="83"/>
  <c r="AX72" i="83" s="1"/>
  <c r="AC29" i="83"/>
  <c r="AK40" i="83"/>
  <c r="AU44" i="83"/>
  <c r="AX44" i="83" s="1"/>
  <c r="AD20" i="83"/>
  <c r="AD36" i="83"/>
  <c r="AD12" i="83"/>
  <c r="AD13" i="83"/>
  <c r="AD18" i="83"/>
  <c r="AC40" i="83"/>
  <c r="AK56" i="83"/>
  <c r="AK101" i="83"/>
  <c r="AE119" i="83"/>
  <c r="AF119" i="83" s="1"/>
  <c r="AU123" i="83"/>
  <c r="AX123" i="83" s="1"/>
  <c r="V126" i="83"/>
  <c r="AD128" i="83"/>
  <c r="AU8" i="83"/>
  <c r="AX8" i="83" s="1"/>
  <c r="AC8" i="83"/>
  <c r="AT5" i="83"/>
  <c r="AX5" i="83" s="1"/>
  <c r="AE8" i="83"/>
  <c r="AF8" i="83" s="1"/>
  <c r="AK22" i="83"/>
  <c r="AE40" i="83"/>
  <c r="AF40" i="83" s="1"/>
  <c r="AK110" i="83"/>
  <c r="AT136" i="83"/>
  <c r="AX136" i="83" s="1"/>
  <c r="AC7" i="83"/>
  <c r="V12" i="83"/>
  <c r="AE32" i="83"/>
  <c r="AF32" i="83" s="1"/>
  <c r="AK34" i="83"/>
  <c r="AK41" i="83"/>
  <c r="AK54" i="83"/>
  <c r="AU63" i="83"/>
  <c r="AX63" i="83" s="1"/>
  <c r="AC70" i="83"/>
  <c r="AC105" i="83"/>
  <c r="AU120" i="83"/>
  <c r="AX120" i="83" s="1"/>
  <c r="AK90" i="83"/>
  <c r="W191" i="83"/>
  <c r="W193" i="83" s="1"/>
  <c r="AK13" i="83"/>
  <c r="AK20" i="83"/>
  <c r="AU53" i="83"/>
  <c r="AX53" i="83" s="1"/>
  <c r="AX61" i="83"/>
  <c r="AD87" i="83"/>
  <c r="AU110" i="83"/>
  <c r="AX110" i="83" s="1"/>
  <c r="AU172" i="83"/>
  <c r="AX172" i="83" s="1"/>
  <c r="AU177" i="83"/>
  <c r="AX177" i="83" s="1"/>
  <c r="AU187" i="83"/>
  <c r="AV187" i="83" s="1"/>
  <c r="AX187" i="83" s="1"/>
  <c r="AU9" i="83"/>
  <c r="AX9" i="83" s="1"/>
  <c r="AU186" i="83"/>
  <c r="AV186" i="83" s="1"/>
  <c r="AX186" i="83" s="1"/>
  <c r="AU3" i="83"/>
  <c r="AX3" i="83" s="1"/>
  <c r="AT4" i="83"/>
  <c r="AK8" i="83"/>
  <c r="AK9" i="83"/>
  <c r="AK10" i="83"/>
  <c r="AC13" i="83"/>
  <c r="AK17" i="83"/>
  <c r="AD19" i="83"/>
  <c r="AC20" i="83"/>
  <c r="AK21" i="83"/>
  <c r="V22" i="83"/>
  <c r="AT22" i="83"/>
  <c r="AX22" i="83" s="1"/>
  <c r="AD40" i="83"/>
  <c r="AK45" i="83"/>
  <c r="AK63" i="83"/>
  <c r="AK64" i="83"/>
  <c r="AU69" i="83"/>
  <c r="AV69" i="83" s="1"/>
  <c r="AX69" i="83" s="1"/>
  <c r="AK76" i="83"/>
  <c r="AK109" i="83"/>
  <c r="AX117" i="83"/>
  <c r="AT126" i="83"/>
  <c r="AX126" i="83" s="1"/>
  <c r="AT145" i="83"/>
  <c r="AX145" i="83" s="1"/>
  <c r="AT146" i="83"/>
  <c r="AX146" i="83" s="1"/>
  <c r="AU147" i="83"/>
  <c r="AX147" i="83" s="1"/>
  <c r="AT157" i="83"/>
  <c r="AX157" i="83" s="1"/>
  <c r="AU160" i="83"/>
  <c r="AX160" i="83" s="1"/>
  <c r="AU190" i="83"/>
  <c r="AX190" i="83" s="1"/>
  <c r="AT12" i="83"/>
  <c r="AX12" i="83" s="1"/>
  <c r="AE13" i="83"/>
  <c r="AF13" i="83" s="1"/>
  <c r="AX18" i="83"/>
  <c r="AE20" i="83"/>
  <c r="AF20" i="83" s="1"/>
  <c r="AU34" i="83"/>
  <c r="AV34" i="83" s="1"/>
  <c r="AX34" i="83" s="1"/>
  <c r="AD39" i="83"/>
  <c r="AX42" i="83"/>
  <c r="AT46" i="83"/>
  <c r="AX46" i="83" s="1"/>
  <c r="AK55" i="83"/>
  <c r="AK57" i="83"/>
  <c r="AT65" i="83"/>
  <c r="AX65" i="83" s="1"/>
  <c r="AK69" i="83"/>
  <c r="AD88" i="83"/>
  <c r="AK91" i="83"/>
  <c r="AT114" i="83"/>
  <c r="AX114" i="83" s="1"/>
  <c r="AU137" i="83"/>
  <c r="AX137" i="83" s="1"/>
  <c r="AU152" i="83"/>
  <c r="AX152" i="83" s="1"/>
  <c r="AU173" i="83"/>
  <c r="AV173" i="83" s="1"/>
  <c r="AX173" i="83" s="1"/>
  <c r="AU188" i="83"/>
  <c r="AX188" i="83" s="1"/>
  <c r="AU84" i="83"/>
  <c r="AT84" i="83"/>
  <c r="AU142" i="83"/>
  <c r="AV142" i="83" s="1"/>
  <c r="AT142" i="83"/>
  <c r="AU78" i="83"/>
  <c r="AV78" i="83" s="1"/>
  <c r="AT78" i="83"/>
  <c r="AU83" i="83"/>
  <c r="AT83" i="83"/>
  <c r="AU112" i="83"/>
  <c r="AT112" i="83"/>
  <c r="AU127" i="83"/>
  <c r="AT127" i="83"/>
  <c r="AV176" i="83"/>
  <c r="AT27" i="83"/>
  <c r="AX27" i="83" s="1"/>
  <c r="AT77" i="83"/>
  <c r="AT10" i="83"/>
  <c r="AX10" i="83" s="1"/>
  <c r="AT79" i="83"/>
  <c r="AX79" i="83" s="1"/>
  <c r="AT80" i="83"/>
  <c r="AX80" i="83" s="1"/>
  <c r="AT81" i="83"/>
  <c r="AX81" i="83" s="1"/>
  <c r="AT82" i="83"/>
  <c r="AT131" i="83"/>
  <c r="AX131" i="83" s="1"/>
  <c r="AT25" i="83"/>
  <c r="AX25" i="83" s="1"/>
  <c r="AU47" i="83"/>
  <c r="AX47" i="83" s="1"/>
  <c r="AT48" i="83"/>
  <c r="AX48" i="83" s="1"/>
  <c r="AT49" i="83"/>
  <c r="AX49" i="83" s="1"/>
  <c r="AU57" i="83"/>
  <c r="AT174" i="83"/>
  <c r="AX174" i="83" s="1"/>
  <c r="AT175" i="83"/>
  <c r="AX175" i="83" s="1"/>
  <c r="AU178" i="83"/>
  <c r="AX178" i="83" s="1"/>
  <c r="AU179" i="83"/>
  <c r="AX179" i="83" s="1"/>
  <c r="AU180" i="83"/>
  <c r="AT181" i="83"/>
  <c r="AX181" i="83" s="1"/>
  <c r="AT189" i="83"/>
  <c r="AX189" i="83" s="1"/>
  <c r="V24" i="83"/>
  <c r="AT28" i="83"/>
  <c r="AU30" i="83"/>
  <c r="AX30" i="83" s="1"/>
  <c r="AU64" i="83"/>
  <c r="AX64" i="83" s="1"/>
  <c r="AU106" i="83"/>
  <c r="AX106" i="83" s="1"/>
  <c r="AT111" i="83"/>
  <c r="AX111" i="83" s="1"/>
  <c r="AT115" i="83"/>
  <c r="AX115" i="83" s="1"/>
  <c r="AT116" i="83"/>
  <c r="AX116" i="83" s="1"/>
  <c r="AU121" i="83"/>
  <c r="AV121" i="83" s="1"/>
  <c r="AX121" i="83" s="1"/>
  <c r="AT155" i="83"/>
  <c r="AX155" i="83" s="1"/>
  <c r="AU167" i="83"/>
  <c r="AV167" i="83" s="1"/>
  <c r="AX167" i="83" s="1"/>
  <c r="AU170" i="83"/>
  <c r="AX170" i="83" s="1"/>
  <c r="AU171" i="83"/>
  <c r="AX171" i="83" s="1"/>
  <c r="AU183" i="83"/>
  <c r="AX183" i="83" s="1"/>
  <c r="AT90" i="83"/>
  <c r="AX90" i="83" s="1"/>
  <c r="AT95" i="83"/>
  <c r="AX95" i="83" s="1"/>
  <c r="AU119" i="83"/>
  <c r="AX119" i="83" s="1"/>
  <c r="AU125" i="83"/>
  <c r="AV125" i="83" s="1"/>
  <c r="AX125" i="83" s="1"/>
  <c r="AT129" i="83"/>
  <c r="AX129" i="83" s="1"/>
  <c r="AT154" i="83"/>
  <c r="AX154" i="83" s="1"/>
  <c r="AT156" i="83"/>
  <c r="AX156" i="83" s="1"/>
  <c r="AU169" i="83"/>
  <c r="AX169" i="83" s="1"/>
  <c r="AT176" i="83"/>
  <c r="AT184" i="83"/>
  <c r="AX184" i="83" s="1"/>
  <c r="AT185" i="83"/>
  <c r="AX185" i="83" s="1"/>
  <c r="AT17" i="83"/>
  <c r="AX17" i="83" s="1"/>
  <c r="AT26" i="83"/>
  <c r="AU38" i="83"/>
  <c r="AX38" i="83" s="1"/>
  <c r="AU45" i="83"/>
  <c r="AX45" i="83" s="1"/>
  <c r="AU54" i="83"/>
  <c r="AU55" i="83"/>
  <c r="AX55" i="83" s="1"/>
  <c r="AU68" i="83"/>
  <c r="AX68" i="83" s="1"/>
  <c r="AU71" i="83"/>
  <c r="AX71" i="83" s="1"/>
  <c r="AT85" i="83"/>
  <c r="AX85" i="83" s="1"/>
  <c r="AU89" i="83"/>
  <c r="AV89" i="83" s="1"/>
  <c r="AX89" i="83" s="1"/>
  <c r="AT104" i="83"/>
  <c r="AX104" i="83" s="1"/>
  <c r="AT113" i="83"/>
  <c r="AX113" i="83" s="1"/>
  <c r="AU122" i="83"/>
  <c r="AV122" i="83" s="1"/>
  <c r="AX122" i="83" s="1"/>
  <c r="AU139" i="83"/>
  <c r="AV139" i="83" s="1"/>
  <c r="AX139" i="83" s="1"/>
  <c r="AT143" i="83"/>
  <c r="AX143" i="83" s="1"/>
  <c r="AT144" i="83"/>
  <c r="AX144" i="83" s="1"/>
  <c r="AV29" i="83"/>
  <c r="AU32" i="83"/>
  <c r="AT32" i="83"/>
  <c r="AU33" i="83"/>
  <c r="AT33" i="83"/>
  <c r="AU35" i="83"/>
  <c r="AT35" i="83"/>
  <c r="AU31" i="83"/>
  <c r="AT31" i="83"/>
  <c r="AU7" i="83"/>
  <c r="AT7" i="83"/>
  <c r="T7" i="83"/>
  <c r="AT14" i="83"/>
  <c r="AU14" i="83"/>
  <c r="AV43" i="83"/>
  <c r="AV37" i="83"/>
  <c r="AV4" i="83"/>
  <c r="AT21" i="83"/>
  <c r="AU21" i="83"/>
  <c r="AT41" i="83"/>
  <c r="AU41" i="83"/>
  <c r="AU6" i="83"/>
  <c r="AX6" i="83" s="1"/>
  <c r="AU128" i="83"/>
  <c r="AT128" i="83"/>
  <c r="AY191" i="83"/>
  <c r="AC4" i="83"/>
  <c r="AK4" i="83"/>
  <c r="S191" i="83"/>
  <c r="AD9" i="83"/>
  <c r="AD10" i="83"/>
  <c r="AT11" i="83"/>
  <c r="AX11" i="83" s="1"/>
  <c r="AE12" i="83"/>
  <c r="AF12" i="83" s="1"/>
  <c r="V13" i="83"/>
  <c r="AC14" i="83"/>
  <c r="AK14" i="83"/>
  <c r="AE17" i="83"/>
  <c r="AF17" i="83" s="1"/>
  <c r="V19" i="83"/>
  <c r="AD21" i="83"/>
  <c r="AD22" i="83"/>
  <c r="AK23" i="83"/>
  <c r="AU23" i="83"/>
  <c r="AX23" i="83" s="1"/>
  <c r="AK24" i="83"/>
  <c r="AU24" i="83"/>
  <c r="AX24" i="83" s="1"/>
  <c r="AK25" i="83"/>
  <c r="AK26" i="83"/>
  <c r="AU26" i="83"/>
  <c r="AK27" i="83"/>
  <c r="AK28" i="83"/>
  <c r="AU28" i="83"/>
  <c r="AF29" i="83"/>
  <c r="AT29" i="83"/>
  <c r="AD34" i="83"/>
  <c r="AT37" i="83"/>
  <c r="AD41" i="83"/>
  <c r="AK42" i="83"/>
  <c r="AT43" i="83"/>
  <c r="AK46" i="83"/>
  <c r="AK48" i="83"/>
  <c r="AD49" i="83"/>
  <c r="AK51" i="83"/>
  <c r="AK62" i="83"/>
  <c r="AU70" i="83"/>
  <c r="AT70" i="83"/>
  <c r="AU74" i="83"/>
  <c r="AX74" i="83" s="1"/>
  <c r="AK75" i="83"/>
  <c r="AU86" i="83"/>
  <c r="AT86" i="83"/>
  <c r="AK89" i="83"/>
  <c r="AK111" i="83"/>
  <c r="AD117" i="83"/>
  <c r="AD118" i="83"/>
  <c r="AU124" i="83"/>
  <c r="AT124" i="83"/>
  <c r="AD124" i="83"/>
  <c r="AD130" i="83"/>
  <c r="AU166" i="83"/>
  <c r="AT166" i="83"/>
  <c r="AU20" i="83"/>
  <c r="AX20" i="83" s="1"/>
  <c r="AU40" i="83"/>
  <c r="AX40" i="83" s="1"/>
  <c r="AU59" i="83"/>
  <c r="AT59" i="83"/>
  <c r="AK182" i="83"/>
  <c r="AD181" i="83"/>
  <c r="AD180" i="83"/>
  <c r="AD179" i="83"/>
  <c r="AD178" i="83"/>
  <c r="AD177" i="83"/>
  <c r="AD176" i="83"/>
  <c r="AK168" i="83"/>
  <c r="AK166" i="83"/>
  <c r="AK165" i="83"/>
  <c r="AK164" i="83"/>
  <c r="AK163" i="83"/>
  <c r="AK162" i="83"/>
  <c r="AD161" i="83"/>
  <c r="AK157" i="83"/>
  <c r="AD156" i="83"/>
  <c r="AD155" i="83"/>
  <c r="AD154" i="83"/>
  <c r="AK146" i="83"/>
  <c r="AK145" i="83"/>
  <c r="AK144" i="83"/>
  <c r="AK143" i="83"/>
  <c r="AD190" i="83"/>
  <c r="AD189" i="83"/>
  <c r="AD188" i="83"/>
  <c r="AD187" i="83"/>
  <c r="AD186" i="83"/>
  <c r="AD185" i="83"/>
  <c r="AD184" i="83"/>
  <c r="AK181" i="83"/>
  <c r="AK180" i="83"/>
  <c r="AK179" i="83"/>
  <c r="AK178" i="83"/>
  <c r="AK189" i="83"/>
  <c r="AK186" i="83"/>
  <c r="AK184" i="83"/>
  <c r="AD183" i="83"/>
  <c r="AK176" i="83"/>
  <c r="AD173" i="83"/>
  <c r="AK172" i="83"/>
  <c r="AD171" i="83"/>
  <c r="AK170" i="83"/>
  <c r="AD169" i="83"/>
  <c r="AD167" i="83"/>
  <c r="AK156" i="83"/>
  <c r="AK153" i="83"/>
  <c r="AD146" i="83"/>
  <c r="AD144" i="83"/>
  <c r="AD140" i="83"/>
  <c r="AD139" i="83"/>
  <c r="AD138" i="83"/>
  <c r="AD135" i="83"/>
  <c r="AK134" i="83"/>
  <c r="AK133" i="83"/>
  <c r="AK132" i="83"/>
  <c r="AK131" i="83"/>
  <c r="AK130" i="83"/>
  <c r="AD122" i="83"/>
  <c r="AD121" i="83"/>
  <c r="AD120" i="83"/>
  <c r="AD119" i="83"/>
  <c r="AK117" i="83"/>
  <c r="AD182" i="83"/>
  <c r="AD174" i="83"/>
  <c r="AD165" i="83"/>
  <c r="AD163" i="83"/>
  <c r="AK161" i="83"/>
  <c r="AD159" i="83"/>
  <c r="AK158" i="83"/>
  <c r="AD151" i="83"/>
  <c r="AK150" i="83"/>
  <c r="AD149" i="83"/>
  <c r="AK148" i="83"/>
  <c r="AD147" i="83"/>
  <c r="AD142" i="83"/>
  <c r="AK140" i="83"/>
  <c r="AK139" i="83"/>
  <c r="AK138" i="83"/>
  <c r="AD136" i="83"/>
  <c r="AK135" i="83"/>
  <c r="AK190" i="83"/>
  <c r="AK188" i="83"/>
  <c r="AK185" i="83"/>
  <c r="AK183" i="83"/>
  <c r="AK177" i="83"/>
  <c r="AD175" i="83"/>
  <c r="AK174" i="83"/>
  <c r="AK173" i="83"/>
  <c r="AD172" i="83"/>
  <c r="AK171" i="83"/>
  <c r="AD170" i="83"/>
  <c r="AK169" i="83"/>
  <c r="AK167" i="83"/>
  <c r="AD160" i="83"/>
  <c r="AD157" i="83"/>
  <c r="AK154" i="83"/>
  <c r="AD152" i="83"/>
  <c r="AD145" i="83"/>
  <c r="AD143" i="83"/>
  <c r="AK142" i="83"/>
  <c r="AD141" i="83"/>
  <c r="AD137" i="83"/>
  <c r="AK136" i="83"/>
  <c r="AK129" i="83"/>
  <c r="AK128" i="83"/>
  <c r="AK127" i="83"/>
  <c r="AD126" i="83"/>
  <c r="AD125" i="83"/>
  <c r="AK124" i="83"/>
  <c r="AD123" i="83"/>
  <c r="AK118" i="83"/>
  <c r="AD114" i="83"/>
  <c r="AK160" i="83"/>
  <c r="AK149" i="83"/>
  <c r="AD148" i="83"/>
  <c r="AD127" i="83"/>
  <c r="AK123" i="83"/>
  <c r="AK119" i="83"/>
  <c r="AK108" i="83"/>
  <c r="AK107" i="83"/>
  <c r="AD106" i="83"/>
  <c r="AD105" i="83"/>
  <c r="AD102" i="83"/>
  <c r="AK100" i="83"/>
  <c r="AK99" i="83"/>
  <c r="AK98" i="83"/>
  <c r="AK97" i="83"/>
  <c r="AD96" i="83"/>
  <c r="AK93" i="83"/>
  <c r="AD92" i="83"/>
  <c r="AK88" i="83"/>
  <c r="AK87" i="83"/>
  <c r="AD86" i="83"/>
  <c r="AK74" i="83"/>
  <c r="AK73" i="83"/>
  <c r="AD72" i="83"/>
  <c r="AD71" i="83"/>
  <c r="AD70" i="83"/>
  <c r="AD68" i="83"/>
  <c r="AK66" i="83"/>
  <c r="AK65" i="83"/>
  <c r="AK61" i="83"/>
  <c r="AK59" i="83"/>
  <c r="AK50" i="83"/>
  <c r="AK49" i="83"/>
  <c r="AD48" i="83"/>
  <c r="AD47" i="83"/>
  <c r="AD46" i="83"/>
  <c r="AD45" i="83"/>
  <c r="AD44" i="83"/>
  <c r="AK187" i="83"/>
  <c r="AK175" i="83"/>
  <c r="AD168" i="83"/>
  <c r="AD162" i="83"/>
  <c r="AK159" i="83"/>
  <c r="AK155" i="83"/>
  <c r="AK152" i="83"/>
  <c r="AD133" i="83"/>
  <c r="AD132" i="83"/>
  <c r="AD113" i="83"/>
  <c r="AD112" i="83"/>
  <c r="AK106" i="83"/>
  <c r="AK105" i="83"/>
  <c r="AD104" i="83"/>
  <c r="AD103" i="83"/>
  <c r="AK102" i="83"/>
  <c r="AK96" i="83"/>
  <c r="AD95" i="83"/>
  <c r="AK92" i="83"/>
  <c r="AK86" i="83"/>
  <c r="AD85" i="83"/>
  <c r="AD84" i="83"/>
  <c r="AD83" i="83"/>
  <c r="AD82" i="83"/>
  <c r="AD81" i="83"/>
  <c r="AD80" i="83"/>
  <c r="AD79" i="83"/>
  <c r="AD78" i="83"/>
  <c r="AD77" i="83"/>
  <c r="AK72" i="83"/>
  <c r="AK71" i="83"/>
  <c r="AK70" i="83"/>
  <c r="AK68" i="83"/>
  <c r="AK67" i="83"/>
  <c r="AK60" i="83"/>
  <c r="AD164" i="83"/>
  <c r="AD158" i="83"/>
  <c r="AD153" i="83"/>
  <c r="AK151" i="83"/>
  <c r="AD150" i="83"/>
  <c r="AK141" i="83"/>
  <c r="AK137" i="83"/>
  <c r="AD134" i="83"/>
  <c r="AD131" i="83"/>
  <c r="AD129" i="83"/>
  <c r="AK126" i="83"/>
  <c r="AK125" i="83"/>
  <c r="AK122" i="83"/>
  <c r="AK121" i="83"/>
  <c r="AK113" i="83"/>
  <c r="AK112" i="83"/>
  <c r="AD111" i="83"/>
  <c r="AD110" i="83"/>
  <c r="AD109" i="83"/>
  <c r="AK104" i="83"/>
  <c r="AK103" i="83"/>
  <c r="AD101" i="83"/>
  <c r="AK95" i="83"/>
  <c r="AD91" i="83"/>
  <c r="AD90" i="83"/>
  <c r="AD89" i="83"/>
  <c r="AK85" i="83"/>
  <c r="AK84" i="83"/>
  <c r="AK83" i="83"/>
  <c r="AK82" i="83"/>
  <c r="AK81" i="83"/>
  <c r="AK80" i="83"/>
  <c r="AK79" i="83"/>
  <c r="AK78" i="83"/>
  <c r="AK77" i="83"/>
  <c r="AD76" i="83"/>
  <c r="AD75" i="83"/>
  <c r="AD69" i="83"/>
  <c r="AD64" i="83"/>
  <c r="AD63" i="83"/>
  <c r="AD62" i="83"/>
  <c r="AD58" i="83"/>
  <c r="AD57" i="83"/>
  <c r="AD56" i="83"/>
  <c r="AD55" i="83"/>
  <c r="AD54" i="83"/>
  <c r="AD53" i="83"/>
  <c r="AD52" i="83"/>
  <c r="AD51" i="83"/>
  <c r="AK3" i="83"/>
  <c r="AK11" i="83"/>
  <c r="AD14" i="83"/>
  <c r="AT15" i="83"/>
  <c r="AK16" i="83"/>
  <c r="AT19" i="83"/>
  <c r="AX19" i="83" s="1"/>
  <c r="AD23" i="83"/>
  <c r="AD24" i="83"/>
  <c r="AD25" i="83"/>
  <c r="AD26" i="83"/>
  <c r="AD27" i="83"/>
  <c r="AD28" i="83"/>
  <c r="AK29" i="83"/>
  <c r="AK30" i="83"/>
  <c r="AK31" i="83"/>
  <c r="AK32" i="83"/>
  <c r="AK33" i="83"/>
  <c r="AT36" i="83"/>
  <c r="AX36" i="83" s="1"/>
  <c r="AK37" i="83"/>
  <c r="AK38" i="83"/>
  <c r="AT39" i="83"/>
  <c r="AX39" i="83" s="1"/>
  <c r="AD42" i="83"/>
  <c r="AK43" i="83"/>
  <c r="AD50" i="83"/>
  <c r="AK52" i="83"/>
  <c r="AU58" i="83"/>
  <c r="AX58" i="83" s="1"/>
  <c r="AU60" i="83"/>
  <c r="AT60" i="83"/>
  <c r="AD61" i="83"/>
  <c r="AD65" i="83"/>
  <c r="AV82" i="83"/>
  <c r="AU92" i="83"/>
  <c r="AT92" i="83"/>
  <c r="AV94" i="83"/>
  <c r="AE94" i="83"/>
  <c r="AF94" i="83" s="1"/>
  <c r="AD94" i="83"/>
  <c r="AK94" i="83"/>
  <c r="AC94" i="83"/>
  <c r="AT94" i="83"/>
  <c r="AU102" i="83"/>
  <c r="AT102" i="83"/>
  <c r="AT103" i="83"/>
  <c r="AX103" i="83" s="1"/>
  <c r="AK115" i="83"/>
  <c r="AC115" i="83"/>
  <c r="AE115" i="83"/>
  <c r="AF115" i="83" s="1"/>
  <c r="AD115" i="83"/>
  <c r="AK147" i="83"/>
  <c r="AU13" i="83"/>
  <c r="AX13" i="83" s="1"/>
  <c r="AU62" i="83"/>
  <c r="AU75" i="83"/>
  <c r="AX75" i="83" s="1"/>
  <c r="AV77" i="83"/>
  <c r="AU87" i="83"/>
  <c r="T87" i="83"/>
  <c r="AT87" i="83"/>
  <c r="AU88" i="83"/>
  <c r="AT88" i="83"/>
  <c r="AD4" i="83"/>
  <c r="AK7" i="83"/>
  <c r="U191" i="83"/>
  <c r="AD3" i="83"/>
  <c r="AK5" i="83"/>
  <c r="AK6" i="83"/>
  <c r="AD7" i="83"/>
  <c r="AD11" i="83"/>
  <c r="AC12" i="83"/>
  <c r="V15" i="83"/>
  <c r="AK15" i="83"/>
  <c r="AU15" i="83"/>
  <c r="AC17" i="83"/>
  <c r="AK18" i="83"/>
  <c r="AK19" i="83"/>
  <c r="AD29" i="83"/>
  <c r="AD30" i="83"/>
  <c r="AD31" i="83"/>
  <c r="AD33" i="83"/>
  <c r="AK35" i="83"/>
  <c r="AK36" i="83"/>
  <c r="AD37" i="83"/>
  <c r="AD38" i="83"/>
  <c r="AK39" i="83"/>
  <c r="AD43" i="83"/>
  <c r="AK44" i="83"/>
  <c r="AK47" i="83"/>
  <c r="AT50" i="83"/>
  <c r="AX50" i="83" s="1"/>
  <c r="AX52" i="83"/>
  <c r="AK53" i="83"/>
  <c r="AU56" i="83"/>
  <c r="AK58" i="83"/>
  <c r="AU66" i="83"/>
  <c r="AT66" i="83"/>
  <c r="AD66" i="83"/>
  <c r="AU67" i="83"/>
  <c r="AT67" i="83"/>
  <c r="AU73" i="83"/>
  <c r="AT73" i="83"/>
  <c r="AD73" i="83"/>
  <c r="AD74" i="83"/>
  <c r="AU76" i="83"/>
  <c r="AX76" i="83" s="1"/>
  <c r="AU91" i="83"/>
  <c r="AX91" i="83" s="1"/>
  <c r="AU93" i="83"/>
  <c r="AT93" i="83"/>
  <c r="AD93" i="83"/>
  <c r="AU97" i="83"/>
  <c r="AT97" i="83"/>
  <c r="AD97" i="83"/>
  <c r="AU98" i="83"/>
  <c r="AT98" i="83"/>
  <c r="AD98" i="83"/>
  <c r="AU99" i="83"/>
  <c r="AT99" i="83"/>
  <c r="AD99" i="83"/>
  <c r="AU100" i="83"/>
  <c r="AT100" i="83"/>
  <c r="AD100" i="83"/>
  <c r="AU101" i="83"/>
  <c r="AX101" i="83" s="1"/>
  <c r="AU107" i="83"/>
  <c r="AT107" i="83"/>
  <c r="AD107" i="83"/>
  <c r="AU108" i="83"/>
  <c r="AT108" i="83"/>
  <c r="AD108" i="83"/>
  <c r="AU109" i="83"/>
  <c r="AX109" i="83" s="1"/>
  <c r="AK114" i="83"/>
  <c r="AD116" i="83"/>
  <c r="AK120" i="83"/>
  <c r="AT105" i="83"/>
  <c r="AX105" i="83" s="1"/>
  <c r="AT118" i="83"/>
  <c r="AX118" i="83" s="1"/>
  <c r="AU135" i="83"/>
  <c r="AT135" i="83"/>
  <c r="AU140" i="83"/>
  <c r="AT140" i="83"/>
  <c r="AT150" i="83"/>
  <c r="AU150" i="83"/>
  <c r="AU153" i="83"/>
  <c r="AT153" i="83"/>
  <c r="AU164" i="83"/>
  <c r="AT164" i="83"/>
  <c r="AU132" i="83"/>
  <c r="AT132" i="83"/>
  <c r="AU133" i="83"/>
  <c r="AT133" i="83"/>
  <c r="AU134" i="83"/>
  <c r="AT134" i="83"/>
  <c r="AU161" i="83"/>
  <c r="AT161" i="83"/>
  <c r="AK116" i="83"/>
  <c r="AC116" i="83"/>
  <c r="AE116" i="83"/>
  <c r="AF116" i="83" s="1"/>
  <c r="AU138" i="83"/>
  <c r="AT138" i="83"/>
  <c r="AT148" i="83"/>
  <c r="AU148" i="83"/>
  <c r="AT162" i="83"/>
  <c r="AX162" i="83" s="1"/>
  <c r="AT168" i="83"/>
  <c r="AX168" i="83" s="1"/>
  <c r="AU182" i="83"/>
  <c r="AT182" i="83"/>
  <c r="AU149" i="83"/>
  <c r="AX149" i="83" s="1"/>
  <c r="AU151" i="83"/>
  <c r="AX151" i="83" s="1"/>
  <c r="AU159" i="83"/>
  <c r="AX159" i="83" s="1"/>
  <c r="AT163" i="83"/>
  <c r="AX163" i="83" s="1"/>
  <c r="AT165" i="83"/>
  <c r="AX165" i="83" s="1"/>
  <c r="F195" i="83" l="1"/>
  <c r="AT16" i="83"/>
  <c r="V16" i="83"/>
  <c r="V192" i="83" s="1"/>
  <c r="AU16" i="83"/>
  <c r="Y191" i="83"/>
  <c r="AX77" i="83"/>
  <c r="AE192" i="83"/>
  <c r="AF192" i="83" s="1"/>
  <c r="AX153" i="83"/>
  <c r="AX100" i="83"/>
  <c r="AX78" i="83"/>
  <c r="AX112" i="83"/>
  <c r="AX15" i="83"/>
  <c r="AC192" i="83"/>
  <c r="AX142" i="83"/>
  <c r="AX176" i="83"/>
  <c r="AX35" i="83"/>
  <c r="AX4" i="83"/>
  <c r="AX73" i="83"/>
  <c r="AX94" i="83"/>
  <c r="AX127" i="83"/>
  <c r="AX82" i="83"/>
  <c r="AX161" i="83"/>
  <c r="AX133" i="83"/>
  <c r="AX150" i="83"/>
  <c r="AX7" i="83"/>
  <c r="AX43" i="83"/>
  <c r="AX41" i="83"/>
  <c r="AV54" i="83"/>
  <c r="AX54" i="83" s="1"/>
  <c r="AX148" i="83"/>
  <c r="V191" i="83"/>
  <c r="AV180" i="83"/>
  <c r="AX180" i="83" s="1"/>
  <c r="AV57" i="83"/>
  <c r="AX57" i="83" s="1"/>
  <c r="AX97" i="83"/>
  <c r="AX29" i="83"/>
  <c r="AX37" i="83"/>
  <c r="AX83" i="83"/>
  <c r="AX84" i="83"/>
  <c r="AV21" i="83"/>
  <c r="AX21" i="83" s="1"/>
  <c r="AX138" i="83"/>
  <c r="AV134" i="83"/>
  <c r="AX134" i="83" s="1"/>
  <c r="AX164" i="83"/>
  <c r="AV140" i="83"/>
  <c r="AX140" i="83" s="1"/>
  <c r="AX98" i="83"/>
  <c r="AV87" i="83"/>
  <c r="AX87" i="83" s="1"/>
  <c r="AV62" i="83"/>
  <c r="AX62" i="83" s="1"/>
  <c r="AX60" i="83"/>
  <c r="AX166" i="83"/>
  <c r="AX124" i="83"/>
  <c r="AX86" i="83"/>
  <c r="AX70" i="83"/>
  <c r="S193" i="83"/>
  <c r="AC191" i="83"/>
  <c r="AD191" i="83" s="1"/>
  <c r="AV128" i="83"/>
  <c r="AX128" i="83" s="1"/>
  <c r="AV32" i="83"/>
  <c r="AX32" i="83" s="1"/>
  <c r="AX182" i="83"/>
  <c r="AX132" i="83"/>
  <c r="AX99" i="83"/>
  <c r="AX66" i="83"/>
  <c r="AX88" i="83"/>
  <c r="AX102" i="83"/>
  <c r="AX59" i="83"/>
  <c r="AV31" i="83"/>
  <c r="AX31" i="83" s="1"/>
  <c r="AV33" i="83"/>
  <c r="AX33" i="83" s="1"/>
  <c r="AV108" i="83"/>
  <c r="AX108" i="83" s="1"/>
  <c r="AV28" i="83"/>
  <c r="AX28" i="83" s="1"/>
  <c r="AV135" i="83"/>
  <c r="AX135" i="83" s="1"/>
  <c r="AV107" i="83"/>
  <c r="AX107" i="83" s="1"/>
  <c r="AV93" i="83"/>
  <c r="AX93" i="83" s="1"/>
  <c r="AV67" i="83"/>
  <c r="AX67" i="83" s="1"/>
  <c r="AV56" i="83"/>
  <c r="AX56" i="83" s="1"/>
  <c r="U193" i="83"/>
  <c r="AE191" i="83"/>
  <c r="AF191" i="83" s="1"/>
  <c r="AV92" i="83"/>
  <c r="AX92" i="83" s="1"/>
  <c r="AV26" i="83"/>
  <c r="AX26" i="83" s="1"/>
  <c r="AX14" i="83"/>
  <c r="AX16" i="83" l="1"/>
  <c r="AX191" i="83" s="1"/>
  <c r="V193" i="83"/>
  <c r="V179" i="80" l="1"/>
  <c r="BB178" i="80"/>
  <c r="AX177" i="80"/>
  <c r="AP177" i="80"/>
  <c r="AO177" i="80"/>
  <c r="AD177" i="80"/>
  <c r="AE177" i="80" s="1"/>
  <c r="AB177" i="80"/>
  <c r="V177" i="80"/>
  <c r="U177" i="80"/>
  <c r="T177" i="80"/>
  <c r="R177" i="80"/>
  <c r="AX176" i="80"/>
  <c r="AP176" i="80"/>
  <c r="AO176" i="80"/>
  <c r="AD176" i="80"/>
  <c r="AE176" i="80" s="1"/>
  <c r="AB176" i="80"/>
  <c r="V176" i="80"/>
  <c r="U176" i="80"/>
  <c r="T176" i="80"/>
  <c r="R176" i="80"/>
  <c r="AX175" i="80"/>
  <c r="AP175" i="80"/>
  <c r="AO175" i="80"/>
  <c r="AD175" i="80"/>
  <c r="AE175" i="80" s="1"/>
  <c r="AB175" i="80"/>
  <c r="V175" i="80"/>
  <c r="U175" i="80"/>
  <c r="T175" i="80"/>
  <c r="R175" i="80"/>
  <c r="AX174" i="80"/>
  <c r="AP174" i="80"/>
  <c r="AO174" i="80"/>
  <c r="AD174" i="80"/>
  <c r="AE174" i="80" s="1"/>
  <c r="AB174" i="80"/>
  <c r="V174" i="80"/>
  <c r="U174" i="80"/>
  <c r="T174" i="80"/>
  <c r="R174" i="80"/>
  <c r="AX173" i="80"/>
  <c r="AP173" i="80"/>
  <c r="AO173" i="80"/>
  <c r="AD173" i="80"/>
  <c r="AE173" i="80" s="1"/>
  <c r="AB173" i="80"/>
  <c r="V173" i="80"/>
  <c r="U173" i="80"/>
  <c r="T173" i="80"/>
  <c r="R173" i="80"/>
  <c r="AX172" i="80"/>
  <c r="AP172" i="80"/>
  <c r="AO172" i="80"/>
  <c r="AD172" i="80"/>
  <c r="AE172" i="80" s="1"/>
  <c r="AB172" i="80"/>
  <c r="X172" i="80"/>
  <c r="V172" i="80"/>
  <c r="U172" i="80"/>
  <c r="T172" i="80"/>
  <c r="S172" i="80"/>
  <c r="R172" i="80"/>
  <c r="AX171" i="80"/>
  <c r="AP171" i="80"/>
  <c r="AO171" i="80"/>
  <c r="AD171" i="80"/>
  <c r="AE171" i="80" s="1"/>
  <c r="AB171" i="80"/>
  <c r="V171" i="80"/>
  <c r="T171" i="80"/>
  <c r="R171" i="80"/>
  <c r="AX170" i="80"/>
  <c r="AP170" i="80"/>
  <c r="AO170" i="80"/>
  <c r="AD170" i="80"/>
  <c r="AE170" i="80" s="1"/>
  <c r="AB170" i="80"/>
  <c r="T170" i="80"/>
  <c r="AX169" i="80"/>
  <c r="AP169" i="80"/>
  <c r="AO169" i="80"/>
  <c r="AD169" i="80"/>
  <c r="AE169" i="80" s="1"/>
  <c r="AB169" i="80"/>
  <c r="V169" i="80"/>
  <c r="U169" i="80"/>
  <c r="T169" i="80"/>
  <c r="R169" i="80"/>
  <c r="AX168" i="80"/>
  <c r="AP168" i="80"/>
  <c r="AO168" i="80"/>
  <c r="AD168" i="80"/>
  <c r="AE168" i="80" s="1"/>
  <c r="AB168" i="80"/>
  <c r="V168" i="80"/>
  <c r="U168" i="80"/>
  <c r="T168" i="80"/>
  <c r="R168" i="80"/>
  <c r="AX167" i="80"/>
  <c r="AP167" i="80"/>
  <c r="AO167" i="80"/>
  <c r="AD167" i="80"/>
  <c r="AE167" i="80" s="1"/>
  <c r="AB167" i="80"/>
  <c r="V167" i="80"/>
  <c r="U167" i="80"/>
  <c r="T167" i="80"/>
  <c r="R167" i="80"/>
  <c r="AX166" i="80"/>
  <c r="AP166" i="80"/>
  <c r="AO166" i="80"/>
  <c r="AD166" i="80"/>
  <c r="AE166" i="80" s="1"/>
  <c r="AB166" i="80"/>
  <c r="V166" i="80"/>
  <c r="U166" i="80"/>
  <c r="T166" i="80"/>
  <c r="R166" i="80"/>
  <c r="AX165" i="80"/>
  <c r="AP165" i="80"/>
  <c r="AO165" i="80"/>
  <c r="AD165" i="80"/>
  <c r="AE165" i="80" s="1"/>
  <c r="AB165" i="80"/>
  <c r="T165" i="80"/>
  <c r="AX164" i="80"/>
  <c r="AP164" i="80"/>
  <c r="AO164" i="80"/>
  <c r="AD164" i="80"/>
  <c r="AE164" i="80" s="1"/>
  <c r="AB164" i="80"/>
  <c r="V164" i="80"/>
  <c r="U164" i="80"/>
  <c r="T164" i="80"/>
  <c r="R164" i="80"/>
  <c r="AX163" i="80"/>
  <c r="AP163" i="80"/>
  <c r="AO163" i="80"/>
  <c r="AD163" i="80"/>
  <c r="AE163" i="80" s="1"/>
  <c r="AB163" i="80"/>
  <c r="T163" i="80"/>
  <c r="AX162" i="80"/>
  <c r="AP162" i="80"/>
  <c r="AO162" i="80"/>
  <c r="AD162" i="80"/>
  <c r="AE162" i="80" s="1"/>
  <c r="AB162" i="80"/>
  <c r="V162" i="80"/>
  <c r="U162" i="80"/>
  <c r="T162" i="80"/>
  <c r="R162" i="80"/>
  <c r="AX161" i="80"/>
  <c r="AP161" i="80"/>
  <c r="AO161" i="80"/>
  <c r="AD161" i="80"/>
  <c r="AE161" i="80" s="1"/>
  <c r="AB161" i="80"/>
  <c r="T161" i="80"/>
  <c r="AX160" i="80"/>
  <c r="AP160" i="80"/>
  <c r="AO160" i="80"/>
  <c r="AD160" i="80"/>
  <c r="AE160" i="80" s="1"/>
  <c r="AB160" i="80"/>
  <c r="T160" i="80"/>
  <c r="AX159" i="80"/>
  <c r="AP159" i="80"/>
  <c r="AO159" i="80"/>
  <c r="AD159" i="80"/>
  <c r="AE159" i="80" s="1"/>
  <c r="AB159" i="80"/>
  <c r="V159" i="80"/>
  <c r="U159" i="80"/>
  <c r="T159" i="80"/>
  <c r="R159" i="80"/>
  <c r="AX158" i="80"/>
  <c r="AP158" i="80"/>
  <c r="AO158" i="80"/>
  <c r="AD158" i="80"/>
  <c r="AE158" i="80" s="1"/>
  <c r="AB158" i="80"/>
  <c r="V158" i="80"/>
  <c r="U158" i="80"/>
  <c r="T158" i="80"/>
  <c r="R158" i="80"/>
  <c r="AX157" i="80"/>
  <c r="AP157" i="80"/>
  <c r="AO157" i="80"/>
  <c r="AD157" i="80"/>
  <c r="AE157" i="80" s="1"/>
  <c r="AB157" i="80"/>
  <c r="V157" i="80"/>
  <c r="U157" i="80"/>
  <c r="S157" i="80"/>
  <c r="T157" i="80" s="1"/>
  <c r="R157" i="80"/>
  <c r="AX156" i="80"/>
  <c r="AP156" i="80"/>
  <c r="AO156" i="80"/>
  <c r="AD156" i="80"/>
  <c r="AE156" i="80" s="1"/>
  <c r="AB156" i="80"/>
  <c r="V156" i="80"/>
  <c r="U156" i="80"/>
  <c r="T156" i="80"/>
  <c r="R156" i="80"/>
  <c r="AX155" i="80"/>
  <c r="AP155" i="80"/>
  <c r="AO155" i="80"/>
  <c r="AD155" i="80"/>
  <c r="AE155" i="80" s="1"/>
  <c r="AB155" i="80"/>
  <c r="T155" i="80"/>
  <c r="AX154" i="80"/>
  <c r="AP154" i="80"/>
  <c r="AO154" i="80"/>
  <c r="AD154" i="80"/>
  <c r="AE154" i="80" s="1"/>
  <c r="AB154" i="80"/>
  <c r="V154" i="80"/>
  <c r="U154" i="80"/>
  <c r="T154" i="80"/>
  <c r="R154" i="80"/>
  <c r="AX153" i="80"/>
  <c r="AP153" i="80"/>
  <c r="AO153" i="80"/>
  <c r="AD153" i="80"/>
  <c r="AE153" i="80" s="1"/>
  <c r="AB153" i="80"/>
  <c r="V153" i="80"/>
  <c r="U153" i="80"/>
  <c r="T153" i="80"/>
  <c r="R153" i="80"/>
  <c r="AX152" i="80"/>
  <c r="AP152" i="80"/>
  <c r="AO152" i="80"/>
  <c r="AD152" i="80"/>
  <c r="AE152" i="80" s="1"/>
  <c r="AB152" i="80"/>
  <c r="V152" i="80"/>
  <c r="U152" i="80"/>
  <c r="T152" i="80"/>
  <c r="R152" i="80"/>
  <c r="AX151" i="80"/>
  <c r="AP151" i="80"/>
  <c r="AO151" i="80"/>
  <c r="AD151" i="80"/>
  <c r="AE151" i="80" s="1"/>
  <c r="AB151" i="80"/>
  <c r="V151" i="80"/>
  <c r="U151" i="80"/>
  <c r="T151" i="80"/>
  <c r="R151" i="80"/>
  <c r="AX150" i="80"/>
  <c r="AP150" i="80"/>
  <c r="AO150" i="80"/>
  <c r="AD150" i="80"/>
  <c r="AE150" i="80" s="1"/>
  <c r="AB150" i="80"/>
  <c r="T150" i="80"/>
  <c r="AX149" i="80"/>
  <c r="AP149" i="80"/>
  <c r="AO149" i="80"/>
  <c r="AD149" i="80"/>
  <c r="AE149" i="80" s="1"/>
  <c r="AB149" i="80"/>
  <c r="V149" i="80"/>
  <c r="U149" i="80"/>
  <c r="T149" i="80"/>
  <c r="R149" i="80"/>
  <c r="AX148" i="80"/>
  <c r="AP148" i="80"/>
  <c r="AO148" i="80"/>
  <c r="AD148" i="80"/>
  <c r="AE148" i="80" s="1"/>
  <c r="AB148" i="80"/>
  <c r="V148" i="80"/>
  <c r="U148" i="80"/>
  <c r="T148" i="80"/>
  <c r="R148" i="80"/>
  <c r="AX147" i="80"/>
  <c r="AP147" i="80"/>
  <c r="AO147" i="80"/>
  <c r="AD147" i="80"/>
  <c r="AE147" i="80" s="1"/>
  <c r="AB147" i="80"/>
  <c r="V147" i="80"/>
  <c r="U147" i="80"/>
  <c r="T147" i="80"/>
  <c r="R147" i="80"/>
  <c r="AX146" i="80"/>
  <c r="AP146" i="80"/>
  <c r="AO146" i="80"/>
  <c r="AD146" i="80"/>
  <c r="AE146" i="80" s="1"/>
  <c r="AB146" i="80"/>
  <c r="V146" i="80"/>
  <c r="U146" i="80"/>
  <c r="T146" i="80"/>
  <c r="R146" i="80"/>
  <c r="AX145" i="80"/>
  <c r="AP145" i="80"/>
  <c r="AO145" i="80"/>
  <c r="AD145" i="80"/>
  <c r="AE145" i="80" s="1"/>
  <c r="AB145" i="80"/>
  <c r="V145" i="80"/>
  <c r="U145" i="80"/>
  <c r="S145" i="80"/>
  <c r="T145" i="80" s="1"/>
  <c r="R145" i="80"/>
  <c r="AX144" i="80"/>
  <c r="AP144" i="80"/>
  <c r="AO144" i="80"/>
  <c r="AD144" i="80"/>
  <c r="AE144" i="80" s="1"/>
  <c r="AB144" i="80"/>
  <c r="U144" i="80"/>
  <c r="T144" i="80"/>
  <c r="AX143" i="80"/>
  <c r="AP143" i="80"/>
  <c r="AO143" i="80"/>
  <c r="AD143" i="80"/>
  <c r="AE143" i="80" s="1"/>
  <c r="AB143" i="80"/>
  <c r="V143" i="80"/>
  <c r="S143" i="80"/>
  <c r="T143" i="80" s="1"/>
  <c r="R143" i="80"/>
  <c r="AX142" i="80"/>
  <c r="AP142" i="80"/>
  <c r="AO142" i="80"/>
  <c r="AD142" i="80"/>
  <c r="AE142" i="80" s="1"/>
  <c r="AB142" i="80"/>
  <c r="V142" i="80"/>
  <c r="U142" i="80"/>
  <c r="T142" i="80"/>
  <c r="R142" i="80"/>
  <c r="AX141" i="80"/>
  <c r="AP141" i="80"/>
  <c r="AO141" i="80"/>
  <c r="AD141" i="80"/>
  <c r="AE141" i="80" s="1"/>
  <c r="AB141" i="80"/>
  <c r="X141" i="80"/>
  <c r="T141" i="80"/>
  <c r="AX140" i="80"/>
  <c r="AP140" i="80"/>
  <c r="AO140" i="80"/>
  <c r="AD140" i="80"/>
  <c r="AE140" i="80" s="1"/>
  <c r="AB140" i="80"/>
  <c r="V140" i="80"/>
  <c r="T140" i="80"/>
  <c r="R140" i="80"/>
  <c r="AX139" i="80"/>
  <c r="AP139" i="80"/>
  <c r="AO139" i="80"/>
  <c r="AD139" i="80"/>
  <c r="AE139" i="80" s="1"/>
  <c r="AB139" i="80"/>
  <c r="V139" i="80"/>
  <c r="T139" i="80"/>
  <c r="R139" i="80"/>
  <c r="AX138" i="80"/>
  <c r="AP138" i="80"/>
  <c r="AO138" i="80"/>
  <c r="AD138" i="80"/>
  <c r="AE138" i="80" s="1"/>
  <c r="AB138" i="80"/>
  <c r="V138" i="80"/>
  <c r="T138" i="80"/>
  <c r="R138" i="80"/>
  <c r="AX137" i="80"/>
  <c r="AP137" i="80"/>
  <c r="AO137" i="80"/>
  <c r="AD137" i="80"/>
  <c r="AE137" i="80" s="1"/>
  <c r="AB137" i="80"/>
  <c r="V137" i="80"/>
  <c r="T137" i="80" a="1"/>
  <c r="T137" i="80" s="1"/>
  <c r="R137" i="80"/>
  <c r="AX136" i="80"/>
  <c r="AP136" i="80"/>
  <c r="AO136" i="80"/>
  <c r="AD136" i="80"/>
  <c r="AE136" i="80" s="1"/>
  <c r="AB136" i="80"/>
  <c r="V136" i="80"/>
  <c r="U136" i="80"/>
  <c r="T136" i="80"/>
  <c r="R136" i="80"/>
  <c r="AX135" i="80"/>
  <c r="AP135" i="80"/>
  <c r="AO135" i="80"/>
  <c r="AD135" i="80"/>
  <c r="AE135" i="80" s="1"/>
  <c r="AB135" i="80"/>
  <c r="V135" i="80"/>
  <c r="U135" i="80"/>
  <c r="T135" i="80"/>
  <c r="R135" i="80"/>
  <c r="AX134" i="80"/>
  <c r="AP134" i="80"/>
  <c r="AO134" i="80"/>
  <c r="AD134" i="80"/>
  <c r="AE134" i="80" s="1"/>
  <c r="AB134" i="80"/>
  <c r="V134" i="80"/>
  <c r="U134" i="80"/>
  <c r="T134" i="80"/>
  <c r="R134" i="80"/>
  <c r="AX133" i="80"/>
  <c r="AP133" i="80"/>
  <c r="AO133" i="80"/>
  <c r="AD133" i="80"/>
  <c r="AE133" i="80" s="1"/>
  <c r="AB133" i="80"/>
  <c r="U133" i="80"/>
  <c r="T133" i="80"/>
  <c r="AX132" i="80"/>
  <c r="AP132" i="80"/>
  <c r="AO132" i="80"/>
  <c r="AD132" i="80"/>
  <c r="AE132" i="80" s="1"/>
  <c r="AB132" i="80"/>
  <c r="V132" i="80"/>
  <c r="U132" i="80"/>
  <c r="T132" i="80"/>
  <c r="R132" i="80"/>
  <c r="AX131" i="80"/>
  <c r="AP131" i="80"/>
  <c r="AO131" i="80"/>
  <c r="AD131" i="80"/>
  <c r="AE131" i="80" s="1"/>
  <c r="AB131" i="80"/>
  <c r="V131" i="80"/>
  <c r="U131" i="80"/>
  <c r="T131" i="80"/>
  <c r="R131" i="80"/>
  <c r="AX130" i="80"/>
  <c r="AP130" i="80"/>
  <c r="AO130" i="80"/>
  <c r="AD130" i="80"/>
  <c r="AE130" i="80" s="1"/>
  <c r="AB130" i="80"/>
  <c r="V130" i="80"/>
  <c r="U130" i="80"/>
  <c r="S130" i="80"/>
  <c r="T130" i="80" s="1"/>
  <c r="R130" i="80"/>
  <c r="AX129" i="80"/>
  <c r="AP129" i="80"/>
  <c r="AO129" i="80"/>
  <c r="AD129" i="80"/>
  <c r="AE129" i="80" s="1"/>
  <c r="AB129" i="80"/>
  <c r="V129" i="80"/>
  <c r="T129" i="80"/>
  <c r="U129" i="80" s="1"/>
  <c r="R129" i="80"/>
  <c r="AX128" i="80"/>
  <c r="AP128" i="80"/>
  <c r="AO128" i="80"/>
  <c r="AD128" i="80"/>
  <c r="AE128" i="80" s="1"/>
  <c r="AB128" i="80"/>
  <c r="V128" i="80"/>
  <c r="S128" i="80"/>
  <c r="T128" i="80" s="1"/>
  <c r="AX127" i="80"/>
  <c r="AP127" i="80"/>
  <c r="AO127" i="80"/>
  <c r="AD127" i="80"/>
  <c r="AE127" i="80" s="1"/>
  <c r="AB127" i="80"/>
  <c r="V127" i="80"/>
  <c r="U127" i="80"/>
  <c r="S127" i="80"/>
  <c r="T127" i="80" s="1"/>
  <c r="R127" i="80"/>
  <c r="AX126" i="80"/>
  <c r="AP126" i="80"/>
  <c r="AO126" i="80"/>
  <c r="AD126" i="80"/>
  <c r="AE126" i="80" s="1"/>
  <c r="AB126" i="80"/>
  <c r="U126" i="80"/>
  <c r="T126" i="80"/>
  <c r="AX125" i="80"/>
  <c r="AP125" i="80"/>
  <c r="AO125" i="80"/>
  <c r="AD125" i="80"/>
  <c r="AE125" i="80" s="1"/>
  <c r="AB125" i="80"/>
  <c r="V125" i="80"/>
  <c r="U125" i="80"/>
  <c r="T125" i="80"/>
  <c r="R125" i="80"/>
  <c r="AX124" i="80"/>
  <c r="AP124" i="80"/>
  <c r="AO124" i="80"/>
  <c r="AD124" i="80"/>
  <c r="AE124" i="80" s="1"/>
  <c r="AB124" i="80"/>
  <c r="V124" i="80"/>
  <c r="U124" i="80"/>
  <c r="S124" i="80"/>
  <c r="T124" i="80" s="1"/>
  <c r="R124" i="80"/>
  <c r="AX123" i="80"/>
  <c r="AP123" i="80"/>
  <c r="AO123" i="80"/>
  <c r="AD123" i="80"/>
  <c r="AE123" i="80" s="1"/>
  <c r="AB123" i="80"/>
  <c r="V123" i="80"/>
  <c r="U123" i="80"/>
  <c r="T123" i="80"/>
  <c r="R123" i="80"/>
  <c r="AX122" i="80"/>
  <c r="AP122" i="80"/>
  <c r="AO122" i="80"/>
  <c r="AA122" i="80"/>
  <c r="V122" i="80"/>
  <c r="U122" i="80"/>
  <c r="T122" i="80"/>
  <c r="R122" i="80"/>
  <c r="AX121" i="80"/>
  <c r="AP121" i="80"/>
  <c r="AO121" i="80"/>
  <c r="AD121" i="80"/>
  <c r="AE121" i="80" s="1"/>
  <c r="AB121" i="80"/>
  <c r="T121" i="80"/>
  <c r="R121" i="80"/>
  <c r="AX120" i="80"/>
  <c r="AP120" i="80"/>
  <c r="AO120" i="80"/>
  <c r="AD120" i="80"/>
  <c r="AE120" i="80" s="1"/>
  <c r="AB120" i="80"/>
  <c r="AX119" i="80"/>
  <c r="AP119" i="80"/>
  <c r="AO119" i="80"/>
  <c r="AA119" i="80"/>
  <c r="AD119" i="80" s="1"/>
  <c r="AE119" i="80" s="1"/>
  <c r="X119" i="80"/>
  <c r="V119" i="80"/>
  <c r="U119" i="80"/>
  <c r="T119" i="80"/>
  <c r="R119" i="80"/>
  <c r="AX118" i="80"/>
  <c r="AP118" i="80"/>
  <c r="AO118" i="80"/>
  <c r="AA118" i="80"/>
  <c r="AD118" i="80" s="1"/>
  <c r="AE118" i="80" s="1"/>
  <c r="V118" i="80"/>
  <c r="U118" i="80"/>
  <c r="T118" i="80"/>
  <c r="R118" i="80"/>
  <c r="AX117" i="80"/>
  <c r="AP117" i="80"/>
  <c r="AO117" i="80"/>
  <c r="AD117" i="80"/>
  <c r="AE117" i="80" s="1"/>
  <c r="AB117" i="80"/>
  <c r="V117" i="80"/>
  <c r="U117" i="80"/>
  <c r="T117" i="80"/>
  <c r="R117" i="80"/>
  <c r="AX116" i="80"/>
  <c r="AP116" i="80"/>
  <c r="AO116" i="80"/>
  <c r="AD116" i="80"/>
  <c r="AE116" i="80" s="1"/>
  <c r="AB116" i="80"/>
  <c r="V116" i="80"/>
  <c r="U116" i="80"/>
  <c r="T116" i="80"/>
  <c r="R116" i="80"/>
  <c r="AX115" i="80"/>
  <c r="AP115" i="80"/>
  <c r="AO115" i="80"/>
  <c r="AD115" i="80"/>
  <c r="AE115" i="80" s="1"/>
  <c r="AB115" i="80"/>
  <c r="V115" i="80"/>
  <c r="U115" i="80"/>
  <c r="S115" i="80"/>
  <c r="T115" i="80" s="1"/>
  <c r="R115" i="80"/>
  <c r="AX114" i="80"/>
  <c r="AP114" i="80"/>
  <c r="AO114" i="80"/>
  <c r="AD114" i="80"/>
  <c r="AE114" i="80" s="1"/>
  <c r="AB114" i="80"/>
  <c r="V114" i="80"/>
  <c r="U114" i="80"/>
  <c r="T114" i="80"/>
  <c r="R114" i="80"/>
  <c r="AX113" i="80"/>
  <c r="AP113" i="80"/>
  <c r="AO113" i="80"/>
  <c r="AD113" i="80"/>
  <c r="AE113" i="80" s="1"/>
  <c r="AB113" i="80"/>
  <c r="V113" i="80"/>
  <c r="U113" i="80"/>
  <c r="T113" i="80"/>
  <c r="R113" i="80"/>
  <c r="AX112" i="80"/>
  <c r="AP112" i="80"/>
  <c r="AO112" i="80"/>
  <c r="AD112" i="80"/>
  <c r="AE112" i="80" s="1"/>
  <c r="AB112" i="80"/>
  <c r="V112" i="80"/>
  <c r="U112" i="80"/>
  <c r="T112" i="80"/>
  <c r="R112" i="80"/>
  <c r="AX111" i="80"/>
  <c r="AP111" i="80"/>
  <c r="AO111" i="80"/>
  <c r="AD111" i="80"/>
  <c r="AE111" i="80" s="1"/>
  <c r="AB111" i="80"/>
  <c r="V111" i="80"/>
  <c r="U111" i="80"/>
  <c r="T111" i="80"/>
  <c r="R111" i="80"/>
  <c r="AX110" i="80"/>
  <c r="AP110" i="80"/>
  <c r="AO110" i="80"/>
  <c r="AD110" i="80"/>
  <c r="AE110" i="80" s="1"/>
  <c r="AB110" i="80"/>
  <c r="V110" i="80"/>
  <c r="U110" i="80"/>
  <c r="S110" i="80"/>
  <c r="T110" i="80" s="1"/>
  <c r="R110" i="80"/>
  <c r="AX109" i="80"/>
  <c r="AP109" i="80"/>
  <c r="AO109" i="80"/>
  <c r="AD109" i="80"/>
  <c r="AE109" i="80" s="1"/>
  <c r="AB109" i="80"/>
  <c r="V109" i="80"/>
  <c r="U109" i="80"/>
  <c r="T109" i="80"/>
  <c r="R109" i="80"/>
  <c r="AX108" i="80"/>
  <c r="AP108" i="80"/>
  <c r="AO108" i="80"/>
  <c r="AA108" i="80"/>
  <c r="AD108" i="80" s="1"/>
  <c r="AE108" i="80" s="1"/>
  <c r="V108" i="80"/>
  <c r="U108" i="80"/>
  <c r="T108" i="80"/>
  <c r="R108" i="80"/>
  <c r="AX107" i="80"/>
  <c r="AP107" i="80"/>
  <c r="AO107" i="80"/>
  <c r="AD107" i="80"/>
  <c r="AE107" i="80" s="1"/>
  <c r="AB107" i="80"/>
  <c r="V107" i="80"/>
  <c r="U107" i="80"/>
  <c r="T107" i="80"/>
  <c r="R107" i="80"/>
  <c r="AX106" i="80"/>
  <c r="AP106" i="80"/>
  <c r="AO106" i="80"/>
  <c r="AD106" i="80"/>
  <c r="AE106" i="80" s="1"/>
  <c r="AB106" i="80"/>
  <c r="R106" i="80"/>
  <c r="S106" i="80" s="1"/>
  <c r="T106" i="80" s="1"/>
  <c r="AX105" i="80"/>
  <c r="AP105" i="80"/>
  <c r="AO105" i="80"/>
  <c r="AD105" i="80"/>
  <c r="AE105" i="80" s="1"/>
  <c r="AB105" i="80"/>
  <c r="V105" i="80"/>
  <c r="T105" i="80"/>
  <c r="AX104" i="80"/>
  <c r="AP104" i="80"/>
  <c r="AO104" i="80"/>
  <c r="AD104" i="80"/>
  <c r="AE104" i="80" s="1"/>
  <c r="AB104" i="80"/>
  <c r="V104" i="80"/>
  <c r="U104" i="80"/>
  <c r="S104" i="80"/>
  <c r="T104" i="80" s="1"/>
  <c r="R104" i="80"/>
  <c r="AX103" i="80"/>
  <c r="AP103" i="80"/>
  <c r="AO103" i="80"/>
  <c r="AD103" i="80"/>
  <c r="AE103" i="80" s="1"/>
  <c r="AB103" i="80"/>
  <c r="V103" i="80"/>
  <c r="U103" i="80"/>
  <c r="T103" i="80"/>
  <c r="R103" i="80"/>
  <c r="AX102" i="80"/>
  <c r="AP102" i="80"/>
  <c r="AO102" i="80"/>
  <c r="AD102" i="80"/>
  <c r="AE102" i="80" s="1"/>
  <c r="AB102" i="80"/>
  <c r="V102" i="80"/>
  <c r="U102" i="80"/>
  <c r="T102" i="80"/>
  <c r="R102" i="80"/>
  <c r="AX101" i="80"/>
  <c r="AP101" i="80"/>
  <c r="AO101" i="80"/>
  <c r="AD101" i="80"/>
  <c r="AE101" i="80" s="1"/>
  <c r="AB101" i="80"/>
  <c r="V101" i="80"/>
  <c r="U101" i="80"/>
  <c r="R101" i="80"/>
  <c r="T101" i="80" s="1"/>
  <c r="AX100" i="80"/>
  <c r="AP100" i="80"/>
  <c r="AO100" i="80"/>
  <c r="AD100" i="80"/>
  <c r="AE100" i="80" s="1"/>
  <c r="AB100" i="80"/>
  <c r="V100" i="80"/>
  <c r="U100" i="80"/>
  <c r="R100" i="80"/>
  <c r="T100" i="80" s="1"/>
  <c r="AX99" i="80"/>
  <c r="AP99" i="80"/>
  <c r="AO99" i="80"/>
  <c r="AD99" i="80"/>
  <c r="AE99" i="80" s="1"/>
  <c r="AB99" i="80"/>
  <c r="T99" i="80"/>
  <c r="AX98" i="80"/>
  <c r="AP98" i="80"/>
  <c r="AO98" i="80"/>
  <c r="AD98" i="80"/>
  <c r="AE98" i="80" s="1"/>
  <c r="AB98" i="80"/>
  <c r="V98" i="80"/>
  <c r="U98" i="80"/>
  <c r="S98" i="80"/>
  <c r="T98" i="80" s="1"/>
  <c r="R98" i="80"/>
  <c r="AX97" i="80"/>
  <c r="AP97" i="80"/>
  <c r="AO97" i="80"/>
  <c r="AA97" i="80"/>
  <c r="AD97" i="80" s="1"/>
  <c r="AE97" i="80" s="1"/>
  <c r="V97" i="80"/>
  <c r="U97" i="80"/>
  <c r="S97" i="80"/>
  <c r="R97" i="80"/>
  <c r="T97" i="80" s="1"/>
  <c r="AX96" i="80"/>
  <c r="AP96" i="80"/>
  <c r="AO96" i="80"/>
  <c r="AD96" i="80"/>
  <c r="AE96" i="80" s="1"/>
  <c r="AB96" i="80"/>
  <c r="V96" i="80"/>
  <c r="U96" i="80"/>
  <c r="R96" i="80"/>
  <c r="T96" i="80" s="1"/>
  <c r="AX95" i="80"/>
  <c r="AP95" i="80"/>
  <c r="AO95" i="80"/>
  <c r="AD95" i="80"/>
  <c r="AE95" i="80" s="1"/>
  <c r="AB95" i="80"/>
  <c r="S95" i="80"/>
  <c r="T95" i="80" s="1"/>
  <c r="AX94" i="80"/>
  <c r="AP94" i="80"/>
  <c r="AO94" i="80"/>
  <c r="AD94" i="80"/>
  <c r="AE94" i="80" s="1"/>
  <c r="AB94" i="80"/>
  <c r="V94" i="80"/>
  <c r="U94" i="80"/>
  <c r="R94" i="80"/>
  <c r="T94" i="80" s="1"/>
  <c r="AX93" i="80"/>
  <c r="AP93" i="80"/>
  <c r="AO93" i="80"/>
  <c r="AD93" i="80"/>
  <c r="AE93" i="80" s="1"/>
  <c r="AB93" i="80"/>
  <c r="V93" i="80"/>
  <c r="U93" i="80"/>
  <c r="T93" i="80"/>
  <c r="R93" i="80"/>
  <c r="AX92" i="80"/>
  <c r="AP92" i="80"/>
  <c r="AO92" i="80"/>
  <c r="AA92" i="80"/>
  <c r="AD92" i="80" s="1"/>
  <c r="AE92" i="80" s="1"/>
  <c r="V92" i="80"/>
  <c r="U92" i="80"/>
  <c r="R92" i="80"/>
  <c r="T92" i="80" s="1"/>
  <c r="AX91" i="80"/>
  <c r="AP91" i="80"/>
  <c r="AO91" i="80"/>
  <c r="AD91" i="80"/>
  <c r="AE91" i="80" s="1"/>
  <c r="AB91" i="80"/>
  <c r="V91" i="80"/>
  <c r="U91" i="80"/>
  <c r="R91" i="80"/>
  <c r="T91" i="80" s="1"/>
  <c r="AX90" i="80"/>
  <c r="AP90" i="80"/>
  <c r="AO90" i="80"/>
  <c r="AD90" i="80"/>
  <c r="AE90" i="80" s="1"/>
  <c r="AB90" i="80"/>
  <c r="V90" i="80"/>
  <c r="U90" i="80"/>
  <c r="T90" i="80"/>
  <c r="S90" i="80" s="1"/>
  <c r="R90" i="80"/>
  <c r="AX89" i="80"/>
  <c r="AP89" i="80"/>
  <c r="AO89" i="80"/>
  <c r="AD89" i="80"/>
  <c r="AE89" i="80" s="1"/>
  <c r="AB89" i="80"/>
  <c r="V89" i="80"/>
  <c r="U89" i="80"/>
  <c r="R89" i="80"/>
  <c r="T89" i="80" s="1"/>
  <c r="AX88" i="80"/>
  <c r="AP88" i="80"/>
  <c r="AO88" i="80"/>
  <c r="AD88" i="80"/>
  <c r="AE88" i="80" s="1"/>
  <c r="AB88" i="80"/>
  <c r="V88" i="80"/>
  <c r="U88" i="80"/>
  <c r="T88" i="80"/>
  <c r="R88" i="80"/>
  <c r="AX87" i="80"/>
  <c r="AP87" i="80"/>
  <c r="AO87" i="80"/>
  <c r="AD87" i="80"/>
  <c r="AE87" i="80" s="1"/>
  <c r="AB87" i="80"/>
  <c r="V87" i="80"/>
  <c r="U87" i="80"/>
  <c r="R87" i="80"/>
  <c r="T87" i="80" s="1"/>
  <c r="AX86" i="80"/>
  <c r="AP86" i="80"/>
  <c r="AO86" i="80"/>
  <c r="AD86" i="80"/>
  <c r="AE86" i="80" s="1"/>
  <c r="AB86" i="80"/>
  <c r="V86" i="80"/>
  <c r="U86" i="80"/>
  <c r="R86" i="80"/>
  <c r="T86" i="80" s="1"/>
  <c r="AX85" i="80"/>
  <c r="AP85" i="80"/>
  <c r="AO85" i="80"/>
  <c r="AD85" i="80"/>
  <c r="AE85" i="80" s="1"/>
  <c r="AB85" i="80"/>
  <c r="V85" i="80"/>
  <c r="U85" i="80"/>
  <c r="R85" i="80"/>
  <c r="T85" i="80" s="1"/>
  <c r="AX84" i="80"/>
  <c r="AP84" i="80"/>
  <c r="AO84" i="80"/>
  <c r="AD84" i="80"/>
  <c r="AE84" i="80" s="1"/>
  <c r="AB84" i="80"/>
  <c r="V84" i="80"/>
  <c r="U84" i="80"/>
  <c r="R84" i="80"/>
  <c r="T84" i="80" s="1"/>
  <c r="AX83" i="80"/>
  <c r="AP83" i="80"/>
  <c r="AO83" i="80"/>
  <c r="AD83" i="80"/>
  <c r="AE83" i="80" s="1"/>
  <c r="AB83" i="80"/>
  <c r="V83" i="80"/>
  <c r="U83" i="80"/>
  <c r="R83" i="80"/>
  <c r="T83" i="80" s="1"/>
  <c r="AX82" i="80"/>
  <c r="AP82" i="80"/>
  <c r="AO82" i="80"/>
  <c r="AD82" i="80"/>
  <c r="AE82" i="80" s="1"/>
  <c r="AB82" i="80"/>
  <c r="V82" i="80"/>
  <c r="U82" i="80"/>
  <c r="R82" i="80"/>
  <c r="T82" i="80" s="1"/>
  <c r="AX81" i="80"/>
  <c r="AP81" i="80"/>
  <c r="AO81" i="80"/>
  <c r="AD81" i="80"/>
  <c r="AE81" i="80" s="1"/>
  <c r="AB81" i="80"/>
  <c r="V81" i="80"/>
  <c r="U81" i="80"/>
  <c r="R81" i="80"/>
  <c r="T81" i="80" s="1"/>
  <c r="AX80" i="80"/>
  <c r="AP80" i="80"/>
  <c r="AO80" i="80"/>
  <c r="AD80" i="80"/>
  <c r="AE80" i="80" s="1"/>
  <c r="AB80" i="80"/>
  <c r="V80" i="80"/>
  <c r="U80" i="80"/>
  <c r="S80" i="80"/>
  <c r="T80" i="80" s="1"/>
  <c r="R80" i="80"/>
  <c r="AX79" i="80"/>
  <c r="AP79" i="80"/>
  <c r="AO79" i="80"/>
  <c r="AD79" i="80"/>
  <c r="AE79" i="80" s="1"/>
  <c r="AB79" i="80"/>
  <c r="V79" i="80"/>
  <c r="U79" i="80"/>
  <c r="R79" i="80"/>
  <c r="T79" i="80" s="1"/>
  <c r="AX78" i="80"/>
  <c r="AP78" i="80"/>
  <c r="AO78" i="80"/>
  <c r="AD78" i="80"/>
  <c r="AE78" i="80" s="1"/>
  <c r="AB78" i="80"/>
  <c r="V78" i="80"/>
  <c r="U78" i="80"/>
  <c r="R78" i="80"/>
  <c r="T78" i="80" s="1"/>
  <c r="AX77" i="80"/>
  <c r="AP77" i="80"/>
  <c r="AO77" i="80"/>
  <c r="AM77" i="80"/>
  <c r="AD77" i="80"/>
  <c r="AE77" i="80" s="1"/>
  <c r="AB77" i="80"/>
  <c r="V77" i="80"/>
  <c r="U77" i="80"/>
  <c r="T77" i="80"/>
  <c r="R77" i="80"/>
  <c r="AX76" i="80"/>
  <c r="AP76" i="80"/>
  <c r="AO76" i="80"/>
  <c r="AD76" i="80"/>
  <c r="AE76" i="80" s="1"/>
  <c r="AB76" i="80"/>
  <c r="V76" i="80"/>
  <c r="U76" i="80"/>
  <c r="S76" i="80"/>
  <c r="R76" i="80"/>
  <c r="T76" i="80" s="1"/>
  <c r="AX75" i="80"/>
  <c r="AP75" i="80"/>
  <c r="AO75" i="80"/>
  <c r="AD75" i="80"/>
  <c r="AE75" i="80" s="1"/>
  <c r="AB75" i="80"/>
  <c r="V75" i="80"/>
  <c r="U75" i="80"/>
  <c r="S75" i="80"/>
  <c r="T75" i="80" s="1"/>
  <c r="R75" i="80"/>
  <c r="AX74" i="80"/>
  <c r="AP74" i="80"/>
  <c r="AO74" i="80"/>
  <c r="AD74" i="80"/>
  <c r="AE74" i="80" s="1"/>
  <c r="AB74" i="80"/>
  <c r="V74" i="80"/>
  <c r="U74" i="80"/>
  <c r="T74" i="80"/>
  <c r="R74" i="80"/>
  <c r="AX73" i="80"/>
  <c r="AP73" i="80"/>
  <c r="AO73" i="80"/>
  <c r="AA73" i="80"/>
  <c r="AB73" i="80" s="1"/>
  <c r="V73" i="80"/>
  <c r="U73" i="80"/>
  <c r="S73" i="80"/>
  <c r="R73" i="80"/>
  <c r="T73" i="80" s="1"/>
  <c r="AX72" i="80"/>
  <c r="AP72" i="80"/>
  <c r="AO72" i="80"/>
  <c r="AD72" i="80"/>
  <c r="AE72" i="80" s="1"/>
  <c r="AB72" i="80"/>
  <c r="V72" i="80"/>
  <c r="T72" i="80"/>
  <c r="AX71" i="80"/>
  <c r="AP71" i="80"/>
  <c r="AO71" i="80"/>
  <c r="AD71" i="80"/>
  <c r="AE71" i="80" s="1"/>
  <c r="AB71" i="80"/>
  <c r="V71" i="80"/>
  <c r="U71" i="80"/>
  <c r="T71" i="80"/>
  <c r="R71" i="80"/>
  <c r="AX70" i="80"/>
  <c r="AP70" i="80"/>
  <c r="AO70" i="80"/>
  <c r="AD70" i="80"/>
  <c r="AE70" i="80" s="1"/>
  <c r="AB70" i="80"/>
  <c r="V70" i="80"/>
  <c r="U70" i="80"/>
  <c r="T70" i="80"/>
  <c r="R70" i="80"/>
  <c r="AX69" i="80"/>
  <c r="AP69" i="80"/>
  <c r="AO69" i="80"/>
  <c r="AD69" i="80"/>
  <c r="AE69" i="80" s="1"/>
  <c r="AB69" i="80"/>
  <c r="V69" i="80"/>
  <c r="U69" i="80"/>
  <c r="T69" i="80"/>
  <c r="R69" i="80"/>
  <c r="AX68" i="80"/>
  <c r="AP68" i="80"/>
  <c r="AO68" i="80"/>
  <c r="AD68" i="80"/>
  <c r="AE68" i="80" s="1"/>
  <c r="AB68" i="80"/>
  <c r="U68" i="80"/>
  <c r="T68" i="80"/>
  <c r="R68" i="80"/>
  <c r="AX67" i="80"/>
  <c r="AP67" i="80"/>
  <c r="AO67" i="80"/>
  <c r="AD67" i="80"/>
  <c r="AE67" i="80" s="1"/>
  <c r="AB67" i="80"/>
  <c r="V67" i="80"/>
  <c r="U67" i="80"/>
  <c r="T67" i="80"/>
  <c r="R67" i="80"/>
  <c r="AX66" i="80"/>
  <c r="AP66" i="80"/>
  <c r="AO66" i="80"/>
  <c r="AD66" i="80"/>
  <c r="AE66" i="80" s="1"/>
  <c r="AB66" i="80"/>
  <c r="V66" i="80"/>
  <c r="T66" i="80"/>
  <c r="S66" i="80"/>
  <c r="R66" i="80"/>
  <c r="AX65" i="80"/>
  <c r="AP65" i="80"/>
  <c r="AO65" i="80"/>
  <c r="AD65" i="80"/>
  <c r="AE65" i="80" s="1"/>
  <c r="AB65" i="80"/>
  <c r="V65" i="80"/>
  <c r="U65" i="80"/>
  <c r="R65" i="80" a="1"/>
  <c r="R65" i="80" s="1"/>
  <c r="T65" i="80" s="1"/>
  <c r="AX64" i="80"/>
  <c r="AP64" i="80"/>
  <c r="AO64" i="80"/>
  <c r="AD64" i="80"/>
  <c r="AE64" i="80" s="1"/>
  <c r="AB64" i="80"/>
  <c r="R64" i="80"/>
  <c r="AX63" i="80"/>
  <c r="AP63" i="80"/>
  <c r="AO63" i="80"/>
  <c r="AD63" i="80"/>
  <c r="AE63" i="80" s="1"/>
  <c r="AB63" i="80"/>
  <c r="V63" i="80"/>
  <c r="U63" i="80"/>
  <c r="T63" i="80"/>
  <c r="R63" i="80"/>
  <c r="AX62" i="80"/>
  <c r="AP62" i="80"/>
  <c r="AO62" i="80"/>
  <c r="AD62" i="80"/>
  <c r="AE62" i="80" s="1"/>
  <c r="AB62" i="80"/>
  <c r="V62" i="80"/>
  <c r="AX61" i="80"/>
  <c r="AP61" i="80"/>
  <c r="AO61" i="80"/>
  <c r="AD61" i="80"/>
  <c r="AE61" i="80" s="1"/>
  <c r="AB61" i="80"/>
  <c r="V61" i="80"/>
  <c r="U61" i="80"/>
  <c r="R61" i="80"/>
  <c r="T61" i="80" s="1"/>
  <c r="AX60" i="80"/>
  <c r="AP60" i="80"/>
  <c r="AO60" i="80"/>
  <c r="AD60" i="80"/>
  <c r="AE60" i="80" s="1"/>
  <c r="AB60" i="80"/>
  <c r="V60" i="80"/>
  <c r="U60" i="80"/>
  <c r="T60" i="80"/>
  <c r="R60" i="80"/>
  <c r="AX59" i="80"/>
  <c r="AP59" i="80"/>
  <c r="AO59" i="80"/>
  <c r="AD59" i="80"/>
  <c r="AE59" i="80" s="1"/>
  <c r="AB59" i="80"/>
  <c r="V59" i="80"/>
  <c r="U59" i="80"/>
  <c r="R59" i="80"/>
  <c r="T59" i="80" s="1"/>
  <c r="AX58" i="80"/>
  <c r="AP58" i="80"/>
  <c r="AO58" i="80"/>
  <c r="AD58" i="80"/>
  <c r="AE58" i="80" s="1"/>
  <c r="AB58" i="80"/>
  <c r="V58" i="80"/>
  <c r="U58" i="80"/>
  <c r="T58" i="80"/>
  <c r="R58" i="80"/>
  <c r="AX57" i="80"/>
  <c r="AP57" i="80"/>
  <c r="AO57" i="80"/>
  <c r="AD57" i="80"/>
  <c r="AE57" i="80" s="1"/>
  <c r="AB57" i="80"/>
  <c r="V57" i="80"/>
  <c r="U57" i="80"/>
  <c r="T57" i="80"/>
  <c r="R57" i="80"/>
  <c r="AX56" i="80"/>
  <c r="AP56" i="80"/>
  <c r="AO56" i="80"/>
  <c r="AD56" i="80"/>
  <c r="AE56" i="80" s="1"/>
  <c r="AB56" i="80"/>
  <c r="V56" i="80"/>
  <c r="U56" i="80"/>
  <c r="T56" i="80"/>
  <c r="R56" i="80"/>
  <c r="AX55" i="80"/>
  <c r="AP55" i="80"/>
  <c r="AO55" i="80"/>
  <c r="AD55" i="80"/>
  <c r="AE55" i="80" s="1"/>
  <c r="AB55" i="80"/>
  <c r="AX54" i="80"/>
  <c r="AP54" i="80"/>
  <c r="AO54" i="80"/>
  <c r="AD54" i="80"/>
  <c r="AE54" i="80" s="1"/>
  <c r="AB54" i="80"/>
  <c r="V54" i="80"/>
  <c r="AX53" i="80"/>
  <c r="AP53" i="80"/>
  <c r="AO53" i="80"/>
  <c r="AD53" i="80"/>
  <c r="AE53" i="80" s="1"/>
  <c r="AB53" i="80"/>
  <c r="V53" i="80"/>
  <c r="U53" i="80"/>
  <c r="R53" i="80"/>
  <c r="T53" i="80" s="1"/>
  <c r="AX52" i="80"/>
  <c r="AP52" i="80"/>
  <c r="AO52" i="80"/>
  <c r="AD52" i="80"/>
  <c r="AE52" i="80" s="1"/>
  <c r="AB52" i="80"/>
  <c r="V52" i="80"/>
  <c r="U52" i="80"/>
  <c r="T52" i="80"/>
  <c r="R52" i="80"/>
  <c r="AX51" i="80"/>
  <c r="AP51" i="80"/>
  <c r="AO51" i="80"/>
  <c r="AM51" i="80"/>
  <c r="AD51" i="80"/>
  <c r="AE51" i="80" s="1"/>
  <c r="AB51" i="80"/>
  <c r="V51" i="80"/>
  <c r="U51" i="80"/>
  <c r="T51" i="80"/>
  <c r="R51" i="80"/>
  <c r="AX50" i="80"/>
  <c r="AP50" i="80"/>
  <c r="AO50" i="80"/>
  <c r="AD50" i="80"/>
  <c r="AE50" i="80" s="1"/>
  <c r="AB50" i="80"/>
  <c r="V50" i="80"/>
  <c r="U50" i="80"/>
  <c r="T50" i="80"/>
  <c r="R50" i="80"/>
  <c r="AX49" i="80"/>
  <c r="AP49" i="80"/>
  <c r="AO49" i="80"/>
  <c r="AD49" i="80"/>
  <c r="AE49" i="80" s="1"/>
  <c r="AB49" i="80"/>
  <c r="V49" i="80"/>
  <c r="U49" i="80"/>
  <c r="T49" i="80"/>
  <c r="R49" i="80"/>
  <c r="AX48" i="80"/>
  <c r="AP48" i="80"/>
  <c r="AO48" i="80"/>
  <c r="AD48" i="80"/>
  <c r="AE48" i="80" s="1"/>
  <c r="AB48" i="80"/>
  <c r="V48" i="80"/>
  <c r="U48" i="80"/>
  <c r="T48" i="80"/>
  <c r="R48" i="80"/>
  <c r="AX47" i="80"/>
  <c r="AP47" i="80"/>
  <c r="AO47" i="80"/>
  <c r="AD47" i="80"/>
  <c r="AE47" i="80" s="1"/>
  <c r="AB47" i="80"/>
  <c r="V47" i="80"/>
  <c r="U47" i="80"/>
  <c r="S47" i="80"/>
  <c r="T47" i="80" s="1"/>
  <c r="R47" i="80"/>
  <c r="AX46" i="80"/>
  <c r="AP46" i="80"/>
  <c r="AO46" i="80"/>
  <c r="AD46" i="80"/>
  <c r="AE46" i="80" s="1"/>
  <c r="AB46" i="80"/>
  <c r="V46" i="80"/>
  <c r="U46" i="80"/>
  <c r="T46" i="80"/>
  <c r="R46" i="80"/>
  <c r="AX45" i="80"/>
  <c r="AP45" i="80"/>
  <c r="AO45" i="80"/>
  <c r="AD45" i="80"/>
  <c r="AE45" i="80" s="1"/>
  <c r="AB45" i="80"/>
  <c r="V45" i="80"/>
  <c r="U45" i="80"/>
  <c r="S45" i="80"/>
  <c r="T45" i="80" s="1"/>
  <c r="R45" i="80"/>
  <c r="AX44" i="80"/>
  <c r="AP44" i="80"/>
  <c r="AO44" i="80"/>
  <c r="AD44" i="80"/>
  <c r="AE44" i="80" s="1"/>
  <c r="AB44" i="80"/>
  <c r="V44" i="80"/>
  <c r="AX43" i="80"/>
  <c r="AP43" i="80"/>
  <c r="AO43" i="80"/>
  <c r="AD43" i="80"/>
  <c r="AE43" i="80" s="1"/>
  <c r="AB43" i="80"/>
  <c r="V43" i="80"/>
  <c r="U43" i="80"/>
  <c r="R43" i="80"/>
  <c r="T43" i="80" s="1"/>
  <c r="AX42" i="80"/>
  <c r="AP42" i="80"/>
  <c r="AO42" i="80"/>
  <c r="AA42" i="80"/>
  <c r="AB42" i="80" s="1"/>
  <c r="V42" i="80"/>
  <c r="U42" i="80"/>
  <c r="R42" i="80"/>
  <c r="T42" i="80" s="1"/>
  <c r="AX41" i="80"/>
  <c r="AP41" i="80"/>
  <c r="AO41" i="80"/>
  <c r="AD41" i="80"/>
  <c r="AE41" i="80" s="1"/>
  <c r="AB41" i="80"/>
  <c r="V41" i="80"/>
  <c r="U41" i="80"/>
  <c r="S41" i="80"/>
  <c r="T41" i="80" s="1"/>
  <c r="R41" i="80"/>
  <c r="AX40" i="80"/>
  <c r="AP40" i="80"/>
  <c r="AO40" i="80"/>
  <c r="AD40" i="80"/>
  <c r="AE40" i="80" s="1"/>
  <c r="AB40" i="80"/>
  <c r="V40" i="80"/>
  <c r="U40" i="80"/>
  <c r="T40" i="80"/>
  <c r="R40" i="80"/>
  <c r="AX39" i="80"/>
  <c r="AP39" i="80"/>
  <c r="AO39" i="80"/>
  <c r="AD39" i="80"/>
  <c r="AE39" i="80" s="1"/>
  <c r="AB39" i="80"/>
  <c r="V39" i="80"/>
  <c r="T39" i="80"/>
  <c r="R39" i="80"/>
  <c r="AX38" i="80"/>
  <c r="AP38" i="80"/>
  <c r="AO38" i="80"/>
  <c r="AD38" i="80"/>
  <c r="AE38" i="80" s="1"/>
  <c r="AB38" i="80"/>
  <c r="V38" i="80"/>
  <c r="U38" i="80"/>
  <c r="R38" i="80"/>
  <c r="T38" i="80" s="1"/>
  <c r="AX37" i="80"/>
  <c r="AP37" i="80"/>
  <c r="AO37" i="80"/>
  <c r="AD37" i="80"/>
  <c r="AE37" i="80" s="1"/>
  <c r="AB37" i="80"/>
  <c r="V37" i="80"/>
  <c r="U37" i="80"/>
  <c r="R37" i="80"/>
  <c r="T37" i="80" s="1"/>
  <c r="AX36" i="80"/>
  <c r="AP36" i="80"/>
  <c r="AO36" i="80"/>
  <c r="AD36" i="80"/>
  <c r="AE36" i="80" s="1"/>
  <c r="AB36" i="80"/>
  <c r="T36" i="80"/>
  <c r="AX35" i="80"/>
  <c r="AP35" i="80"/>
  <c r="AO35" i="80"/>
  <c r="AM35" i="80"/>
  <c r="AD35" i="80"/>
  <c r="AE35" i="80" s="1"/>
  <c r="AB35" i="80"/>
  <c r="V35" i="80"/>
  <c r="U35" i="80"/>
  <c r="R35" i="80"/>
  <c r="T35" i="80" s="1"/>
  <c r="AX34" i="80"/>
  <c r="AP34" i="80"/>
  <c r="AO34" i="80"/>
  <c r="AA34" i="80"/>
  <c r="AD34" i="80" s="1"/>
  <c r="AE34" i="80" s="1"/>
  <c r="V34" i="80"/>
  <c r="U34" i="80"/>
  <c r="R34" i="80"/>
  <c r="T34" i="80" s="1"/>
  <c r="AX33" i="80"/>
  <c r="AP33" i="80"/>
  <c r="AO33" i="80"/>
  <c r="AD33" i="80"/>
  <c r="AE33" i="80" s="1"/>
  <c r="AB33" i="80"/>
  <c r="V33" i="80"/>
  <c r="U33" i="80"/>
  <c r="R33" i="80"/>
  <c r="T33" i="80" s="1"/>
  <c r="AX32" i="80"/>
  <c r="AP32" i="80"/>
  <c r="AO32" i="80"/>
  <c r="AD32" i="80"/>
  <c r="AE32" i="80" s="1"/>
  <c r="AB32" i="80"/>
  <c r="V32" i="80"/>
  <c r="U32" i="80"/>
  <c r="T32" i="80"/>
  <c r="R32" i="80"/>
  <c r="AX31" i="80"/>
  <c r="AP31" i="80"/>
  <c r="AO31" i="80"/>
  <c r="AA31" i="80"/>
  <c r="AD31" i="80" s="1"/>
  <c r="V31" i="80"/>
  <c r="U31" i="80"/>
  <c r="R31" i="80"/>
  <c r="T31" i="80" s="1"/>
  <c r="AX30" i="80"/>
  <c r="AP30" i="80"/>
  <c r="AO30" i="80"/>
  <c r="AD30" i="80"/>
  <c r="AE30" i="80" s="1"/>
  <c r="AB30" i="80"/>
  <c r="V30" i="80"/>
  <c r="T30" i="80"/>
  <c r="R30" i="80"/>
  <c r="AX29" i="80"/>
  <c r="AP29" i="80"/>
  <c r="AO29" i="80"/>
  <c r="AD29" i="80"/>
  <c r="AE29" i="80" s="1"/>
  <c r="AB29" i="80"/>
  <c r="V29" i="80"/>
  <c r="U29" i="80"/>
  <c r="R29" i="80"/>
  <c r="T29" i="80" s="1"/>
  <c r="AX28" i="80"/>
  <c r="AP28" i="80"/>
  <c r="AO28" i="80"/>
  <c r="AD28" i="80"/>
  <c r="AE28" i="80" s="1"/>
  <c r="AB28" i="80"/>
  <c r="V28" i="80"/>
  <c r="T28" i="80"/>
  <c r="R28" i="80"/>
  <c r="AX27" i="80"/>
  <c r="AP27" i="80"/>
  <c r="AO27" i="80"/>
  <c r="AA27" i="80"/>
  <c r="V27" i="80"/>
  <c r="U27" i="80"/>
  <c r="T27" i="80"/>
  <c r="R27" i="80"/>
  <c r="AX26" i="80"/>
  <c r="AP26" i="80"/>
  <c r="AO26" i="80"/>
  <c r="AD26" i="80"/>
  <c r="AE26" i="80" s="1"/>
  <c r="AB26" i="80"/>
  <c r="V26" i="80"/>
  <c r="T26" i="80"/>
  <c r="R26" i="80"/>
  <c r="AX25" i="80"/>
  <c r="AP25" i="80"/>
  <c r="AO25" i="80"/>
  <c r="AD25" i="80"/>
  <c r="AE25" i="80" s="1"/>
  <c r="AB25" i="80"/>
  <c r="T25" i="80"/>
  <c r="AX24" i="80"/>
  <c r="AP24" i="80"/>
  <c r="AO24" i="80"/>
  <c r="AD24" i="80"/>
  <c r="AE24" i="80" s="1"/>
  <c r="AB24" i="80"/>
  <c r="V24" i="80"/>
  <c r="T24" i="80"/>
  <c r="R24" i="80"/>
  <c r="AX23" i="80"/>
  <c r="AP23" i="80"/>
  <c r="AO23" i="80"/>
  <c r="AD23" i="80"/>
  <c r="AE23" i="80" s="1"/>
  <c r="AB23" i="80"/>
  <c r="V23" i="80"/>
  <c r="U23" i="80"/>
  <c r="R23" i="80"/>
  <c r="T23" i="80" s="1"/>
  <c r="AX22" i="80"/>
  <c r="AP22" i="80"/>
  <c r="AO22" i="80"/>
  <c r="AA22" i="80"/>
  <c r="AB22" i="80" s="1"/>
  <c r="V22" i="80"/>
  <c r="U22" i="80"/>
  <c r="T22" i="80"/>
  <c r="R22" i="80"/>
  <c r="AX21" i="80"/>
  <c r="AP21" i="80"/>
  <c r="AO21" i="80"/>
  <c r="AD21" i="80"/>
  <c r="AE21" i="80" s="1"/>
  <c r="AB21" i="80"/>
  <c r="V21" i="80"/>
  <c r="T21" i="80"/>
  <c r="R21" i="80"/>
  <c r="AX20" i="80"/>
  <c r="AP20" i="80"/>
  <c r="AO20" i="80"/>
  <c r="AD20" i="80"/>
  <c r="AE20" i="80" s="1"/>
  <c r="AB20" i="80"/>
  <c r="AX19" i="80"/>
  <c r="AP19" i="80"/>
  <c r="AO19" i="80"/>
  <c r="AA19" i="80"/>
  <c r="V19" i="80"/>
  <c r="U19" i="80"/>
  <c r="T19" i="80"/>
  <c r="R19" i="80"/>
  <c r="AX18" i="80"/>
  <c r="AP18" i="80"/>
  <c r="AO18" i="80"/>
  <c r="AD18" i="80"/>
  <c r="AE18" i="80" s="1"/>
  <c r="AB18" i="80"/>
  <c r="R18" i="80"/>
  <c r="R179" i="80" s="1"/>
  <c r="AX17" i="80"/>
  <c r="AP17" i="80"/>
  <c r="AO17" i="80"/>
  <c r="AD17" i="80"/>
  <c r="AE17" i="80" s="1"/>
  <c r="AB17" i="80"/>
  <c r="S17" i="80"/>
  <c r="T17" i="80" s="1"/>
  <c r="AX16" i="80"/>
  <c r="AP16" i="80"/>
  <c r="AO16" i="80"/>
  <c r="AA16" i="80"/>
  <c r="V16" i="80"/>
  <c r="U16" i="80"/>
  <c r="T16" i="80"/>
  <c r="R16" i="80"/>
  <c r="AX15" i="80"/>
  <c r="AP15" i="80"/>
  <c r="AO15" i="80"/>
  <c r="AA15" i="80"/>
  <c r="AB15" i="80" s="1"/>
  <c r="V15" i="80"/>
  <c r="U15" i="80"/>
  <c r="R15" i="80"/>
  <c r="T15" i="80" s="1"/>
  <c r="AX14" i="80"/>
  <c r="AP14" i="80"/>
  <c r="AO14" i="80"/>
  <c r="AA14" i="80"/>
  <c r="V14" i="80"/>
  <c r="T14" i="80"/>
  <c r="R14" i="80"/>
  <c r="AX13" i="80"/>
  <c r="AP13" i="80"/>
  <c r="AO13" i="80"/>
  <c r="AA13" i="80"/>
  <c r="V13" i="80"/>
  <c r="T13" i="80"/>
  <c r="R13" i="80"/>
  <c r="AX12" i="80"/>
  <c r="AP12" i="80"/>
  <c r="AO12" i="80"/>
  <c r="AD12" i="80"/>
  <c r="AE12" i="80" s="1"/>
  <c r="AB12" i="80"/>
  <c r="V12" i="80"/>
  <c r="T12" i="80"/>
  <c r="AX11" i="80"/>
  <c r="AP11" i="80"/>
  <c r="AO11" i="80"/>
  <c r="AD11" i="80"/>
  <c r="AE11" i="80" s="1"/>
  <c r="AB11" i="80"/>
  <c r="V11" i="80"/>
  <c r="U11" i="80"/>
  <c r="T11" i="80"/>
  <c r="R11" i="80"/>
  <c r="AX10" i="80"/>
  <c r="AP10" i="80"/>
  <c r="AO10" i="80"/>
  <c r="AD10" i="80"/>
  <c r="AE10" i="80" s="1"/>
  <c r="AB10" i="80"/>
  <c r="V10" i="80"/>
  <c r="U10" i="80"/>
  <c r="T10" i="80"/>
  <c r="R10" i="80"/>
  <c r="AX9" i="80"/>
  <c r="AP9" i="80"/>
  <c r="AO9" i="80"/>
  <c r="AA9" i="80"/>
  <c r="AD9" i="80" s="1"/>
  <c r="AE9" i="80" s="1"/>
  <c r="X9" i="80"/>
  <c r="V9" i="80"/>
  <c r="U9" i="80"/>
  <c r="T9" i="80"/>
  <c r="R9" i="80"/>
  <c r="AX8" i="80"/>
  <c r="AP8" i="80"/>
  <c r="AO8" i="80"/>
  <c r="AA8" i="80"/>
  <c r="AB8" i="80" s="1"/>
  <c r="V8" i="80"/>
  <c r="U8" i="80"/>
  <c r="R8" i="80"/>
  <c r="T8" i="80" s="1"/>
  <c r="S8" i="80" s="1"/>
  <c r="AX7" i="80"/>
  <c r="AP7" i="80"/>
  <c r="AO7" i="80"/>
  <c r="AM7" i="80"/>
  <c r="AD7" i="80"/>
  <c r="AE7" i="80" s="1"/>
  <c r="AB7" i="80"/>
  <c r="X7" i="80"/>
  <c r="V7" i="80"/>
  <c r="U7" i="80"/>
  <c r="T7" i="80"/>
  <c r="R7" i="80"/>
  <c r="AX6" i="80"/>
  <c r="AP6" i="80"/>
  <c r="AO6" i="80"/>
  <c r="AD6" i="80"/>
  <c r="AE6" i="80" s="1"/>
  <c r="AB6" i="80"/>
  <c r="X6" i="80"/>
  <c r="V6" i="80"/>
  <c r="U6" i="80"/>
  <c r="T6" i="80"/>
  <c r="S6" i="80" s="1"/>
  <c r="R6" i="80"/>
  <c r="AX5" i="80"/>
  <c r="AP5" i="80"/>
  <c r="AO5" i="80"/>
  <c r="AD5" i="80"/>
  <c r="AE5" i="80" s="1"/>
  <c r="AB5" i="80"/>
  <c r="V5" i="80"/>
  <c r="S5" i="80"/>
  <c r="T5" i="80" s="1"/>
  <c r="U5" i="80" s="1"/>
  <c r="AX4" i="80"/>
  <c r="AP4" i="80"/>
  <c r="AO4" i="80"/>
  <c r="AA4" i="80"/>
  <c r="AD4" i="80" s="1"/>
  <c r="AE4" i="80" s="1"/>
  <c r="V4" i="80"/>
  <c r="T4" i="80"/>
  <c r="AX3" i="80"/>
  <c r="AP3" i="80"/>
  <c r="AO3" i="80"/>
  <c r="AD3" i="80"/>
  <c r="AE3" i="80" s="1"/>
  <c r="AB3" i="80"/>
  <c r="X3" i="80"/>
  <c r="V3" i="80"/>
  <c r="T3" i="80"/>
  <c r="A1" i="80"/>
  <c r="AB92" i="80" l="1"/>
  <c r="AJ14" i="80"/>
  <c r="AJ19" i="80"/>
  <c r="AB118" i="80"/>
  <c r="AB34" i="80"/>
  <c r="AX178" i="80"/>
  <c r="AB4" i="80"/>
  <c r="U14" i="80"/>
  <c r="AD22" i="80"/>
  <c r="AE22" i="80" s="1"/>
  <c r="U28" i="80"/>
  <c r="AC16" i="80"/>
  <c r="U30" i="80"/>
  <c r="AD15" i="80"/>
  <c r="AE15" i="80" s="1"/>
  <c r="AJ9" i="80"/>
  <c r="AB16" i="80"/>
  <c r="U21" i="80"/>
  <c r="AJ31" i="80"/>
  <c r="AJ122" i="80"/>
  <c r="AC8" i="80"/>
  <c r="AJ13" i="80"/>
  <c r="AD14" i="80"/>
  <c r="AE14" i="80" s="1"/>
  <c r="AD19" i="80"/>
  <c r="AE19" i="80" s="1"/>
  <c r="U26" i="80"/>
  <c r="AJ27" i="80"/>
  <c r="AJ34" i="80"/>
  <c r="AD73" i="80"/>
  <c r="AE73" i="80" s="1"/>
  <c r="U13" i="80"/>
  <c r="U24" i="80"/>
  <c r="S18" i="80"/>
  <c r="T18" i="80" s="1"/>
  <c r="U18" i="80" s="1"/>
  <c r="U17" i="80"/>
  <c r="AC171" i="80"/>
  <c r="AJ170" i="80"/>
  <c r="AC169" i="80"/>
  <c r="AC168" i="80"/>
  <c r="AC167" i="80"/>
  <c r="AC166" i="80"/>
  <c r="AC165" i="80"/>
  <c r="AJ160" i="80"/>
  <c r="AC159" i="80"/>
  <c r="AC158" i="80"/>
  <c r="AC157" i="80"/>
  <c r="AJ149" i="80"/>
  <c r="AJ148" i="80"/>
  <c r="AJ147" i="80"/>
  <c r="AJ146" i="80"/>
  <c r="AJ145" i="80"/>
  <c r="AC144" i="80"/>
  <c r="AC177" i="80"/>
  <c r="AC176" i="80"/>
  <c r="AC175" i="80"/>
  <c r="AC174" i="80"/>
  <c r="AC173" i="80"/>
  <c r="AC172" i="80"/>
  <c r="AJ164" i="80"/>
  <c r="AJ163" i="80"/>
  <c r="AC162" i="80"/>
  <c r="AC161" i="80"/>
  <c r="AJ156" i="80"/>
  <c r="AJ155" i="80"/>
  <c r="AC154" i="80"/>
  <c r="AC153" i="80"/>
  <c r="AC152" i="80"/>
  <c r="AC151" i="80"/>
  <c r="AC150" i="80"/>
  <c r="AC143" i="80"/>
  <c r="AC142" i="80"/>
  <c r="AC141" i="80"/>
  <c r="AC138" i="80"/>
  <c r="AJ137" i="80"/>
  <c r="AJ136" i="80"/>
  <c r="AJ135" i="80"/>
  <c r="AJ134" i="80"/>
  <c r="AJ133" i="80"/>
  <c r="AJ177" i="80"/>
  <c r="AJ176" i="80"/>
  <c r="AJ175" i="80"/>
  <c r="AJ174" i="80"/>
  <c r="AJ173" i="80"/>
  <c r="AJ172" i="80"/>
  <c r="AC170" i="80"/>
  <c r="AJ162" i="80"/>
  <c r="AJ161" i="80"/>
  <c r="AC160" i="80"/>
  <c r="AJ154" i="80"/>
  <c r="AJ153" i="80"/>
  <c r="AJ152" i="80"/>
  <c r="AJ151" i="80"/>
  <c r="AJ150" i="80"/>
  <c r="AC149" i="80"/>
  <c r="AC148" i="80"/>
  <c r="AC147" i="80"/>
  <c r="AC146" i="80"/>
  <c r="AC145" i="80"/>
  <c r="AJ143" i="80"/>
  <c r="AJ142" i="80"/>
  <c r="AJ141" i="80"/>
  <c r="AC139" i="80"/>
  <c r="AJ138" i="80"/>
  <c r="AC132" i="80"/>
  <c r="AC131" i="80"/>
  <c r="AC130" i="80"/>
  <c r="AC127" i="80"/>
  <c r="AJ125" i="80"/>
  <c r="AJ124" i="80"/>
  <c r="AC123" i="80"/>
  <c r="AJ120" i="80"/>
  <c r="AJ114" i="80"/>
  <c r="AJ113" i="80"/>
  <c r="AJ112" i="80"/>
  <c r="AJ111" i="80"/>
  <c r="AJ110" i="80"/>
  <c r="AC109" i="80"/>
  <c r="AC105" i="80"/>
  <c r="AJ103" i="80"/>
  <c r="AJ102" i="80"/>
  <c r="AJ101" i="80"/>
  <c r="AJ100" i="80"/>
  <c r="AJ99" i="80"/>
  <c r="AC98" i="80"/>
  <c r="AJ96" i="80"/>
  <c r="AJ95" i="80"/>
  <c r="AJ89" i="80"/>
  <c r="AJ88" i="80"/>
  <c r="AJ169" i="80"/>
  <c r="AJ165" i="80"/>
  <c r="AJ140" i="80"/>
  <c r="AJ130" i="80"/>
  <c r="AJ127" i="80"/>
  <c r="AJ123" i="80"/>
  <c r="AJ117" i="80"/>
  <c r="AC115" i="80"/>
  <c r="AC114" i="80"/>
  <c r="AC110" i="80"/>
  <c r="AC107" i="80"/>
  <c r="AC106" i="80"/>
  <c r="AJ104" i="80"/>
  <c r="AC101" i="80"/>
  <c r="AJ98" i="80"/>
  <c r="AJ94" i="80"/>
  <c r="AJ93" i="80"/>
  <c r="AJ91" i="80"/>
  <c r="AC88" i="80"/>
  <c r="AC87" i="80"/>
  <c r="AC86" i="80"/>
  <c r="AC85" i="80"/>
  <c r="AC84" i="80"/>
  <c r="AC83" i="80"/>
  <c r="AC82" i="80"/>
  <c r="AC81" i="80"/>
  <c r="AC80" i="80"/>
  <c r="AJ75" i="80"/>
  <c r="AC74" i="80"/>
  <c r="AC71" i="80"/>
  <c r="AJ69" i="80"/>
  <c r="AJ68" i="80"/>
  <c r="AJ64" i="80"/>
  <c r="AJ62" i="80"/>
  <c r="AJ61" i="80"/>
  <c r="AJ60" i="80"/>
  <c r="AJ59" i="80"/>
  <c r="AJ58" i="80"/>
  <c r="AJ57" i="80"/>
  <c r="AJ56" i="80"/>
  <c r="AJ55" i="80"/>
  <c r="AJ54" i="80"/>
  <c r="AC53" i="80"/>
  <c r="AC52" i="80"/>
  <c r="AJ44" i="80"/>
  <c r="AC43" i="80"/>
  <c r="AC36" i="80"/>
  <c r="AJ167" i="80"/>
  <c r="AJ158" i="80"/>
  <c r="AJ132" i="80"/>
  <c r="AC129" i="80"/>
  <c r="AJ128" i="80"/>
  <c r="AC126" i="80"/>
  <c r="AC124" i="80"/>
  <c r="AC121" i="80"/>
  <c r="AC118" i="80"/>
  <c r="AC117" i="80"/>
  <c r="AJ115" i="80"/>
  <c r="AC112" i="80"/>
  <c r="AJ109" i="80"/>
  <c r="AJ3" i="80"/>
  <c r="AC5" i="80"/>
  <c r="AJ16" i="80"/>
  <c r="AC24" i="80"/>
  <c r="AJ26" i="80"/>
  <c r="AJ70" i="80"/>
  <c r="AJ72" i="80"/>
  <c r="AJ121" i="80"/>
  <c r="AJ131" i="80"/>
  <c r="AC137" i="80"/>
  <c r="AJ139" i="80"/>
  <c r="AC140" i="80"/>
  <c r="AJ144" i="80"/>
  <c r="AJ157" i="80"/>
  <c r="V178" i="80"/>
  <c r="V180" i="80" s="1"/>
  <c r="AW178" i="80"/>
  <c r="AC6" i="80"/>
  <c r="AD8" i="80"/>
  <c r="AE8" i="80" s="1"/>
  <c r="AB9" i="80"/>
  <c r="AJ10" i="80"/>
  <c r="AJ11" i="80"/>
  <c r="AC13" i="80"/>
  <c r="AB14" i="80"/>
  <c r="AD16" i="80"/>
  <c r="AE16" i="80" s="1"/>
  <c r="AJ17" i="80"/>
  <c r="AB19" i="80"/>
  <c r="AJ20" i="80"/>
  <c r="AJ21" i="80"/>
  <c r="AC27" i="80"/>
  <c r="AC28" i="80"/>
  <c r="AC29" i="80"/>
  <c r="AC30" i="80"/>
  <c r="AB31" i="80"/>
  <c r="AJ32" i="80"/>
  <c r="AJ33" i="80"/>
  <c r="AJ35" i="80"/>
  <c r="AC38" i="80"/>
  <c r="AJ40" i="80"/>
  <c r="AC46" i="80"/>
  <c r="AC47" i="80"/>
  <c r="AC48" i="80"/>
  <c r="AC49" i="80"/>
  <c r="AC50" i="80"/>
  <c r="AC51" i="80"/>
  <c r="AC57" i="80"/>
  <c r="AC61" i="80"/>
  <c r="AJ63" i="80"/>
  <c r="AJ65" i="80"/>
  <c r="AC67" i="80"/>
  <c r="AC72" i="80"/>
  <c r="AC75" i="80"/>
  <c r="AC76" i="80"/>
  <c r="AJ90" i="80"/>
  <c r="AC92" i="80"/>
  <c r="AB97" i="80"/>
  <c r="AC100" i="80"/>
  <c r="AC103" i="80"/>
  <c r="AJ105" i="80"/>
  <c r="AJ106" i="80"/>
  <c r="AJ126" i="80"/>
  <c r="AC155" i="80"/>
  <c r="AJ166" i="80"/>
  <c r="AJ171" i="80"/>
  <c r="AJ4" i="80"/>
  <c r="AJ5" i="80"/>
  <c r="R178" i="80"/>
  <c r="AC9" i="80"/>
  <c r="AC10" i="80"/>
  <c r="AC11" i="80"/>
  <c r="AD13" i="80"/>
  <c r="AE13" i="80" s="1"/>
  <c r="AC14" i="80"/>
  <c r="AJ15" i="80"/>
  <c r="AC19" i="80"/>
  <c r="AC20" i="80"/>
  <c r="AC21" i="80"/>
  <c r="AJ22" i="80"/>
  <c r="AJ23" i="80"/>
  <c r="AJ24" i="80"/>
  <c r="AD27" i="80"/>
  <c r="AE27" i="80" s="1"/>
  <c r="AC31" i="80"/>
  <c r="AC32" i="80"/>
  <c r="AC33" i="80"/>
  <c r="AC35" i="80"/>
  <c r="AJ36" i="80"/>
  <c r="AJ39" i="80"/>
  <c r="AJ41" i="80"/>
  <c r="AC42" i="80"/>
  <c r="AJ42" i="80"/>
  <c r="AC44" i="80"/>
  <c r="AC45" i="80"/>
  <c r="AJ53" i="80"/>
  <c r="AC56" i="80"/>
  <c r="AC60" i="80"/>
  <c r="AC66" i="80"/>
  <c r="AC69" i="80"/>
  <c r="AJ71" i="80"/>
  <c r="AJ77" i="80"/>
  <c r="AJ80" i="80"/>
  <c r="AJ82" i="80"/>
  <c r="AJ84" i="80"/>
  <c r="AJ86" i="80"/>
  <c r="AC91" i="80"/>
  <c r="AC94" i="80"/>
  <c r="AC96" i="80"/>
  <c r="AC97" i="80"/>
  <c r="AC102" i="80"/>
  <c r="AJ108" i="80"/>
  <c r="AJ116" i="80"/>
  <c r="AJ119" i="80"/>
  <c r="AB119" i="80"/>
  <c r="AC119" i="80"/>
  <c r="AC125" i="80"/>
  <c r="AC128" i="80"/>
  <c r="AJ129" i="80"/>
  <c r="AC134" i="80"/>
  <c r="AC136" i="80"/>
  <c r="AC164" i="80"/>
  <c r="AJ168" i="80"/>
  <c r="AC4" i="80"/>
  <c r="AJ8" i="80"/>
  <c r="AJ12" i="80"/>
  <c r="AC15" i="80"/>
  <c r="AC22" i="80"/>
  <c r="AC23" i="80"/>
  <c r="AJ25" i="80"/>
  <c r="AC40" i="80"/>
  <c r="AC41" i="80"/>
  <c r="AJ46" i="80"/>
  <c r="AC55" i="80"/>
  <c r="AC59" i="80"/>
  <c r="AC64" i="80"/>
  <c r="AC65" i="80"/>
  <c r="AJ67" i="80"/>
  <c r="AC68" i="80"/>
  <c r="AJ74" i="80"/>
  <c r="AJ76" i="80"/>
  <c r="AJ78" i="80"/>
  <c r="AJ79" i="80"/>
  <c r="AC89" i="80"/>
  <c r="AC90" i="80"/>
  <c r="AC93" i="80"/>
  <c r="AC95" i="80"/>
  <c r="AJ97" i="80"/>
  <c r="AC99" i="80"/>
  <c r="AC111" i="80"/>
  <c r="AC113" i="80"/>
  <c r="AC122" i="80"/>
  <c r="AB122" i="80"/>
  <c r="AC156" i="80"/>
  <c r="T178" i="80"/>
  <c r="AC3" i="80"/>
  <c r="AJ6" i="80"/>
  <c r="AJ7" i="80"/>
  <c r="AC12" i="80"/>
  <c r="AB13" i="80"/>
  <c r="AJ18" i="80"/>
  <c r="AC25" i="80"/>
  <c r="AC26" i="80"/>
  <c r="AB27" i="80"/>
  <c r="AJ28" i="80"/>
  <c r="AJ29" i="80"/>
  <c r="AJ30" i="80"/>
  <c r="AE31" i="80"/>
  <c r="AJ37" i="80"/>
  <c r="AJ38" i="80"/>
  <c r="AC39" i="80"/>
  <c r="AD42" i="80"/>
  <c r="AE42" i="80" s="1"/>
  <c r="AJ43" i="80"/>
  <c r="AJ45" i="80"/>
  <c r="AJ47" i="80"/>
  <c r="AJ48" i="80"/>
  <c r="AJ49" i="80"/>
  <c r="AJ50" i="80"/>
  <c r="AJ51" i="80"/>
  <c r="AJ52" i="80"/>
  <c r="AC54" i="80"/>
  <c r="AC58" i="80"/>
  <c r="AJ66" i="80"/>
  <c r="AC73" i="80"/>
  <c r="AJ73" i="80"/>
  <c r="AC77" i="80"/>
  <c r="AC78" i="80"/>
  <c r="AC79" i="80"/>
  <c r="AJ81" i="80"/>
  <c r="AJ83" i="80"/>
  <c r="AJ85" i="80"/>
  <c r="AJ87" i="80"/>
  <c r="AC104" i="80"/>
  <c r="AJ107" i="80"/>
  <c r="AC108" i="80"/>
  <c r="AB108" i="80"/>
  <c r="AC116" i="80"/>
  <c r="AC120" i="80"/>
  <c r="AD122" i="80"/>
  <c r="AE122" i="80" s="1"/>
  <c r="AC133" i="80"/>
  <c r="AC135" i="80"/>
  <c r="AJ159" i="80"/>
  <c r="AC163" i="80"/>
  <c r="AJ92" i="80"/>
  <c r="AJ118" i="80"/>
  <c r="AD179" i="80" l="1"/>
  <c r="AE179" i="80" s="1"/>
  <c r="AB179" i="80"/>
  <c r="U178" i="80"/>
  <c r="E182" i="80"/>
  <c r="X178" i="80"/>
  <c r="U179" i="80"/>
  <c r="T179" i="80"/>
  <c r="T180" i="80" s="1"/>
  <c r="R180" i="80"/>
  <c r="AB178" i="80"/>
  <c r="AC178" i="80" s="1"/>
  <c r="AD178" i="80"/>
  <c r="AE178" i="80" s="1"/>
  <c r="U180" i="80" l="1"/>
  <c r="V169" i="77" l="1"/>
  <c r="BG168" i="77"/>
  <c r="BF168" i="77"/>
  <c r="BE168" i="77"/>
  <c r="BD168" i="77"/>
  <c r="BC168" i="77"/>
  <c r="AQ168" i="77"/>
  <c r="R168" i="77"/>
  <c r="A1" i="77"/>
  <c r="V168" i="77" l="1"/>
  <c r="V170" i="77" s="1"/>
  <c r="AX168" i="77"/>
  <c r="T168" i="77"/>
  <c r="AB168" i="77"/>
  <c r="AC168" i="77" s="1"/>
  <c r="R169" i="77"/>
  <c r="R170" i="77" s="1"/>
  <c r="X168" i="77"/>
  <c r="AD169" i="77"/>
  <c r="AE169" i="77" s="1"/>
  <c r="AB169" i="77"/>
  <c r="AD168" i="77" l="1"/>
  <c r="AE168" i="77" s="1"/>
  <c r="U168" i="77"/>
  <c r="T169" i="77"/>
  <c r="T170" i="77" s="1"/>
  <c r="U169" i="77"/>
  <c r="E172" i="77"/>
  <c r="U170" i="77" l="1"/>
  <c r="AW168" i="77"/>
  <c r="V146" i="65" l="1"/>
  <c r="A1" i="65"/>
  <c r="R146" i="65"/>
  <c r="V145" i="65"/>
  <c r="U145" i="65"/>
  <c r="X145" i="65"/>
  <c r="R145" i="65"/>
  <c r="AB145" i="65" s="1"/>
  <c r="AC145" i="65" s="1"/>
  <c r="E149" i="65"/>
  <c r="T145" i="65"/>
  <c r="AD145" i="65" s="1"/>
  <c r="AE145" i="65" s="1"/>
  <c r="T146" i="65"/>
  <c r="U146" i="65"/>
  <c r="AB146" i="65"/>
  <c r="AD146" i="65"/>
  <c r="AE146" i="65" s="1"/>
  <c r="V147" i="65" l="1"/>
  <c r="U147" i="65"/>
  <c r="T147" i="65"/>
  <c r="R147"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Nelly Nguyen</author>
    <author>Jemma Sargeant</author>
    <author>Samuel Atkinson</author>
    <author>Ann Prosser</author>
    <author>Chris Power</author>
    <author>Joseph Day</author>
  </authors>
  <commentList>
    <comment ref="AK2" authorId="0" shapeId="0" xr:uid="{A499A944-97E6-46B7-BCBF-19F81EE7DD39}">
      <text>
        <r>
          <rPr>
            <b/>
            <sz val="9"/>
            <color indexed="81"/>
            <rFont val="Tahoma"/>
            <family val="2"/>
          </rPr>
          <t>Lea Krstevska:</t>
        </r>
        <r>
          <rPr>
            <sz val="9"/>
            <color indexed="81"/>
            <rFont val="Tahoma"/>
            <family val="2"/>
          </rPr>
          <t xml:space="preserve">
AUD 20m-30m
USD 15m - 25m
EUR 15m - 22m</t>
        </r>
      </text>
    </comment>
    <comment ref="W3" authorId="1" shapeId="0" xr:uid="{D7807457-8826-4EDF-9844-59E8165E0EBB}">
      <text>
        <r>
          <rPr>
            <b/>
            <sz val="8"/>
            <color indexed="81"/>
            <rFont val="Tahoma"/>
            <family val="2"/>
          </rPr>
          <t>Marc Nicholls:</t>
        </r>
        <r>
          <rPr>
            <sz val="8"/>
            <color indexed="81"/>
            <rFont val="Tahoma"/>
            <family val="2"/>
          </rPr>
          <t xml:space="preserve">
ANZ $50m, Syndicate $225m
Nelly: ANZ 35.9 as at Sep 22</t>
        </r>
      </text>
    </comment>
    <comment ref="W4" authorId="2" shapeId="0" xr:uid="{297C966C-5C1B-40BC-BB52-B18CE4D5F1CE}">
      <text>
        <r>
          <rPr>
            <b/>
            <sz val="8"/>
            <color indexed="81"/>
            <rFont val="Tahoma"/>
            <family val="2"/>
          </rPr>
          <t>Loan Limit: 120mio
Bank Limit: EUR50mio
Policy Limit: EUR25mio</t>
        </r>
      </text>
    </comment>
    <comment ref="W5" authorId="2" shapeId="0" xr:uid="{A3DEA8CD-CED1-4D0D-8A02-5529B83F0829}">
      <text>
        <r>
          <rPr>
            <b/>
            <sz val="9"/>
            <color indexed="81"/>
            <rFont val="Tahoma"/>
            <family val="2"/>
          </rPr>
          <t>supports DB INR6b participation</t>
        </r>
      </text>
    </comment>
    <comment ref="W6" authorId="1" shapeId="0" xr:uid="{6A00D563-B2F6-47C3-9AB6-B02075DB06EE}">
      <text>
        <r>
          <rPr>
            <b/>
            <sz val="9"/>
            <color indexed="81"/>
            <rFont val="Tahoma"/>
            <family val="2"/>
          </rPr>
          <t>Marc Nicholls:</t>
        </r>
        <r>
          <rPr>
            <sz val="9"/>
            <color indexed="81"/>
            <rFont val="Tahoma"/>
            <family val="2"/>
          </rPr>
          <t xml:space="preserve">
supports ING in its EUR175m participation in Eur625m faciilty</t>
        </r>
      </text>
    </comment>
    <comment ref="W7" authorId="2" shapeId="0" xr:uid="{697047C1-64B1-4750-A7F1-D724415AFD4F}">
      <text>
        <r>
          <rPr>
            <sz val="8"/>
            <color indexed="81"/>
            <rFont val="Tahoma"/>
            <family val="2"/>
          </rPr>
          <t>US1.024b, StanChart US131.75m</t>
        </r>
      </text>
    </comment>
    <comment ref="W8" authorId="3" shapeId="0" xr:uid="{75E61743-19A4-4475-B3A2-DD239BE1AAAF}">
      <text>
        <r>
          <rPr>
            <sz val="9"/>
            <color indexed="81"/>
            <rFont val="Tahoma"/>
            <family val="2"/>
          </rPr>
          <t>CEIP support to SG (Paris Branch)  in its US$120m participation in a US$790m committed senior secured syndicated pooled commercial aircraft term loan financing facility</t>
        </r>
      </text>
    </comment>
    <comment ref="W14" authorId="2" shapeId="0" xr:uid="{E97ADF46-D985-4BCB-8F8D-56EB3DC2D26F}">
      <text>
        <r>
          <rPr>
            <sz val="8"/>
            <color indexed="81"/>
            <rFont val="Tahoma"/>
            <family val="2"/>
          </rPr>
          <t>US$1b, ANZ London US$107m</t>
        </r>
      </text>
    </comment>
    <comment ref="W17" authorId="2" shapeId="0" xr:uid="{A00C3A37-F926-423E-8514-E8065AD455E3}">
      <text>
        <r>
          <rPr>
            <sz val="8"/>
            <color indexed="81"/>
            <rFont val="Tahoma"/>
            <family val="2"/>
          </rPr>
          <t>US290m, SMBC US$50m</t>
        </r>
      </text>
    </comment>
    <comment ref="W18" authorId="2" shapeId="0" xr:uid="{10055A8A-44F7-4100-A7A5-ACE837ADC36E}">
      <text>
        <r>
          <rPr>
            <b/>
            <sz val="9"/>
            <color indexed="81"/>
            <rFont val="Tahoma"/>
            <family val="2"/>
          </rPr>
          <t>ING participation of EUR150m of EUR650m facility</t>
        </r>
      </text>
    </comment>
    <comment ref="W20" authorId="2" shapeId="0" xr:uid="{F1BD3622-D47E-424F-B3DF-42F1D6DF9F4E}">
      <text>
        <r>
          <rPr>
            <b/>
            <sz val="9"/>
            <color indexed="81"/>
            <rFont val="Tahoma"/>
            <family val="2"/>
          </rPr>
          <t>DB participation of $65m in $180m senior secured loan only, $10m revolver and $10m capex facility</t>
        </r>
      </text>
    </comment>
    <comment ref="W21" authorId="1" shapeId="0" xr:uid="{6DB51091-DD67-443A-966D-EF47B338D0B1}">
      <text>
        <r>
          <rPr>
            <b/>
            <sz val="9"/>
            <color indexed="81"/>
            <rFont val="Tahoma"/>
            <family val="2"/>
          </rPr>
          <t>Marc Nicholls:</t>
        </r>
        <r>
          <rPr>
            <sz val="9"/>
            <color indexed="81"/>
            <rFont val="Tahoma"/>
            <family val="2"/>
          </rPr>
          <t xml:space="preserve">
ING $137m of $137m</t>
        </r>
      </text>
    </comment>
    <comment ref="U22" authorId="4" shapeId="0" xr:uid="{029622EB-B67E-4873-B148-F547D075A003}">
      <text>
        <r>
          <rPr>
            <b/>
            <sz val="9"/>
            <color indexed="81"/>
            <rFont val="Tahoma"/>
            <family val="2"/>
          </rPr>
          <t>Nelly Nguyen:</t>
        </r>
        <r>
          <rPr>
            <sz val="9"/>
            <color indexed="81"/>
            <rFont val="Tahoma"/>
            <family val="2"/>
          </rPr>
          <t xml:space="preserve">
USD 5.1926</t>
        </r>
      </text>
    </comment>
    <comment ref="W22" authorId="1" shapeId="0" xr:uid="{230A0C9B-B4FF-4A7C-BF78-F7964838A18C}">
      <text>
        <r>
          <rPr>
            <b/>
            <sz val="9"/>
            <color indexed="81"/>
            <rFont val="Tahoma"/>
            <family val="2"/>
          </rPr>
          <t>Marc Nicholls:</t>
        </r>
        <r>
          <rPr>
            <sz val="9"/>
            <color indexed="81"/>
            <rFont val="Tahoma"/>
            <family val="2"/>
          </rPr>
          <t xml:space="preserve">
BNPP $30 of $80m</t>
        </r>
      </text>
    </comment>
    <comment ref="W23" authorId="5" shapeId="0" xr:uid="{50AB2D75-1E63-4B4E-BE63-1CA51E2DF0D0}">
      <text>
        <r>
          <rPr>
            <b/>
            <sz val="9"/>
            <color indexed="81"/>
            <rFont val="Tahoma"/>
            <family val="2"/>
          </rPr>
          <t>Jemma Sargeant:</t>
        </r>
        <r>
          <rPr>
            <sz val="9"/>
            <color indexed="81"/>
            <rFont val="Tahoma"/>
            <family val="2"/>
          </rPr>
          <t xml:space="preserve">
ANZ US$96.8mil in US$193.6mil</t>
        </r>
      </text>
    </comment>
    <comment ref="A24" authorId="2" shapeId="0" xr:uid="{161695C2-CBFC-4D11-B9FB-3E49F0A60187}">
      <text>
        <r>
          <rPr>
            <b/>
            <sz val="9"/>
            <color indexed="81"/>
            <rFont val="Tahoma"/>
            <family val="2"/>
          </rPr>
          <t>Barings (Head Office)</t>
        </r>
      </text>
    </comment>
    <comment ref="W24" authorId="5" shapeId="0" xr:uid="{1FA6B679-A8FC-4851-B47E-D19FBE1B46E5}">
      <text>
        <r>
          <rPr>
            <b/>
            <sz val="9"/>
            <color indexed="81"/>
            <rFont val="Tahoma"/>
            <family val="2"/>
          </rPr>
          <t>Jemma Sargeant:</t>
        </r>
        <r>
          <rPr>
            <sz val="9"/>
            <color indexed="81"/>
            <rFont val="Tahoma"/>
            <family val="2"/>
          </rPr>
          <t xml:space="preserve">
ING EUR 16.055mil</t>
        </r>
      </text>
    </comment>
    <comment ref="W25" authorId="5" shapeId="0" xr:uid="{2E4339BB-981F-44E4-AECA-EBE033501F2F}">
      <text>
        <r>
          <rPr>
            <b/>
            <sz val="9"/>
            <color indexed="81"/>
            <rFont val="Tahoma"/>
            <family val="2"/>
          </rPr>
          <t>Jemma Sargeant:</t>
        </r>
        <r>
          <rPr>
            <sz val="9"/>
            <color indexed="81"/>
            <rFont val="Tahoma"/>
            <family val="2"/>
          </rPr>
          <t xml:space="preserve">
US$75m in US$200m</t>
        </r>
      </text>
    </comment>
    <comment ref="W26" authorId="5" shapeId="0" xr:uid="{266F8E2B-4B1B-4A9D-975F-9FCBF89DE3DA}">
      <text>
        <r>
          <rPr>
            <b/>
            <sz val="9"/>
            <color indexed="81"/>
            <rFont val="Tahoma"/>
            <family val="2"/>
          </rPr>
          <t>Jemma Sargeant:</t>
        </r>
        <r>
          <rPr>
            <sz val="9"/>
            <color indexed="81"/>
            <rFont val="Tahoma"/>
            <family val="2"/>
          </rPr>
          <t xml:space="preserve">
US$36m facility
</t>
        </r>
      </text>
    </comment>
    <comment ref="W27" authorId="5" shapeId="0" xr:uid="{CDE1B4E6-7F51-44A1-8E15-7D5F71EEF6C1}">
      <text>
        <r>
          <rPr>
            <b/>
            <sz val="9"/>
            <color indexed="81"/>
            <rFont val="Tahoma"/>
            <family val="2"/>
          </rPr>
          <t xml:space="preserve">Loan = us$350
Bank = us$100
</t>
        </r>
        <r>
          <rPr>
            <sz val="9"/>
            <color indexed="81"/>
            <rFont val="Tahoma"/>
            <family val="2"/>
          </rPr>
          <t xml:space="preserve">
</t>
        </r>
      </text>
    </comment>
    <comment ref="W28" authorId="6" shapeId="0" xr:uid="{E4C1602E-177F-4530-9ABF-12CFA27CBC4F}">
      <text>
        <r>
          <rPr>
            <b/>
            <sz val="9"/>
            <color indexed="81"/>
            <rFont val="Tahoma"/>
            <family val="2"/>
          </rPr>
          <t>Samuel Atkinson:</t>
        </r>
        <r>
          <rPr>
            <sz val="9"/>
            <color indexed="81"/>
            <rFont val="Tahoma"/>
            <family val="2"/>
          </rPr>
          <t xml:space="preserve">
Bank limit: AUD 75m 
Facility limit: AUD 750m</t>
        </r>
      </text>
    </comment>
    <comment ref="W29" authorId="5" shapeId="0" xr:uid="{2D5616A6-90A0-49F8-B980-3FB15F588D2E}">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W30" authorId="6" shapeId="0" xr:uid="{89823A25-30EA-4F2F-9F57-A65363993772}">
      <text>
        <r>
          <rPr>
            <b/>
            <sz val="9"/>
            <color indexed="81"/>
            <rFont val="Tahoma"/>
            <family val="2"/>
          </rPr>
          <t>Samuel Atkinson:
Facility Limit: EUR 97.2m
Bank Limit: 48.6
Policy Limit: 15</t>
        </r>
      </text>
    </comment>
    <comment ref="W31" authorId="6" shapeId="0" xr:uid="{F6BDD591-F40F-4773-8FCC-4374A7EBC59C}">
      <text>
        <r>
          <rPr>
            <b/>
            <sz val="9"/>
            <color indexed="81"/>
            <rFont val="Tahoma"/>
            <family val="2"/>
          </rPr>
          <t>Samuel Atkinson:</t>
        </r>
        <r>
          <rPr>
            <sz val="9"/>
            <color indexed="81"/>
            <rFont val="Tahoma"/>
            <family val="2"/>
          </rPr>
          <t xml:space="preserve">
1.75b US term loan
175b US ANZ commitment
</t>
        </r>
      </text>
    </comment>
    <comment ref="W32" authorId="6" shapeId="0" xr:uid="{C4FF5FDF-1F11-4ACD-8281-CDFEAFE07D0A}">
      <text>
        <r>
          <rPr>
            <b/>
            <sz val="9"/>
            <color indexed="81"/>
            <rFont val="Tahoma"/>
            <family val="2"/>
          </rPr>
          <t>Samuel Atkinson:</t>
        </r>
        <r>
          <rPr>
            <sz val="9"/>
            <color indexed="81"/>
            <rFont val="Tahoma"/>
            <family val="2"/>
          </rPr>
          <t xml:space="preserve">
Bank: EUR 120m
Loan: EUR 500m</t>
        </r>
      </text>
    </comment>
    <comment ref="O33" authorId="6" shapeId="0" xr:uid="{2B45A753-8948-4DDD-A51F-A0F77FBDB45B}">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W33" authorId="6" shapeId="0" xr:uid="{77D5A1BC-DFFC-47BF-89B4-27F7E28E8B77}">
      <text>
        <r>
          <rPr>
            <b/>
            <sz val="9"/>
            <color indexed="81"/>
            <rFont val="Tahoma"/>
            <family val="2"/>
          </rPr>
          <t>Samuel Atkinson:</t>
        </r>
        <r>
          <rPr>
            <sz val="9"/>
            <color indexed="81"/>
            <rFont val="Tahoma"/>
            <family val="2"/>
          </rPr>
          <t xml:space="preserve">
Loan Limit:US$385.9m
Bank Limit: US$30m
Policy: US$10m</t>
        </r>
      </text>
    </comment>
    <comment ref="W34" authorId="6" shapeId="0" xr:uid="{7DB685C7-97CB-41A8-AC10-2805C76879ED}">
      <text>
        <r>
          <rPr>
            <b/>
            <sz val="9"/>
            <color indexed="81"/>
            <rFont val="Tahoma"/>
            <family val="2"/>
          </rPr>
          <t>Samuel Atkinson:</t>
        </r>
        <r>
          <rPr>
            <sz val="9"/>
            <color indexed="81"/>
            <rFont val="Tahoma"/>
            <family val="2"/>
          </rPr>
          <t xml:space="preserve">
Bank Limit = 114.4m 
Loan Limit = 1.5b</t>
        </r>
      </text>
    </comment>
    <comment ref="W35" authorId="6" shapeId="0" xr:uid="{38A69442-5CB0-4764-B19A-E37757912AFD}">
      <text>
        <r>
          <rPr>
            <b/>
            <sz val="9"/>
            <color indexed="81"/>
            <rFont val="Tahoma"/>
            <family val="2"/>
          </rPr>
          <t>Samuel Atkinson:
RI: 15m
Bank: 50m
Loan: 545m</t>
        </r>
      </text>
    </comment>
    <comment ref="W36" authorId="7" shapeId="0" xr:uid="{F2B2B9D3-D050-47E6-BE02-BE53898B30A7}">
      <text>
        <r>
          <rPr>
            <b/>
            <sz val="9"/>
            <color indexed="81"/>
            <rFont val="Tahoma"/>
            <family val="2"/>
          </rPr>
          <t>Ann Prosser:</t>
        </r>
        <r>
          <rPr>
            <sz val="9"/>
            <color indexed="81"/>
            <rFont val="Tahoma"/>
            <family val="2"/>
          </rPr>
          <t xml:space="preserve">
Policy limit: USD $15m, Bank Limit: usd $ 30m</t>
        </r>
      </text>
    </comment>
    <comment ref="W37" authorId="6" shapeId="0" xr:uid="{BF12D4C7-8B5F-48E8-BB54-73E6E0426B59}">
      <text>
        <r>
          <rPr>
            <b/>
            <sz val="9"/>
            <color indexed="81"/>
            <rFont val="Tahoma"/>
            <family val="2"/>
          </rPr>
          <t>Samuel Atkinson:</t>
        </r>
        <r>
          <rPr>
            <sz val="9"/>
            <color indexed="81"/>
            <rFont val="Tahoma"/>
            <family val="2"/>
          </rPr>
          <t xml:space="preserve">
Bank Limit: US$42.033m
Loan  Limit: US$126.1m</t>
        </r>
      </text>
    </comment>
    <comment ref="W38" authorId="6" shapeId="0" xr:uid="{FD080DAB-74BF-4B04-831E-40E8B3E0DE32}">
      <text>
        <r>
          <rPr>
            <b/>
            <sz val="9"/>
            <color indexed="81"/>
            <rFont val="Tahoma"/>
            <family val="2"/>
          </rPr>
          <t>Samuel Atkinson:</t>
        </r>
        <r>
          <rPr>
            <sz val="9"/>
            <color indexed="81"/>
            <rFont val="Tahoma"/>
            <family val="2"/>
          </rPr>
          <t xml:space="preserve">
Bank Limit: US$10
Loan Limit: US$730m 
</t>
        </r>
      </text>
    </comment>
    <comment ref="W39" authorId="7" shapeId="0" xr:uid="{70BB7947-894A-4D21-87DF-79E58F0776B8}">
      <text>
        <r>
          <rPr>
            <b/>
            <sz val="9"/>
            <color indexed="81"/>
            <rFont val="Tahoma"/>
            <family val="2"/>
          </rPr>
          <t>Ann Prosser:</t>
        </r>
        <r>
          <rPr>
            <sz val="9"/>
            <color indexed="81"/>
            <rFont val="Tahoma"/>
            <family val="2"/>
          </rPr>
          <t xml:space="preserve">
Loan Limit: US$64.1m
Bank Limit: US$53.4m 
Policy Limit: US$20m
</t>
        </r>
      </text>
    </comment>
    <comment ref="W40" authorId="7" shapeId="0" xr:uid="{8C992164-609E-41E8-B84B-18EE23F57F09}">
      <text>
        <r>
          <rPr>
            <b/>
            <sz val="9"/>
            <color indexed="81"/>
            <rFont val="Tahoma"/>
            <family val="2"/>
          </rPr>
          <t>Ann Prosser:</t>
        </r>
        <r>
          <rPr>
            <sz val="9"/>
            <color indexed="81"/>
            <rFont val="Tahoma"/>
            <family val="2"/>
          </rPr>
          <t xml:space="preserve">
Loan Limit: ~US$450m
Bank Limit: SGD 51.7m 
Policy Limit: SGD 14.1m
</t>
        </r>
      </text>
    </comment>
    <comment ref="W41" authorId="7" shapeId="0" xr:uid="{BB550918-3F10-4E1F-ABE0-C74C05C64167}">
      <text>
        <r>
          <rPr>
            <b/>
            <sz val="9"/>
            <color indexed="81"/>
            <rFont val="Tahoma"/>
            <family val="2"/>
          </rPr>
          <t>Ann Prosser:</t>
        </r>
        <r>
          <rPr>
            <sz val="9"/>
            <color indexed="81"/>
            <rFont val="Tahoma"/>
            <family val="2"/>
          </rPr>
          <t xml:space="preserve">
Loan Limit: US$3bn
Bank Limit: US$150m 
Policy Limit: US$7.5</t>
        </r>
      </text>
    </comment>
    <comment ref="W42" authorId="7" shapeId="0" xr:uid="{35C18D30-094E-4054-9B8F-9A0283E6AB79}">
      <text>
        <r>
          <rPr>
            <b/>
            <sz val="9"/>
            <color indexed="81"/>
            <rFont val="Tahoma"/>
            <family val="2"/>
          </rPr>
          <t>Ann Prosser:</t>
        </r>
        <r>
          <rPr>
            <sz val="9"/>
            <color indexed="81"/>
            <rFont val="Tahoma"/>
            <family val="2"/>
          </rPr>
          <t xml:space="preserve">
"Loan Limit: US$46.9m
Bank Limit: US$46.9m 
Policy Limit: US$20m"
</t>
        </r>
      </text>
    </comment>
    <comment ref="W43" authorId="7" shapeId="0" xr:uid="{2A100913-F1D3-4954-A0D9-E730E23ADC42}">
      <text>
        <r>
          <rPr>
            <b/>
            <sz val="9"/>
            <color indexed="81"/>
            <rFont val="Tahoma"/>
            <family val="2"/>
          </rPr>
          <t>Ann Prosser:</t>
        </r>
        <r>
          <rPr>
            <sz val="9"/>
            <color indexed="81"/>
            <rFont val="Tahoma"/>
            <family val="2"/>
          </rPr>
          <t xml:space="preserve">
Loan Limit: €57m
Bank Limit: €53m
Policy Limit: €12.5m
</t>
        </r>
      </text>
    </comment>
    <comment ref="W44" authorId="7" shapeId="0" xr:uid="{88599036-3754-4958-A030-6B62262909BE}">
      <text>
        <r>
          <rPr>
            <b/>
            <sz val="9"/>
            <color indexed="81"/>
            <rFont val="Tahoma"/>
            <family val="2"/>
          </rPr>
          <t>Nelly Nguyen:</t>
        </r>
        <r>
          <rPr>
            <sz val="9"/>
            <color indexed="81"/>
            <rFont val="Tahoma"/>
            <family val="2"/>
          </rPr>
          <t xml:space="preserve">
Loan Limit: EUR310mm
Bank Limit: EUR77.5m 
Policy Limit: EUR20m</t>
        </r>
      </text>
    </comment>
    <comment ref="W45" authorId="0" shapeId="0" xr:uid="{AF3A24CB-E874-48C1-83E0-87086A539918}">
      <text>
        <r>
          <rPr>
            <b/>
            <sz val="9"/>
            <color indexed="81"/>
            <rFont val="Tahoma"/>
            <family val="2"/>
          </rPr>
          <t>Lea Krstevska:</t>
        </r>
        <r>
          <rPr>
            <sz val="9"/>
            <color indexed="81"/>
            <rFont val="Tahoma"/>
            <family val="2"/>
          </rPr>
          <t xml:space="preserve">
Loan Limit: US$5bn
Bank Limit: US$350m
Policy Limit: US$20m</t>
        </r>
      </text>
    </comment>
    <comment ref="W46" authorId="0" shapeId="0" xr:uid="{F8B155AC-1FD1-4FD0-9F09-B257F0DE41CE}">
      <text>
        <r>
          <rPr>
            <b/>
            <sz val="9"/>
            <color indexed="81"/>
            <rFont val="Tahoma"/>
            <family val="2"/>
          </rPr>
          <t>Lea Krstevska:</t>
        </r>
        <r>
          <rPr>
            <sz val="9"/>
            <color indexed="81"/>
            <rFont val="Tahoma"/>
            <family val="2"/>
          </rPr>
          <t xml:space="preserve">
Loan Limit: US$886m
Bank Limit: US$58m 
Policy Limit: US$10m</t>
        </r>
      </text>
    </comment>
    <comment ref="W47" authorId="7" shapeId="0" xr:uid="{C5E5746E-EFEF-4E3C-AD7B-55F13E2D6D27}">
      <text>
        <r>
          <rPr>
            <b/>
            <sz val="9"/>
            <color indexed="81"/>
            <rFont val="Tahoma"/>
            <family val="2"/>
          </rPr>
          <t>Ann Prosser:</t>
        </r>
        <r>
          <rPr>
            <sz val="9"/>
            <color indexed="81"/>
            <rFont val="Tahoma"/>
            <family val="2"/>
          </rPr>
          <t xml:space="preserve">
Loan Limit: A$750m
Bank Limit: A$97m 
Policy Limit: A$15m
</t>
        </r>
      </text>
    </comment>
    <comment ref="W48" authorId="0" shapeId="0" xr:uid="{84BA48CF-E0D7-4878-AD39-78A9940D7CC7}">
      <text>
        <r>
          <rPr>
            <b/>
            <sz val="9"/>
            <color indexed="81"/>
            <rFont val="Tahoma"/>
            <family val="2"/>
          </rPr>
          <t>Lea Krstevska:</t>
        </r>
        <r>
          <rPr>
            <sz val="9"/>
            <color indexed="81"/>
            <rFont val="Tahoma"/>
            <family val="2"/>
          </rPr>
          <t xml:space="preserve">
Loan Limit: US$300m
Bank Limit: US$100m 
Policy Limit: US$10m</t>
        </r>
      </text>
    </comment>
    <comment ref="W49" authorId="0" shapeId="0" xr:uid="{23086FF0-CC50-40CA-A1CE-2FBD20A2AA71}">
      <text>
        <r>
          <rPr>
            <b/>
            <sz val="9"/>
            <color indexed="81"/>
            <rFont val="Tahoma"/>
            <family val="2"/>
          </rPr>
          <t>Lea Krstevska:</t>
        </r>
        <r>
          <rPr>
            <sz val="9"/>
            <color indexed="81"/>
            <rFont val="Tahoma"/>
            <family val="2"/>
          </rPr>
          <t xml:space="preserve">
Loan Limit: A$256.3m
Bank Limit: A$256.3m 
Policy Limit: A$25m</t>
        </r>
      </text>
    </comment>
    <comment ref="W50" authorId="7" shapeId="0" xr:uid="{02954F96-4723-42CC-A893-C97EC5DDC45D}">
      <text>
        <r>
          <rPr>
            <b/>
            <sz val="9"/>
            <color indexed="81"/>
            <rFont val="Tahoma"/>
            <family val="2"/>
          </rPr>
          <t>Ann Prosser:</t>
        </r>
        <r>
          <rPr>
            <sz val="9"/>
            <color indexed="81"/>
            <rFont val="Tahoma"/>
            <family val="2"/>
          </rPr>
          <t xml:space="preserve">
Loan Limit: A$129.6m
Bank Limit: A$93m 
Policy Limit: A$25m
</t>
        </r>
      </text>
    </comment>
    <comment ref="X50" authorId="4" shapeId="0" xr:uid="{2A860D0C-CF20-460B-AF32-181EF8DCFB58}">
      <text>
        <r>
          <rPr>
            <b/>
            <sz val="9"/>
            <color indexed="81"/>
            <rFont val="Tahoma"/>
            <family val="2"/>
          </rPr>
          <t>Nelly Nguyen:</t>
        </r>
        <r>
          <rPr>
            <sz val="9"/>
            <color indexed="81"/>
            <rFont val="Tahoma"/>
            <family val="2"/>
          </rPr>
          <t xml:space="preserve">
WB is 76,262.16, but the additional adj is 10K to be 1,052,741.43 as at Nov-end 22</t>
        </r>
      </text>
    </comment>
    <comment ref="W51" authorId="0" shapeId="0" xr:uid="{8F109A5B-0823-4CE6-BEA7-361E4B723A5A}">
      <text>
        <r>
          <rPr>
            <b/>
            <sz val="9"/>
            <color indexed="81"/>
            <rFont val="Tahoma"/>
            <family val="2"/>
          </rPr>
          <t>Lea Krstevska:</t>
        </r>
        <r>
          <rPr>
            <sz val="9"/>
            <color indexed="81"/>
            <rFont val="Tahoma"/>
            <family val="2"/>
          </rPr>
          <t xml:space="preserve">
Loan Limit: EUR 1.4b
Bank Limit: EUR 212m 
Policy Limit: EUR 15m</t>
        </r>
      </text>
    </comment>
    <comment ref="W52" authorId="0" shapeId="0" xr:uid="{0013B6F8-D82B-4D0D-AA06-57568EE2F0DC}">
      <text>
        <r>
          <rPr>
            <b/>
            <sz val="9"/>
            <color indexed="81"/>
            <rFont val="Tahoma"/>
            <family val="2"/>
          </rPr>
          <t>Lea Krstevska:</t>
        </r>
        <r>
          <rPr>
            <sz val="9"/>
            <color indexed="81"/>
            <rFont val="Tahoma"/>
            <family val="2"/>
          </rPr>
          <t xml:space="preserve">
Loan Limit: US$75m
Bank Limit: US$75m 
Policy Limit: US$20m</t>
        </r>
      </text>
    </comment>
    <comment ref="W53" authorId="0" shapeId="0" xr:uid="{481B18D2-73C6-4A91-BA32-F7DB345C0773}">
      <text>
        <r>
          <rPr>
            <b/>
            <sz val="9"/>
            <color indexed="81"/>
            <rFont val="Tahoma"/>
            <family val="2"/>
          </rPr>
          <t>Lea Krstevska:</t>
        </r>
        <r>
          <rPr>
            <sz val="9"/>
            <color indexed="81"/>
            <rFont val="Tahoma"/>
            <family val="2"/>
          </rPr>
          <t xml:space="preserve">
Loan Limit: EUR 20m
Bank Limit: EUR 20m 
Policy Limit: EUR 3m</t>
        </r>
      </text>
    </comment>
    <comment ref="W54" authorId="0" shapeId="0" xr:uid="{ECEB5735-BC77-41CD-9DB2-41A51E2490DC}">
      <text>
        <r>
          <rPr>
            <b/>
            <sz val="9"/>
            <color indexed="81"/>
            <rFont val="Tahoma"/>
            <family val="2"/>
          </rPr>
          <t>Lea Krstevska:</t>
        </r>
        <r>
          <rPr>
            <sz val="9"/>
            <color indexed="81"/>
            <rFont val="Tahoma"/>
            <family val="2"/>
          </rPr>
          <t xml:space="preserve">
Loan: JPY12bn
Bank: JPY7bn
Policy: JPY 2.6bn</t>
        </r>
      </text>
    </comment>
    <comment ref="W55" authorId="0" shapeId="0" xr:uid="{9B9B68CF-D417-4A2C-8F0A-283A6AE1530B}">
      <text>
        <r>
          <rPr>
            <b/>
            <sz val="9"/>
            <color indexed="81"/>
            <rFont val="Tahoma"/>
            <family val="2"/>
          </rPr>
          <t>Lea Krstevska:</t>
        </r>
        <r>
          <rPr>
            <sz val="9"/>
            <color indexed="81"/>
            <rFont val="Tahoma"/>
            <family val="2"/>
          </rPr>
          <t xml:space="preserve">
Loan Limit £400m
Bank Limit £90m
Policy Limit  £5m</t>
        </r>
      </text>
    </comment>
    <comment ref="W56" authorId="0" shapeId="0" xr:uid="{EB7BDB83-ECDF-461C-B4B2-BD14A062636C}">
      <text>
        <r>
          <rPr>
            <b/>
            <sz val="9"/>
            <color indexed="81"/>
            <rFont val="Tahoma"/>
            <family val="2"/>
          </rPr>
          <t>Lea Krstevska:</t>
        </r>
        <r>
          <rPr>
            <sz val="9"/>
            <color indexed="81"/>
            <rFont val="Tahoma"/>
            <family val="2"/>
          </rPr>
          <t xml:space="preserve">
Loan Limit: A$319m
Bank Limit: A$319m 
Policy Limit: A$30m</t>
        </r>
      </text>
    </comment>
    <comment ref="W57" authorId="6" shapeId="0" xr:uid="{6F38909C-701F-400B-8227-9095A9B7F50C}">
      <text>
        <r>
          <rPr>
            <b/>
            <sz val="9"/>
            <color indexed="81"/>
            <rFont val="Tahoma"/>
            <family val="2"/>
          </rPr>
          <t>Samuel Atkinson:EUR 25m Bank Limit 
EUR 25m Loan Limit</t>
        </r>
      </text>
    </comment>
    <comment ref="W58" authorId="6" shapeId="0" xr:uid="{FE387FC7-A5E5-4884-8329-D232FBF78BBA}">
      <text>
        <r>
          <rPr>
            <b/>
            <sz val="9"/>
            <color indexed="81"/>
            <rFont val="Tahoma"/>
            <family val="2"/>
          </rPr>
          <t>Samuel Atkinson:</t>
        </r>
        <r>
          <rPr>
            <sz val="9"/>
            <color indexed="81"/>
            <rFont val="Tahoma"/>
            <family val="2"/>
          </rPr>
          <t xml:space="preserve">
Bank Limit: EUR 105m
Loan Limit: EUR 330m</t>
        </r>
      </text>
    </comment>
    <comment ref="W59" authorId="6" shapeId="0" xr:uid="{7884F48B-964D-4ED9-9E5D-761666C8765E}">
      <text>
        <r>
          <rPr>
            <b/>
            <sz val="9"/>
            <color indexed="81"/>
            <rFont val="Tahoma"/>
            <family val="2"/>
          </rPr>
          <t>Samuel Atkinson
US$61m Bank Limit
US$575m Loan Limit</t>
        </r>
      </text>
    </comment>
    <comment ref="W60" authorId="7" shapeId="0" xr:uid="{E1F8F571-F3CE-4BE5-B0F2-B110AF1ECB72}">
      <text>
        <r>
          <rPr>
            <b/>
            <sz val="9"/>
            <color indexed="81"/>
            <rFont val="Tahoma"/>
            <family val="2"/>
          </rPr>
          <t>Ann Prosser:</t>
        </r>
        <r>
          <rPr>
            <sz val="9"/>
            <color indexed="81"/>
            <rFont val="Tahoma"/>
            <family val="2"/>
          </rPr>
          <t xml:space="preserve">
Loan Limit: US$1.3bn
Bank Limit: US$95m
Policy Limit: US$5m
</t>
        </r>
      </text>
    </comment>
    <comment ref="W61" authorId="2" shapeId="0" xr:uid="{64BB4430-93A2-4D10-B5DC-090680D9BC6D}">
      <text>
        <r>
          <rPr>
            <sz val="8"/>
            <color indexed="81"/>
            <rFont val="Tahoma"/>
            <family val="2"/>
          </rPr>
          <t>US$397.5m , ING US$50m</t>
        </r>
      </text>
    </comment>
    <comment ref="W62" authorId="0" shapeId="0" xr:uid="{92F1778F-9DBE-4B00-82AB-928D3C361DBE}">
      <text>
        <r>
          <rPr>
            <b/>
            <sz val="9"/>
            <color indexed="81"/>
            <rFont val="Tahoma"/>
            <family val="2"/>
          </rPr>
          <t>Lea Krstevska:</t>
        </r>
        <r>
          <rPr>
            <sz val="9"/>
            <color indexed="81"/>
            <rFont val="Tahoma"/>
            <family val="2"/>
          </rPr>
          <t xml:space="preserve">
Loan: US$340m
Bank: US$80m
Policy: US$15m</t>
        </r>
      </text>
    </comment>
    <comment ref="W63" authorId="0" shapeId="0" xr:uid="{5791813F-0EEC-4EA4-AFA3-D62AC922D7E0}">
      <text>
        <r>
          <rPr>
            <b/>
            <sz val="9"/>
            <color indexed="81"/>
            <rFont val="Tahoma"/>
            <family val="2"/>
          </rPr>
          <t>Lea Krstevska:</t>
        </r>
        <r>
          <rPr>
            <sz val="9"/>
            <color indexed="81"/>
            <rFont val="Tahoma"/>
            <family val="2"/>
          </rPr>
          <t xml:space="preserve">
Loan: US$125m
Bank: US$9.375m
Policy: US$7.5m</t>
        </r>
      </text>
    </comment>
    <comment ref="W64" authorId="0" shapeId="0" xr:uid="{E9275C4C-1FCB-455A-9F62-A9AE7E10E50F}">
      <text>
        <r>
          <rPr>
            <b/>
            <sz val="9"/>
            <color indexed="81"/>
            <rFont val="Tahoma"/>
            <family val="2"/>
          </rPr>
          <t>Lea Krstevska:</t>
        </r>
        <r>
          <rPr>
            <sz val="9"/>
            <color indexed="81"/>
            <rFont val="Tahoma"/>
            <family val="2"/>
          </rPr>
          <t xml:space="preserve">
Loan: US$675m
Bank: US$145m
Policy: US$27m</t>
        </r>
      </text>
    </comment>
    <comment ref="W65" authorId="0" shapeId="0" xr:uid="{F74806CA-1F59-4088-8864-787EE1A16B42}">
      <text>
        <r>
          <rPr>
            <b/>
            <sz val="9"/>
            <color indexed="81"/>
            <rFont val="Tahoma"/>
            <family val="2"/>
          </rPr>
          <t>Lea Krstevska:</t>
        </r>
        <r>
          <rPr>
            <sz val="9"/>
            <color indexed="81"/>
            <rFont val="Tahoma"/>
            <family val="2"/>
          </rPr>
          <t xml:space="preserve">
Loan: EUR2.175b
Bank: EUR150m
Policy: EUR25m</t>
        </r>
      </text>
    </comment>
    <comment ref="W66" authorId="0" shapeId="0" xr:uid="{94F91632-213A-4D7B-9E00-31D582857C8A}">
      <text>
        <r>
          <rPr>
            <b/>
            <sz val="9"/>
            <color indexed="81"/>
            <rFont val="Tahoma"/>
            <family val="2"/>
          </rPr>
          <t>Lea Krstevska:</t>
        </r>
        <r>
          <rPr>
            <sz val="9"/>
            <color indexed="81"/>
            <rFont val="Tahoma"/>
            <family val="2"/>
          </rPr>
          <t xml:space="preserve">
Loan: US$69.8m
Bank: US$69.8m
Policy: US$15m</t>
        </r>
      </text>
    </comment>
    <comment ref="W67" authorId="0" shapeId="0" xr:uid="{BA5F8226-B6B2-4AC0-A466-33598D9A3364}">
      <text>
        <r>
          <rPr>
            <b/>
            <sz val="9"/>
            <color indexed="81"/>
            <rFont val="Tahoma"/>
            <family val="2"/>
          </rPr>
          <t>Lea Krstevska:</t>
        </r>
        <r>
          <rPr>
            <sz val="9"/>
            <color indexed="81"/>
            <rFont val="Tahoma"/>
            <family val="2"/>
          </rPr>
          <t xml:space="preserve">
Loan: US$300m
Bank: US$30m
Policy: US$15m</t>
        </r>
      </text>
    </comment>
    <comment ref="W68" authorId="0" shapeId="0" xr:uid="{A91D962E-81A2-4971-9CEC-0D963BA25B97}">
      <text>
        <r>
          <rPr>
            <b/>
            <sz val="9"/>
            <color indexed="81"/>
            <rFont val="Tahoma"/>
            <family val="2"/>
          </rPr>
          <t>Lea Krstevska:</t>
        </r>
        <r>
          <rPr>
            <sz val="9"/>
            <color indexed="81"/>
            <rFont val="Tahoma"/>
            <family val="2"/>
          </rPr>
          <t xml:space="preserve">
Loan: EUR1.03bn
Bank: EUR185.6m
Policy: EUR22m</t>
        </r>
      </text>
    </comment>
    <comment ref="W69" authorId="0" shapeId="0" xr:uid="{A809828C-AAD1-4DC7-BCAE-EE416C3DAB1F}">
      <text>
        <r>
          <rPr>
            <b/>
            <sz val="9"/>
            <color indexed="81"/>
            <rFont val="Tahoma"/>
            <family val="2"/>
          </rPr>
          <t>Lea Krstevska:</t>
        </r>
        <r>
          <rPr>
            <sz val="9"/>
            <color indexed="81"/>
            <rFont val="Tahoma"/>
            <family val="2"/>
          </rPr>
          <t xml:space="preserve">
Loan: EUR375m
Bank: EUR50m
Policy: EUR10m</t>
        </r>
      </text>
    </comment>
    <comment ref="W70" authorId="0" shapeId="0" xr:uid="{A7018051-E33A-45FB-AF3B-A5CA8F3E2A01}">
      <text>
        <r>
          <rPr>
            <b/>
            <sz val="9"/>
            <color indexed="81"/>
            <rFont val="Tahoma"/>
            <family val="2"/>
          </rPr>
          <t>Lea Krstevska:</t>
        </r>
        <r>
          <rPr>
            <sz val="9"/>
            <color indexed="81"/>
            <rFont val="Tahoma"/>
            <family val="2"/>
          </rPr>
          <t xml:space="preserve">
Loan Limit: US$1.05bn
Bank Limit: US$125m
Policy Limit: US$15m</t>
        </r>
      </text>
    </comment>
    <comment ref="W71" authorId="0" shapeId="0" xr:uid="{7C020A9F-A429-4DB4-889B-677A49A59EC2}">
      <text>
        <r>
          <rPr>
            <b/>
            <sz val="9"/>
            <color indexed="81"/>
            <rFont val="Tahoma"/>
            <family val="2"/>
          </rPr>
          <t>Lea Krstevska:</t>
        </r>
        <r>
          <rPr>
            <sz val="9"/>
            <color indexed="81"/>
            <rFont val="Tahoma"/>
            <family val="2"/>
          </rPr>
          <t xml:space="preserve">
Loan Limit: US$818m
Bank Limit: US$40m
Policy Limit: US$20m</t>
        </r>
      </text>
    </comment>
    <comment ref="W72" authorId="0" shapeId="0" xr:uid="{4EDA4035-65B0-49A4-8DC6-22C7B82FFEF3}">
      <text>
        <r>
          <rPr>
            <b/>
            <sz val="9"/>
            <color indexed="81"/>
            <rFont val="Tahoma"/>
            <family val="2"/>
          </rPr>
          <t>Lea Krstevska:</t>
        </r>
        <r>
          <rPr>
            <sz val="9"/>
            <color indexed="81"/>
            <rFont val="Tahoma"/>
            <family val="2"/>
          </rPr>
          <t xml:space="preserve">
Loan Limit: US$450m
Bank Limit: US$15m
Policy Limit: US$7.5m</t>
        </r>
      </text>
    </comment>
    <comment ref="W73" authorId="0" shapeId="0" xr:uid="{2A3671A4-2566-43D0-B452-719975B42B3D}">
      <text>
        <r>
          <rPr>
            <b/>
            <sz val="9"/>
            <color indexed="81"/>
            <rFont val="Tahoma"/>
            <family val="2"/>
          </rPr>
          <t>Lea Krstevska:</t>
        </r>
        <r>
          <rPr>
            <sz val="9"/>
            <color indexed="81"/>
            <rFont val="Tahoma"/>
            <family val="2"/>
          </rPr>
          <t xml:space="preserve">
Loan Limit: CAD$355m+170m
Bank Limit: CAD$30m+54m+78m
Policu Limit: CAD$15m+12m+12m</t>
        </r>
      </text>
    </comment>
    <comment ref="W74" authorId="0" shapeId="0" xr:uid="{064B8D87-DD79-44DF-AC6A-A968CE03C745}">
      <text>
        <r>
          <rPr>
            <b/>
            <sz val="9"/>
            <color indexed="81"/>
            <rFont val="Tahoma"/>
            <family val="2"/>
          </rPr>
          <t>Lea Krstevska:</t>
        </r>
        <r>
          <rPr>
            <sz val="9"/>
            <color indexed="81"/>
            <rFont val="Tahoma"/>
            <family val="2"/>
          </rPr>
          <t xml:space="preserve">
Loan Limit: A$72.688m
Bank Limit: A$72.688m
Policy Limit: A$15m+10m</t>
        </r>
      </text>
    </comment>
    <comment ref="W75" authorId="0" shapeId="0" xr:uid="{51A53774-9C81-4566-AC24-E96BE5455028}">
      <text>
        <r>
          <rPr>
            <b/>
            <sz val="9"/>
            <color indexed="81"/>
            <rFont val="Tahoma"/>
            <family val="2"/>
          </rPr>
          <t>Lea Krstevska:</t>
        </r>
        <r>
          <rPr>
            <sz val="9"/>
            <color indexed="81"/>
            <rFont val="Tahoma"/>
            <family val="2"/>
          </rPr>
          <t xml:space="preserve">
Loan Limit: USD$988m
Bank Limit: USD$74.3m
Policy Limit: USD$20m</t>
        </r>
      </text>
    </comment>
    <comment ref="W76" authorId="0" shapeId="0" xr:uid="{B3AF10D9-1CD5-4195-9C95-BC52E7B5D991}">
      <text>
        <r>
          <rPr>
            <b/>
            <sz val="9"/>
            <color indexed="81"/>
            <rFont val="Tahoma"/>
            <family val="2"/>
          </rPr>
          <t>Lea Krstevska:</t>
        </r>
        <r>
          <rPr>
            <sz val="9"/>
            <color indexed="81"/>
            <rFont val="Tahoma"/>
            <family val="2"/>
          </rPr>
          <t xml:space="preserve">
Loan Limit: NOK:5,525m, SEK: 850m
Bank Limit: NOK: 787m, SEK: 57m
Policy Limit: NOK 246m, SEK 28m</t>
        </r>
      </text>
    </comment>
    <comment ref="W77" authorId="0" shapeId="0" xr:uid="{62D3C079-2320-4E99-9157-DEC7656EAF35}">
      <text>
        <r>
          <rPr>
            <b/>
            <sz val="9"/>
            <color indexed="81"/>
            <rFont val="Tahoma"/>
            <family val="2"/>
          </rPr>
          <t>Lea Krstevska:</t>
        </r>
        <r>
          <rPr>
            <sz val="9"/>
            <color indexed="81"/>
            <rFont val="Tahoma"/>
            <family val="2"/>
          </rPr>
          <t xml:space="preserve">
Loan Limit: A$266M
Bank Limit: A$41.5m
Policy Limit: A$15m</t>
        </r>
      </text>
    </comment>
    <comment ref="W78" authorId="0" shapeId="0" xr:uid="{92772747-3D14-49D3-AD82-6AF835BAA071}">
      <text>
        <r>
          <rPr>
            <b/>
            <sz val="9"/>
            <color indexed="81"/>
            <rFont val="Tahoma"/>
            <family val="2"/>
          </rPr>
          <t>Lea Krstevska:</t>
        </r>
        <r>
          <rPr>
            <sz val="9"/>
            <color indexed="81"/>
            <rFont val="Tahoma"/>
            <family val="2"/>
          </rPr>
          <t xml:space="preserve">
Loan Limit: EUR350m
Bank Limit: EUR70m
Policy Limit: EUR6.25m</t>
        </r>
      </text>
    </comment>
    <comment ref="W79" authorId="0" shapeId="0" xr:uid="{42DEE7E9-6DF8-446A-B447-834AEF7F640A}">
      <text>
        <r>
          <rPr>
            <b/>
            <sz val="9"/>
            <color indexed="81"/>
            <rFont val="Tahoma"/>
            <family val="2"/>
          </rPr>
          <t>Lea Krstevska:</t>
        </r>
        <r>
          <rPr>
            <sz val="9"/>
            <color indexed="81"/>
            <rFont val="Tahoma"/>
            <family val="2"/>
          </rPr>
          <t xml:space="preserve">
Loan Limit: US$55m
Bank Limit: US$15.7m
Policy Limit: US$10m</t>
        </r>
      </text>
    </comment>
    <comment ref="W80" authorId="0" shapeId="0" xr:uid="{6DA2DFA4-D829-46FC-BDC3-97654EC49FFB}">
      <text>
        <r>
          <rPr>
            <b/>
            <sz val="9"/>
            <color indexed="81"/>
            <rFont val="Tahoma"/>
            <family val="2"/>
          </rPr>
          <t>Lea Krstevska:</t>
        </r>
        <r>
          <rPr>
            <sz val="9"/>
            <color indexed="81"/>
            <rFont val="Tahoma"/>
            <family val="2"/>
          </rPr>
          <t xml:space="preserve">
Loan Limit: US$1bn
Bank Limit: US$45m
Policy Limit: US$15m</t>
        </r>
      </text>
    </comment>
    <comment ref="W81" authorId="0" shapeId="0" xr:uid="{97977924-4EB6-4DB1-9712-AE98BE1DFAE9}">
      <text>
        <r>
          <rPr>
            <b/>
            <sz val="9"/>
            <color indexed="81"/>
            <rFont val="Tahoma"/>
            <family val="2"/>
          </rPr>
          <t>Lea Krstevska:</t>
        </r>
        <r>
          <rPr>
            <sz val="9"/>
            <color indexed="81"/>
            <rFont val="Tahoma"/>
            <family val="2"/>
          </rPr>
          <t xml:space="preserve">
Loan Limit: US$818m
Bank Limit: US$35m
Policy Limit: US$5m</t>
        </r>
      </text>
    </comment>
    <comment ref="W82" authorId="0" shapeId="0" xr:uid="{0632EEEE-3101-4DE0-AC64-AC06B1E5B4F8}">
      <text>
        <r>
          <rPr>
            <b/>
            <sz val="9"/>
            <color indexed="81"/>
            <rFont val="Tahoma"/>
            <family val="2"/>
          </rPr>
          <t>Lea Krstevska:</t>
        </r>
        <r>
          <rPr>
            <sz val="9"/>
            <color indexed="81"/>
            <rFont val="Tahoma"/>
            <family val="2"/>
          </rPr>
          <t xml:space="preserve">
Loan Limit: A$2.5bn
Bank Limit: A$155m
Policy Limit: A$20m</t>
        </r>
      </text>
    </comment>
    <comment ref="W83" authorId="0" shapeId="0" xr:uid="{837AD30A-FB77-4F8F-B6BD-8FD7A3550C25}">
      <text>
        <r>
          <rPr>
            <b/>
            <sz val="9"/>
            <color indexed="81"/>
            <rFont val="Tahoma"/>
            <family val="2"/>
          </rPr>
          <t>Lea Krstevska:</t>
        </r>
        <r>
          <rPr>
            <sz val="9"/>
            <color indexed="81"/>
            <rFont val="Tahoma"/>
            <family val="2"/>
          </rPr>
          <t xml:space="preserve">
Loan Limit: A$116m
Bank Limit: A$24m
Policy Limit: A$12m</t>
        </r>
      </text>
    </comment>
    <comment ref="W84" authorId="0" shapeId="0" xr:uid="{5252ACEE-3651-46A2-9A36-65BCEE030A74}">
      <text>
        <r>
          <rPr>
            <b/>
            <sz val="9"/>
            <color indexed="81"/>
            <rFont val="Tahoma"/>
            <family val="2"/>
          </rPr>
          <t>Lea Krstevska:</t>
        </r>
        <r>
          <rPr>
            <sz val="9"/>
            <color indexed="81"/>
            <rFont val="Tahoma"/>
            <family val="2"/>
          </rPr>
          <t xml:space="preserve">
Loan Limit: US$1.2bn
Bank Limit: US$!50m
Policy Limit: US$7.5m</t>
        </r>
      </text>
    </comment>
    <comment ref="W85" authorId="0" shapeId="0" xr:uid="{F3FB136E-9C3C-4876-B9DF-3040DDAEF9B8}">
      <text>
        <r>
          <rPr>
            <b/>
            <sz val="9"/>
            <color indexed="81"/>
            <rFont val="Tahoma"/>
            <family val="2"/>
          </rPr>
          <t>Lea Krstevska:</t>
        </r>
        <r>
          <rPr>
            <sz val="9"/>
            <color indexed="81"/>
            <rFont val="Tahoma"/>
            <family val="2"/>
          </rPr>
          <t xml:space="preserve">
Loan Limit: EUR 1bn
Bank Limit: EUR 35m
Policy Limit: EUR20m</t>
        </r>
      </text>
    </comment>
    <comment ref="W87" authorId="0" shapeId="0" xr:uid="{A658C3D4-6D0B-4E97-B8A5-C8A52E97CDD3}">
      <text>
        <r>
          <rPr>
            <b/>
            <sz val="9"/>
            <color indexed="81"/>
            <rFont val="Tahoma"/>
            <family val="2"/>
          </rPr>
          <t>Lea Krstevska:</t>
        </r>
        <r>
          <rPr>
            <sz val="9"/>
            <color indexed="81"/>
            <rFont val="Tahoma"/>
            <family val="2"/>
          </rPr>
          <t xml:space="preserve">
Loan Limit: EUR 824m
Bank Limit: EUR 86m
Policy Limit: EUR 7.5m (SEK, NOK, DKK)
</t>
        </r>
        <r>
          <rPr>
            <b/>
            <sz val="9"/>
            <color indexed="81"/>
            <rFont val="Tahoma"/>
            <family val="2"/>
          </rPr>
          <t>Nelly Nguyen: NOT SURE if adding 86 with 254.7</t>
        </r>
        <r>
          <rPr>
            <sz val="9"/>
            <color indexed="81"/>
            <rFont val="Tahoma"/>
            <family val="2"/>
          </rPr>
          <t xml:space="preserve">
Loan: EUR2.7b
Bank: EUR254.7m
Policy: EUR12.5m</t>
        </r>
      </text>
    </comment>
    <comment ref="W88" authorId="0" shapeId="0" xr:uid="{8817F261-75CA-4DBF-9831-8F1A5AE17565}">
      <text>
        <r>
          <rPr>
            <b/>
            <sz val="9"/>
            <color indexed="81"/>
            <rFont val="Tahoma"/>
            <family val="2"/>
          </rPr>
          <t>Lea Krstevska:</t>
        </r>
        <r>
          <rPr>
            <sz val="9"/>
            <color indexed="81"/>
            <rFont val="Tahoma"/>
            <family val="2"/>
          </rPr>
          <t xml:space="preserve">
Loan Limit: US$1bn
Bank Limit: US$150m
Policy Limit: US$20m</t>
        </r>
      </text>
    </comment>
    <comment ref="W89" authorId="0" shapeId="0" xr:uid="{5E4A956A-B189-48DB-ACC1-ABC575ECC9E5}">
      <text>
        <r>
          <rPr>
            <b/>
            <sz val="9"/>
            <color indexed="81"/>
            <rFont val="Tahoma"/>
            <family val="2"/>
          </rPr>
          <t>Lea Krstevska:</t>
        </r>
        <r>
          <rPr>
            <sz val="9"/>
            <color indexed="81"/>
            <rFont val="Tahoma"/>
            <family val="2"/>
          </rPr>
          <t xml:space="preserve">
Loan Limit: US$570m
Bank Limit: US$16.6m
Policy Limit: US$10m</t>
        </r>
      </text>
    </comment>
    <comment ref="W90" authorId="0" shapeId="0" xr:uid="{6CAAE78C-B801-4664-9B5A-819C601D5816}">
      <text>
        <r>
          <rPr>
            <b/>
            <sz val="9"/>
            <color indexed="81"/>
            <rFont val="Tahoma"/>
            <family val="2"/>
          </rPr>
          <t>Lea Krstevska:</t>
        </r>
        <r>
          <rPr>
            <sz val="9"/>
            <color indexed="81"/>
            <rFont val="Tahoma"/>
            <family val="2"/>
          </rPr>
          <t xml:space="preserve">
Loan Limit: US$657m + 5bn HKD
Bank limit: US$200m
Policy Limit: US$15m</t>
        </r>
      </text>
    </comment>
    <comment ref="W91" authorId="0" shapeId="0" xr:uid="{5522E98C-1716-4661-9D00-49A30AA53A2C}">
      <text>
        <r>
          <rPr>
            <b/>
            <sz val="9"/>
            <color indexed="81"/>
            <rFont val="Tahoma"/>
            <family val="2"/>
          </rPr>
          <t>Lea Krstevska:</t>
        </r>
        <r>
          <rPr>
            <sz val="9"/>
            <color indexed="81"/>
            <rFont val="Tahoma"/>
            <family val="2"/>
          </rPr>
          <t xml:space="preserve">
Loan Limit: EUR159m
Bank Limit: EUR 40m
Policy Limit: EUR 10m</t>
        </r>
      </text>
    </comment>
    <comment ref="W92" authorId="0" shapeId="0" xr:uid="{D95EE404-0709-469A-AD58-F3B516B43B11}">
      <text>
        <r>
          <rPr>
            <b/>
            <sz val="9"/>
            <color indexed="81"/>
            <rFont val="Tahoma"/>
            <family val="2"/>
          </rPr>
          <t>Lea Krstevska:</t>
        </r>
        <r>
          <rPr>
            <sz val="9"/>
            <color indexed="81"/>
            <rFont val="Tahoma"/>
            <family val="2"/>
          </rPr>
          <t xml:space="preserve">
Loan: EUR 120m
Bank: EUR 30m
Policy: EUR 10m</t>
        </r>
      </text>
    </comment>
    <comment ref="W93" authorId="0" shapeId="0" xr:uid="{F4CCDFB2-7B46-4477-8E5B-FB839CB48F09}">
      <text>
        <r>
          <rPr>
            <b/>
            <sz val="9"/>
            <color indexed="81"/>
            <rFont val="Tahoma"/>
            <family val="2"/>
          </rPr>
          <t>Lea Krstevska:</t>
        </r>
        <r>
          <rPr>
            <sz val="9"/>
            <color indexed="81"/>
            <rFont val="Tahoma"/>
            <family val="2"/>
          </rPr>
          <t xml:space="preserve">
Loan Limit: EUR 270m
Bank Limit: EUR89m 
Policy Limit: EUR 10m</t>
        </r>
      </text>
    </comment>
    <comment ref="W94" authorId="0" shapeId="0" xr:uid="{F9493FCA-5B6C-44CD-8078-8389FF8DD9E3}">
      <text>
        <r>
          <rPr>
            <b/>
            <sz val="9"/>
            <color indexed="81"/>
            <rFont val="Tahoma"/>
            <family val="2"/>
          </rPr>
          <t>Lea Krstevska:</t>
        </r>
        <r>
          <rPr>
            <sz val="9"/>
            <color indexed="81"/>
            <rFont val="Tahoma"/>
            <family val="2"/>
          </rPr>
          <t xml:space="preserve">
Loan Limit: EUR270m
Bank Loan: EUR89m
Policy Limit: EUR5m
</t>
        </r>
      </text>
    </comment>
    <comment ref="W95" authorId="0" shapeId="0" xr:uid="{782C4E11-AFFA-4A8A-B172-B1A07AB918A5}">
      <text>
        <r>
          <rPr>
            <b/>
            <sz val="9"/>
            <color indexed="81"/>
            <rFont val="Tahoma"/>
            <family val="2"/>
          </rPr>
          <t>Lea Krstevska:</t>
        </r>
        <r>
          <rPr>
            <sz val="9"/>
            <color indexed="81"/>
            <rFont val="Tahoma"/>
            <family val="2"/>
          </rPr>
          <t xml:space="preserve">
Loan: US$100m
Bank: US$40m
Policy: US$20m</t>
        </r>
      </text>
    </comment>
    <comment ref="W96" authorId="0" shapeId="0" xr:uid="{E315A26F-A677-4F19-82BF-C8D4A8A621CA}">
      <text>
        <r>
          <rPr>
            <b/>
            <sz val="9"/>
            <color indexed="81"/>
            <rFont val="Tahoma"/>
            <family val="2"/>
          </rPr>
          <t xml:space="preserve">Lea Krstevska:B
</t>
        </r>
        <r>
          <rPr>
            <sz val="9"/>
            <color indexed="81"/>
            <rFont val="Tahoma"/>
            <family val="2"/>
          </rPr>
          <t xml:space="preserve">Loan: NOK4.026bn
Bank: NOK311.5m
Policy: NOK156m
</t>
        </r>
      </text>
    </comment>
    <comment ref="W97" authorId="0" shapeId="0" xr:uid="{6B7282F7-B377-425C-8732-4A39C2316B58}">
      <text>
        <r>
          <rPr>
            <b/>
            <sz val="9"/>
            <color indexed="81"/>
            <rFont val="Tahoma"/>
            <family val="2"/>
          </rPr>
          <t>Lea Krstevska:</t>
        </r>
        <r>
          <rPr>
            <sz val="9"/>
            <color indexed="81"/>
            <rFont val="Tahoma"/>
            <family val="2"/>
          </rPr>
          <t xml:space="preserve">
Loan: AUD 308m
Bank: AUD48m
Policy: AUD11.1m</t>
        </r>
      </text>
    </comment>
    <comment ref="W98" authorId="0" shapeId="0" xr:uid="{A1061EE5-E975-4AC5-B1EA-136B7C337F45}">
      <text>
        <r>
          <rPr>
            <b/>
            <sz val="9"/>
            <color indexed="81"/>
            <rFont val="Tahoma"/>
            <family val="2"/>
          </rPr>
          <t>Lea Krstevska:</t>
        </r>
        <r>
          <rPr>
            <sz val="9"/>
            <color indexed="81"/>
            <rFont val="Tahoma"/>
            <family val="2"/>
          </rPr>
          <t xml:space="preserve">
Loan: GBP155.4m
Bank: GBP40m
Policy: GBP10m</t>
        </r>
      </text>
    </comment>
    <comment ref="W99" authorId="0" shapeId="0" xr:uid="{B5A45DF8-BFDB-48D9-A049-DF5F1A5D861C}">
      <text>
        <r>
          <rPr>
            <b/>
            <sz val="9"/>
            <color indexed="81"/>
            <rFont val="Tahoma"/>
            <family val="2"/>
          </rPr>
          <t>Lea Krstevska:</t>
        </r>
        <r>
          <rPr>
            <sz val="9"/>
            <color indexed="81"/>
            <rFont val="Tahoma"/>
            <family val="2"/>
          </rPr>
          <t xml:space="preserve">
Loan: USD277m
Bank: USD107m
Policy: USD7.5m</t>
        </r>
      </text>
    </comment>
    <comment ref="W100" authorId="0" shapeId="0" xr:uid="{412A82EE-6268-4DD2-938F-E9DAB8CEB1FF}">
      <text>
        <r>
          <rPr>
            <b/>
            <sz val="9"/>
            <color indexed="81"/>
            <rFont val="Tahoma"/>
            <family val="2"/>
          </rPr>
          <t>Lea Krstevska:</t>
        </r>
        <r>
          <rPr>
            <sz val="9"/>
            <color indexed="81"/>
            <rFont val="Tahoma"/>
            <family val="2"/>
          </rPr>
          <t xml:space="preserve">
Loan: EUR119.4m
Bank: EUR24m
Policy: EUR10m
BEFORE 19/9/22 DEBT IS EUR23880</t>
        </r>
      </text>
    </comment>
    <comment ref="W101" authorId="8" shapeId="0" xr:uid="{520F57E3-9B06-4E1B-B07B-F1BB104DCC97}">
      <text>
        <r>
          <rPr>
            <b/>
            <sz val="9"/>
            <color indexed="81"/>
            <rFont val="Tahoma"/>
            <family val="2"/>
          </rPr>
          <t>Chris Power:</t>
        </r>
        <r>
          <rPr>
            <sz val="9"/>
            <color indexed="81"/>
            <rFont val="Tahoma"/>
            <family val="2"/>
          </rPr>
          <t xml:space="preserve">
Loan: USD957m
Bank: USD60m
Policy: USD20m</t>
        </r>
      </text>
    </comment>
    <comment ref="W102" authorId="8" shapeId="0" xr:uid="{2707BE7C-794E-4257-A389-7B52095365AE}">
      <text>
        <r>
          <rPr>
            <b/>
            <sz val="9"/>
            <color indexed="81"/>
            <rFont val="Tahoma"/>
            <family val="2"/>
          </rPr>
          <t>Chris Power:</t>
        </r>
        <r>
          <rPr>
            <sz val="9"/>
            <color indexed="81"/>
            <rFont val="Tahoma"/>
            <family val="2"/>
          </rPr>
          <t xml:space="preserve">
Loan: AUD465m
Bank: AUD88.1m
Policy: AUD10m</t>
        </r>
      </text>
    </comment>
    <comment ref="W103" authorId="8" shapeId="0" xr:uid="{E01468DF-297D-4C82-9526-B368A3054FC1}">
      <text>
        <r>
          <rPr>
            <b/>
            <sz val="9"/>
            <color indexed="81"/>
            <rFont val="Tahoma"/>
            <family val="2"/>
          </rPr>
          <t>Chris Power:</t>
        </r>
        <r>
          <rPr>
            <sz val="9"/>
            <color indexed="81"/>
            <rFont val="Tahoma"/>
            <family val="2"/>
          </rPr>
          <t xml:space="preserve">
Loan: USD330m
Bank: USD20m
Policy: USD10m</t>
        </r>
      </text>
    </comment>
    <comment ref="W104" authorId="8" shapeId="0" xr:uid="{0A2CEEAC-CC33-41F4-A4E9-58D96E79D6E8}">
      <text>
        <r>
          <rPr>
            <b/>
            <sz val="9"/>
            <color indexed="81"/>
            <rFont val="Tahoma"/>
            <family val="2"/>
          </rPr>
          <t>Chris Power:</t>
        </r>
        <r>
          <rPr>
            <sz val="9"/>
            <color indexed="81"/>
            <rFont val="Tahoma"/>
            <family val="2"/>
          </rPr>
          <t xml:space="preserve">
Loan: AUD265.2m
Bank: AUD120m
Policy: AUD16m</t>
        </r>
      </text>
    </comment>
    <comment ref="W105" authorId="8" shapeId="0" xr:uid="{4F48B4BA-AA40-4D65-BD91-49BC83C6522E}">
      <text>
        <r>
          <rPr>
            <b/>
            <sz val="9"/>
            <color indexed="81"/>
            <rFont val="Tahoma"/>
            <family val="2"/>
          </rPr>
          <t>Chris Power:</t>
        </r>
        <r>
          <rPr>
            <sz val="9"/>
            <color indexed="81"/>
            <rFont val="Tahoma"/>
            <family val="2"/>
          </rPr>
          <t xml:space="preserve">
Loan: USD330m
Bank: USD8.3m
Policy: USD5m</t>
        </r>
      </text>
    </comment>
    <comment ref="W106" authorId="8" shapeId="0" xr:uid="{DBF7FB57-9F8E-4770-9654-8A321A24E0C3}">
      <text>
        <r>
          <rPr>
            <b/>
            <sz val="9"/>
            <color indexed="81"/>
            <rFont val="Tahoma"/>
            <family val="2"/>
          </rPr>
          <t>Chris Power:</t>
        </r>
        <r>
          <rPr>
            <sz val="9"/>
            <color indexed="81"/>
            <rFont val="Tahoma"/>
            <family val="2"/>
          </rPr>
          <t xml:space="preserve">
Loan: USD350m
Bank: USD20m
Policy: USD10m</t>
        </r>
      </text>
    </comment>
    <comment ref="W107" authorId="8" shapeId="0" xr:uid="{FFCB6E62-4082-4FD1-8834-7A68B8C71FA7}">
      <text>
        <r>
          <rPr>
            <b/>
            <sz val="9"/>
            <color indexed="81"/>
            <rFont val="Tahoma"/>
            <family val="2"/>
          </rPr>
          <t>Chris Power:</t>
        </r>
        <r>
          <rPr>
            <sz val="9"/>
            <color indexed="81"/>
            <rFont val="Tahoma"/>
            <family val="2"/>
          </rPr>
          <t xml:space="preserve">
Loan: USD1.0b
Bank: USD25m
Policy: USD17.5m</t>
        </r>
      </text>
    </comment>
    <comment ref="W108" authorId="8" shapeId="0" xr:uid="{923A7B2E-C1B3-4EEB-85D7-F8A2A215E345}">
      <text>
        <r>
          <rPr>
            <b/>
            <sz val="9"/>
            <color indexed="81"/>
            <rFont val="Tahoma"/>
            <family val="2"/>
          </rPr>
          <t>Chris Power:</t>
        </r>
        <r>
          <rPr>
            <sz val="9"/>
            <color indexed="81"/>
            <rFont val="Tahoma"/>
            <family val="2"/>
          </rPr>
          <t xml:space="preserve">
Loan: EUR100m
Bank: EUR50m
Policy: EUR10m</t>
        </r>
      </text>
    </comment>
    <comment ref="W109" authorId="8" shapeId="0" xr:uid="{18B4923B-578A-4446-9B20-4CB28107158C}">
      <text>
        <r>
          <rPr>
            <b/>
            <sz val="9"/>
            <color indexed="81"/>
            <rFont val="Tahoma"/>
            <family val="2"/>
          </rPr>
          <t>Chris Power:</t>
        </r>
        <r>
          <rPr>
            <sz val="9"/>
            <color indexed="81"/>
            <rFont val="Tahoma"/>
            <family val="2"/>
          </rPr>
          <t xml:space="preserve">
Loan: AUD115m
Bank: AUD51
Policy: AUD10m</t>
        </r>
      </text>
    </comment>
    <comment ref="W110" authorId="8" shapeId="0" xr:uid="{056C7286-3562-41BD-B657-FC83FDE8AAAF}">
      <text>
        <r>
          <rPr>
            <b/>
            <sz val="9"/>
            <color indexed="81"/>
            <rFont val="Tahoma"/>
            <family val="2"/>
          </rPr>
          <t>Chris Power:</t>
        </r>
        <r>
          <rPr>
            <sz val="9"/>
            <color indexed="81"/>
            <rFont val="Tahoma"/>
            <family val="2"/>
          </rPr>
          <t xml:space="preserve">
Loan: EUR2.7b
Bank: EUR100m
Policy: EUR20m</t>
        </r>
      </text>
    </comment>
    <comment ref="W111" authorId="8" shapeId="0" xr:uid="{7FDD8814-85DA-4C54-B0DE-45BF85D5A0CF}">
      <text>
        <r>
          <rPr>
            <b/>
            <sz val="9"/>
            <color indexed="81"/>
            <rFont val="Tahoma"/>
            <family val="2"/>
          </rPr>
          <t>Chris Power:</t>
        </r>
        <r>
          <rPr>
            <sz val="9"/>
            <color indexed="81"/>
            <rFont val="Tahoma"/>
            <family val="2"/>
          </rPr>
          <t xml:space="preserve">
Loan: USD750m
Bank: USD120m
Policy: USD15m</t>
        </r>
      </text>
    </comment>
    <comment ref="W112" authorId="8" shapeId="0" xr:uid="{0D654C38-C99C-4E17-9AEC-B07EF3700799}">
      <text>
        <r>
          <rPr>
            <b/>
            <sz val="9"/>
            <color indexed="81"/>
            <rFont val="Tahoma"/>
            <family val="2"/>
          </rPr>
          <t>Chris Power:</t>
        </r>
        <r>
          <rPr>
            <sz val="9"/>
            <color indexed="81"/>
            <rFont val="Tahoma"/>
            <family val="2"/>
          </rPr>
          <t xml:space="preserve">
Loan: USD70.5m
Bank: USD70.5m
Policy: USD10m</t>
        </r>
      </text>
    </comment>
    <comment ref="W113" authorId="8" shapeId="0" xr:uid="{22BFDAE4-B46A-4959-8E0F-AC0CF5647CD1}">
      <text>
        <r>
          <rPr>
            <b/>
            <sz val="9"/>
            <color indexed="81"/>
            <rFont val="Tahoma"/>
            <family val="2"/>
          </rPr>
          <t>Chris Power:</t>
        </r>
        <r>
          <rPr>
            <sz val="9"/>
            <color indexed="81"/>
            <rFont val="Tahoma"/>
            <family val="2"/>
          </rPr>
          <t xml:space="preserve">
Loan: CHF510m
Bank: CHF14m
Policy: CHF7m</t>
        </r>
      </text>
    </comment>
    <comment ref="W114" authorId="8" shapeId="0" xr:uid="{C6765475-5269-4FAE-949A-60895FFFB720}">
      <text>
        <r>
          <rPr>
            <b/>
            <sz val="9"/>
            <color indexed="81"/>
            <rFont val="Tahoma"/>
            <family val="2"/>
          </rPr>
          <t>Chris Power:</t>
        </r>
        <r>
          <rPr>
            <sz val="9"/>
            <color indexed="81"/>
            <rFont val="Tahoma"/>
            <family val="2"/>
          </rPr>
          <t xml:space="preserve">
Loan: CHF510m
Bank: CHF14m
Policy: CHF7m</t>
        </r>
      </text>
    </comment>
    <comment ref="W115" authorId="8" shapeId="0" xr:uid="{D0A60B45-90D3-41FE-ADD8-305312D151A7}">
      <text>
        <r>
          <rPr>
            <b/>
            <sz val="9"/>
            <color indexed="81"/>
            <rFont val="Tahoma"/>
            <family val="2"/>
          </rPr>
          <t>Chris Power:</t>
        </r>
        <r>
          <rPr>
            <sz val="9"/>
            <color indexed="81"/>
            <rFont val="Tahoma"/>
            <family val="2"/>
          </rPr>
          <t xml:space="preserve">
Loan: USD230m
Bank: USD34.5m
Policy: USD11.5m</t>
        </r>
      </text>
    </comment>
    <comment ref="W116" authorId="8" shapeId="0" xr:uid="{E79F9E3E-1650-49F8-9B34-38CE35BB08C2}">
      <text>
        <r>
          <rPr>
            <b/>
            <sz val="9"/>
            <color indexed="81"/>
            <rFont val="Tahoma"/>
            <family val="2"/>
          </rPr>
          <t>Chris Power:</t>
        </r>
        <r>
          <rPr>
            <sz val="9"/>
            <color indexed="81"/>
            <rFont val="Tahoma"/>
            <family val="2"/>
          </rPr>
          <t xml:space="preserve">
Loan: EUR1.5b
Bank: EUR137.5m
Policy: EUR10m</t>
        </r>
      </text>
    </comment>
    <comment ref="W117" authorId="8" shapeId="0" xr:uid="{520F4A02-5644-4A10-9602-D44A8BDC0CBF}">
      <text>
        <r>
          <rPr>
            <b/>
            <sz val="9"/>
            <color indexed="81"/>
            <rFont val="Tahoma"/>
            <family val="2"/>
          </rPr>
          <t>Chris Power:</t>
        </r>
        <r>
          <rPr>
            <sz val="9"/>
            <color indexed="81"/>
            <rFont val="Tahoma"/>
            <family val="2"/>
          </rPr>
          <t xml:space="preserve">
Loan: AUD192.5m
Bank: AUD58.5m
Policy: AUD15m</t>
        </r>
      </text>
    </comment>
    <comment ref="W118" authorId="9" shapeId="0" xr:uid="{C237D071-C058-46E6-B376-F6ACD30D54C9}">
      <text>
        <r>
          <rPr>
            <b/>
            <sz val="9"/>
            <color indexed="81"/>
            <rFont val="Tahoma"/>
            <family val="2"/>
          </rPr>
          <t>Joseph Day:</t>
        </r>
        <r>
          <rPr>
            <sz val="9"/>
            <color indexed="81"/>
            <rFont val="Tahoma"/>
            <family val="2"/>
          </rPr>
          <t xml:space="preserve">
Loan: GBP 950m 
Bank: GBP 237.5m
Policy: GBP15m</t>
        </r>
      </text>
    </comment>
    <comment ref="W119" authorId="9" shapeId="0" xr:uid="{97F9FC41-6255-47AB-A60C-C4380F35A020}">
      <text>
        <r>
          <rPr>
            <b/>
            <sz val="9"/>
            <color indexed="81"/>
            <rFont val="Tahoma"/>
            <family val="2"/>
          </rPr>
          <t>Joseph Day:</t>
        </r>
        <r>
          <rPr>
            <sz val="9"/>
            <color indexed="81"/>
            <rFont val="Tahoma"/>
            <family val="2"/>
          </rPr>
          <t xml:space="preserve">
Loan: EUR53.5m
Bank: EUR53.5m
Policy: EUR20m</t>
        </r>
      </text>
    </comment>
    <comment ref="W120" authorId="9" shapeId="0" xr:uid="{56162327-457B-4A27-AFC6-49737E1BBB7F}">
      <text>
        <r>
          <rPr>
            <b/>
            <sz val="9"/>
            <color indexed="81"/>
            <rFont val="Tahoma"/>
            <family val="2"/>
          </rPr>
          <t>Joseph Day:</t>
        </r>
        <r>
          <rPr>
            <sz val="9"/>
            <color indexed="81"/>
            <rFont val="Tahoma"/>
            <family val="2"/>
          </rPr>
          <t xml:space="preserve">
Loan: AUD 210.1m
Bank: AUD 73.3m
Policy: AUD 7.55m</t>
        </r>
      </text>
    </comment>
    <comment ref="W121" authorId="9" shapeId="0" xr:uid="{9F5EA1C9-8358-4DC2-A044-93B34B827CC6}">
      <text>
        <r>
          <rPr>
            <b/>
            <sz val="9"/>
            <color indexed="81"/>
            <rFont val="Tahoma"/>
            <family val="2"/>
          </rPr>
          <t>Joseph Day:</t>
        </r>
        <r>
          <rPr>
            <sz val="9"/>
            <color indexed="81"/>
            <rFont val="Tahoma"/>
            <family val="2"/>
          </rPr>
          <t xml:space="preserve">
Loan: USD 3.0b
Bank: USD 200m
Policy: USD 30m</t>
        </r>
      </text>
    </comment>
    <comment ref="W122" authorId="9" shapeId="0" xr:uid="{2019491B-5F44-4E9B-8F4E-7334D6BCDF1B}">
      <text>
        <r>
          <rPr>
            <b/>
            <sz val="9"/>
            <color indexed="81"/>
            <rFont val="Tahoma"/>
            <family val="2"/>
          </rPr>
          <t>Joseph Day:</t>
        </r>
        <r>
          <rPr>
            <sz val="9"/>
            <color indexed="81"/>
            <rFont val="Tahoma"/>
            <family val="2"/>
          </rPr>
          <t xml:space="preserve">
Loan: EUR 100.17m
Bank: EUR 100.17m
Policy: EUR 13m</t>
        </r>
      </text>
    </comment>
    <comment ref="W123" authorId="9" shapeId="0" xr:uid="{13175748-54FF-45B7-AD07-AACD59F5D23B}">
      <text>
        <r>
          <rPr>
            <b/>
            <sz val="9"/>
            <color indexed="81"/>
            <rFont val="Tahoma"/>
            <family val="2"/>
          </rPr>
          <t>Joseph Day:</t>
        </r>
        <r>
          <rPr>
            <sz val="9"/>
            <color indexed="81"/>
            <rFont val="Tahoma"/>
            <family val="2"/>
          </rPr>
          <t xml:space="preserve">
Loan: EUR 902m
Bank: EUR 20m
Policy: EUR 10.5m</t>
        </r>
      </text>
    </comment>
    <comment ref="W124" authorId="9" shapeId="0" xr:uid="{1FAD53C5-E4CC-42C8-9EF5-342EDEF81D00}">
      <text>
        <r>
          <rPr>
            <b/>
            <sz val="9"/>
            <color indexed="81"/>
            <rFont val="Tahoma"/>
            <family val="2"/>
          </rPr>
          <t>Joseph Day:</t>
        </r>
        <r>
          <rPr>
            <sz val="9"/>
            <color indexed="81"/>
            <rFont val="Tahoma"/>
            <family val="2"/>
          </rPr>
          <t xml:space="preserve">
Loan: EUR 7.1b
Bank: EUR 710m
Policy: EUR 10m</t>
        </r>
      </text>
    </comment>
    <comment ref="W125" authorId="4" shapeId="0" xr:uid="{DFF27B36-BAA2-408E-9C81-8E245C9A14C3}">
      <text>
        <r>
          <rPr>
            <b/>
            <sz val="9"/>
            <color indexed="81"/>
            <rFont val="Tahoma"/>
            <family val="2"/>
          </rPr>
          <t>Nelly Nguyen:</t>
        </r>
        <r>
          <rPr>
            <sz val="9"/>
            <color indexed="81"/>
            <rFont val="Tahoma"/>
            <family val="2"/>
          </rPr>
          <t xml:space="preserve">
Loan Limit :US$ 120m
Bank Limit:US$ 30m
Poicy Limit: US$ 15m</t>
        </r>
      </text>
    </comment>
    <comment ref="W126" authorId="4" shapeId="0" xr:uid="{05F41970-D6A3-4232-B945-0FDB4EDC5A89}">
      <text>
        <r>
          <rPr>
            <b/>
            <sz val="9"/>
            <color indexed="81"/>
            <rFont val="Tahoma"/>
            <family val="2"/>
          </rPr>
          <t>Nelly Nguyen:</t>
        </r>
        <r>
          <rPr>
            <sz val="9"/>
            <color indexed="81"/>
            <rFont val="Tahoma"/>
            <family val="2"/>
          </rPr>
          <t xml:space="preserve">
Loan: A$585m
Bank: A$100m
Policy: A$20m</t>
        </r>
      </text>
    </comment>
    <comment ref="W127" authorId="4" shapeId="0" xr:uid="{A569A4E6-2B47-449C-8584-481FB6A22B9F}">
      <text>
        <r>
          <rPr>
            <b/>
            <sz val="9"/>
            <color indexed="81"/>
            <rFont val="Tahoma"/>
            <family val="2"/>
          </rPr>
          <t>Nelly Nguyen:</t>
        </r>
        <r>
          <rPr>
            <sz val="9"/>
            <color indexed="81"/>
            <rFont val="Tahoma"/>
            <family val="2"/>
          </rPr>
          <t xml:space="preserve">
Loan: NZD 230m
Bank: NZD 107.5m
Policy: NZD 18.75m</t>
        </r>
      </text>
    </comment>
    <comment ref="W128" authorId="4" shapeId="0" xr:uid="{C4F12AF1-4B6C-44BE-93D8-1E9A417ACECD}">
      <text>
        <r>
          <rPr>
            <b/>
            <sz val="9"/>
            <color indexed="81"/>
            <rFont val="Tahoma"/>
            <family val="2"/>
          </rPr>
          <t>Nelly Nguyen:</t>
        </r>
        <r>
          <rPr>
            <sz val="9"/>
            <color indexed="81"/>
            <rFont val="Tahoma"/>
            <family val="2"/>
          </rPr>
          <t xml:space="preserve">
Loan: NZD 230m
Bank: NZD 50m
Policy: NZD 10m
</t>
        </r>
      </text>
    </comment>
    <comment ref="W129" authorId="4" shapeId="0" xr:uid="{3C319F12-9C4D-499E-9BE0-F8AAD9FBDB54}">
      <text>
        <r>
          <rPr>
            <b/>
            <sz val="9"/>
            <color indexed="81"/>
            <rFont val="Tahoma"/>
            <family val="2"/>
          </rPr>
          <t>Nelly Nguyen:</t>
        </r>
        <r>
          <rPr>
            <sz val="9"/>
            <color indexed="81"/>
            <rFont val="Tahoma"/>
            <family val="2"/>
          </rPr>
          <t xml:space="preserve">
Bank US$300m
Loan: US$ 20m
Policy: US$10m</t>
        </r>
      </text>
    </comment>
    <comment ref="W130" authorId="4" shapeId="0" xr:uid="{8A98856E-ED2E-40B5-9553-EB0238C7F812}">
      <text>
        <r>
          <rPr>
            <b/>
            <sz val="9"/>
            <color indexed="81"/>
            <rFont val="Tahoma"/>
            <family val="2"/>
          </rPr>
          <t>Nelly Nguyen:</t>
        </r>
        <r>
          <rPr>
            <sz val="9"/>
            <color indexed="81"/>
            <rFont val="Tahoma"/>
            <family val="2"/>
          </rPr>
          <t xml:space="preserve">
Loan: EUR260m
Bank: EUR220m
Policy: EUR13m</t>
        </r>
      </text>
    </comment>
    <comment ref="W131" authorId="4" shapeId="0" xr:uid="{5C3E89BC-C054-4FA5-B7CA-2AFD141D3EB5}">
      <text>
        <r>
          <rPr>
            <b/>
            <sz val="9"/>
            <color indexed="81"/>
            <rFont val="Tahoma"/>
            <family val="2"/>
          </rPr>
          <t>Nelly Nguyen:</t>
        </r>
        <r>
          <rPr>
            <sz val="9"/>
            <color indexed="81"/>
            <rFont val="Tahoma"/>
            <family val="2"/>
          </rPr>
          <t xml:space="preserve">
Loan: AU$240m
Bank: AU$45m
Policy: AU$ 4.99m</t>
        </r>
      </text>
    </comment>
    <comment ref="W132" authorId="4" shapeId="0" xr:uid="{77876B90-0B39-46B6-927D-78C65ECE7885}">
      <text>
        <r>
          <rPr>
            <b/>
            <sz val="9"/>
            <color indexed="81"/>
            <rFont val="Tahoma"/>
            <family val="2"/>
          </rPr>
          <t xml:space="preserve">Nelly Nguyen:
</t>
        </r>
        <r>
          <rPr>
            <sz val="9"/>
            <color indexed="81"/>
            <rFont val="Tahoma"/>
            <family val="2"/>
          </rPr>
          <t>Loan: EUR198.7m
Bank: EUR100m
Policy: EUR7.5m</t>
        </r>
      </text>
    </comment>
    <comment ref="W133" authorId="4" shapeId="0" xr:uid="{135B1475-E905-482F-A091-6BB15A17EAAF}">
      <text>
        <r>
          <rPr>
            <b/>
            <sz val="9"/>
            <color indexed="81"/>
            <rFont val="Tahoma"/>
            <family val="2"/>
          </rPr>
          <t>Nelly Nguyen:</t>
        </r>
        <r>
          <rPr>
            <sz val="9"/>
            <color indexed="81"/>
            <rFont val="Tahoma"/>
            <family val="2"/>
          </rPr>
          <t xml:space="preserve">
Loan: EUR364.3m
Bank: EUR100m
Policy: EUR7.5m</t>
        </r>
      </text>
    </comment>
    <comment ref="W134" authorId="4" shapeId="0" xr:uid="{46B9C698-A1A7-4BE0-A9E6-9BA45CCB3C2A}">
      <text>
        <r>
          <rPr>
            <b/>
            <sz val="9"/>
            <color indexed="81"/>
            <rFont val="Tahoma"/>
            <family val="2"/>
          </rPr>
          <t>Nelly Nguyen:</t>
        </r>
        <r>
          <rPr>
            <sz val="9"/>
            <color indexed="81"/>
            <rFont val="Tahoma"/>
            <family val="2"/>
          </rPr>
          <t xml:space="preserve">
Loan: US$500m
Bank: US$ 30m
Policy: US$15m</t>
        </r>
      </text>
    </comment>
    <comment ref="W135" authorId="0" shapeId="0" xr:uid="{5996DB42-BDA3-453B-B236-F48F34602E80}">
      <text>
        <r>
          <rPr>
            <b/>
            <sz val="9"/>
            <color indexed="81"/>
            <rFont val="Tahoma"/>
            <family val="2"/>
          </rPr>
          <t>Lea Krstevska:</t>
        </r>
        <r>
          <rPr>
            <sz val="9"/>
            <color indexed="81"/>
            <rFont val="Tahoma"/>
            <family val="2"/>
          </rPr>
          <t xml:space="preserve">
Loan Limit: EUR 30m
Bank Limit: EUR 30m 
Policy Limit: EUR 12m</t>
        </r>
      </text>
    </comment>
    <comment ref="W136" authorId="4" shapeId="0" xr:uid="{950031CC-B7EF-402A-BA0B-4C7FE2367A94}">
      <text>
        <r>
          <rPr>
            <b/>
            <sz val="9"/>
            <color indexed="81"/>
            <rFont val="Tahoma"/>
            <family val="2"/>
          </rPr>
          <t>Nelly Nguyen:</t>
        </r>
        <r>
          <rPr>
            <sz val="9"/>
            <color indexed="81"/>
            <rFont val="Tahoma"/>
            <family val="2"/>
          </rPr>
          <t xml:space="preserve">
Loan Limit: A$300m
Bank Limit: A$71m
Policy Limit: A$12.5m</t>
        </r>
      </text>
    </comment>
    <comment ref="W137" authorId="4" shapeId="0" xr:uid="{36E100C8-1F95-4890-A88F-1AE805F46C90}">
      <text>
        <r>
          <rPr>
            <b/>
            <sz val="9"/>
            <color indexed="81"/>
            <rFont val="Tahoma"/>
            <family val="2"/>
          </rPr>
          <t>Nelly Nguyen:</t>
        </r>
        <r>
          <rPr>
            <sz val="9"/>
            <color indexed="81"/>
            <rFont val="Tahoma"/>
            <family val="2"/>
          </rPr>
          <t xml:space="preserve">
Loan Limit: A$300m
Bank Limit: A$71m
Policy Limit: A$7.5m</t>
        </r>
      </text>
    </comment>
    <comment ref="W138" authorId="4" shapeId="0" xr:uid="{FE7CF122-59DB-429B-A809-537D72E6F653}">
      <text>
        <r>
          <rPr>
            <b/>
            <sz val="9"/>
            <color indexed="81"/>
            <rFont val="Tahoma"/>
            <family val="2"/>
          </rPr>
          <t>Nelly Nguyen:</t>
        </r>
        <r>
          <rPr>
            <sz val="9"/>
            <color indexed="81"/>
            <rFont val="Tahoma"/>
            <family val="2"/>
          </rPr>
          <t xml:space="preserve">
Loan Limit: US$2b
Bank Limit: US$148.1m
Policy Limit: US$15m</t>
        </r>
      </text>
    </comment>
    <comment ref="W139" authorId="4" shapeId="0" xr:uid="{29A099FB-9784-46B4-A64C-CE7F03B77F74}">
      <text>
        <r>
          <rPr>
            <b/>
            <sz val="9"/>
            <color indexed="81"/>
            <rFont val="Tahoma"/>
            <family val="2"/>
          </rPr>
          <t>Nelly Nguyen:</t>
        </r>
        <r>
          <rPr>
            <sz val="9"/>
            <color indexed="81"/>
            <rFont val="Tahoma"/>
            <family val="2"/>
          </rPr>
          <t xml:space="preserve">
Loan: US$40m
Bank: US$15m
Policy: US$ 7.5m</t>
        </r>
      </text>
    </comment>
    <comment ref="AE139" authorId="4" shapeId="0" xr:uid="{FE266293-CF22-42AB-B52C-611F761A58BD}">
      <text>
        <r>
          <rPr>
            <b/>
            <sz val="9"/>
            <color indexed="81"/>
            <rFont val="Tahoma"/>
            <family val="2"/>
          </rPr>
          <t>Nelly Nguyen:</t>
        </r>
        <r>
          <rPr>
            <sz val="9"/>
            <color indexed="81"/>
            <rFont val="Tahoma"/>
            <family val="2"/>
          </rPr>
          <t xml:space="preserve">
I asked RJ as it said utilization date and blank date in the agreement</t>
        </r>
      </text>
    </comment>
    <comment ref="W140" authorId="4" shapeId="0" xr:uid="{E5D4E434-2A82-499C-A0BA-B6AB85C52638}">
      <text>
        <r>
          <rPr>
            <b/>
            <sz val="9"/>
            <color indexed="81"/>
            <rFont val="Tahoma"/>
            <family val="2"/>
          </rPr>
          <t>Nelly Nguyen:</t>
        </r>
        <r>
          <rPr>
            <sz val="9"/>
            <color indexed="81"/>
            <rFont val="Tahoma"/>
            <family val="2"/>
          </rPr>
          <t xml:space="preserve">
Loan: AU$1.14b
Bank: AU$30m
Policy: AU$15m</t>
        </r>
      </text>
    </comment>
    <comment ref="W141" authorId="4" shapeId="0" xr:uid="{71C80683-732F-4C6B-99C1-1B1F4970C02C}">
      <text>
        <r>
          <rPr>
            <b/>
            <sz val="9"/>
            <color indexed="81"/>
            <rFont val="Tahoma"/>
            <family val="2"/>
          </rPr>
          <t>Nelly Nguyen:</t>
        </r>
        <r>
          <rPr>
            <sz val="9"/>
            <color indexed="81"/>
            <rFont val="Tahoma"/>
            <family val="2"/>
          </rPr>
          <t xml:space="preserve">
Loan: US$5.5b
Bank: US$139m
Policy: US$ 15m</t>
        </r>
      </text>
    </comment>
    <comment ref="W142" authorId="4" shapeId="0" xr:uid="{EDB22D8D-3146-431B-B0B9-A63BD88C90E4}">
      <text>
        <r>
          <rPr>
            <b/>
            <sz val="9"/>
            <color indexed="81"/>
            <rFont val="Tahoma"/>
            <family val="2"/>
          </rPr>
          <t>Nelly Nguyen:</t>
        </r>
        <r>
          <rPr>
            <sz val="9"/>
            <color indexed="81"/>
            <rFont val="Tahoma"/>
            <family val="2"/>
          </rPr>
          <t xml:space="preserve">
Loan: US$2.9b
Bank: US$200m
Policy: US$ 15m</t>
        </r>
      </text>
    </comment>
    <comment ref="W143" authorId="4" shapeId="0" xr:uid="{E1741541-1C85-452F-BB23-DC571BC74FD2}">
      <text>
        <r>
          <rPr>
            <b/>
            <sz val="9"/>
            <color indexed="81"/>
            <rFont val="Tahoma"/>
            <family val="2"/>
          </rPr>
          <t>Nelly Nguyen:</t>
        </r>
        <r>
          <rPr>
            <sz val="9"/>
            <color indexed="81"/>
            <rFont val="Tahoma"/>
            <family val="2"/>
          </rPr>
          <t xml:space="preserve">
Loan: NZD 905m
Bank: NZD 140.20m
Policy: NZD 30m
</t>
        </r>
      </text>
    </comment>
    <comment ref="W144" authorId="4" shapeId="0" xr:uid="{A69DF981-73C5-4709-BE48-9457888FA613}">
      <text>
        <r>
          <rPr>
            <b/>
            <sz val="9"/>
            <color indexed="81"/>
            <rFont val="Tahoma"/>
            <family val="2"/>
          </rPr>
          <t>Nelly Nguyen:</t>
        </r>
        <r>
          <rPr>
            <sz val="9"/>
            <color indexed="81"/>
            <rFont val="Tahoma"/>
            <family val="2"/>
          </rPr>
          <t xml:space="preserve">
Loan: US$750m
Bank: US$100m
Policy: US$ 20m</t>
        </r>
      </text>
    </comment>
    <comment ref="W145" authorId="4" shapeId="0" xr:uid="{2B37399B-C0D9-4A32-AD12-815D0CC0CA71}">
      <text>
        <r>
          <rPr>
            <b/>
            <sz val="9"/>
            <color indexed="81"/>
            <rFont val="Tahoma"/>
            <family val="2"/>
          </rPr>
          <t xml:space="preserve">Nelly Nguyen
</t>
        </r>
        <r>
          <rPr>
            <sz val="9"/>
            <color indexed="81"/>
            <rFont val="Tahoma"/>
            <family val="2"/>
          </rPr>
          <t>Loan: AU$290m
Bank: AU$60m
Policy: AU$30m</t>
        </r>
      </text>
    </comment>
    <comment ref="W146" authorId="4" shapeId="0" xr:uid="{F6F7FF1B-E9A0-4A9B-80DA-11CB60A0FB27}">
      <text>
        <r>
          <rPr>
            <b/>
            <sz val="9"/>
            <color indexed="81"/>
            <rFont val="Tahoma"/>
            <family val="2"/>
          </rPr>
          <t xml:space="preserve">Nelly Nguyen
</t>
        </r>
        <r>
          <rPr>
            <sz val="9"/>
            <color indexed="81"/>
            <rFont val="Tahoma"/>
            <family val="2"/>
          </rPr>
          <t>Loan: US$7b
Bank: US$199.812m
Policy: US$20m</t>
        </r>
      </text>
    </comment>
    <comment ref="W147" authorId="4" shapeId="0" xr:uid="{4920A531-4415-4B31-AFF0-487B891D853F}">
      <text>
        <r>
          <rPr>
            <b/>
            <sz val="9"/>
            <color indexed="81"/>
            <rFont val="Tahoma"/>
            <family val="2"/>
          </rPr>
          <t>Nelly Nguyen:</t>
        </r>
        <r>
          <rPr>
            <sz val="9"/>
            <color indexed="81"/>
            <rFont val="Tahoma"/>
            <family val="2"/>
          </rPr>
          <t xml:space="preserve">
Loan: EUR2,012m + GBP2,067m</t>
        </r>
        <r>
          <rPr>
            <b/>
            <sz val="9"/>
            <color indexed="81"/>
            <rFont val="Tahoma"/>
            <family val="2"/>
          </rPr>
          <t xml:space="preserve">
</t>
        </r>
        <r>
          <rPr>
            <sz val="9"/>
            <color indexed="81"/>
            <rFont val="Tahoma"/>
            <family val="2"/>
          </rPr>
          <t>Bank: EUR 23,215m GBP10,301m
Policy: EUR 8.5m + GBP2m</t>
        </r>
      </text>
    </comment>
    <comment ref="W148" authorId="4" shapeId="0" xr:uid="{70FFFAEF-3AD3-4E16-9BFC-7B1DBE037A8D}">
      <text>
        <r>
          <rPr>
            <b/>
            <sz val="9"/>
            <color indexed="81"/>
            <rFont val="Tahoma"/>
            <family val="2"/>
          </rPr>
          <t>Nelly Nguyen:</t>
        </r>
        <r>
          <rPr>
            <sz val="9"/>
            <color indexed="81"/>
            <rFont val="Tahoma"/>
            <family val="2"/>
          </rPr>
          <t xml:space="preserve">
Loan: US$3..86b
Bank: US$510.046m
Policy: US$157m</t>
        </r>
      </text>
    </comment>
    <comment ref="W149" authorId="4" shapeId="0" xr:uid="{E6C1F052-557D-45DE-8CC2-4338E6506378}">
      <text>
        <r>
          <rPr>
            <b/>
            <sz val="9"/>
            <color indexed="81"/>
            <rFont val="Tahoma"/>
            <family val="2"/>
          </rPr>
          <t>Nelly Nguyen:</t>
        </r>
        <r>
          <rPr>
            <sz val="9"/>
            <color indexed="81"/>
            <rFont val="Tahoma"/>
            <family val="2"/>
          </rPr>
          <t xml:space="preserve">
Loan: US$189m
Bank: US$60m
Policy: US$30m</t>
        </r>
      </text>
    </comment>
    <comment ref="W150" authorId="4" shapeId="0" xr:uid="{69C1A5FB-BC01-441E-ABF9-394E2AE25EAD}">
      <text>
        <r>
          <rPr>
            <b/>
            <sz val="9"/>
            <color indexed="81"/>
            <rFont val="Tahoma"/>
            <family val="2"/>
          </rPr>
          <t>Nelly Nguyen:</t>
        </r>
        <r>
          <rPr>
            <sz val="9"/>
            <color indexed="81"/>
            <rFont val="Tahoma"/>
            <family val="2"/>
          </rPr>
          <t xml:space="preserve">
Loan: EUR139.19m
Bank: EUR40m
Policy: EUR20m</t>
        </r>
      </text>
    </comment>
    <comment ref="W151" authorId="4" shapeId="0" xr:uid="{6268B60B-EF48-4257-9077-5B1DCF97E871}">
      <text>
        <r>
          <rPr>
            <b/>
            <sz val="9"/>
            <color indexed="81"/>
            <rFont val="Tahoma"/>
            <family val="2"/>
          </rPr>
          <t>Nelly Nguyen:</t>
        </r>
        <r>
          <rPr>
            <sz val="9"/>
            <color indexed="81"/>
            <rFont val="Tahoma"/>
            <family val="2"/>
          </rPr>
          <t xml:space="preserve">
Loan: EUR948m
Bank: EUR105m
Policy: EUR10m</t>
        </r>
      </text>
    </comment>
    <comment ref="W152" authorId="4" shapeId="0" xr:uid="{AFF82CDD-DA35-4626-B98C-6FE9B8F2958D}">
      <text>
        <r>
          <rPr>
            <b/>
            <sz val="9"/>
            <color indexed="81"/>
            <rFont val="Tahoma"/>
            <family val="2"/>
          </rPr>
          <t>Nelly Nguyen:</t>
        </r>
        <r>
          <rPr>
            <sz val="9"/>
            <color indexed="81"/>
            <rFont val="Tahoma"/>
            <family val="2"/>
          </rPr>
          <t xml:space="preserve">
Loan: EUR120m
Bank: EUR42.5m
Policy: EUR12.5m</t>
        </r>
      </text>
    </comment>
    <comment ref="W153" authorId="4" shapeId="0" xr:uid="{E75FCCF4-6DD5-47FC-B9DE-66C959B5AA82}">
      <text>
        <r>
          <rPr>
            <b/>
            <sz val="9"/>
            <color indexed="81"/>
            <rFont val="Tahoma"/>
            <family val="2"/>
          </rPr>
          <t>Nelly Nguyen:</t>
        </r>
        <r>
          <rPr>
            <sz val="9"/>
            <color indexed="81"/>
            <rFont val="Tahoma"/>
            <family val="2"/>
          </rPr>
          <t xml:space="preserve">
Loan: EUR1,446m</t>
        </r>
        <r>
          <rPr>
            <b/>
            <sz val="9"/>
            <color indexed="81"/>
            <rFont val="Tahoma"/>
            <family val="2"/>
          </rPr>
          <t xml:space="preserve">
</t>
        </r>
        <r>
          <rPr>
            <sz val="9"/>
            <color indexed="81"/>
            <rFont val="Tahoma"/>
            <family val="2"/>
          </rPr>
          <t>Bank: EUR30m 
Policy: NOK94,012.53 m + EUR5,840.11m (around EUR15m)</t>
        </r>
      </text>
    </comment>
    <comment ref="W154" authorId="4" shapeId="0" xr:uid="{8453A13E-61E9-481B-B27C-62BB6E5974F3}">
      <text>
        <r>
          <rPr>
            <b/>
            <sz val="9"/>
            <color indexed="81"/>
            <rFont val="Tahoma"/>
            <family val="2"/>
          </rPr>
          <t>Nelly Nguyen:</t>
        </r>
        <r>
          <rPr>
            <sz val="9"/>
            <color indexed="81"/>
            <rFont val="Tahoma"/>
            <family val="2"/>
          </rPr>
          <t xml:space="preserve">
Loan: US$790m
Bank: US$66.78m
Policy: US$12.5m</t>
        </r>
      </text>
    </comment>
    <comment ref="W155" authorId="4" shapeId="0" xr:uid="{C7CBAFDD-A82E-44FD-8DA9-D029490CCC89}">
      <text>
        <r>
          <rPr>
            <b/>
            <sz val="9"/>
            <color indexed="81"/>
            <rFont val="Tahoma"/>
            <family val="2"/>
          </rPr>
          <t>Nelly Nguyen:</t>
        </r>
        <r>
          <rPr>
            <sz val="9"/>
            <color indexed="81"/>
            <rFont val="Tahoma"/>
            <family val="2"/>
          </rPr>
          <t xml:space="preserve">
Loan: EUR2.37b
Bank: EUR335m
Policy: EUR11m</t>
        </r>
      </text>
    </comment>
    <comment ref="W156" authorId="4" shapeId="0" xr:uid="{71EDC2FA-8E21-4D34-9B75-0BE584F9CF14}">
      <text>
        <r>
          <rPr>
            <b/>
            <sz val="9"/>
            <color indexed="81"/>
            <rFont val="Tahoma"/>
            <family val="2"/>
          </rPr>
          <t>Nelly Nguyen:</t>
        </r>
        <r>
          <rPr>
            <sz val="9"/>
            <color indexed="81"/>
            <rFont val="Tahoma"/>
            <family val="2"/>
          </rPr>
          <t xml:space="preserve">
Loan: US$191m
Bank: US$25m
Policy: US$7.5m</t>
        </r>
      </text>
    </comment>
    <comment ref="W157" authorId="4" shapeId="0" xr:uid="{37B831EA-E05E-4563-9E85-94A723A1F4D1}">
      <text>
        <r>
          <rPr>
            <b/>
            <sz val="9"/>
            <color indexed="81"/>
            <rFont val="Tahoma"/>
            <family val="2"/>
          </rPr>
          <t>Nelly Nguyen:</t>
        </r>
        <r>
          <rPr>
            <sz val="9"/>
            <color indexed="81"/>
            <rFont val="Tahoma"/>
            <family val="2"/>
          </rPr>
          <t xml:space="preserve">
Loan: EUR1.816b
Bank: EUR50.2m
Policy: EUR20m</t>
        </r>
      </text>
    </comment>
    <comment ref="W158" authorId="4" shapeId="0" xr:uid="{F55C3FE3-7500-4212-9B74-04DD371315DB}">
      <text>
        <r>
          <rPr>
            <b/>
            <sz val="9"/>
            <color indexed="81"/>
            <rFont val="Tahoma"/>
            <family val="2"/>
          </rPr>
          <t>Nelly Nguyen:</t>
        </r>
        <r>
          <rPr>
            <sz val="9"/>
            <color indexed="81"/>
            <rFont val="Tahoma"/>
            <family val="2"/>
          </rPr>
          <t xml:space="preserve">
Loan: US$191m
Bank: US$25m
Policy: US$7.5m</t>
        </r>
      </text>
    </comment>
    <comment ref="W159" authorId="4" shapeId="0" xr:uid="{4BEEC53A-7443-4487-B152-4862D7417B52}">
      <text>
        <r>
          <rPr>
            <b/>
            <sz val="9"/>
            <color indexed="81"/>
            <rFont val="Tahoma"/>
            <family val="2"/>
          </rPr>
          <t>Nelly Nguyen:</t>
        </r>
        <r>
          <rPr>
            <sz val="9"/>
            <color indexed="81"/>
            <rFont val="Tahoma"/>
            <family val="2"/>
          </rPr>
          <t xml:space="preserve">
Loan: US$460.4m
Bank: US$63m
Policy: US$14.5m</t>
        </r>
      </text>
    </comment>
    <comment ref="W160" authorId="4" shapeId="0" xr:uid="{97ABF11F-F7F9-4F08-8289-CC5FE491ED52}">
      <text>
        <r>
          <rPr>
            <b/>
            <sz val="9"/>
            <color indexed="81"/>
            <rFont val="Tahoma"/>
            <family val="2"/>
          </rPr>
          <t xml:space="preserve">Nelly Nguyen
</t>
        </r>
        <r>
          <rPr>
            <sz val="9"/>
            <color indexed="81"/>
            <rFont val="Tahoma"/>
            <family val="2"/>
          </rPr>
          <t>Loan: AU$2.3b
Bank: AU$92.5m
Policy: AU$20m</t>
        </r>
      </text>
    </comment>
    <comment ref="W161" authorId="4" shapeId="0" xr:uid="{CF6CB5C6-2E74-457A-ABE7-0DA6EAA23D6F}">
      <text>
        <r>
          <rPr>
            <b/>
            <sz val="9"/>
            <color indexed="81"/>
            <rFont val="Tahoma"/>
            <family val="2"/>
          </rPr>
          <t xml:space="preserve">Nelly Nguyen
</t>
        </r>
        <r>
          <rPr>
            <sz val="9"/>
            <color indexed="81"/>
            <rFont val="Tahoma"/>
            <family val="2"/>
          </rPr>
          <t>Loan: AU$1.22b
Bank: AU$150m
Policy: AU$15m</t>
        </r>
      </text>
    </comment>
    <comment ref="W162" authorId="4" shapeId="0" xr:uid="{F31B465F-30A4-482D-95F4-9E98D0A93C01}">
      <text>
        <r>
          <rPr>
            <b/>
            <sz val="9"/>
            <color indexed="81"/>
            <rFont val="Tahoma"/>
            <family val="2"/>
          </rPr>
          <t>Nelly Nguyen:</t>
        </r>
        <r>
          <rPr>
            <sz val="9"/>
            <color indexed="81"/>
            <rFont val="Tahoma"/>
            <family val="2"/>
          </rPr>
          <t xml:space="preserve">
Loan: US$193m
Bank: US$20m
Policy: US$7.5m</t>
        </r>
      </text>
    </comment>
    <comment ref="W163" authorId="4" shapeId="0" xr:uid="{F80DCF74-C222-4BD2-B55B-E97F9F17AB22}">
      <text>
        <r>
          <rPr>
            <b/>
            <sz val="9"/>
            <color indexed="81"/>
            <rFont val="Tahoma"/>
            <family val="2"/>
          </rPr>
          <t>Nelly Nguyen:</t>
        </r>
        <r>
          <rPr>
            <sz val="9"/>
            <color indexed="81"/>
            <rFont val="Tahoma"/>
            <family val="2"/>
          </rPr>
          <t xml:space="preserve">
Loan: EUR8.9b
Bank: EUR1.48b
Policy: EUR25m</t>
        </r>
      </text>
    </comment>
    <comment ref="W164" authorId="4" shapeId="0" xr:uid="{A14138AE-7E74-4D6C-B8C8-6A4C3B59BA62}">
      <text>
        <r>
          <rPr>
            <b/>
            <sz val="9"/>
            <color indexed="81"/>
            <rFont val="Tahoma"/>
            <family val="2"/>
          </rPr>
          <t>Nelly Nguyen:</t>
        </r>
        <r>
          <rPr>
            <sz val="9"/>
            <color indexed="81"/>
            <rFont val="Tahoma"/>
            <family val="2"/>
          </rPr>
          <t xml:space="preserve">
Loan: EUR6.6b
Bank: EUR300m
Policy: EUR20m</t>
        </r>
      </text>
    </comment>
    <comment ref="W165" authorId="4" shapeId="0" xr:uid="{46456616-84D8-44DE-9E54-B213CDCA6024}">
      <text>
        <r>
          <rPr>
            <b/>
            <sz val="9"/>
            <color indexed="81"/>
            <rFont val="Tahoma"/>
            <family val="2"/>
          </rPr>
          <t>Nelly Nguyen:</t>
        </r>
        <r>
          <rPr>
            <sz val="9"/>
            <color indexed="81"/>
            <rFont val="Tahoma"/>
            <family val="2"/>
          </rPr>
          <t xml:space="preserve">
Loan: EUR820m
Bank: EUR114m
Policy: EUR15m</t>
        </r>
      </text>
    </comment>
    <comment ref="W166" authorId="4" shapeId="0" xr:uid="{9FA1D7D0-6979-4EF6-AF23-591FFC46D6D4}">
      <text>
        <r>
          <rPr>
            <b/>
            <sz val="9"/>
            <color indexed="81"/>
            <rFont val="Tahoma"/>
            <family val="2"/>
          </rPr>
          <t>Nelly Nguyen:</t>
        </r>
        <r>
          <rPr>
            <sz val="9"/>
            <color indexed="81"/>
            <rFont val="Tahoma"/>
            <family val="2"/>
          </rPr>
          <t xml:space="preserve">
Loan: US$85m
Bank: US56.2m
Policy: US$15m</t>
        </r>
      </text>
    </comment>
    <comment ref="W167" authorId="4" shapeId="0" xr:uid="{C6BCAF00-B5AB-4677-9292-8F201BA11FCB}">
      <text>
        <r>
          <rPr>
            <b/>
            <sz val="9"/>
            <color indexed="81"/>
            <rFont val="Tahoma"/>
            <family val="2"/>
          </rPr>
          <t>Nelly Nguyen:</t>
        </r>
        <r>
          <rPr>
            <sz val="9"/>
            <color indexed="81"/>
            <rFont val="Tahoma"/>
            <family val="2"/>
          </rPr>
          <t xml:space="preserve">
Loan: US$2.9b
Bank: US$100m
Policy: US$15m</t>
        </r>
      </text>
    </comment>
    <comment ref="W168" authorId="4" shapeId="0" xr:uid="{338F7A82-641E-4305-803C-AC18E65695F8}">
      <text>
        <r>
          <rPr>
            <b/>
            <sz val="9"/>
            <color indexed="81"/>
            <rFont val="Tahoma"/>
            <family val="2"/>
          </rPr>
          <t>Nelly Nguyen:</t>
        </r>
        <r>
          <rPr>
            <sz val="9"/>
            <color indexed="81"/>
            <rFont val="Tahoma"/>
            <family val="2"/>
          </rPr>
          <t xml:space="preserve">
Loan: US$308.5m
Bank: US$20m
Policy: US$10m</t>
        </r>
      </text>
    </comment>
    <comment ref="W169" authorId="0" shapeId="0" xr:uid="{98EE6A43-A274-4328-841B-D18813A9E0EB}">
      <text>
        <r>
          <rPr>
            <b/>
            <sz val="9"/>
            <color indexed="81"/>
            <rFont val="Tahoma"/>
            <family val="2"/>
          </rPr>
          <t>Nelly Nguyen:</t>
        </r>
        <r>
          <rPr>
            <sz val="9"/>
            <color indexed="81"/>
            <rFont val="Tahoma"/>
            <family val="2"/>
          </rPr>
          <t xml:space="preserve">
Loan: EUR180m
Bank: EUR89.44m
Policy: EUR9.94m
</t>
        </r>
      </text>
    </comment>
    <comment ref="W170" authorId="0" shapeId="0" xr:uid="{F249976C-E7AF-4703-927B-35E380E27CD6}">
      <text>
        <r>
          <rPr>
            <b/>
            <sz val="9"/>
            <color indexed="81"/>
            <rFont val="Tahoma"/>
            <family val="2"/>
          </rPr>
          <t>Nelly Nguyen:</t>
        </r>
        <r>
          <rPr>
            <sz val="9"/>
            <color indexed="81"/>
            <rFont val="Tahoma"/>
            <family val="2"/>
          </rPr>
          <t xml:space="preserve">
Loan: EUR3.5b
Bank: EUR60m
Policy: EUR7.5m
</t>
        </r>
      </text>
    </comment>
    <comment ref="W171" authorId="0" shapeId="0" xr:uid="{40BF1555-72AB-43AE-9576-CCCD0EEF8DDA}">
      <text>
        <r>
          <rPr>
            <b/>
            <sz val="9"/>
            <color indexed="81"/>
            <rFont val="Tahoma"/>
            <family val="2"/>
          </rPr>
          <t>Nelly Nguyen:</t>
        </r>
        <r>
          <rPr>
            <sz val="9"/>
            <color indexed="81"/>
            <rFont val="Tahoma"/>
            <family val="2"/>
          </rPr>
          <t xml:space="preserve">
Loan: EUR985.32m
Bank: EU100m
Policy: EUR17.5m
</t>
        </r>
      </text>
    </comment>
    <comment ref="W172" authorId="0" shapeId="0" xr:uid="{0F7BEC6B-5D3A-43A8-90EA-AC51974DF074}">
      <text>
        <r>
          <rPr>
            <b/>
            <sz val="9"/>
            <color indexed="81"/>
            <rFont val="Tahoma"/>
            <family val="2"/>
          </rPr>
          <t>Nelly Nguyen:</t>
        </r>
        <r>
          <rPr>
            <sz val="9"/>
            <color indexed="81"/>
            <rFont val="Tahoma"/>
            <family val="2"/>
          </rPr>
          <t xml:space="preserve">
Loan: EUR2,350b
Bank: EUR300m
Policy: EUR20m
</t>
        </r>
      </text>
    </comment>
    <comment ref="W173" authorId="4" shapeId="0" xr:uid="{B6099867-84C5-40C3-ABAD-B06CB59040B8}">
      <text>
        <r>
          <rPr>
            <b/>
            <sz val="9"/>
            <color indexed="81"/>
            <rFont val="Tahoma"/>
            <family val="2"/>
          </rPr>
          <t>Nelly Nguyen:</t>
        </r>
        <r>
          <rPr>
            <sz val="9"/>
            <color indexed="81"/>
            <rFont val="Tahoma"/>
            <family val="2"/>
          </rPr>
          <t xml:space="preserve">
Loan: GBP99.2m</t>
        </r>
        <r>
          <rPr>
            <b/>
            <sz val="9"/>
            <color indexed="81"/>
            <rFont val="Tahoma"/>
            <family val="2"/>
          </rPr>
          <t xml:space="preserve">
</t>
        </r>
        <r>
          <rPr>
            <sz val="9"/>
            <color indexed="81"/>
            <rFont val="Tahoma"/>
            <family val="2"/>
          </rPr>
          <t>Bank: GBP99.2m
Policy: GBP14,2m</t>
        </r>
      </text>
    </comment>
    <comment ref="W174" authorId="0" shapeId="0" xr:uid="{25CDA5A4-7CF4-4B4D-8351-442ED0307D01}">
      <text>
        <r>
          <rPr>
            <b/>
            <sz val="9"/>
            <color indexed="81"/>
            <rFont val="Tahoma"/>
            <family val="2"/>
          </rPr>
          <t>Nelly Nguyen:</t>
        </r>
        <r>
          <rPr>
            <sz val="9"/>
            <color indexed="81"/>
            <rFont val="Tahoma"/>
            <family val="2"/>
          </rPr>
          <t xml:space="preserve">
Loan: EUR198.28m
Bank: EUR66.09m
Policy: EUR15m
</t>
        </r>
      </text>
    </comment>
    <comment ref="W175" authorId="0" shapeId="0" xr:uid="{A4120961-AF67-42FC-BDC0-52F401098465}">
      <text>
        <r>
          <rPr>
            <b/>
            <sz val="9"/>
            <color indexed="81"/>
            <rFont val="Tahoma"/>
            <family val="2"/>
          </rPr>
          <t>Nelly Nguyen:</t>
        </r>
        <r>
          <rPr>
            <sz val="9"/>
            <color indexed="81"/>
            <rFont val="Tahoma"/>
            <family val="2"/>
          </rPr>
          <t xml:space="preserve">
Loan: EUR204.1m
Bank: EUR88.03m
Policy: EUR10m
</t>
        </r>
      </text>
    </comment>
    <comment ref="W176" authorId="4" shapeId="0" xr:uid="{4DC2F9AF-358A-494C-86BC-761E0ABF6894}">
      <text>
        <r>
          <rPr>
            <b/>
            <sz val="9"/>
            <color indexed="81"/>
            <rFont val="Tahoma"/>
            <family val="2"/>
          </rPr>
          <t>Nelly Nguyen:</t>
        </r>
        <r>
          <rPr>
            <sz val="9"/>
            <color indexed="81"/>
            <rFont val="Tahoma"/>
            <family val="2"/>
          </rPr>
          <t xml:space="preserve">
Loan: US$750m
Bank: US75m
Policy: US$15m</t>
        </r>
      </text>
    </comment>
    <comment ref="W177" authorId="4" shapeId="0" xr:uid="{62FCAC86-4FD4-4FA4-9E4D-DC24FA9D3B91}">
      <text>
        <r>
          <rPr>
            <b/>
            <sz val="9"/>
            <color indexed="81"/>
            <rFont val="Tahoma"/>
            <family val="2"/>
          </rPr>
          <t>Nelly Nguyen:</t>
        </r>
        <r>
          <rPr>
            <sz val="9"/>
            <color indexed="81"/>
            <rFont val="Tahoma"/>
            <family val="2"/>
          </rPr>
          <t xml:space="preserve">
Loan: GBP62.124m</t>
        </r>
        <r>
          <rPr>
            <b/>
            <sz val="9"/>
            <color indexed="81"/>
            <rFont val="Tahoma"/>
            <family val="2"/>
          </rPr>
          <t xml:space="preserve">
</t>
        </r>
        <r>
          <rPr>
            <sz val="9"/>
            <color indexed="81"/>
            <rFont val="Tahoma"/>
            <family val="2"/>
          </rPr>
          <t>Bank: GBP42.39m
Policy: GBP10m</t>
        </r>
      </text>
    </comment>
    <comment ref="W178" authorId="4" shapeId="0" xr:uid="{D0396781-5E25-44A0-943B-5C5C3E713C1B}">
      <text>
        <r>
          <rPr>
            <b/>
            <sz val="9"/>
            <color indexed="81"/>
            <rFont val="Tahoma"/>
            <family val="2"/>
          </rPr>
          <t>Nelly Nguyen:</t>
        </r>
        <r>
          <rPr>
            <sz val="9"/>
            <color indexed="81"/>
            <rFont val="Tahoma"/>
            <family val="2"/>
          </rPr>
          <t xml:space="preserve">
Loan: US$225.6m
Bank: US$82.25m
Policy: US$15m</t>
        </r>
      </text>
    </comment>
    <comment ref="W179" authorId="0" shapeId="0" xr:uid="{9BDE0CDA-8323-4264-8020-8F4CD03C13A9}">
      <text>
        <r>
          <rPr>
            <b/>
            <sz val="9"/>
            <color indexed="81"/>
            <rFont val="Tahoma"/>
            <family val="2"/>
          </rPr>
          <t>Nelly Nguyen:</t>
        </r>
        <r>
          <rPr>
            <sz val="9"/>
            <color indexed="81"/>
            <rFont val="Tahoma"/>
            <family val="2"/>
          </rPr>
          <t xml:space="preserve">
Loan: EUR525m
Bank: EUR120m
Policy: EUR15m
</t>
        </r>
      </text>
    </comment>
    <comment ref="W180" authorId="4" shapeId="0" xr:uid="{E63C6E49-281B-47B0-81A4-12B50266C4F2}">
      <text>
        <r>
          <rPr>
            <b/>
            <sz val="9"/>
            <color indexed="81"/>
            <rFont val="Tahoma"/>
            <family val="2"/>
          </rPr>
          <t>Nelly Nguyen:</t>
        </r>
        <r>
          <rPr>
            <sz val="9"/>
            <color indexed="81"/>
            <rFont val="Tahoma"/>
            <family val="2"/>
          </rPr>
          <t xml:space="preserve">
Loan: US$1,250m
Bank: US$200m
Policy: US$15m</t>
        </r>
      </text>
    </comment>
    <comment ref="W181" authorId="4" shapeId="0" xr:uid="{61C88577-1D98-40BB-AF92-4DC495F46709}">
      <text>
        <r>
          <rPr>
            <b/>
            <sz val="9"/>
            <color indexed="81"/>
            <rFont val="Tahoma"/>
            <family val="2"/>
          </rPr>
          <t>Nelly Nguyen:</t>
        </r>
        <r>
          <rPr>
            <sz val="9"/>
            <color indexed="81"/>
            <rFont val="Tahoma"/>
            <family val="2"/>
          </rPr>
          <t xml:space="preserve">
Loan: US$75m
Bank: US$75m
Policy: US$7.5m</t>
        </r>
      </text>
    </comment>
    <comment ref="W182" authorId="4" shapeId="0" xr:uid="{B5D32557-46E8-4C49-B2D9-578EF94BAD6C}">
      <text>
        <r>
          <rPr>
            <b/>
            <sz val="9"/>
            <color indexed="81"/>
            <rFont val="Tahoma"/>
            <family val="2"/>
          </rPr>
          <t>Nelly Nguyen:</t>
        </r>
        <r>
          <rPr>
            <sz val="9"/>
            <color indexed="81"/>
            <rFont val="Tahoma"/>
            <family val="2"/>
          </rPr>
          <t xml:space="preserve">
Loan: US$350m
Bank: US$125m
Policy: US$15m</t>
        </r>
      </text>
    </comment>
    <comment ref="W183" authorId="0" shapeId="0" xr:uid="{60F14465-10DF-4D6C-A525-C1F18D30200C}">
      <text>
        <r>
          <rPr>
            <b/>
            <sz val="9"/>
            <color indexed="81"/>
            <rFont val="Tahoma"/>
            <family val="2"/>
          </rPr>
          <t>Nelly Nguyen:</t>
        </r>
        <r>
          <rPr>
            <sz val="9"/>
            <color indexed="81"/>
            <rFont val="Tahoma"/>
            <family val="2"/>
          </rPr>
          <t xml:space="preserve">
Loan: EUR5.58b
Bank: EUR609.25m
Policy: EUR15m
</t>
        </r>
      </text>
    </comment>
    <comment ref="W184" authorId="4" shapeId="0" xr:uid="{71190A59-6AB9-431C-B410-2D9B139077EB}">
      <text>
        <r>
          <rPr>
            <b/>
            <sz val="9"/>
            <color indexed="81"/>
            <rFont val="Tahoma"/>
            <family val="2"/>
          </rPr>
          <t>Nelly Nguyen:</t>
        </r>
        <r>
          <rPr>
            <sz val="9"/>
            <color indexed="81"/>
            <rFont val="Tahoma"/>
            <family val="2"/>
          </rPr>
          <t xml:space="preserve">
Loan: US$212m
Bank: US$10m
Policy: US$5m</t>
        </r>
      </text>
    </comment>
    <comment ref="W185" authorId="4" shapeId="0" xr:uid="{ADE0C8CB-A30E-40A8-AB0A-48F1230EC97C}">
      <text>
        <r>
          <rPr>
            <b/>
            <sz val="9"/>
            <color indexed="81"/>
            <rFont val="Tahoma"/>
            <family val="2"/>
          </rPr>
          <t>Nelly Nguyen:</t>
        </r>
        <r>
          <rPr>
            <sz val="9"/>
            <color indexed="81"/>
            <rFont val="Tahoma"/>
            <family val="2"/>
          </rPr>
          <t xml:space="preserve">
Loan: US$1,400m
Bank: US$50m
Policy: US$20m</t>
        </r>
      </text>
    </comment>
    <comment ref="W186" authorId="4" shapeId="0" xr:uid="{33AED1B2-42B7-4D33-AF27-1B23497C32BD}">
      <text>
        <r>
          <rPr>
            <b/>
            <sz val="9"/>
            <color indexed="81"/>
            <rFont val="Tahoma"/>
            <family val="2"/>
          </rPr>
          <t>Nelly Nguyen:</t>
        </r>
        <r>
          <rPr>
            <sz val="9"/>
            <color indexed="81"/>
            <rFont val="Tahoma"/>
            <family val="2"/>
          </rPr>
          <t xml:space="preserve">
Loan: US$145m
Bank: US$30m
Policy: US$15m</t>
        </r>
      </text>
    </comment>
    <comment ref="W187" authorId="4" shapeId="0" xr:uid="{9982E130-AFBC-4FD5-9384-367ACF2897FA}">
      <text>
        <r>
          <rPr>
            <b/>
            <sz val="9"/>
            <color indexed="81"/>
            <rFont val="Tahoma"/>
            <family val="2"/>
          </rPr>
          <t>Nelly Nguyen:</t>
        </r>
        <r>
          <rPr>
            <sz val="9"/>
            <color indexed="81"/>
            <rFont val="Tahoma"/>
            <family val="2"/>
          </rPr>
          <t xml:space="preserve">
Loan: US$15,048b
Bank: US$150m
Policy: US$30m</t>
        </r>
      </text>
    </comment>
    <comment ref="W188" authorId="0" shapeId="0" xr:uid="{2C0010E9-C532-41C5-8BC3-0F2589667CA8}">
      <text>
        <r>
          <rPr>
            <b/>
            <sz val="9"/>
            <color indexed="81"/>
            <rFont val="Tahoma"/>
            <family val="2"/>
          </rPr>
          <t>Nelly Nguyen:</t>
        </r>
        <r>
          <rPr>
            <sz val="9"/>
            <color indexed="81"/>
            <rFont val="Tahoma"/>
            <family val="2"/>
          </rPr>
          <t xml:space="preserve">
Loan: EUR222.5m
Bank: EUR35m
Policy: EUR5m
</t>
        </r>
      </text>
    </comment>
    <comment ref="W189" authorId="4" shapeId="0" xr:uid="{4039964F-EBEC-4554-B9F9-F2FBB837813E}">
      <text>
        <r>
          <rPr>
            <b/>
            <sz val="9"/>
            <color indexed="81"/>
            <rFont val="Tahoma"/>
            <family val="2"/>
          </rPr>
          <t>Nelly Nguyen:</t>
        </r>
        <r>
          <rPr>
            <sz val="9"/>
            <color indexed="81"/>
            <rFont val="Tahoma"/>
            <family val="2"/>
          </rPr>
          <t xml:space="preserve">
Loan: NZD 905m
Bank: NZD 140.20m
Policy: NZD 30m
</t>
        </r>
      </text>
    </comment>
    <comment ref="W190" authorId="4" shapeId="0" xr:uid="{123E9663-CE6E-4A3B-8565-408872FF1E89}">
      <text>
        <r>
          <rPr>
            <b/>
            <sz val="9"/>
            <color indexed="81"/>
            <rFont val="Tahoma"/>
            <family val="2"/>
          </rPr>
          <t>Nelly Nguyen:</t>
        </r>
        <r>
          <rPr>
            <sz val="9"/>
            <color indexed="81"/>
            <rFont val="Tahoma"/>
            <family val="2"/>
          </rPr>
          <t xml:space="preserve">
Loan: US$750m
Bank: US$225m
Policy: US$20m</t>
        </r>
      </text>
    </comment>
    <comment ref="W191" authorId="4" shapeId="0" xr:uid="{2E74A531-E984-4FD6-9956-CD33D6C92F05}">
      <text>
        <r>
          <rPr>
            <b/>
            <sz val="9"/>
            <color indexed="81"/>
            <rFont val="Tahoma"/>
            <family val="2"/>
          </rPr>
          <t>Nelly Nguyen:</t>
        </r>
        <r>
          <rPr>
            <sz val="9"/>
            <color indexed="81"/>
            <rFont val="Tahoma"/>
            <family val="2"/>
          </rPr>
          <t xml:space="preserve">
Loan: US$160m
Bank: US$80m
Policy: US$15m</t>
        </r>
      </text>
    </comment>
    <comment ref="W192" authorId="4" shapeId="0" xr:uid="{0F7D6286-ED75-4F79-99B1-2EBDAAB76AD6}">
      <text>
        <r>
          <rPr>
            <b/>
            <sz val="9"/>
            <color indexed="81"/>
            <rFont val="Tahoma"/>
            <family val="2"/>
          </rPr>
          <t>Nelly Nguyen:</t>
        </r>
        <r>
          <rPr>
            <sz val="9"/>
            <color indexed="81"/>
            <rFont val="Tahoma"/>
            <family val="2"/>
          </rPr>
          <t xml:space="preserve">
Loan: US$205m
Bank: US$30m
Policy: US$15m</t>
        </r>
      </text>
    </comment>
    <comment ref="W193" authorId="4" shapeId="0" xr:uid="{6F02751A-4A02-4FED-B697-B147AE4B2FC9}">
      <text>
        <r>
          <rPr>
            <b/>
            <sz val="9"/>
            <color indexed="81"/>
            <rFont val="Tahoma"/>
            <family val="2"/>
          </rPr>
          <t>Nelly Nguyen:</t>
        </r>
        <r>
          <rPr>
            <sz val="9"/>
            <color indexed="81"/>
            <rFont val="Tahoma"/>
            <family val="2"/>
          </rPr>
          <t xml:space="preserve">
Loan: US$507.5m
Bank: US$72.5m
Policy: US$20m</t>
        </r>
      </text>
    </comment>
    <comment ref="W194" authorId="0" shapeId="0" xr:uid="{158872F2-4532-44DA-982D-63C8589F10E6}">
      <text>
        <r>
          <rPr>
            <b/>
            <sz val="9"/>
            <color indexed="81"/>
            <rFont val="Tahoma"/>
            <family val="2"/>
          </rPr>
          <t>Nelly Nguyen:</t>
        </r>
        <r>
          <rPr>
            <sz val="9"/>
            <color indexed="81"/>
            <rFont val="Tahoma"/>
            <family val="2"/>
          </rPr>
          <t xml:space="preserve">
Loan: EUR5b
Bank: EUR500m
Policy: EUR13m
</t>
        </r>
      </text>
    </comment>
    <comment ref="W195" authorId="0" shapeId="0" xr:uid="{CE41AE28-0DAD-434C-B0C3-7D5259264534}">
      <text>
        <r>
          <rPr>
            <b/>
            <sz val="9"/>
            <color indexed="81"/>
            <rFont val="Tahoma"/>
            <family val="2"/>
          </rPr>
          <t>Nelly Nguyen:</t>
        </r>
        <r>
          <rPr>
            <sz val="9"/>
            <color indexed="81"/>
            <rFont val="Tahoma"/>
            <family val="2"/>
          </rPr>
          <t xml:space="preserve">
Loan: EUR500m
Bank: EUR290m
Policy: EUR20m
</t>
        </r>
      </text>
    </comment>
    <comment ref="W196" authorId="4" shapeId="0" xr:uid="{8F7DB0F0-B213-4F29-9B3B-67B68B230165}">
      <text>
        <r>
          <rPr>
            <b/>
            <sz val="9"/>
            <color indexed="81"/>
            <rFont val="Tahoma"/>
            <family val="2"/>
          </rPr>
          <t>Nelly Nguyen:</t>
        </r>
        <r>
          <rPr>
            <sz val="9"/>
            <color indexed="81"/>
            <rFont val="Tahoma"/>
            <family val="2"/>
          </rPr>
          <t xml:space="preserve">
Loan: US$380m
Bank: US$20m
Policy: US$10m</t>
        </r>
      </text>
    </comment>
    <comment ref="W197" authorId="0" shapeId="0" xr:uid="{3B4A546E-C6E1-47AA-BE52-C07F61E7522F}">
      <text>
        <r>
          <rPr>
            <b/>
            <sz val="9"/>
            <color indexed="81"/>
            <rFont val="Tahoma"/>
            <family val="2"/>
          </rPr>
          <t>Nelly Nguyen:</t>
        </r>
        <r>
          <rPr>
            <sz val="9"/>
            <color indexed="81"/>
            <rFont val="Tahoma"/>
            <family val="2"/>
          </rPr>
          <t xml:space="preserve">
Loan: EUR3.41b
Bank: EUR142.5m
Policy: EUR3m
</t>
        </r>
      </text>
    </comment>
    <comment ref="W198" authorId="0" shapeId="0" xr:uid="{5C0FD99E-BA8F-4422-B9FE-89EFBB31BE9C}">
      <text>
        <r>
          <rPr>
            <b/>
            <sz val="9"/>
            <color indexed="81"/>
            <rFont val="Tahoma"/>
            <family val="2"/>
          </rPr>
          <t>Nelly Nguyen:</t>
        </r>
        <r>
          <rPr>
            <sz val="9"/>
            <color indexed="81"/>
            <rFont val="Tahoma"/>
            <family val="2"/>
          </rPr>
          <t xml:space="preserve">
Loan: EUR400m
Bank: EUR400m
Policy: EUR10m
</t>
        </r>
      </text>
    </comment>
    <comment ref="W199" authorId="4" shapeId="0" xr:uid="{D6775863-6D0D-4D41-BC20-8B8DC7439444}">
      <text>
        <r>
          <rPr>
            <b/>
            <sz val="9"/>
            <color indexed="81"/>
            <rFont val="Tahoma"/>
            <family val="2"/>
          </rPr>
          <t>Nelly Nguyen:</t>
        </r>
        <r>
          <rPr>
            <sz val="9"/>
            <color indexed="81"/>
            <rFont val="Tahoma"/>
            <family val="2"/>
          </rPr>
          <t xml:space="preserve">
Loan: US$151m
Bank: US$20m
Policy: US$10m</t>
        </r>
      </text>
    </comment>
    <comment ref="W200" authorId="0" shapeId="0" xr:uid="{27F1F0CC-EA47-4F2A-B7FF-289AAB6605BB}">
      <text>
        <r>
          <rPr>
            <b/>
            <sz val="9"/>
            <color indexed="81"/>
            <rFont val="Tahoma"/>
            <family val="2"/>
          </rPr>
          <t>Nelly Nguyen:</t>
        </r>
        <r>
          <rPr>
            <sz val="9"/>
            <color indexed="81"/>
            <rFont val="Tahoma"/>
            <family val="2"/>
          </rPr>
          <t xml:space="preserve">
Loan: EUR950m
Bank: EUR89.5m
Policy: EUR7.5m
</t>
        </r>
      </text>
    </comment>
    <comment ref="W201" authorId="4" shapeId="0" xr:uid="{534770B3-160D-4402-BAFC-37D28CC93623}">
      <text>
        <r>
          <rPr>
            <b/>
            <sz val="9"/>
            <color indexed="81"/>
            <rFont val="Tahoma"/>
            <family val="2"/>
          </rPr>
          <t>Nelly Nguyen:</t>
        </r>
        <r>
          <rPr>
            <sz val="9"/>
            <color indexed="81"/>
            <rFont val="Tahoma"/>
            <family val="2"/>
          </rPr>
          <t xml:space="preserve">
Loan: NZD 72.4m
Bank: NZD 72.4m
Policy: NZD 150m
</t>
        </r>
      </text>
    </comment>
    <comment ref="W202" authorId="4" shapeId="0" xr:uid="{53320538-04B3-4AB3-B786-57A7D0E535A8}">
      <text>
        <r>
          <rPr>
            <b/>
            <sz val="9"/>
            <color indexed="81"/>
            <rFont val="Tahoma"/>
            <family val="2"/>
          </rPr>
          <t>Nelly Nguyen:</t>
        </r>
        <r>
          <rPr>
            <sz val="9"/>
            <color indexed="81"/>
            <rFont val="Tahoma"/>
            <family val="2"/>
          </rPr>
          <t xml:space="preserve">
Loan: GBP62.124m</t>
        </r>
        <r>
          <rPr>
            <b/>
            <sz val="9"/>
            <color indexed="81"/>
            <rFont val="Tahoma"/>
            <family val="2"/>
          </rPr>
          <t xml:space="preserve">
</t>
        </r>
        <r>
          <rPr>
            <sz val="9"/>
            <color indexed="81"/>
            <rFont val="Tahoma"/>
            <family val="2"/>
          </rPr>
          <t>Bank: GBP42.39m
Policy: GBP10m</t>
        </r>
      </text>
    </comment>
    <comment ref="W203" authorId="4" shapeId="0" xr:uid="{4A0589F2-AF82-4CF1-B019-120C2D57BEBF}">
      <text>
        <r>
          <rPr>
            <b/>
            <sz val="9"/>
            <color indexed="81"/>
            <rFont val="Tahoma"/>
            <family val="2"/>
          </rPr>
          <t>Nelly Nguyen:</t>
        </r>
        <r>
          <rPr>
            <sz val="9"/>
            <color indexed="81"/>
            <rFont val="Tahoma"/>
            <family val="2"/>
          </rPr>
          <t xml:space="preserve">
Loan: US$155.7m
Bank: US$70.3m
Policy: US$10m</t>
        </r>
      </text>
    </comment>
    <comment ref="W204" authorId="4" shapeId="0" xr:uid="{6148430E-CBE9-4F8C-B73D-EA39DE68D7E5}">
      <text>
        <r>
          <rPr>
            <b/>
            <sz val="9"/>
            <color indexed="81"/>
            <rFont val="Tahoma"/>
            <family val="2"/>
          </rPr>
          <t>Nelly Nguyen:</t>
        </r>
        <r>
          <rPr>
            <sz val="9"/>
            <color indexed="81"/>
            <rFont val="Tahoma"/>
            <family val="2"/>
          </rPr>
          <t xml:space="preserve">
Loan: US$200m
Bank: US$30m
Policy: US$15m</t>
        </r>
      </text>
    </comment>
    <comment ref="W205" authorId="0" shapeId="0" xr:uid="{36270510-EEBF-4957-B8F2-00227EEED7C9}">
      <text>
        <r>
          <rPr>
            <b/>
            <sz val="9"/>
            <color indexed="81"/>
            <rFont val="Tahoma"/>
            <family val="2"/>
          </rPr>
          <t>Nelly Nguyen:</t>
        </r>
        <r>
          <rPr>
            <sz val="9"/>
            <color indexed="81"/>
            <rFont val="Tahoma"/>
            <family val="2"/>
          </rPr>
          <t xml:space="preserve">
Loan: EUR161.7m
Bank: EUR80.85m
Policy: EUR10m
</t>
        </r>
      </text>
    </comment>
    <comment ref="W206" authorId="0" shapeId="0" xr:uid="{11D7DB8D-067C-48A4-882A-E1837F57EEA6}">
      <text>
        <r>
          <rPr>
            <b/>
            <sz val="9"/>
            <color indexed="81"/>
            <rFont val="Tahoma"/>
            <family val="2"/>
          </rPr>
          <t>Nelly Nguyen:</t>
        </r>
        <r>
          <rPr>
            <sz val="9"/>
            <color indexed="81"/>
            <rFont val="Tahoma"/>
            <family val="2"/>
          </rPr>
          <t xml:space="preserve">
Loan: EUR108m
Bank: EUR36.7m
Policy: EUR8.4m
</t>
        </r>
      </text>
    </comment>
    <comment ref="W207" authorId="4" shapeId="0" xr:uid="{48F96908-7E14-478D-9C17-59D1A66CC409}">
      <text>
        <r>
          <rPr>
            <b/>
            <sz val="9"/>
            <color indexed="81"/>
            <rFont val="Tahoma"/>
            <family val="2"/>
          </rPr>
          <t>Nelly Nguyen:</t>
        </r>
        <r>
          <rPr>
            <sz val="9"/>
            <color indexed="81"/>
            <rFont val="Tahoma"/>
            <family val="2"/>
          </rPr>
          <t xml:space="preserve">
Loan: US$575m
Bank: US$200m
Policy: US$30m</t>
        </r>
      </text>
    </comment>
    <comment ref="W208" authorId="0" shapeId="0" xr:uid="{5A036BF4-31D3-4153-9758-EEC0B0AE9CF3}">
      <text>
        <r>
          <rPr>
            <b/>
            <sz val="9"/>
            <color indexed="81"/>
            <rFont val="Tahoma"/>
            <family val="2"/>
          </rPr>
          <t>Nelly Nguyen:</t>
        </r>
        <r>
          <rPr>
            <sz val="9"/>
            <color indexed="81"/>
            <rFont val="Tahoma"/>
            <family val="2"/>
          </rPr>
          <t xml:space="preserve">
Loan: EUR300m
Bank: EUR10m
Policy: EUR5m
</t>
        </r>
      </text>
    </comment>
    <comment ref="W209" authorId="4" shapeId="0" xr:uid="{B7F8B180-0669-4DF3-8271-781D6DA9DECF}">
      <text>
        <r>
          <rPr>
            <b/>
            <sz val="9"/>
            <color indexed="81"/>
            <rFont val="Tahoma"/>
            <family val="2"/>
          </rPr>
          <t>Nelly Nguyen:</t>
        </r>
        <r>
          <rPr>
            <sz val="9"/>
            <color indexed="81"/>
            <rFont val="Tahoma"/>
            <family val="2"/>
          </rPr>
          <t xml:space="preserve">
Loan: US$167m
Bank: US$40m
Policy: US$20m</t>
        </r>
      </text>
    </comment>
    <comment ref="W210" authorId="4" shapeId="0" xr:uid="{F6EE62D3-8565-4752-AB64-87F115610D1D}">
      <text>
        <r>
          <rPr>
            <b/>
            <sz val="9"/>
            <color indexed="81"/>
            <rFont val="Tahoma"/>
            <family val="2"/>
          </rPr>
          <t>Nelly Nguyen:</t>
        </r>
        <r>
          <rPr>
            <sz val="9"/>
            <color indexed="81"/>
            <rFont val="Tahoma"/>
            <family val="2"/>
          </rPr>
          <t xml:space="preserve">
Loan: GBP181m</t>
        </r>
        <r>
          <rPr>
            <b/>
            <sz val="9"/>
            <color indexed="81"/>
            <rFont val="Tahoma"/>
            <family val="2"/>
          </rPr>
          <t xml:space="preserve">
</t>
        </r>
        <r>
          <rPr>
            <sz val="9"/>
            <color indexed="81"/>
            <rFont val="Tahoma"/>
            <family val="2"/>
          </rPr>
          <t>Bank: GBP57m
Policy: GBP12m</t>
        </r>
      </text>
    </comment>
    <comment ref="W211" authorId="0" shapeId="0" xr:uid="{CC909A6F-1266-48B5-BE2A-5324A510C67F}">
      <text>
        <r>
          <rPr>
            <b/>
            <sz val="9"/>
            <color indexed="81"/>
            <rFont val="Tahoma"/>
            <family val="2"/>
          </rPr>
          <t>Nelly Nguyen:</t>
        </r>
        <r>
          <rPr>
            <sz val="9"/>
            <color indexed="81"/>
            <rFont val="Tahoma"/>
            <family val="2"/>
          </rPr>
          <t xml:space="preserve">
Loan: EUR1.2b
Bank: EUR140m
Policy: EUR25m
</t>
        </r>
      </text>
    </comment>
    <comment ref="W212" authorId="4" shapeId="0" xr:uid="{194D067A-9785-4D83-AD15-05E860E81BAD}">
      <text>
        <r>
          <rPr>
            <b/>
            <sz val="9"/>
            <color indexed="81"/>
            <rFont val="Tahoma"/>
            <family val="2"/>
          </rPr>
          <t>Nelly Nguyen:</t>
        </r>
        <r>
          <rPr>
            <sz val="9"/>
            <color indexed="81"/>
            <rFont val="Tahoma"/>
            <family val="2"/>
          </rPr>
          <t xml:space="preserve">
Loan: GBP565m</t>
        </r>
        <r>
          <rPr>
            <b/>
            <sz val="9"/>
            <color indexed="81"/>
            <rFont val="Tahoma"/>
            <family val="2"/>
          </rPr>
          <t xml:space="preserve">
</t>
        </r>
        <r>
          <rPr>
            <sz val="9"/>
            <color indexed="81"/>
            <rFont val="Tahoma"/>
            <family val="2"/>
          </rPr>
          <t>Bank: GBP120m
Policy: GBP11.5m</t>
        </r>
      </text>
    </comment>
    <comment ref="W213" authorId="4" shapeId="0" xr:uid="{67109C7E-9B7B-4296-A529-4E0879FC4916}">
      <text>
        <r>
          <rPr>
            <b/>
            <sz val="9"/>
            <color indexed="81"/>
            <rFont val="Tahoma"/>
            <family val="2"/>
          </rPr>
          <t>Nelly Nguyen:</t>
        </r>
        <r>
          <rPr>
            <sz val="9"/>
            <color indexed="81"/>
            <rFont val="Tahoma"/>
            <family val="2"/>
          </rPr>
          <t xml:space="preserve">
Loan: US$128b
Bank: US$111.4m
Policy: US$14.967m</t>
        </r>
      </text>
    </comment>
    <comment ref="W214" authorId="4" shapeId="0" xr:uid="{F67C52B5-7130-4EA7-89B8-56F12D07AB9E}">
      <text>
        <r>
          <rPr>
            <b/>
            <sz val="9"/>
            <color indexed="81"/>
            <rFont val="Tahoma"/>
            <family val="2"/>
          </rPr>
          <t>Nelly Nguyen:</t>
        </r>
        <r>
          <rPr>
            <sz val="9"/>
            <color indexed="81"/>
            <rFont val="Tahoma"/>
            <family val="2"/>
          </rPr>
          <t xml:space="preserve">
Loan: US$161m
Bank: US$101m
Policy: US$19.338m</t>
        </r>
      </text>
    </comment>
    <comment ref="W215" authorId="4" shapeId="0" xr:uid="{099C2E77-4D05-4C7C-AB16-181C5DA6F999}">
      <text>
        <r>
          <rPr>
            <b/>
            <sz val="9"/>
            <color indexed="81"/>
            <rFont val="Tahoma"/>
            <family val="2"/>
          </rPr>
          <t>Nelly Nguyen:</t>
        </r>
        <r>
          <rPr>
            <sz val="9"/>
            <color indexed="81"/>
            <rFont val="Tahoma"/>
            <family val="2"/>
          </rPr>
          <t xml:space="preserve">
Loan: US$134.2m
Bank: US$88.6m
Policy: US$11.2m</t>
        </r>
      </text>
    </comment>
    <comment ref="W216" authorId="4" shapeId="0" xr:uid="{1A9AFCBA-6141-40FB-9B01-974AE3A3A3E2}">
      <text>
        <r>
          <rPr>
            <b/>
            <sz val="9"/>
            <color indexed="81"/>
            <rFont val="Tahoma"/>
            <family val="2"/>
          </rPr>
          <t>Nelly Nguyen:</t>
        </r>
        <r>
          <rPr>
            <sz val="9"/>
            <color indexed="81"/>
            <rFont val="Tahoma"/>
            <family val="2"/>
          </rPr>
          <t xml:space="preserve">
Loan: GBP1.3b</t>
        </r>
        <r>
          <rPr>
            <b/>
            <sz val="9"/>
            <color indexed="81"/>
            <rFont val="Tahoma"/>
            <family val="2"/>
          </rPr>
          <t xml:space="preserve">
</t>
        </r>
        <r>
          <rPr>
            <sz val="9"/>
            <color indexed="81"/>
            <rFont val="Tahoma"/>
            <family val="2"/>
          </rPr>
          <t>Bank: GBP321m
Policy: GBP25m</t>
        </r>
      </text>
    </comment>
    <comment ref="W217" authorId="4" shapeId="0" xr:uid="{88840D62-B599-418B-AAEC-00970735BC19}">
      <text>
        <r>
          <rPr>
            <b/>
            <sz val="9"/>
            <color indexed="81"/>
            <rFont val="Tahoma"/>
            <family val="2"/>
          </rPr>
          <t xml:space="preserve">Nelly Nguyen
</t>
        </r>
        <r>
          <rPr>
            <sz val="9"/>
            <color indexed="81"/>
            <rFont val="Tahoma"/>
            <family val="2"/>
          </rPr>
          <t>Loan: AU$355.5m
Bank: AU$52.5m
Policy: AU$15m</t>
        </r>
      </text>
    </comment>
    <comment ref="W218" authorId="4" shapeId="0" xr:uid="{3AA7DAF0-77F5-4021-B48C-D89E250740B7}">
      <text>
        <r>
          <rPr>
            <b/>
            <sz val="9"/>
            <color indexed="81"/>
            <rFont val="Tahoma"/>
            <family val="2"/>
          </rPr>
          <t xml:space="preserve">Nelly Nguyen
</t>
        </r>
        <r>
          <rPr>
            <sz val="9"/>
            <color indexed="81"/>
            <rFont val="Tahoma"/>
            <family val="2"/>
          </rPr>
          <t>Loan: AU$355.5m
Bank: AU$52.5m
Policy: AU$15m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 Nicholls</author>
    <author>Richard Jagger</author>
    <author>Brian Satterthwaite</author>
    <author>Jemma Sargeant</author>
    <author>Samuel Atkinson</author>
    <author>Ann Prosser</author>
    <author>Lea Krstevska</author>
  </authors>
  <commentList>
    <comment ref="U5" authorId="0" shapeId="0" xr:uid="{1AD437A5-1146-4328-A955-40269E55BAD1}">
      <text>
        <r>
          <rPr>
            <b/>
            <sz val="8"/>
            <color indexed="81"/>
            <rFont val="Tahoma"/>
            <family val="2"/>
          </rPr>
          <t>Marc Nicholls:</t>
        </r>
        <r>
          <rPr>
            <sz val="8"/>
            <color indexed="81"/>
            <rFont val="Tahoma"/>
            <family val="2"/>
          </rPr>
          <t xml:space="preserve">
ANZ $50m, Syndicate $225m</t>
        </r>
      </text>
    </comment>
    <comment ref="A6" authorId="1" shapeId="0" xr:uid="{20BD8E91-9662-4F04-A54B-12E6BD9708A6}">
      <text>
        <r>
          <rPr>
            <sz val="9"/>
            <color indexed="81"/>
            <rFont val="Tahoma"/>
            <family val="2"/>
          </rPr>
          <t>Note, in run off</t>
        </r>
      </text>
    </comment>
    <comment ref="V6" authorId="0" shapeId="0" xr:uid="{CE857FFE-3020-41E4-9F96-93A4AC3C6F19}">
      <text>
        <r>
          <rPr>
            <b/>
            <sz val="8"/>
            <color indexed="81"/>
            <rFont val="Tahoma"/>
            <family val="2"/>
          </rPr>
          <t>Marc Nicholls:</t>
        </r>
        <r>
          <rPr>
            <sz val="8"/>
            <color indexed="81"/>
            <rFont val="Tahoma"/>
            <family val="2"/>
          </rPr>
          <t xml:space="preserve">
upto 30 June 18 - assumes 1.04NZD:1AUD</t>
        </r>
      </text>
    </comment>
    <comment ref="AJ6" authorId="1" shapeId="0" xr:uid="{38066228-3FCD-4238-9720-F9C88B2FEC83}">
      <text>
        <r>
          <rPr>
            <b/>
            <sz val="9"/>
            <color indexed="81"/>
            <rFont val="Tahoma"/>
            <family val="2"/>
          </rPr>
          <t>Facility is in run off</t>
        </r>
      </text>
    </comment>
    <comment ref="U9" authorId="1" shapeId="0" xr:uid="{02EB81A4-7300-4421-BE1D-C7B1E6E9290E}">
      <text>
        <r>
          <rPr>
            <b/>
            <sz val="8"/>
            <color indexed="81"/>
            <rFont val="Tahoma"/>
            <family val="2"/>
          </rPr>
          <t>SMBC participation of EUR100m</t>
        </r>
      </text>
    </comment>
    <comment ref="U10" authorId="1" shapeId="0" xr:uid="{BFE85E87-0464-4281-8AFB-F1094086DC6E}">
      <text>
        <r>
          <rPr>
            <sz val="9"/>
            <color indexed="81"/>
            <rFont val="Tahoma"/>
            <family val="2"/>
          </rPr>
          <t xml:space="preserve">Supporting SG's USD150 participation in a USD750m facility
</t>
        </r>
      </text>
    </comment>
    <comment ref="U11" authorId="1" shapeId="0" xr:uid="{6AC287F8-C9BF-4D9C-8BB1-026AE0FE3B19}">
      <text>
        <r>
          <rPr>
            <b/>
            <sz val="9"/>
            <color indexed="81"/>
            <rFont val="Tahoma"/>
            <family val="2"/>
          </rPr>
          <t>supports DB INR6b participation</t>
        </r>
      </text>
    </comment>
    <comment ref="U12" authorId="0" shapeId="0" xr:uid="{FB5D7C87-9DEE-4E3C-9F0B-14A98D82342A}">
      <text>
        <r>
          <rPr>
            <b/>
            <sz val="9"/>
            <color indexed="81"/>
            <rFont val="Tahoma"/>
            <family val="2"/>
          </rPr>
          <t>Marc Nicholls:</t>
        </r>
        <r>
          <rPr>
            <sz val="9"/>
            <color indexed="81"/>
            <rFont val="Tahoma"/>
            <family val="2"/>
          </rPr>
          <t xml:space="preserve">
supports ING in its EUR175m participation in Eur625m faciilty</t>
        </r>
      </text>
    </comment>
    <comment ref="U13" authorId="1" shapeId="0" xr:uid="{7CEDE5DD-671C-4D60-8DCC-7D2B8858291D}">
      <text>
        <r>
          <rPr>
            <sz val="8"/>
            <color indexed="81"/>
            <rFont val="Tahoma"/>
            <family val="2"/>
          </rPr>
          <t>US1.024b, StanChart US131.75m</t>
        </r>
      </text>
    </comment>
    <comment ref="U14" authorId="1" shapeId="0" xr:uid="{2797D268-A1CA-48A2-81A1-5443703CCF53}">
      <text>
        <r>
          <rPr>
            <sz val="8"/>
            <color indexed="81"/>
            <rFont val="Tahoma"/>
            <family val="2"/>
          </rPr>
          <t>US1.36b, SMBC US$180m</t>
        </r>
      </text>
    </comment>
    <comment ref="U15" authorId="1" shapeId="0" xr:uid="{6025E22E-9FD3-4299-91AA-9035BB365FED}">
      <text>
        <r>
          <rPr>
            <sz val="8"/>
            <color indexed="81"/>
            <rFont val="Tahoma"/>
            <family val="2"/>
          </rPr>
          <t>US2b, ANZ London US$111.1m</t>
        </r>
      </text>
    </comment>
    <comment ref="U16" authorId="1" shapeId="0" xr:uid="{C51F2B57-03D3-4CB6-87EE-72BCC15EC034}">
      <text>
        <r>
          <rPr>
            <sz val="8"/>
            <color indexed="81"/>
            <rFont val="Tahoma"/>
            <family val="2"/>
          </rPr>
          <t>US$525m, StanChart US$75m</t>
        </r>
      </text>
    </comment>
    <comment ref="U18" authorId="1" shapeId="0" xr:uid="{BFA6B6A3-CACC-48CF-9CBE-927570FC80AD}">
      <text>
        <r>
          <rPr>
            <b/>
            <sz val="9"/>
            <color indexed="81"/>
            <rFont val="Tahoma"/>
            <family val="2"/>
          </rPr>
          <t>USD263m of USD5.5 facilityheld by CA</t>
        </r>
      </text>
    </comment>
    <comment ref="U19" authorId="1" shapeId="0" xr:uid="{CF263BFC-98A1-48C6-BC85-A4FD23590AF1}">
      <text>
        <r>
          <rPr>
            <b/>
            <sz val="9"/>
            <color indexed="81"/>
            <rFont val="Tahoma"/>
            <family val="2"/>
          </rPr>
          <t>CEIP supporting DBs A$40m exposure in the B1 senior tranche of a A$850m, 6-year non-amortising Senior Syndicated Loan Facility (the Facility).</t>
        </r>
      </text>
    </comment>
    <comment ref="U20" authorId="2" shapeId="0" xr:uid="{4BA127E9-BD8C-44C7-A98E-9E8FDCA02A8D}">
      <text>
        <r>
          <rPr>
            <sz val="9"/>
            <color indexed="81"/>
            <rFont val="Tahoma"/>
            <family val="2"/>
          </rPr>
          <t>CEIP support to SG (Paris Branch)  in its US$120m participation in a US$790m committed senior secured syndicated pooled commercial aircraft term loan financing facility</t>
        </r>
      </text>
    </comment>
    <comment ref="U21" authorId="2" shapeId="0" xr:uid="{ADAA527B-CDE4-4CA4-92C0-46596FB62C33}">
      <text>
        <r>
          <rPr>
            <sz val="9"/>
            <color indexed="81"/>
            <rFont val="Tahoma"/>
            <family val="2"/>
          </rPr>
          <t>EUR15m CEIP to support ING Belgium in a EUR50m bilateral committed term loan facility to Retail Estates NV.</t>
        </r>
      </text>
    </comment>
    <comment ref="U22" authorId="2" shapeId="0" xr:uid="{B12245EC-637E-4E85-8BA9-730995A09D6E}">
      <text>
        <r>
          <rPr>
            <sz val="9"/>
            <color indexed="81"/>
            <rFont val="Tahoma"/>
            <family val="2"/>
          </rPr>
          <t>A proportional 7.5m CEIP to support DB in an up to US$265m and 30m 5-year senior secured amortising term loan to Trans Media.</t>
        </r>
      </text>
    </comment>
    <comment ref="U23" authorId="2" shapeId="0" xr:uid="{103DE724-5C7F-453E-B0EA-854CAB16BF28}">
      <text>
        <r>
          <rPr>
            <sz val="9"/>
            <color indexed="81"/>
            <rFont val="Tahoma"/>
            <family val="2"/>
          </rPr>
          <t>A$20m proportional collateral shortfall CEIP for a term of 4 years to support its participation in a A$270m Syndicated Senior Secured Facility (the Facility) to Bis Finance Pty Ltd. DB will participate with A$30m in the Term Loan Facility and A$20m in the Capex Facility.</t>
        </r>
      </text>
    </comment>
    <comment ref="U26" authorId="2" shapeId="0" xr:uid="{E49F92C5-0A15-4FCD-B972-760A6099D7F2}">
      <text>
        <r>
          <rPr>
            <sz val="9"/>
            <color indexed="81"/>
            <rFont val="Tahoma"/>
            <family val="2"/>
          </rPr>
          <t xml:space="preserve">CEIP support to Greenstars BNPP in its US$75m participation in a US$1160m committed senior secured syndicated term loan financing </t>
        </r>
      </text>
    </comment>
    <comment ref="U31" authorId="1" shapeId="0" xr:uid="{9D42940E-FF01-49A4-A4C3-D715522592C3}">
      <text>
        <r>
          <rPr>
            <sz val="8"/>
            <color indexed="81"/>
            <rFont val="Tahoma"/>
            <family val="2"/>
          </rPr>
          <t>US$500m, Socgen US$75m</t>
        </r>
      </text>
    </comment>
    <comment ref="U32" authorId="1" shapeId="0" xr:uid="{2EE912EE-4EDC-4922-80D2-89F04FD91B7D}">
      <text>
        <r>
          <rPr>
            <b/>
            <sz val="9"/>
            <color indexed="81"/>
            <rFont val="Tahoma"/>
            <family val="2"/>
          </rPr>
          <t>EUR500m non amortising term loan</t>
        </r>
      </text>
    </comment>
    <comment ref="U34" authorId="1" shapeId="0" xr:uid="{ACA81323-F513-43BE-95DC-39CA3B70FC2D}">
      <text>
        <r>
          <rPr>
            <sz val="8"/>
            <color indexed="81"/>
            <rFont val="Tahoma"/>
            <family val="2"/>
          </rPr>
          <t>US$1b, ANZ London US$107m</t>
        </r>
      </text>
    </comment>
    <comment ref="U35" authorId="1" shapeId="0" xr:uid="{3E6C775E-14AD-45D9-A06E-69C8B49532F8}">
      <text>
        <r>
          <rPr>
            <sz val="8"/>
            <color indexed="81"/>
            <rFont val="Tahoma"/>
            <family val="2"/>
          </rPr>
          <t>US$1b, ANZ London US$107m</t>
        </r>
      </text>
    </comment>
    <comment ref="U38" authorId="1" shapeId="0" xr:uid="{65B71C4B-B28B-465C-9FA6-D1E1A3C2B514}">
      <text>
        <r>
          <rPr>
            <sz val="8"/>
            <color indexed="81"/>
            <rFont val="Tahoma"/>
            <family val="2"/>
          </rPr>
          <t>US290m, SMBC US$50m</t>
        </r>
      </text>
    </comment>
    <comment ref="U39" authorId="1" shapeId="0" xr:uid="{A0C121E0-5F91-415A-8F8A-8D2917BEE4EF}">
      <text>
        <r>
          <rPr>
            <b/>
            <sz val="9"/>
            <color indexed="81"/>
            <rFont val="Tahoma"/>
            <family val="2"/>
          </rPr>
          <t>ING participation of EUR150m of EUR650m facility</t>
        </r>
      </text>
    </comment>
    <comment ref="U41" authorId="1" shapeId="0" xr:uid="{F0031601-2B17-4186-8DDB-97A6997C22C1}">
      <text>
        <r>
          <rPr>
            <b/>
            <sz val="9"/>
            <color indexed="81"/>
            <rFont val="Tahoma"/>
            <family val="2"/>
          </rPr>
          <t>DB participation of $65m in $180m senior secured loan only, $10m revolver and $10m capex facility</t>
        </r>
      </text>
    </comment>
    <comment ref="U42" authorId="0" shapeId="0" xr:uid="{AAFE4269-5AAA-4404-9AC0-AFF26BC6C3EC}">
      <text>
        <r>
          <rPr>
            <b/>
            <sz val="9"/>
            <color indexed="81"/>
            <rFont val="Tahoma"/>
            <family val="2"/>
          </rPr>
          <t>Marc Nicholls:</t>
        </r>
        <r>
          <rPr>
            <sz val="9"/>
            <color indexed="81"/>
            <rFont val="Tahoma"/>
            <family val="2"/>
          </rPr>
          <t xml:space="preserve">
ING $137m of $137m</t>
        </r>
      </text>
    </comment>
    <comment ref="U43" authorId="0" shapeId="0" xr:uid="{E4232F33-5FD7-4ECE-A07E-92698EEC563E}">
      <text>
        <r>
          <rPr>
            <b/>
            <sz val="9"/>
            <color indexed="81"/>
            <rFont val="Tahoma"/>
            <family val="2"/>
          </rPr>
          <t>Marc Nicholls:</t>
        </r>
        <r>
          <rPr>
            <sz val="9"/>
            <color indexed="81"/>
            <rFont val="Tahoma"/>
            <family val="2"/>
          </rPr>
          <t xml:space="preserve">
BNPP $30 of $80m</t>
        </r>
      </text>
    </comment>
    <comment ref="U44" authorId="1" shapeId="0" xr:uid="{20512FF8-E1B2-4477-9F22-4C45BA141A45}">
      <text>
        <r>
          <rPr>
            <b/>
            <sz val="9"/>
            <color indexed="81"/>
            <rFont val="Tahoma"/>
            <family val="2"/>
          </rPr>
          <t>DBAG participation of $138.9m across $237.5m  facilities - we are just in TL tranche</t>
        </r>
      </text>
    </comment>
    <comment ref="U46" authorId="3" shapeId="0" xr:uid="{230B8F80-34A4-4897-95ED-BC70D55DFC44}">
      <text>
        <r>
          <rPr>
            <b/>
            <sz val="9"/>
            <color indexed="81"/>
            <rFont val="Tahoma"/>
            <family val="2"/>
          </rPr>
          <t>Jemma Sargeant:</t>
        </r>
        <r>
          <rPr>
            <sz val="9"/>
            <color indexed="81"/>
            <rFont val="Tahoma"/>
            <family val="2"/>
          </rPr>
          <t xml:space="preserve">
ANZ US$92mil in US$1.5bil</t>
        </r>
      </text>
    </comment>
    <comment ref="U47" authorId="3" shapeId="0" xr:uid="{C8F00AC9-5632-488E-92FF-CD8F8B575252}">
      <text>
        <r>
          <rPr>
            <b/>
            <sz val="9"/>
            <color indexed="81"/>
            <rFont val="Tahoma"/>
            <family val="2"/>
          </rPr>
          <t>Jemma Sargeant:</t>
        </r>
        <r>
          <rPr>
            <sz val="9"/>
            <color indexed="81"/>
            <rFont val="Tahoma"/>
            <family val="2"/>
          </rPr>
          <t xml:space="preserve">
ANZ US$96.8mil in US$193.6mil</t>
        </r>
      </text>
    </comment>
    <comment ref="A48" authorId="1" shapeId="0" xr:uid="{CD019384-FBF0-40A7-961D-54C1B32DCB5C}">
      <text>
        <r>
          <rPr>
            <b/>
            <sz val="9"/>
            <color indexed="81"/>
            <rFont val="Tahoma"/>
            <family val="2"/>
          </rPr>
          <t>Barings (Head Office)</t>
        </r>
      </text>
    </comment>
    <comment ref="U48" authorId="3" shapeId="0" xr:uid="{2FE70804-F1F5-45C3-B864-A48B64E288F3}">
      <text>
        <r>
          <rPr>
            <b/>
            <sz val="9"/>
            <color indexed="81"/>
            <rFont val="Tahoma"/>
            <family val="2"/>
          </rPr>
          <t>Jemma Sargeant:</t>
        </r>
        <r>
          <rPr>
            <sz val="9"/>
            <color indexed="81"/>
            <rFont val="Tahoma"/>
            <family val="2"/>
          </rPr>
          <t xml:space="preserve">
ING EUR 16.055mil</t>
        </r>
      </text>
    </comment>
    <comment ref="U49" authorId="3" shapeId="0" xr:uid="{925BEF1D-4509-4A3E-A1E5-35E09BFD7BD1}">
      <text>
        <r>
          <rPr>
            <b/>
            <sz val="9"/>
            <color indexed="81"/>
            <rFont val="Tahoma"/>
            <family val="2"/>
          </rPr>
          <t>Jemma Sargeant:</t>
        </r>
        <r>
          <rPr>
            <sz val="9"/>
            <color indexed="81"/>
            <rFont val="Tahoma"/>
            <family val="2"/>
          </rPr>
          <t xml:space="preserve">
ING EUR 26m in EUR 80m </t>
        </r>
      </text>
    </comment>
    <comment ref="U50" authorId="3" shapeId="0" xr:uid="{0CE85FC5-4530-4DCF-A6B2-1E3EAFC3B27F}">
      <text>
        <r>
          <rPr>
            <b/>
            <sz val="9"/>
            <color indexed="81"/>
            <rFont val="Tahoma"/>
            <family val="2"/>
          </rPr>
          <t>Jemma Sargeant:</t>
        </r>
        <r>
          <rPr>
            <sz val="9"/>
            <color indexed="81"/>
            <rFont val="Tahoma"/>
            <family val="2"/>
          </rPr>
          <t xml:space="preserve">
US$105m in US$1.3b facility</t>
        </r>
      </text>
    </comment>
    <comment ref="U51" authorId="1" shapeId="0" xr:uid="{466F59B1-F4FA-4D97-AD59-4C5FC283AE01}">
      <text>
        <r>
          <rPr>
            <b/>
            <sz val="9"/>
            <color indexed="81"/>
            <rFont val="Tahoma"/>
            <family val="2"/>
          </rPr>
          <t xml:space="preserve">Total Loan $560m, Bank Limit $40m, Policy Limit (BNPP) $10m, RI Policy Limit $5m
</t>
        </r>
      </text>
    </comment>
    <comment ref="U52" authorId="3" shapeId="0" xr:uid="{16D13F5D-5297-4D5F-BA3E-A2FAADF78FE6}">
      <text>
        <r>
          <rPr>
            <b/>
            <sz val="9"/>
            <color indexed="81"/>
            <rFont val="Tahoma"/>
            <family val="2"/>
          </rPr>
          <t>Jemma Sargeant:</t>
        </r>
        <r>
          <rPr>
            <sz val="9"/>
            <color indexed="81"/>
            <rFont val="Tahoma"/>
            <family val="2"/>
          </rPr>
          <t xml:space="preserve">
US$75m in US$200m</t>
        </r>
      </text>
    </comment>
    <comment ref="U53" authorId="3" shapeId="0" xr:uid="{F8CC9BBB-0104-4290-B0E0-6F310E04489C}">
      <text>
        <r>
          <rPr>
            <b/>
            <sz val="9"/>
            <color indexed="81"/>
            <rFont val="Tahoma"/>
            <family val="2"/>
          </rPr>
          <t>Jemma Sargeant:</t>
        </r>
        <r>
          <rPr>
            <sz val="9"/>
            <color indexed="81"/>
            <rFont val="Tahoma"/>
            <family val="2"/>
          </rPr>
          <t xml:space="preserve">
A$150m in A$1.8b facility</t>
        </r>
      </text>
    </comment>
    <comment ref="U54" authorId="3" shapeId="0" xr:uid="{126EC422-0E96-40B6-81FC-D219ACE013D8}">
      <text>
        <r>
          <rPr>
            <b/>
            <sz val="9"/>
            <color indexed="81"/>
            <rFont val="Tahoma"/>
            <family val="2"/>
          </rPr>
          <t>Jemma Sargeant:</t>
        </r>
        <r>
          <rPr>
            <sz val="9"/>
            <color indexed="81"/>
            <rFont val="Tahoma"/>
            <family val="2"/>
          </rPr>
          <t xml:space="preserve">
US$36m facility
</t>
        </r>
      </text>
    </comment>
    <comment ref="U55" authorId="3" shapeId="0" xr:uid="{D10E7AD0-B546-491E-89F6-0E34FC776B63}">
      <text>
        <r>
          <rPr>
            <b/>
            <sz val="9"/>
            <color indexed="81"/>
            <rFont val="Tahoma"/>
            <family val="2"/>
          </rPr>
          <t>Jemma Sargeant:</t>
        </r>
        <r>
          <rPr>
            <sz val="9"/>
            <color indexed="81"/>
            <rFont val="Tahoma"/>
            <family val="2"/>
          </rPr>
          <t xml:space="preserve">
US$150m in US$300m facility</t>
        </r>
      </text>
    </comment>
    <comment ref="U56" authorId="3" shapeId="0" xr:uid="{1546C2CE-9D87-4D1A-9E6D-ECBDB7AA748B}">
      <text>
        <r>
          <rPr>
            <b/>
            <sz val="9"/>
            <color indexed="81"/>
            <rFont val="Tahoma"/>
            <family val="2"/>
          </rPr>
          <t xml:space="preserve">Jemma Sargeant
EUR70M in EUR1.4b
</t>
        </r>
        <r>
          <rPr>
            <sz val="9"/>
            <color indexed="81"/>
            <rFont val="Tahoma"/>
            <family val="2"/>
          </rPr>
          <t xml:space="preserve">
</t>
        </r>
      </text>
    </comment>
    <comment ref="U57" authorId="3" shapeId="0" xr:uid="{4BFA8761-750D-427F-985A-E1AED3F6C1FF}">
      <text>
        <r>
          <rPr>
            <b/>
            <sz val="9"/>
            <color indexed="81"/>
            <rFont val="Tahoma"/>
            <family val="2"/>
          </rPr>
          <t>Jemma Sargeant:</t>
        </r>
        <r>
          <rPr>
            <sz val="9"/>
            <color indexed="81"/>
            <rFont val="Tahoma"/>
            <family val="2"/>
          </rPr>
          <t xml:space="preserve">
US$20m in US$115m Facility
</t>
        </r>
      </text>
    </comment>
    <comment ref="U58" authorId="3" shapeId="0" xr:uid="{074EF5BF-390E-485E-9A84-B3F7490DF68D}">
      <text>
        <r>
          <rPr>
            <b/>
            <sz val="9"/>
            <color indexed="81"/>
            <rFont val="Tahoma"/>
            <family val="2"/>
          </rPr>
          <t xml:space="preserve">Loan = us$350
Bank = us$100
</t>
        </r>
        <r>
          <rPr>
            <sz val="9"/>
            <color indexed="81"/>
            <rFont val="Tahoma"/>
            <family val="2"/>
          </rPr>
          <t xml:space="preserve">
</t>
        </r>
      </text>
    </comment>
    <comment ref="U59" authorId="3" shapeId="0" xr:uid="{09B78F58-1BBB-46A4-BB00-7F1AA5B7CC98}">
      <text>
        <r>
          <rPr>
            <b/>
            <sz val="9"/>
            <color indexed="81"/>
            <rFont val="Tahoma"/>
            <family val="2"/>
          </rPr>
          <t xml:space="preserve">Jemma Sargeant
SGD100M in SGD427m
</t>
        </r>
        <r>
          <rPr>
            <sz val="9"/>
            <color indexed="81"/>
            <rFont val="Tahoma"/>
            <family val="2"/>
          </rPr>
          <t xml:space="preserve">
</t>
        </r>
      </text>
    </comment>
    <comment ref="U60" authorId="4" shapeId="0" xr:uid="{81BB48BD-9969-4CDD-B0D8-7BD9E9726F29}">
      <text>
        <r>
          <rPr>
            <b/>
            <sz val="9"/>
            <color indexed="81"/>
            <rFont val="Tahoma"/>
            <family val="2"/>
          </rPr>
          <t>Samuel Atkinson:</t>
        </r>
        <r>
          <rPr>
            <sz val="9"/>
            <color indexed="81"/>
            <rFont val="Tahoma"/>
            <family val="2"/>
          </rPr>
          <t xml:space="preserve">
Bank limit: AUD 75m 
Facility limit: AUD 750m</t>
        </r>
      </text>
    </comment>
    <comment ref="U61" authorId="3" shapeId="0" xr:uid="{3236E72C-28C0-49B1-A67B-A90CC0C72DC3}">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62" authorId="4" shapeId="0" xr:uid="{47164ED3-5FC0-45BF-B9A6-3789A7CFD36D}">
      <text>
        <r>
          <rPr>
            <b/>
            <sz val="9"/>
            <color indexed="81"/>
            <rFont val="Tahoma"/>
            <family val="2"/>
          </rPr>
          <t>Samuel Atkinson:
Facility Limit: EUR 97.2m
Bank Limit: 48.6
Policy Limit: 15</t>
        </r>
      </text>
    </comment>
    <comment ref="U63" authorId="4" shapeId="0" xr:uid="{DA42F688-B034-4121-8C8D-5596EB780B1A}">
      <text>
        <r>
          <rPr>
            <b/>
            <sz val="9"/>
            <color indexed="81"/>
            <rFont val="Tahoma"/>
            <family val="2"/>
          </rPr>
          <t xml:space="preserve">Samuel Atkinson:
Loan Limit: EUR 90.25m
Bank Limit: EUR 90.25m
</t>
        </r>
      </text>
    </comment>
    <comment ref="AA63" authorId="4" shapeId="0" xr:uid="{D6ED9D4A-476C-41C8-B904-8C2ECA49285E}">
      <text>
        <r>
          <rPr>
            <b/>
            <sz val="9"/>
            <color indexed="81"/>
            <rFont val="Tahoma"/>
            <family val="2"/>
          </rPr>
          <t>Samuel Atkinson:</t>
        </r>
        <r>
          <rPr>
            <sz val="9"/>
            <color indexed="81"/>
            <rFont val="Tahoma"/>
            <family val="2"/>
          </rPr>
          <t xml:space="preserve">
Two 1 year extension options approved
</t>
        </r>
      </text>
    </comment>
    <comment ref="U64" authorId="4" shapeId="0" xr:uid="{511C045B-5633-41A9-AF11-30AB4BAC7EE7}">
      <text>
        <r>
          <rPr>
            <b/>
            <sz val="9"/>
            <color indexed="81"/>
            <rFont val="Tahoma"/>
            <family val="2"/>
          </rPr>
          <t>Samuel Atkinson:</t>
        </r>
        <r>
          <rPr>
            <sz val="9"/>
            <color indexed="81"/>
            <rFont val="Tahoma"/>
            <family val="2"/>
          </rPr>
          <t xml:space="preserve">
Loan Limit: US$360
Bank Limit: US$90
Policy Limt: US$10
</t>
        </r>
      </text>
    </comment>
    <comment ref="U65" authorId="4" shapeId="0" xr:uid="{430015C1-FF38-4D1C-953F-4CDB932B0C74}">
      <text>
        <r>
          <rPr>
            <b/>
            <sz val="9"/>
            <color indexed="81"/>
            <rFont val="Tahoma"/>
            <family val="2"/>
          </rPr>
          <t>Samuel Atkinson:</t>
        </r>
        <r>
          <rPr>
            <sz val="9"/>
            <color indexed="81"/>
            <rFont val="Tahoma"/>
            <family val="2"/>
          </rPr>
          <t xml:space="preserve">
Facility Limit: US$3b</t>
        </r>
      </text>
    </comment>
    <comment ref="U66" authorId="4" shapeId="0" xr:uid="{6EAA6A85-06E1-4BF7-BDC5-8748DBF0F279}">
      <text>
        <r>
          <rPr>
            <b/>
            <sz val="9"/>
            <color indexed="81"/>
            <rFont val="Tahoma"/>
            <family val="2"/>
          </rPr>
          <t>Samuel Atkinson:</t>
        </r>
        <r>
          <rPr>
            <sz val="9"/>
            <color indexed="81"/>
            <rFont val="Tahoma"/>
            <family val="2"/>
          </rPr>
          <t xml:space="preserve">
1.75b US term loan
175b US ANZ commitment
</t>
        </r>
      </text>
    </comment>
    <comment ref="U67" authorId="4" shapeId="0" xr:uid="{B1C6EB60-9983-4390-A283-32211166C93B}">
      <text>
        <r>
          <rPr>
            <b/>
            <sz val="9"/>
            <color indexed="81"/>
            <rFont val="Tahoma"/>
            <family val="2"/>
          </rPr>
          <t>Samuel Atkinson:</t>
        </r>
        <r>
          <rPr>
            <sz val="9"/>
            <color indexed="81"/>
            <rFont val="Tahoma"/>
            <family val="2"/>
          </rPr>
          <t xml:space="preserve">
Bank: EUR 120m
Loan: EUR 500m</t>
        </r>
      </text>
    </comment>
    <comment ref="N68" authorId="4" shapeId="0" xr:uid="{BDA7BA67-6D24-4CDF-9AC6-CD5D1DC92D00}">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68" authorId="4" shapeId="0" xr:uid="{20F8F997-3DD4-4873-A3F6-BC1E5660F957}">
      <text>
        <r>
          <rPr>
            <b/>
            <sz val="9"/>
            <color indexed="81"/>
            <rFont val="Tahoma"/>
            <family val="2"/>
          </rPr>
          <t>Samuel Atkinson:</t>
        </r>
        <r>
          <rPr>
            <sz val="9"/>
            <color indexed="81"/>
            <rFont val="Tahoma"/>
            <family val="2"/>
          </rPr>
          <t xml:space="preserve">
30m Bank Limit
265m Facility Limit</t>
        </r>
      </text>
    </comment>
    <comment ref="U69" authorId="4" shapeId="0" xr:uid="{6A161313-E1FD-42D9-9DAD-9D62285A2283}">
      <text>
        <r>
          <rPr>
            <b/>
            <sz val="9"/>
            <color indexed="81"/>
            <rFont val="Tahoma"/>
            <family val="2"/>
          </rPr>
          <t>Samuel Atkinson:</t>
        </r>
        <r>
          <rPr>
            <sz val="9"/>
            <color indexed="81"/>
            <rFont val="Tahoma"/>
            <family val="2"/>
          </rPr>
          <t xml:space="preserve">
Bank Limit = 114.4m 
Loan Limit = 1.5b</t>
        </r>
      </text>
    </comment>
    <comment ref="U70" authorId="4" shapeId="0" xr:uid="{E875DB8D-3CF9-4E4E-B8D3-77C26C3E9207}">
      <text>
        <r>
          <rPr>
            <b/>
            <sz val="9"/>
            <color indexed="81"/>
            <rFont val="Tahoma"/>
            <family val="2"/>
          </rPr>
          <t>Samuel Atkinson:
RI: 15m
Bank: 50m
Loan: 545m</t>
        </r>
      </text>
    </comment>
    <comment ref="U71" authorId="5" shapeId="0" xr:uid="{E2CCC1BA-2DC6-4394-859C-C3B6AE337D81}">
      <text>
        <r>
          <rPr>
            <b/>
            <sz val="9"/>
            <color indexed="81"/>
            <rFont val="Tahoma"/>
            <family val="2"/>
          </rPr>
          <t>Ann Prosser:</t>
        </r>
        <r>
          <rPr>
            <sz val="9"/>
            <color indexed="81"/>
            <rFont val="Tahoma"/>
            <family val="2"/>
          </rPr>
          <t xml:space="preserve">
Loan Limit: A$1b
Bank Limit: A$50m 
Policy Limit: A$10m
</t>
        </r>
      </text>
    </comment>
    <comment ref="U72" authorId="4" shapeId="0" xr:uid="{F23DA36C-FF32-477B-A464-DE2F53895B54}">
      <text>
        <r>
          <rPr>
            <b/>
            <sz val="9"/>
            <color indexed="81"/>
            <rFont val="Tahoma"/>
            <family val="2"/>
          </rPr>
          <t>Samuel Atkinson:</t>
        </r>
        <r>
          <rPr>
            <sz val="9"/>
            <color indexed="81"/>
            <rFont val="Tahoma"/>
            <family val="2"/>
          </rPr>
          <t xml:space="preserve">
Policy US$20m
Bank limit: US$50m
Loan Limit: US$100m</t>
        </r>
      </text>
    </comment>
    <comment ref="U73" authorId="4" shapeId="0" xr:uid="{F98F7DA4-2151-41EB-82C6-DDBD5C4B721F}">
      <text>
        <r>
          <rPr>
            <b/>
            <sz val="9"/>
            <color indexed="81"/>
            <rFont val="Tahoma"/>
            <family val="2"/>
          </rPr>
          <t>Samuel Atkinson
RI Policy: US$3.125
Policy: US$6.25
Bank: US$12.5
Loan: US$36.5m</t>
        </r>
      </text>
    </comment>
    <comment ref="U75" authorId="5" shapeId="0" xr:uid="{B3DD3686-97FB-40D9-BB65-216F42815BA4}">
      <text>
        <r>
          <rPr>
            <b/>
            <sz val="9"/>
            <color indexed="81"/>
            <rFont val="Tahoma"/>
            <family val="2"/>
          </rPr>
          <t>Ann Prosser:</t>
        </r>
        <r>
          <rPr>
            <sz val="9"/>
            <color indexed="81"/>
            <rFont val="Tahoma"/>
            <family val="2"/>
          </rPr>
          <t xml:space="preserve">
Policy limit: USD $15m, Bank Limit: usd $ 30m</t>
        </r>
      </text>
    </comment>
    <comment ref="U76" authorId="4" shapeId="0" xr:uid="{D4D88D62-990B-4F9A-B804-C4B4C228D4E7}">
      <text>
        <r>
          <rPr>
            <b/>
            <sz val="9"/>
            <color indexed="81"/>
            <rFont val="Tahoma"/>
            <family val="2"/>
          </rPr>
          <t>Samuel Atkinson:</t>
        </r>
        <r>
          <rPr>
            <sz val="9"/>
            <color indexed="81"/>
            <rFont val="Tahoma"/>
            <family val="2"/>
          </rPr>
          <t xml:space="preserve">
Bank Limit = approx US$26.67m
Loan Limit = Approx US$300m</t>
        </r>
      </text>
    </comment>
    <comment ref="U77" authorId="4" shapeId="0" xr:uid="{1277FFD4-0398-4028-9143-1FB6F44710B6}">
      <text>
        <r>
          <rPr>
            <b/>
            <sz val="9"/>
            <color indexed="81"/>
            <rFont val="Tahoma"/>
            <family val="2"/>
          </rPr>
          <t>Samuel Atkinson:</t>
        </r>
        <r>
          <rPr>
            <sz val="9"/>
            <color indexed="81"/>
            <rFont val="Tahoma"/>
            <family val="2"/>
          </rPr>
          <t xml:space="preserve">
Bank Limit: INR 3.57bn
Loan Limit: INR 7.25bn </t>
        </r>
      </text>
    </comment>
    <comment ref="U78" authorId="4" shapeId="0" xr:uid="{FF1E0431-35E0-481E-BDFE-45827A492B68}">
      <text>
        <r>
          <rPr>
            <b/>
            <sz val="9"/>
            <color indexed="81"/>
            <rFont val="Tahoma"/>
            <family val="2"/>
          </rPr>
          <t>Samuel Atkinson:</t>
        </r>
        <r>
          <rPr>
            <sz val="9"/>
            <color indexed="81"/>
            <rFont val="Tahoma"/>
            <family val="2"/>
          </rPr>
          <t xml:space="preserve">
 Bank Limit: US$105m Loan Limit: US$210 m </t>
        </r>
      </text>
    </comment>
    <comment ref="U79" authorId="4" shapeId="0" xr:uid="{F2E4C5CB-E09D-40DB-B4AD-5266D675381B}">
      <text>
        <r>
          <rPr>
            <b/>
            <sz val="9"/>
            <color indexed="81"/>
            <rFont val="Tahoma"/>
            <family val="2"/>
          </rPr>
          <t>Samuel Atkinson:</t>
        </r>
        <r>
          <rPr>
            <sz val="9"/>
            <color indexed="81"/>
            <rFont val="Tahoma"/>
            <family val="2"/>
          </rPr>
          <t xml:space="preserve">
Bank Limit: US$42.033m
Loan  Limit: US$126.1m</t>
        </r>
      </text>
    </comment>
    <comment ref="U80" authorId="4" shapeId="0" xr:uid="{A89A8F64-7234-4073-8C95-1E483239B8B9}">
      <text>
        <r>
          <rPr>
            <b/>
            <sz val="9"/>
            <color indexed="81"/>
            <rFont val="Tahoma"/>
            <family val="2"/>
          </rPr>
          <t>Samuel Atkinson:</t>
        </r>
        <r>
          <rPr>
            <sz val="9"/>
            <color indexed="81"/>
            <rFont val="Tahoma"/>
            <family val="2"/>
          </rPr>
          <t xml:space="preserve">
Bank Limit: US$10
Loan Limit: US$730m 
</t>
        </r>
      </text>
    </comment>
    <comment ref="U81" authorId="5" shapeId="0" xr:uid="{761FA98C-D4CE-4B73-8A40-DB99CD840D9C}">
      <text>
        <r>
          <rPr>
            <b/>
            <sz val="9"/>
            <color indexed="81"/>
            <rFont val="Tahoma"/>
            <family val="2"/>
          </rPr>
          <t>Ann Prosser:</t>
        </r>
        <r>
          <rPr>
            <sz val="9"/>
            <color indexed="81"/>
            <rFont val="Tahoma"/>
            <family val="2"/>
          </rPr>
          <t xml:space="preserve">
Loan Limit: GBP 700m
Bank Limit: GBP 80m 
Policy Limit: GBP 10m</t>
        </r>
      </text>
    </comment>
    <comment ref="U82" authorId="5" shapeId="0" xr:uid="{6B823621-1A82-439E-8CD3-B72844A0F821}">
      <text>
        <r>
          <rPr>
            <b/>
            <sz val="9"/>
            <color indexed="81"/>
            <rFont val="Tahoma"/>
            <family val="2"/>
          </rPr>
          <t>Ann Prosser:</t>
        </r>
        <r>
          <rPr>
            <sz val="9"/>
            <color indexed="81"/>
            <rFont val="Tahoma"/>
            <family val="2"/>
          </rPr>
          <t xml:space="preserve">
Loan Limit: US$185m
Bank Limit: US$35m 
Policy Limit: US$7m
</t>
        </r>
      </text>
    </comment>
    <comment ref="U83" authorId="5" shapeId="0" xr:uid="{419B728A-3F87-46CB-AFB6-3112801A6232}">
      <text>
        <r>
          <rPr>
            <b/>
            <sz val="9"/>
            <color indexed="81"/>
            <rFont val="Tahoma"/>
            <family val="2"/>
          </rPr>
          <t>Ann Prosser:</t>
        </r>
        <r>
          <rPr>
            <sz val="9"/>
            <color indexed="81"/>
            <rFont val="Tahoma"/>
            <family val="2"/>
          </rPr>
          <t xml:space="preserve">
Loan Limit: US$64.1m
Bank Limit: US$53.4m 
Policy Limit: US$20m
</t>
        </r>
      </text>
    </comment>
    <comment ref="U84" authorId="5" shapeId="0" xr:uid="{A16AD364-1974-44A4-AE7D-A8A2D5625CC2}">
      <text>
        <r>
          <rPr>
            <b/>
            <sz val="9"/>
            <color indexed="81"/>
            <rFont val="Tahoma"/>
            <family val="2"/>
          </rPr>
          <t>Ann Prosser:</t>
        </r>
        <r>
          <rPr>
            <sz val="9"/>
            <color indexed="81"/>
            <rFont val="Tahoma"/>
            <family val="2"/>
          </rPr>
          <t xml:space="preserve">
Loan Limit: ~US$450m
Bank Limit: SGD 51.7m 
Policy Limit: SGD 14.1m
</t>
        </r>
      </text>
    </comment>
    <comment ref="U85" authorId="5" shapeId="0" xr:uid="{EB19FDCD-4201-4832-AEE6-477823C096BE}">
      <text>
        <r>
          <rPr>
            <b/>
            <sz val="9"/>
            <color indexed="81"/>
            <rFont val="Tahoma"/>
            <family val="2"/>
          </rPr>
          <t>Ann Prosser:</t>
        </r>
        <r>
          <rPr>
            <sz val="9"/>
            <color indexed="81"/>
            <rFont val="Tahoma"/>
            <family val="2"/>
          </rPr>
          <t xml:space="preserve">
Loan Limit A$1.6b
Bank Limit  A$60m
Policy Limit A$30m</t>
        </r>
      </text>
    </comment>
    <comment ref="U86" authorId="5" shapeId="0" xr:uid="{F7D7DCE9-1ADF-46F0-9168-6F5049D1CBA8}">
      <text>
        <r>
          <rPr>
            <b/>
            <sz val="9"/>
            <color indexed="81"/>
            <rFont val="Tahoma"/>
            <family val="2"/>
          </rPr>
          <t>Ann Prosser:</t>
        </r>
        <r>
          <rPr>
            <sz val="9"/>
            <color indexed="81"/>
            <rFont val="Tahoma"/>
            <family val="2"/>
          </rPr>
          <t xml:space="preserve">
"Loan Limit: A$1.04bn
Bank Limit: A$50m 
Policy Limit: A$25m"
</t>
        </r>
      </text>
    </comment>
    <comment ref="U87" authorId="5" shapeId="0" xr:uid="{1EA51E70-10B9-4E7B-95D6-1F4E052EB532}">
      <text>
        <r>
          <rPr>
            <b/>
            <sz val="9"/>
            <color indexed="81"/>
            <rFont val="Tahoma"/>
            <family val="2"/>
          </rPr>
          <t>Ann Prosser:</t>
        </r>
        <r>
          <rPr>
            <sz val="9"/>
            <color indexed="81"/>
            <rFont val="Tahoma"/>
            <family val="2"/>
          </rPr>
          <t xml:space="preserve">
Loan Limit: GBP 4.5B
Bank Limit: GBP 132m 
Policy Limit: GBP 10m
</t>
        </r>
      </text>
    </comment>
    <comment ref="U88" authorId="5" shapeId="0" xr:uid="{DDBE0E29-BC50-4D2A-80D6-ABD42677C4A0}">
      <text>
        <r>
          <rPr>
            <b/>
            <sz val="9"/>
            <color indexed="81"/>
            <rFont val="Tahoma"/>
            <family val="2"/>
          </rPr>
          <t>Ann Prosser:</t>
        </r>
        <r>
          <rPr>
            <sz val="9"/>
            <color indexed="81"/>
            <rFont val="Tahoma"/>
            <family val="2"/>
          </rPr>
          <t xml:space="preserve">
Loan Limit: US$3bn
Bank Limit: US$150m 
Policy Limit: US$7.5</t>
        </r>
      </text>
    </comment>
    <comment ref="U89" authorId="5" shapeId="0" xr:uid="{1FB42E1C-F573-4931-BCB4-33C1F2381BC3}">
      <text>
        <r>
          <rPr>
            <b/>
            <sz val="9"/>
            <color indexed="81"/>
            <rFont val="Tahoma"/>
            <family val="2"/>
          </rPr>
          <t>Ann Prosser:</t>
        </r>
        <r>
          <rPr>
            <sz val="9"/>
            <color indexed="81"/>
            <rFont val="Tahoma"/>
            <family val="2"/>
          </rPr>
          <t xml:space="preserve">
"Loan Limit: US$46.9m
Bank Limit: US$46.9m 
Policy Limit: US$20m"
</t>
        </r>
      </text>
    </comment>
    <comment ref="U90" authorId="5" shapeId="0" xr:uid="{2B429F5A-9226-4247-BD5C-E05AA3476D9D}">
      <text>
        <r>
          <rPr>
            <b/>
            <sz val="9"/>
            <color indexed="81"/>
            <rFont val="Tahoma"/>
            <family val="2"/>
          </rPr>
          <t>Ann Prosser:</t>
        </r>
        <r>
          <rPr>
            <sz val="9"/>
            <color indexed="81"/>
            <rFont val="Tahoma"/>
            <family val="2"/>
          </rPr>
          <t xml:space="preserve">
Loan Limit: €57m
Bank Limit: €53m
Policy Limit: €12.5m
</t>
        </r>
      </text>
    </comment>
    <comment ref="U91" authorId="5" shapeId="0" xr:uid="{E9D1A735-5462-4959-A395-D976BFB60E79}">
      <text>
        <r>
          <rPr>
            <b/>
            <sz val="9"/>
            <color indexed="81"/>
            <rFont val="Tahoma"/>
            <family val="2"/>
          </rPr>
          <t>Ann Prosser:</t>
        </r>
        <r>
          <rPr>
            <sz val="9"/>
            <color indexed="81"/>
            <rFont val="Tahoma"/>
            <family val="2"/>
          </rPr>
          <t xml:space="preserve">
Loan Limit: EUR300m
Bank Limit: EUR65m 
Policy Limit: EUR20m
</t>
        </r>
      </text>
    </comment>
    <comment ref="U92" authorId="6" shapeId="0" xr:uid="{8A646801-258B-409C-9CAE-E0AC3ED15A17}">
      <text>
        <r>
          <rPr>
            <b/>
            <sz val="9"/>
            <color indexed="81"/>
            <rFont val="Tahoma"/>
            <family val="2"/>
          </rPr>
          <t>Lea Krstevska:</t>
        </r>
        <r>
          <rPr>
            <sz val="9"/>
            <color indexed="81"/>
            <rFont val="Tahoma"/>
            <family val="2"/>
          </rPr>
          <t xml:space="preserve">
Loan Limit: US$267m
Bank Limit: US$225m 
Policy Limit: US$20m</t>
        </r>
      </text>
    </comment>
    <comment ref="U93" authorId="6" shapeId="0" xr:uid="{549DC60A-24BE-4F18-8798-68103B765ACC}">
      <text>
        <r>
          <rPr>
            <b/>
            <sz val="9"/>
            <color indexed="81"/>
            <rFont val="Tahoma"/>
            <family val="2"/>
          </rPr>
          <t>Lea Krstevska:</t>
        </r>
        <r>
          <rPr>
            <sz val="9"/>
            <color indexed="81"/>
            <rFont val="Tahoma"/>
            <family val="2"/>
          </rPr>
          <t xml:space="preserve">
Loan Limit: US$886m
Bank Limit: US$58m 
Policy Limit: US$10m</t>
        </r>
      </text>
    </comment>
    <comment ref="U94" authorId="5" shapeId="0" xr:uid="{D1695898-7702-48CE-A3AE-E17EC3276B48}">
      <text>
        <r>
          <rPr>
            <b/>
            <sz val="9"/>
            <color indexed="81"/>
            <rFont val="Tahoma"/>
            <family val="2"/>
          </rPr>
          <t>Ann Prosser:</t>
        </r>
        <r>
          <rPr>
            <sz val="9"/>
            <color indexed="81"/>
            <rFont val="Tahoma"/>
            <family val="2"/>
          </rPr>
          <t xml:space="preserve">
Loan Limit: A$5,250m
Bank Limit: A$488m 
Policy Limit: A$15m
</t>
        </r>
      </text>
    </comment>
    <comment ref="U95" authorId="6" shapeId="0" xr:uid="{3ECF88FB-B3FC-418E-9A84-E1EBFB34F3EE}">
      <text>
        <r>
          <rPr>
            <b/>
            <sz val="9"/>
            <color indexed="81"/>
            <rFont val="Tahoma"/>
            <family val="2"/>
          </rPr>
          <t>Lea Krstevska:</t>
        </r>
        <r>
          <rPr>
            <sz val="9"/>
            <color indexed="81"/>
            <rFont val="Tahoma"/>
            <family val="2"/>
          </rPr>
          <t xml:space="preserve">
Loan Limit: US$300m
Bank Limit: US$100m 
Policy Limit: US$10m</t>
        </r>
      </text>
    </comment>
    <comment ref="U96" authorId="6" shapeId="0" xr:uid="{44A84F0A-C9AE-486D-B847-E2F098E40BA3}">
      <text>
        <r>
          <rPr>
            <b/>
            <sz val="9"/>
            <color indexed="81"/>
            <rFont val="Tahoma"/>
            <family val="2"/>
          </rPr>
          <t>Lea Krstevska:</t>
        </r>
        <r>
          <rPr>
            <sz val="9"/>
            <color indexed="81"/>
            <rFont val="Tahoma"/>
            <family val="2"/>
          </rPr>
          <t xml:space="preserve">
Loan Limit: GBP 650m
Bank Limit: GBP 50m 
Policy Limit: GBP 15m</t>
        </r>
      </text>
    </comment>
    <comment ref="U97" authorId="6" shapeId="0" xr:uid="{3A155675-B5A7-4A5D-A764-C140CC282584}">
      <text>
        <r>
          <rPr>
            <b/>
            <sz val="9"/>
            <color indexed="81"/>
            <rFont val="Tahoma"/>
            <family val="2"/>
          </rPr>
          <t>Lea Krstevska:</t>
        </r>
        <r>
          <rPr>
            <sz val="9"/>
            <color indexed="81"/>
            <rFont val="Tahoma"/>
            <family val="2"/>
          </rPr>
          <t xml:space="preserve">
Loan Limit: A$256.3m
Bank Limit: A$256.3m 
Policy Limit: A$25m</t>
        </r>
      </text>
    </comment>
    <comment ref="U98" authorId="4" shapeId="0" xr:uid="{99A58A6A-16B5-4652-80CD-0DCEC51EC698}">
      <text>
        <r>
          <rPr>
            <b/>
            <sz val="9"/>
            <color indexed="81"/>
            <rFont val="Tahoma"/>
            <family val="2"/>
          </rPr>
          <t>Samuel Atkinson:</t>
        </r>
        <r>
          <rPr>
            <sz val="9"/>
            <color indexed="81"/>
            <rFont val="Tahoma"/>
            <family val="2"/>
          </rPr>
          <t xml:space="preserve">
USD 1.2-2.0 Facility Limit</t>
        </r>
      </text>
    </comment>
    <comment ref="U99" authorId="6" shapeId="0" xr:uid="{5FB57853-5966-4E19-BABC-FC024CAAE4DB}">
      <text>
        <r>
          <rPr>
            <b/>
            <sz val="9"/>
            <color indexed="81"/>
            <rFont val="Tahoma"/>
            <family val="2"/>
          </rPr>
          <t>Lea Krstevska:</t>
        </r>
        <r>
          <rPr>
            <sz val="9"/>
            <color indexed="81"/>
            <rFont val="Tahoma"/>
            <family val="2"/>
          </rPr>
          <t xml:space="preserve">
Loan Limit: US$400m
Bank Limit: US$75m 
Policy Limit: US$20m</t>
        </r>
      </text>
    </comment>
    <comment ref="U100" authorId="6" shapeId="0" xr:uid="{56502B5C-107C-47CD-A338-0E1B376112D0}">
      <text>
        <r>
          <rPr>
            <b/>
            <sz val="9"/>
            <color indexed="81"/>
            <rFont val="Tahoma"/>
            <family val="2"/>
          </rPr>
          <t>Lea Krstevska:</t>
        </r>
        <r>
          <rPr>
            <sz val="9"/>
            <color indexed="81"/>
            <rFont val="Tahoma"/>
            <family val="2"/>
          </rPr>
          <t xml:space="preserve">
Loan Limit: NOK 1.5b
Bank Limit: NOK 990m 
Policy Limit: NOK 158m</t>
        </r>
      </text>
    </comment>
    <comment ref="U101" authorId="5" shapeId="0" xr:uid="{03EBB102-1F62-4151-874C-B917CE550678}">
      <text>
        <r>
          <rPr>
            <b/>
            <sz val="9"/>
            <color indexed="81"/>
            <rFont val="Tahoma"/>
            <family val="2"/>
          </rPr>
          <t>Ann Prosser:</t>
        </r>
        <r>
          <rPr>
            <sz val="9"/>
            <color indexed="81"/>
            <rFont val="Tahoma"/>
            <family val="2"/>
          </rPr>
          <t xml:space="preserve">
Loan Limit: A$129.6m
Bank Limit: A$93m 
Policy Limit: A$25m
</t>
        </r>
      </text>
    </comment>
    <comment ref="U102" authorId="6" shapeId="0" xr:uid="{7DAC3509-0C6E-44D3-B3B1-565E25095906}">
      <text>
        <r>
          <rPr>
            <b/>
            <sz val="9"/>
            <color indexed="81"/>
            <rFont val="Tahoma"/>
            <family val="2"/>
          </rPr>
          <t>Lea Krstevska:</t>
        </r>
        <r>
          <rPr>
            <sz val="9"/>
            <color indexed="81"/>
            <rFont val="Tahoma"/>
            <family val="2"/>
          </rPr>
          <t xml:space="preserve">
Loan Limit: JPY 18.5b
Bank Limit: JPY 13.88b
Policy Limit: JPY 1.87b</t>
        </r>
      </text>
    </comment>
    <comment ref="U103" authorId="6" shapeId="0" xr:uid="{83B1D57D-5AAE-455E-9C0F-D8F07CFD83B9}">
      <text>
        <r>
          <rPr>
            <b/>
            <sz val="9"/>
            <color indexed="81"/>
            <rFont val="Tahoma"/>
            <family val="2"/>
          </rPr>
          <t>Lea Krstevska:</t>
        </r>
        <r>
          <rPr>
            <sz val="9"/>
            <color indexed="81"/>
            <rFont val="Tahoma"/>
            <family val="2"/>
          </rPr>
          <t xml:space="preserve">
Loan Limit: A$175m
Bank Limit: A$60m 
Policy Limit: A$15m</t>
        </r>
      </text>
    </comment>
    <comment ref="U104" authorId="4" shapeId="0" xr:uid="{604ED708-B28B-4429-94CD-33B04CEAEECD}">
      <text>
        <r>
          <rPr>
            <b/>
            <sz val="9"/>
            <color indexed="81"/>
            <rFont val="Tahoma"/>
            <family val="2"/>
          </rPr>
          <t xml:space="preserve">Samuel Atkinson
US$125m Bank Limit
US$1bn Loan Limit </t>
        </r>
      </text>
    </comment>
    <comment ref="U105" authorId="6" shapeId="0" xr:uid="{CC35B6D5-E87E-48A6-8280-756C8DAB4484}">
      <text>
        <r>
          <rPr>
            <b/>
            <sz val="9"/>
            <color indexed="81"/>
            <rFont val="Tahoma"/>
            <family val="2"/>
          </rPr>
          <t>Lea Krstevska:</t>
        </r>
        <r>
          <rPr>
            <sz val="9"/>
            <color indexed="81"/>
            <rFont val="Tahoma"/>
            <family val="2"/>
          </rPr>
          <t xml:space="preserve">
Loan Limit: US$1.575b
Bank Limit: US$93.3m 
Policy Limit: US$10m</t>
        </r>
      </text>
    </comment>
    <comment ref="U106" authorId="6" shapeId="0" xr:uid="{96CC355C-2922-4A7E-93FD-94678F90CF57}">
      <text>
        <r>
          <rPr>
            <b/>
            <sz val="9"/>
            <color indexed="81"/>
            <rFont val="Tahoma"/>
            <family val="2"/>
          </rPr>
          <t>Lea Krstevska:</t>
        </r>
        <r>
          <rPr>
            <sz val="9"/>
            <color indexed="81"/>
            <rFont val="Tahoma"/>
            <family val="2"/>
          </rPr>
          <t xml:space="preserve">
Loan Limit: EUR 1.4b
Bank Limit: EUR 212m 
Policy Limit: EUR 15m</t>
        </r>
      </text>
    </comment>
    <comment ref="U107" authorId="6" shapeId="0" xr:uid="{7A6E60E7-F49F-42AF-8FE4-1B47C4EBCB5F}">
      <text>
        <r>
          <rPr>
            <b/>
            <sz val="9"/>
            <color indexed="81"/>
            <rFont val="Tahoma"/>
            <family val="2"/>
          </rPr>
          <t>Lea Krstevska:</t>
        </r>
        <r>
          <rPr>
            <sz val="9"/>
            <color indexed="81"/>
            <rFont val="Tahoma"/>
            <family val="2"/>
          </rPr>
          <t xml:space="preserve">
Loan Limit: US$75m
Bank Limit: US$75m 
Policy Limit: US$20m</t>
        </r>
      </text>
    </comment>
    <comment ref="U108" authorId="6" shapeId="0" xr:uid="{62148802-14A6-4BB1-BDA5-9E95D038E746}">
      <text>
        <r>
          <rPr>
            <b/>
            <sz val="9"/>
            <color indexed="81"/>
            <rFont val="Tahoma"/>
            <family val="2"/>
          </rPr>
          <t>Lea Krstevska:</t>
        </r>
        <r>
          <rPr>
            <sz val="9"/>
            <color indexed="81"/>
            <rFont val="Tahoma"/>
            <family val="2"/>
          </rPr>
          <t xml:space="preserve">
Loan Limit: EUR 20m
Bank Limit: EUR 20m 
Policy Limit: EUR 3m</t>
        </r>
      </text>
    </comment>
    <comment ref="U109" authorId="6" shapeId="0" xr:uid="{F683B85D-99D9-48E4-BF93-AF797AF648A3}">
      <text>
        <r>
          <rPr>
            <b/>
            <sz val="9"/>
            <color indexed="81"/>
            <rFont val="Tahoma"/>
            <family val="2"/>
          </rPr>
          <t>Lea Krstevska:</t>
        </r>
        <r>
          <rPr>
            <sz val="9"/>
            <color indexed="81"/>
            <rFont val="Tahoma"/>
            <family val="2"/>
          </rPr>
          <t xml:space="preserve">
Loan Limit: US$60m
Bank Limit: US$30m 
Policy Limit: US$15m</t>
        </r>
      </text>
    </comment>
    <comment ref="U110" authorId="6" shapeId="0" xr:uid="{55DBF2C3-8C76-4520-B256-A7EFFF059FF1}">
      <text>
        <r>
          <rPr>
            <b/>
            <sz val="9"/>
            <color indexed="81"/>
            <rFont val="Tahoma"/>
            <family val="2"/>
          </rPr>
          <t>Lea Krstevska:</t>
        </r>
        <r>
          <rPr>
            <sz val="9"/>
            <color indexed="81"/>
            <rFont val="Tahoma"/>
            <family val="2"/>
          </rPr>
          <t xml:space="preserve">
Loan: JPY12bn
Bank: JPY7bn
Policy: JPY 2.6bn</t>
        </r>
      </text>
    </comment>
    <comment ref="U111" authorId="6" shapeId="0" xr:uid="{78D80921-7CB2-499A-B117-92A4C5720A09}">
      <text>
        <r>
          <rPr>
            <b/>
            <sz val="9"/>
            <color indexed="81"/>
            <rFont val="Tahoma"/>
            <family val="2"/>
          </rPr>
          <t>Lea Krstevska:</t>
        </r>
        <r>
          <rPr>
            <sz val="9"/>
            <color indexed="81"/>
            <rFont val="Tahoma"/>
            <family val="2"/>
          </rPr>
          <t xml:space="preserve">
Loan Limit £400m
Bank Limit £90m
Policy Limit  £5m</t>
        </r>
      </text>
    </comment>
    <comment ref="U112" authorId="6" shapeId="0" xr:uid="{F4CFA1E4-81A7-4F67-9D4F-DF0A65CB8A49}">
      <text>
        <r>
          <rPr>
            <b/>
            <sz val="9"/>
            <color indexed="81"/>
            <rFont val="Tahoma"/>
            <family val="2"/>
          </rPr>
          <t>Lea Krstevska:</t>
        </r>
        <r>
          <rPr>
            <sz val="9"/>
            <color indexed="81"/>
            <rFont val="Tahoma"/>
            <family val="2"/>
          </rPr>
          <t xml:space="preserve">
Loan Limit: A$319m
Bank Limit: A$319m 
Policy Limit: A$30m</t>
        </r>
      </text>
    </comment>
    <comment ref="U113" authorId="4" shapeId="0" xr:uid="{5F166E38-CB0E-48D4-AC50-CCB5BA30080B}">
      <text>
        <r>
          <rPr>
            <b/>
            <sz val="9"/>
            <color indexed="81"/>
            <rFont val="Tahoma"/>
            <family val="2"/>
          </rPr>
          <t>Samuel Atkinson:EUR 25m Bank Limit 
EUR 25m Loan Limit</t>
        </r>
      </text>
    </comment>
    <comment ref="U114" authorId="4" shapeId="0" xr:uid="{AA1F8435-44C1-4134-97FB-A97652636EAE}">
      <text>
        <r>
          <rPr>
            <b/>
            <sz val="9"/>
            <color indexed="81"/>
            <rFont val="Tahoma"/>
            <family val="2"/>
          </rPr>
          <t>Samuel Atkinson:</t>
        </r>
        <r>
          <rPr>
            <sz val="9"/>
            <color indexed="81"/>
            <rFont val="Tahoma"/>
            <family val="2"/>
          </rPr>
          <t xml:space="preserve">
Bank Limit: EUR 105m
Loan Limit: EUR 330m</t>
        </r>
      </text>
    </comment>
    <comment ref="U115" authorId="4" shapeId="0" xr:uid="{960FF0A1-9DEA-4902-86CA-84A5F0555FA0}">
      <text>
        <r>
          <rPr>
            <b/>
            <sz val="9"/>
            <color indexed="81"/>
            <rFont val="Tahoma"/>
            <family val="2"/>
          </rPr>
          <t>Samuel Atkinson
US$61m Bank Limit
US$575m Loan Limit</t>
        </r>
      </text>
    </comment>
    <comment ref="U116" authorId="6" shapeId="0" xr:uid="{F3030A95-97D0-4F3B-95A5-602F72AA4D76}">
      <text>
        <r>
          <rPr>
            <b/>
            <sz val="9"/>
            <color indexed="81"/>
            <rFont val="Tahoma"/>
            <family val="2"/>
          </rPr>
          <t xml:space="preserve">Lea Krstevska:
</t>
        </r>
        <r>
          <rPr>
            <sz val="9"/>
            <color indexed="81"/>
            <rFont val="Tahoma"/>
            <family val="2"/>
          </rPr>
          <t>Bank Limit: US$50m
Loan Limit: US$1.245bn</t>
        </r>
      </text>
    </comment>
    <comment ref="U117" authorId="5" shapeId="0" xr:uid="{68A807ED-B747-480F-B116-154E959F0AA4}">
      <text>
        <r>
          <rPr>
            <b/>
            <sz val="9"/>
            <color indexed="81"/>
            <rFont val="Tahoma"/>
            <family val="2"/>
          </rPr>
          <t>Ann Prosser:</t>
        </r>
        <r>
          <rPr>
            <sz val="9"/>
            <color indexed="81"/>
            <rFont val="Tahoma"/>
            <family val="2"/>
          </rPr>
          <t xml:space="preserve">
Loan Limit: US$310m
Bank Limit: US$50m
Policy Limit: US$5m
</t>
        </r>
      </text>
    </comment>
    <comment ref="U118" authorId="1" shapeId="0" xr:uid="{EFE3EB1A-7319-4AFD-805B-7547CA81614A}">
      <text>
        <r>
          <rPr>
            <sz val="8"/>
            <color indexed="81"/>
            <rFont val="Tahoma"/>
            <family val="2"/>
          </rPr>
          <t>US$397.5m , ING US$97.5m</t>
        </r>
      </text>
    </comment>
    <comment ref="U119" authorId="6" shapeId="0" xr:uid="{F6769989-1F19-4377-95B9-42B31BD543E6}">
      <text>
        <r>
          <rPr>
            <b/>
            <sz val="9"/>
            <color indexed="81"/>
            <rFont val="Tahoma"/>
            <family val="2"/>
          </rPr>
          <t>Lea Krstevska:</t>
        </r>
        <r>
          <rPr>
            <sz val="9"/>
            <color indexed="81"/>
            <rFont val="Tahoma"/>
            <family val="2"/>
          </rPr>
          <t xml:space="preserve">
Loan: US$340m
Bank: US$80m
Policy: US$15m</t>
        </r>
      </text>
    </comment>
    <comment ref="U120" authorId="6" shapeId="0" xr:uid="{B6918DB0-69B5-43CE-9BA1-3A366EBCF191}">
      <text>
        <r>
          <rPr>
            <b/>
            <sz val="9"/>
            <color indexed="81"/>
            <rFont val="Tahoma"/>
            <family val="2"/>
          </rPr>
          <t>Lea Krstevska:</t>
        </r>
        <r>
          <rPr>
            <sz val="9"/>
            <color indexed="81"/>
            <rFont val="Tahoma"/>
            <family val="2"/>
          </rPr>
          <t xml:space="preserve">
Loan: US$125m
Bank: US$9.375m
Policy: US$7.5m</t>
        </r>
      </text>
    </comment>
    <comment ref="U121" authorId="6" shapeId="0" xr:uid="{6FECD28F-AA48-4503-A04D-0C960F73771A}">
      <text>
        <r>
          <rPr>
            <b/>
            <sz val="9"/>
            <color indexed="81"/>
            <rFont val="Tahoma"/>
            <family val="2"/>
          </rPr>
          <t>Lea Krstevska:</t>
        </r>
        <r>
          <rPr>
            <sz val="9"/>
            <color indexed="81"/>
            <rFont val="Tahoma"/>
            <family val="2"/>
          </rPr>
          <t xml:space="preserve">
Loan: US$265m
Bank: US$30m
Policy: US$15m</t>
        </r>
      </text>
    </comment>
    <comment ref="U122" authorId="6" shapeId="0" xr:uid="{91262EF1-761C-4643-AB88-6F80070DE88D}">
      <text>
        <r>
          <rPr>
            <b/>
            <sz val="9"/>
            <color indexed="81"/>
            <rFont val="Tahoma"/>
            <family val="2"/>
          </rPr>
          <t>Lea Krstevska:</t>
        </r>
        <r>
          <rPr>
            <sz val="9"/>
            <color indexed="81"/>
            <rFont val="Tahoma"/>
            <family val="2"/>
          </rPr>
          <t xml:space="preserve">
Loan: US$400m
Bank: US$45m
Policy: US$15m</t>
        </r>
      </text>
    </comment>
    <comment ref="U123" authorId="6" shapeId="0" xr:uid="{0BBE665F-B2B5-4C49-B001-B92AC64ED8F9}">
      <text>
        <r>
          <rPr>
            <b/>
            <sz val="9"/>
            <color indexed="81"/>
            <rFont val="Tahoma"/>
            <family val="2"/>
          </rPr>
          <t>Lea Krstevska:</t>
        </r>
        <r>
          <rPr>
            <sz val="9"/>
            <color indexed="81"/>
            <rFont val="Tahoma"/>
            <family val="2"/>
          </rPr>
          <t xml:space="preserve">
Loan: EUR620m
Bank: EUR100m
Policy: EUR15m</t>
        </r>
      </text>
    </comment>
    <comment ref="U124" authorId="6" shapeId="0" xr:uid="{244BB9D8-49F7-41C7-AEBD-737EFAA1B48E}">
      <text>
        <r>
          <rPr>
            <b/>
            <sz val="9"/>
            <color indexed="81"/>
            <rFont val="Tahoma"/>
            <family val="2"/>
          </rPr>
          <t>Lea Krstevska:</t>
        </r>
        <r>
          <rPr>
            <sz val="9"/>
            <color indexed="81"/>
            <rFont val="Tahoma"/>
            <family val="2"/>
          </rPr>
          <t xml:space="preserve">
Loan: US$69.8m
Bank: US$69.8m
Policy: US$15m</t>
        </r>
      </text>
    </comment>
    <comment ref="U125" authorId="6" shapeId="0" xr:uid="{CECFA63C-E737-4D7C-9AE7-6B4E2B10F365}">
      <text>
        <r>
          <rPr>
            <b/>
            <sz val="9"/>
            <color indexed="81"/>
            <rFont val="Tahoma"/>
            <family val="2"/>
          </rPr>
          <t>Lea Krstevska:</t>
        </r>
        <r>
          <rPr>
            <sz val="9"/>
            <color indexed="81"/>
            <rFont val="Tahoma"/>
            <family val="2"/>
          </rPr>
          <t xml:space="preserve">
Loan: US$300m
Bank: US$30m
Policy: US$15m</t>
        </r>
      </text>
    </comment>
    <comment ref="U126" authorId="6" shapeId="0" xr:uid="{735D025F-EEE9-45BC-A29A-584EF76554F7}">
      <text>
        <r>
          <rPr>
            <b/>
            <sz val="9"/>
            <color indexed="81"/>
            <rFont val="Tahoma"/>
            <family val="2"/>
          </rPr>
          <t>Lea Krstevska:</t>
        </r>
        <r>
          <rPr>
            <sz val="9"/>
            <color indexed="81"/>
            <rFont val="Tahoma"/>
            <family val="2"/>
          </rPr>
          <t xml:space="preserve">
Loan: EUR375m
Bank: EUR50m
Policy: EUR10m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Jemma Sargeant</author>
    <author>Samuel Atkinson</author>
    <author>Ann Prosser</author>
  </authors>
  <commentList>
    <comment ref="AF2" authorId="0" shapeId="0" xr:uid="{305C56BB-7A23-4908-86C4-1FB387FCAF4D}">
      <text>
        <r>
          <rPr>
            <b/>
            <sz val="9"/>
            <color indexed="81"/>
            <rFont val="Tahoma"/>
            <family val="2"/>
          </rPr>
          <t>Lea Krstevska:</t>
        </r>
        <r>
          <rPr>
            <sz val="9"/>
            <color indexed="81"/>
            <rFont val="Tahoma"/>
            <family val="2"/>
          </rPr>
          <t xml:space="preserve">
AUD 20m-30m
USD 15m - 25m
EUR 15m - 22m</t>
        </r>
      </text>
    </comment>
    <comment ref="U5" authorId="1" shapeId="0" xr:uid="{7B037600-4135-4F16-9B5D-BCBF2C24A595}">
      <text>
        <r>
          <rPr>
            <b/>
            <sz val="8"/>
            <color indexed="81"/>
            <rFont val="Tahoma"/>
            <family val="2"/>
          </rPr>
          <t>Marc Nicholls:</t>
        </r>
        <r>
          <rPr>
            <sz val="8"/>
            <color indexed="81"/>
            <rFont val="Tahoma"/>
            <family val="2"/>
          </rPr>
          <t xml:space="preserve">
ANZ $50m, Syndicate $225m</t>
        </r>
      </text>
    </comment>
    <comment ref="A6" authorId="2" shapeId="0" xr:uid="{50DB3186-9912-4E3C-9301-7CA111A04E68}">
      <text>
        <r>
          <rPr>
            <sz val="9"/>
            <color indexed="81"/>
            <rFont val="Tahoma"/>
            <family val="2"/>
          </rPr>
          <t>Note, in run off</t>
        </r>
      </text>
    </comment>
    <comment ref="V6" authorId="1" shapeId="0" xr:uid="{4862D1EA-EF6D-4395-A63C-F0827E420162}">
      <text>
        <r>
          <rPr>
            <b/>
            <sz val="8"/>
            <color indexed="81"/>
            <rFont val="Tahoma"/>
            <family val="2"/>
          </rPr>
          <t>Marc Nicholls:</t>
        </r>
        <r>
          <rPr>
            <sz val="8"/>
            <color indexed="81"/>
            <rFont val="Tahoma"/>
            <family val="2"/>
          </rPr>
          <t xml:space="preserve">
upto 30 June 18 - assumes 1.04NZD:1AUD</t>
        </r>
      </text>
    </comment>
    <comment ref="AJ6" authorId="2" shapeId="0" xr:uid="{34F52070-CB2E-4EFC-8C34-194CC60207DD}">
      <text>
        <r>
          <rPr>
            <b/>
            <sz val="9"/>
            <color indexed="81"/>
            <rFont val="Tahoma"/>
            <family val="2"/>
          </rPr>
          <t>Facility is in run off</t>
        </r>
      </text>
    </comment>
    <comment ref="U8" authorId="2" shapeId="0" xr:uid="{D37671C4-5DA2-48F8-A5F7-26B504CAB000}">
      <text>
        <r>
          <rPr>
            <b/>
            <sz val="8"/>
            <color indexed="81"/>
            <rFont val="Tahoma"/>
            <family val="2"/>
          </rPr>
          <t>SMBC participation of EUR100m</t>
        </r>
      </text>
    </comment>
    <comment ref="U9" authorId="2" shapeId="0" xr:uid="{02C39D6C-D90C-4C56-B079-AD40D4A3D13A}">
      <text>
        <r>
          <rPr>
            <sz val="9"/>
            <color indexed="81"/>
            <rFont val="Tahoma"/>
            <family val="2"/>
          </rPr>
          <t xml:space="preserve">Supporting SG's USD150 participation in a USD750m facility
</t>
        </r>
      </text>
    </comment>
    <comment ref="U10" authorId="2" shapeId="0" xr:uid="{2B98A309-169F-4372-90A5-27029E53501A}">
      <text>
        <r>
          <rPr>
            <b/>
            <sz val="9"/>
            <color indexed="81"/>
            <rFont val="Tahoma"/>
            <family val="2"/>
          </rPr>
          <t>supports DB INR6b participation</t>
        </r>
      </text>
    </comment>
    <comment ref="U11" authorId="1" shapeId="0" xr:uid="{3E24BF07-F447-4CA7-9B77-D06676C17412}">
      <text>
        <r>
          <rPr>
            <b/>
            <sz val="9"/>
            <color indexed="81"/>
            <rFont val="Tahoma"/>
            <family val="2"/>
          </rPr>
          <t>Marc Nicholls:</t>
        </r>
        <r>
          <rPr>
            <sz val="9"/>
            <color indexed="81"/>
            <rFont val="Tahoma"/>
            <family val="2"/>
          </rPr>
          <t xml:space="preserve">
supports ING in its EUR175m participation in Eur625m faciilty</t>
        </r>
      </text>
    </comment>
    <comment ref="U12" authorId="2" shapeId="0" xr:uid="{10142B56-5BE4-4A4D-B927-45E4A7FBEDD9}">
      <text>
        <r>
          <rPr>
            <sz val="8"/>
            <color indexed="81"/>
            <rFont val="Tahoma"/>
            <family val="2"/>
          </rPr>
          <t>US1.024b, StanChart US131.75m</t>
        </r>
      </text>
    </comment>
    <comment ref="U13" authorId="2" shapeId="0" xr:uid="{5803AEF7-66EA-40FD-A760-CE09E9DEA6DB}">
      <text>
        <r>
          <rPr>
            <sz val="8"/>
            <color indexed="81"/>
            <rFont val="Tahoma"/>
            <family val="2"/>
          </rPr>
          <t>US1.36b, SMBC US$180m</t>
        </r>
      </text>
    </comment>
    <comment ref="U14" authorId="2" shapeId="0" xr:uid="{98D72310-AEAA-48F3-BD22-D9D0A55C64B9}">
      <text>
        <r>
          <rPr>
            <sz val="8"/>
            <color indexed="81"/>
            <rFont val="Tahoma"/>
            <family val="2"/>
          </rPr>
          <t>US2b, ANZ London US$111.1m</t>
        </r>
      </text>
    </comment>
    <comment ref="U16" authorId="2" shapeId="0" xr:uid="{A7416D55-5ADC-444B-9AED-9D27EBB8596B}">
      <text>
        <r>
          <rPr>
            <b/>
            <sz val="9"/>
            <color indexed="81"/>
            <rFont val="Tahoma"/>
            <family val="2"/>
          </rPr>
          <t>USD263m of USD5.5 facilityheld by CA</t>
        </r>
      </text>
    </comment>
    <comment ref="U17" authorId="2" shapeId="0" xr:uid="{55580CB4-5A91-45C4-845E-2F52D1623BC2}">
      <text>
        <r>
          <rPr>
            <b/>
            <sz val="9"/>
            <color indexed="81"/>
            <rFont val="Tahoma"/>
            <family val="2"/>
          </rPr>
          <t>CEIP supporting DBs A$40m exposure in the B1 senior tranche of a A$850m, 6-year non-amortising Senior Syndicated Loan Facility (the Facility).</t>
        </r>
      </text>
    </comment>
    <comment ref="U18" authorId="3" shapeId="0" xr:uid="{13BBE2E1-D435-4CC2-B93C-8F122E31A3CD}">
      <text>
        <r>
          <rPr>
            <sz val="9"/>
            <color indexed="81"/>
            <rFont val="Tahoma"/>
            <family val="2"/>
          </rPr>
          <t>CEIP support to SG (Paris Branch)  in its US$120m participation in a US$790m committed senior secured syndicated pooled commercial aircraft term loan financing facility</t>
        </r>
      </text>
    </comment>
    <comment ref="U19" authorId="3" shapeId="0" xr:uid="{4A763AFB-D2D1-4EBF-88A8-F43AA29711C7}">
      <text>
        <r>
          <rPr>
            <sz val="9"/>
            <color indexed="81"/>
            <rFont val="Tahoma"/>
            <family val="2"/>
          </rPr>
          <t>EUR15m CEIP to support ING Belgium in a EUR50m bilateral committed term loan facility to Retail Estates NV.</t>
        </r>
      </text>
    </comment>
    <comment ref="U20" authorId="3" shapeId="0" xr:uid="{2A6ABA74-6160-436D-AD06-DA8A4F702643}">
      <text>
        <r>
          <rPr>
            <sz val="9"/>
            <color indexed="81"/>
            <rFont val="Tahoma"/>
            <family val="2"/>
          </rPr>
          <t>A proportional 7.5m CEIP to support DB in an up to US$265m and 30m 5-year senior secured amortising term loan to Trans Media.</t>
        </r>
      </text>
    </comment>
    <comment ref="U21" authorId="3" shapeId="0" xr:uid="{18681B4F-76EC-4067-8E78-9EFA90B5FAB0}">
      <text>
        <r>
          <rPr>
            <sz val="9"/>
            <color indexed="81"/>
            <rFont val="Tahoma"/>
            <family val="2"/>
          </rPr>
          <t>A$20m proportional collateral shortfall CEIP for a term of 4 years to support its participation in a A$270m Syndicated Senior Secured Facility (the Facility) to Bis Finance Pty Ltd. DB will participate with A$30m in the Term Loan Facility and A$20m in the Capex Facility.</t>
        </r>
      </text>
    </comment>
    <comment ref="U24" authorId="3" shapeId="0" xr:uid="{E31877E5-DAA0-421A-9444-5F1A451A7702}">
      <text>
        <r>
          <rPr>
            <sz val="9"/>
            <color indexed="81"/>
            <rFont val="Tahoma"/>
            <family val="2"/>
          </rPr>
          <t xml:space="preserve">CEIP support to Greenstars BNPP in its US$75m participation in a US$1160m committed senior secured syndicated term loan financing </t>
        </r>
      </text>
    </comment>
    <comment ref="U29" authorId="2" shapeId="0" xr:uid="{E2250CA5-2A1F-4FFB-8B29-55E0CABFE92A}">
      <text>
        <r>
          <rPr>
            <sz val="8"/>
            <color indexed="81"/>
            <rFont val="Tahoma"/>
            <family val="2"/>
          </rPr>
          <t>US$500m, Socgen US$75m</t>
        </r>
      </text>
    </comment>
    <comment ref="U31" authorId="2" shapeId="0" xr:uid="{CEB4D178-A218-42FB-9062-0E1BF483EE6D}">
      <text>
        <r>
          <rPr>
            <sz val="8"/>
            <color indexed="81"/>
            <rFont val="Tahoma"/>
            <family val="2"/>
          </rPr>
          <t>US$1b, ANZ London US$107m</t>
        </r>
      </text>
    </comment>
    <comment ref="U32" authorId="2" shapeId="0" xr:uid="{1BEB3A43-E55F-4703-B7AE-2371D482B8BB}">
      <text>
        <r>
          <rPr>
            <sz val="8"/>
            <color indexed="81"/>
            <rFont val="Tahoma"/>
            <family val="2"/>
          </rPr>
          <t>US$1b, ANZ London US$107m</t>
        </r>
      </text>
    </comment>
    <comment ref="U35" authorId="2" shapeId="0" xr:uid="{DFCE8D61-DF64-46BE-B529-B8B31BAE2352}">
      <text>
        <r>
          <rPr>
            <sz val="8"/>
            <color indexed="81"/>
            <rFont val="Tahoma"/>
            <family val="2"/>
          </rPr>
          <t>US290m, SMBC US$50m</t>
        </r>
      </text>
    </comment>
    <comment ref="U36" authorId="2" shapeId="0" xr:uid="{8F7874CA-10E0-4570-A656-301DB16691F0}">
      <text>
        <r>
          <rPr>
            <b/>
            <sz val="9"/>
            <color indexed="81"/>
            <rFont val="Tahoma"/>
            <family val="2"/>
          </rPr>
          <t>ING participation of EUR150m of EUR650m facility</t>
        </r>
      </text>
    </comment>
    <comment ref="U38" authorId="2" shapeId="0" xr:uid="{A16BC0F3-230F-4825-80C3-4177B23D26AE}">
      <text>
        <r>
          <rPr>
            <b/>
            <sz val="9"/>
            <color indexed="81"/>
            <rFont val="Tahoma"/>
            <family val="2"/>
          </rPr>
          <t>DB participation of $65m in $180m senior secured loan only, $10m revolver and $10m capex facility</t>
        </r>
      </text>
    </comment>
    <comment ref="U39" authorId="1" shapeId="0" xr:uid="{ED180598-73B9-454D-9D13-94155E41D1B3}">
      <text>
        <r>
          <rPr>
            <b/>
            <sz val="9"/>
            <color indexed="81"/>
            <rFont val="Tahoma"/>
            <family val="2"/>
          </rPr>
          <t>Marc Nicholls:</t>
        </r>
        <r>
          <rPr>
            <sz val="9"/>
            <color indexed="81"/>
            <rFont val="Tahoma"/>
            <family val="2"/>
          </rPr>
          <t xml:space="preserve">
ING $137m of $137m</t>
        </r>
      </text>
    </comment>
    <comment ref="U40" authorId="1" shapeId="0" xr:uid="{CEF70A2B-992D-4536-9082-65DF44E58357}">
      <text>
        <r>
          <rPr>
            <b/>
            <sz val="9"/>
            <color indexed="81"/>
            <rFont val="Tahoma"/>
            <family val="2"/>
          </rPr>
          <t>Marc Nicholls:</t>
        </r>
        <r>
          <rPr>
            <sz val="9"/>
            <color indexed="81"/>
            <rFont val="Tahoma"/>
            <family val="2"/>
          </rPr>
          <t xml:space="preserve">
BNPP $30 of $80m</t>
        </r>
      </text>
    </comment>
    <comment ref="U42" authorId="4" shapeId="0" xr:uid="{FEBF78D8-31DB-4D87-84E8-9A67F1B49F66}">
      <text>
        <r>
          <rPr>
            <b/>
            <sz val="9"/>
            <color indexed="81"/>
            <rFont val="Tahoma"/>
            <family val="2"/>
          </rPr>
          <t>Jemma Sargeant:</t>
        </r>
        <r>
          <rPr>
            <sz val="9"/>
            <color indexed="81"/>
            <rFont val="Tahoma"/>
            <family val="2"/>
          </rPr>
          <t xml:space="preserve">
ANZ US$92mil in US$1.5bil</t>
        </r>
      </text>
    </comment>
    <comment ref="U43" authorId="4" shapeId="0" xr:uid="{D2C4CC1B-D5D0-466D-B0DC-D035522F51DC}">
      <text>
        <r>
          <rPr>
            <b/>
            <sz val="9"/>
            <color indexed="81"/>
            <rFont val="Tahoma"/>
            <family val="2"/>
          </rPr>
          <t>Jemma Sargeant:</t>
        </r>
        <r>
          <rPr>
            <sz val="9"/>
            <color indexed="81"/>
            <rFont val="Tahoma"/>
            <family val="2"/>
          </rPr>
          <t xml:space="preserve">
ANZ US$96.8mil in US$193.6mil</t>
        </r>
      </text>
    </comment>
    <comment ref="A44" authorId="2" shapeId="0" xr:uid="{1EC24A82-4604-4951-A115-CAC5A2E0D0FD}">
      <text>
        <r>
          <rPr>
            <b/>
            <sz val="9"/>
            <color indexed="81"/>
            <rFont val="Tahoma"/>
            <family val="2"/>
          </rPr>
          <t>Barings (Head Office)</t>
        </r>
      </text>
    </comment>
    <comment ref="U44" authorId="4" shapeId="0" xr:uid="{5A808978-860B-4500-8B78-24E14E7B905B}">
      <text>
        <r>
          <rPr>
            <b/>
            <sz val="9"/>
            <color indexed="81"/>
            <rFont val="Tahoma"/>
            <family val="2"/>
          </rPr>
          <t>Jemma Sargeant:</t>
        </r>
        <r>
          <rPr>
            <sz val="9"/>
            <color indexed="81"/>
            <rFont val="Tahoma"/>
            <family val="2"/>
          </rPr>
          <t xml:space="preserve">
ING EUR 16.055mil</t>
        </r>
      </text>
    </comment>
    <comment ref="U45" authorId="4" shapeId="0" xr:uid="{575E6D83-D2F6-4F50-815F-60B0C89DDB07}">
      <text>
        <r>
          <rPr>
            <b/>
            <sz val="9"/>
            <color indexed="81"/>
            <rFont val="Tahoma"/>
            <family val="2"/>
          </rPr>
          <t>Jemma Sargeant:</t>
        </r>
        <r>
          <rPr>
            <sz val="9"/>
            <color indexed="81"/>
            <rFont val="Tahoma"/>
            <family val="2"/>
          </rPr>
          <t xml:space="preserve">
US$105m in US$1.3b facility</t>
        </r>
      </text>
    </comment>
    <comment ref="U46" authorId="2" shapeId="0" xr:uid="{0F0CDCA6-DA6A-4BC4-83A9-9D71A99942E5}">
      <text>
        <r>
          <rPr>
            <b/>
            <sz val="9"/>
            <color indexed="81"/>
            <rFont val="Tahoma"/>
            <family val="2"/>
          </rPr>
          <t xml:space="preserve">Total Loan $560m, Bank Limit $40m, Policy Limit (BNPP) $10m, RI Policy Limit $5m
</t>
        </r>
      </text>
    </comment>
    <comment ref="U47" authorId="4" shapeId="0" xr:uid="{5AA2F036-49BA-44F8-A475-9969F1723EF2}">
      <text>
        <r>
          <rPr>
            <b/>
            <sz val="9"/>
            <color indexed="81"/>
            <rFont val="Tahoma"/>
            <family val="2"/>
          </rPr>
          <t>Jemma Sargeant:</t>
        </r>
        <r>
          <rPr>
            <sz val="9"/>
            <color indexed="81"/>
            <rFont val="Tahoma"/>
            <family val="2"/>
          </rPr>
          <t xml:space="preserve">
US$75m in US$200m</t>
        </r>
      </text>
    </comment>
    <comment ref="U48" authorId="4" shapeId="0" xr:uid="{3F462F43-E2E4-42C8-8A01-D2BDF7DC0F79}">
      <text>
        <r>
          <rPr>
            <b/>
            <sz val="9"/>
            <color indexed="81"/>
            <rFont val="Tahoma"/>
            <family val="2"/>
          </rPr>
          <t>Jemma Sargeant:</t>
        </r>
        <r>
          <rPr>
            <sz val="9"/>
            <color indexed="81"/>
            <rFont val="Tahoma"/>
            <family val="2"/>
          </rPr>
          <t xml:space="preserve">
US$36m facility
</t>
        </r>
      </text>
    </comment>
    <comment ref="U49" authorId="4" shapeId="0" xr:uid="{1E9065C5-D6AB-41AB-8FEB-9F378C6908D6}">
      <text>
        <r>
          <rPr>
            <b/>
            <sz val="9"/>
            <color indexed="81"/>
            <rFont val="Tahoma"/>
            <family val="2"/>
          </rPr>
          <t>Jemma Sargeant:</t>
        </r>
        <r>
          <rPr>
            <sz val="9"/>
            <color indexed="81"/>
            <rFont val="Tahoma"/>
            <family val="2"/>
          </rPr>
          <t xml:space="preserve">
US$150m in US$300m facility</t>
        </r>
      </text>
    </comment>
    <comment ref="U50" authorId="4" shapeId="0" xr:uid="{3DDBBA6B-BB7F-4433-8800-5E8671E8372A}">
      <text>
        <r>
          <rPr>
            <b/>
            <sz val="9"/>
            <color indexed="81"/>
            <rFont val="Tahoma"/>
            <family val="2"/>
          </rPr>
          <t xml:space="preserve">Jemma Sargeant
EUR70M in EUR1.4b
</t>
        </r>
        <r>
          <rPr>
            <sz val="9"/>
            <color indexed="81"/>
            <rFont val="Tahoma"/>
            <family val="2"/>
          </rPr>
          <t xml:space="preserve">
</t>
        </r>
      </text>
    </comment>
    <comment ref="U51" authorId="4" shapeId="0" xr:uid="{101BEE1C-83DD-4E70-A4A7-D6AE523F9F7E}">
      <text>
        <r>
          <rPr>
            <b/>
            <sz val="9"/>
            <color indexed="81"/>
            <rFont val="Tahoma"/>
            <family val="2"/>
          </rPr>
          <t>Jemma Sargeant:</t>
        </r>
        <r>
          <rPr>
            <sz val="9"/>
            <color indexed="81"/>
            <rFont val="Tahoma"/>
            <family val="2"/>
          </rPr>
          <t xml:space="preserve">
US$20m in US$115m Facility
</t>
        </r>
      </text>
    </comment>
    <comment ref="U52" authorId="4" shapeId="0" xr:uid="{387350D6-C6BF-4FDA-9399-971520C85639}">
      <text>
        <r>
          <rPr>
            <b/>
            <sz val="9"/>
            <color indexed="81"/>
            <rFont val="Tahoma"/>
            <family val="2"/>
          </rPr>
          <t xml:space="preserve">Loan = us$350
Bank = us$100
</t>
        </r>
        <r>
          <rPr>
            <sz val="9"/>
            <color indexed="81"/>
            <rFont val="Tahoma"/>
            <family val="2"/>
          </rPr>
          <t xml:space="preserve">
</t>
        </r>
      </text>
    </comment>
    <comment ref="U53" authorId="4" shapeId="0" xr:uid="{6C768B84-A6B4-413D-82F1-35E1B47C4D0C}">
      <text>
        <r>
          <rPr>
            <b/>
            <sz val="9"/>
            <color indexed="81"/>
            <rFont val="Tahoma"/>
            <family val="2"/>
          </rPr>
          <t xml:space="preserve">Jemma Sargeant
SGD100M in SGD427m
</t>
        </r>
        <r>
          <rPr>
            <sz val="9"/>
            <color indexed="81"/>
            <rFont val="Tahoma"/>
            <family val="2"/>
          </rPr>
          <t xml:space="preserve">
</t>
        </r>
      </text>
    </comment>
    <comment ref="U54" authorId="5" shapeId="0" xr:uid="{39D3BD4C-D1F8-48C9-90B7-395F0A6C9D8C}">
      <text>
        <r>
          <rPr>
            <b/>
            <sz val="9"/>
            <color indexed="81"/>
            <rFont val="Tahoma"/>
            <family val="2"/>
          </rPr>
          <t>Samuel Atkinson:</t>
        </r>
        <r>
          <rPr>
            <sz val="9"/>
            <color indexed="81"/>
            <rFont val="Tahoma"/>
            <family val="2"/>
          </rPr>
          <t xml:space="preserve">
Bank limit: AUD 75m 
Facility limit: AUD 750m</t>
        </r>
      </text>
    </comment>
    <comment ref="U55" authorId="4" shapeId="0" xr:uid="{7509AD46-DD44-4363-9918-B82E50D95DB4}">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56" authorId="5" shapeId="0" xr:uid="{120DC9CD-4D64-4830-8736-2DCD723B886E}">
      <text>
        <r>
          <rPr>
            <b/>
            <sz val="9"/>
            <color indexed="81"/>
            <rFont val="Tahoma"/>
            <family val="2"/>
          </rPr>
          <t>Samuel Atkinson:
Facility Limit: EUR 97.2m
Bank Limit: 48.6
Policy Limit: 15</t>
        </r>
      </text>
    </comment>
    <comment ref="U57" authorId="5" shapeId="0" xr:uid="{A546D049-3165-4627-8B6F-35F13EC99741}">
      <text>
        <r>
          <rPr>
            <b/>
            <sz val="9"/>
            <color indexed="81"/>
            <rFont val="Tahoma"/>
            <family val="2"/>
          </rPr>
          <t xml:space="preserve">Samuel Atkinson:
Loan Limit: EUR 90.25m
Bank Limit: EUR 90.25m
</t>
        </r>
      </text>
    </comment>
    <comment ref="AA57" authorId="5" shapeId="0" xr:uid="{DE25888C-AED7-4415-940B-DB7B4BA0EFED}">
      <text>
        <r>
          <rPr>
            <b/>
            <sz val="9"/>
            <color indexed="81"/>
            <rFont val="Tahoma"/>
            <family val="2"/>
          </rPr>
          <t>Samuel Atkinson:</t>
        </r>
        <r>
          <rPr>
            <sz val="9"/>
            <color indexed="81"/>
            <rFont val="Tahoma"/>
            <family val="2"/>
          </rPr>
          <t xml:space="preserve">
Two 1 year extension options approved
</t>
        </r>
      </text>
    </comment>
    <comment ref="U58" authorId="5" shapeId="0" xr:uid="{EF012B56-EF41-457E-B26A-12379C57A5D1}">
      <text>
        <r>
          <rPr>
            <b/>
            <sz val="9"/>
            <color indexed="81"/>
            <rFont val="Tahoma"/>
            <family val="2"/>
          </rPr>
          <t>Samuel Atkinson:</t>
        </r>
        <r>
          <rPr>
            <sz val="9"/>
            <color indexed="81"/>
            <rFont val="Tahoma"/>
            <family val="2"/>
          </rPr>
          <t xml:space="preserve">
Facility Limit: US$3b</t>
        </r>
      </text>
    </comment>
    <comment ref="U59" authorId="5" shapeId="0" xr:uid="{9A8F9825-E69B-49F1-84FA-C387433E6546}">
      <text>
        <r>
          <rPr>
            <b/>
            <sz val="9"/>
            <color indexed="81"/>
            <rFont val="Tahoma"/>
            <family val="2"/>
          </rPr>
          <t>Samuel Atkinson:</t>
        </r>
        <r>
          <rPr>
            <sz val="9"/>
            <color indexed="81"/>
            <rFont val="Tahoma"/>
            <family val="2"/>
          </rPr>
          <t xml:space="preserve">
1.75b US term loan
175b US ANZ commitment
</t>
        </r>
      </text>
    </comment>
    <comment ref="U60" authorId="5" shapeId="0" xr:uid="{58B34194-AE55-4C5A-A47B-2EF03FC7A78E}">
      <text>
        <r>
          <rPr>
            <b/>
            <sz val="9"/>
            <color indexed="81"/>
            <rFont val="Tahoma"/>
            <family val="2"/>
          </rPr>
          <t>Samuel Atkinson:</t>
        </r>
        <r>
          <rPr>
            <sz val="9"/>
            <color indexed="81"/>
            <rFont val="Tahoma"/>
            <family val="2"/>
          </rPr>
          <t xml:space="preserve">
Bank: EUR 120m
Loan: EUR 500m</t>
        </r>
      </text>
    </comment>
    <comment ref="N61" authorId="5" shapeId="0" xr:uid="{7AE600AA-4537-45EF-8CC6-6FF36E8210D4}">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61" authorId="5" shapeId="0" xr:uid="{E8E85DD9-C111-49AB-966F-4DB2570CE341}">
      <text>
        <r>
          <rPr>
            <b/>
            <sz val="9"/>
            <color indexed="81"/>
            <rFont val="Tahoma"/>
            <family val="2"/>
          </rPr>
          <t>Samuel Atkinson:</t>
        </r>
        <r>
          <rPr>
            <sz val="9"/>
            <color indexed="81"/>
            <rFont val="Tahoma"/>
            <family val="2"/>
          </rPr>
          <t xml:space="preserve">
30m Bank Limit
265m Facility Limit</t>
        </r>
      </text>
    </comment>
    <comment ref="U62" authorId="5" shapeId="0" xr:uid="{8EBCD396-A234-493E-BE36-5FE1B10C14A7}">
      <text>
        <r>
          <rPr>
            <b/>
            <sz val="9"/>
            <color indexed="81"/>
            <rFont val="Tahoma"/>
            <family val="2"/>
          </rPr>
          <t>Samuel Atkinson:</t>
        </r>
        <r>
          <rPr>
            <sz val="9"/>
            <color indexed="81"/>
            <rFont val="Tahoma"/>
            <family val="2"/>
          </rPr>
          <t xml:space="preserve">
Bank Limit = 114.4m 
Loan Limit = 1.5b</t>
        </r>
      </text>
    </comment>
    <comment ref="U63" authorId="5" shapeId="0" xr:uid="{CBB86FEB-7F1B-49EE-A7DF-F8A3EC7B4B96}">
      <text>
        <r>
          <rPr>
            <b/>
            <sz val="9"/>
            <color indexed="81"/>
            <rFont val="Tahoma"/>
            <family val="2"/>
          </rPr>
          <t>Samuel Atkinson:
RI: 15m
Bank: 50m
Loan: 545m</t>
        </r>
      </text>
    </comment>
    <comment ref="U64" authorId="6" shapeId="0" xr:uid="{D14ADB1A-C082-49C2-8DFA-FE516273E3EC}">
      <text>
        <r>
          <rPr>
            <b/>
            <sz val="9"/>
            <color indexed="81"/>
            <rFont val="Tahoma"/>
            <family val="2"/>
          </rPr>
          <t>Ann Prosser:</t>
        </r>
        <r>
          <rPr>
            <sz val="9"/>
            <color indexed="81"/>
            <rFont val="Tahoma"/>
            <family val="2"/>
          </rPr>
          <t xml:space="preserve">
Loan Limit: A$1b
Bank Limit: A$50m 
Policy Limit: A$10m
</t>
        </r>
      </text>
    </comment>
    <comment ref="U65" authorId="5" shapeId="0" xr:uid="{4176DD60-3591-40CC-A28D-F7F8D58C0550}">
      <text>
        <r>
          <rPr>
            <b/>
            <sz val="9"/>
            <color indexed="81"/>
            <rFont val="Tahoma"/>
            <family val="2"/>
          </rPr>
          <t>Samuel Atkinson:</t>
        </r>
        <r>
          <rPr>
            <sz val="9"/>
            <color indexed="81"/>
            <rFont val="Tahoma"/>
            <family val="2"/>
          </rPr>
          <t xml:space="preserve">
Policy US$20m
Bank limit: US$50m
Loan Limit: US$100m</t>
        </r>
      </text>
    </comment>
    <comment ref="U66" authorId="5" shapeId="0" xr:uid="{25CE3894-7239-4EB2-9B74-CAB2C5D98295}">
      <text>
        <r>
          <rPr>
            <b/>
            <sz val="9"/>
            <color indexed="81"/>
            <rFont val="Tahoma"/>
            <family val="2"/>
          </rPr>
          <t>Samuel Atkinson
RI Policy: US$3.125
Policy: US$6.25
Bank: US$12.5
Loan: US$36.5m</t>
        </r>
      </text>
    </comment>
    <comment ref="U68" authorId="6" shapeId="0" xr:uid="{D20442AA-F00C-4FC9-BA78-A0226D27DF8F}">
      <text>
        <r>
          <rPr>
            <b/>
            <sz val="9"/>
            <color indexed="81"/>
            <rFont val="Tahoma"/>
            <family val="2"/>
          </rPr>
          <t>Ann Prosser:</t>
        </r>
        <r>
          <rPr>
            <sz val="9"/>
            <color indexed="81"/>
            <rFont val="Tahoma"/>
            <family val="2"/>
          </rPr>
          <t xml:space="preserve">
Policy limit: USD $15m, Bank Limit: usd $ 30m</t>
        </r>
      </text>
    </comment>
    <comment ref="U69" authorId="5" shapeId="0" xr:uid="{3C230F40-7D05-458F-B47D-4CC6A40DF50C}">
      <text>
        <r>
          <rPr>
            <b/>
            <sz val="9"/>
            <color indexed="81"/>
            <rFont val="Tahoma"/>
            <family val="2"/>
          </rPr>
          <t>Samuel Atkinson:</t>
        </r>
        <r>
          <rPr>
            <sz val="9"/>
            <color indexed="81"/>
            <rFont val="Tahoma"/>
            <family val="2"/>
          </rPr>
          <t xml:space="preserve">
Bank Limit = approx US$26.67m
Loan Limit = Approx US$300m</t>
        </r>
      </text>
    </comment>
    <comment ref="U70" authorId="5" shapeId="0" xr:uid="{4D8AEE7D-8F12-4BD9-8EE2-86A9DF6FD824}">
      <text>
        <r>
          <rPr>
            <b/>
            <sz val="9"/>
            <color indexed="81"/>
            <rFont val="Tahoma"/>
            <family val="2"/>
          </rPr>
          <t>Samuel Atkinson:</t>
        </r>
        <r>
          <rPr>
            <sz val="9"/>
            <color indexed="81"/>
            <rFont val="Tahoma"/>
            <family val="2"/>
          </rPr>
          <t xml:space="preserve">
 Bank Limit: US$105m Loan Limit: US$210 m </t>
        </r>
      </text>
    </comment>
    <comment ref="U71" authorId="5" shapeId="0" xr:uid="{F5209271-9993-41D6-BA8B-572FC3FD1348}">
      <text>
        <r>
          <rPr>
            <b/>
            <sz val="9"/>
            <color indexed="81"/>
            <rFont val="Tahoma"/>
            <family val="2"/>
          </rPr>
          <t>Samuel Atkinson:</t>
        </r>
        <r>
          <rPr>
            <sz val="9"/>
            <color indexed="81"/>
            <rFont val="Tahoma"/>
            <family val="2"/>
          </rPr>
          <t xml:space="preserve">
Bank Limit: US$42.033m
Loan  Limit: US$126.1m</t>
        </r>
      </text>
    </comment>
    <comment ref="U72" authorId="5" shapeId="0" xr:uid="{A9594B84-08F9-420D-BD13-84FAE2C0F070}">
      <text>
        <r>
          <rPr>
            <b/>
            <sz val="9"/>
            <color indexed="81"/>
            <rFont val="Tahoma"/>
            <family val="2"/>
          </rPr>
          <t>Samuel Atkinson:</t>
        </r>
        <r>
          <rPr>
            <sz val="9"/>
            <color indexed="81"/>
            <rFont val="Tahoma"/>
            <family val="2"/>
          </rPr>
          <t xml:space="preserve">
Bank Limit: US$10
Loan Limit: US$730m 
</t>
        </r>
      </text>
    </comment>
    <comment ref="U73" authorId="6" shapeId="0" xr:uid="{DA9FF8FD-13E3-4483-8B6B-94EE098AADE5}">
      <text>
        <r>
          <rPr>
            <b/>
            <sz val="9"/>
            <color indexed="81"/>
            <rFont val="Tahoma"/>
            <family val="2"/>
          </rPr>
          <t>Ann Prosser:</t>
        </r>
        <r>
          <rPr>
            <sz val="9"/>
            <color indexed="81"/>
            <rFont val="Tahoma"/>
            <family val="2"/>
          </rPr>
          <t xml:space="preserve">
Loan Limit: GBP 700m
Bank Limit: GBP 80m 
Policy Limit: GBP 10m</t>
        </r>
      </text>
    </comment>
    <comment ref="U74" authorId="6" shapeId="0" xr:uid="{6EC345E0-1829-49A2-B207-D903432D4C6D}">
      <text>
        <r>
          <rPr>
            <b/>
            <sz val="9"/>
            <color indexed="81"/>
            <rFont val="Tahoma"/>
            <family val="2"/>
          </rPr>
          <t>Ann Prosser:</t>
        </r>
        <r>
          <rPr>
            <sz val="9"/>
            <color indexed="81"/>
            <rFont val="Tahoma"/>
            <family val="2"/>
          </rPr>
          <t xml:space="preserve">
Loan Limit: US$185m
Bank Limit: US$35m 
Policy Limit: US$7m
</t>
        </r>
      </text>
    </comment>
    <comment ref="U75" authorId="6" shapeId="0" xr:uid="{2CF7D642-30C8-45CB-815C-21358F14D636}">
      <text>
        <r>
          <rPr>
            <b/>
            <sz val="9"/>
            <color indexed="81"/>
            <rFont val="Tahoma"/>
            <family val="2"/>
          </rPr>
          <t>Ann Prosser:</t>
        </r>
        <r>
          <rPr>
            <sz val="9"/>
            <color indexed="81"/>
            <rFont val="Tahoma"/>
            <family val="2"/>
          </rPr>
          <t xml:space="preserve">
Loan Limit: US$64.1m
Bank Limit: US$53.4m 
Policy Limit: US$20m
</t>
        </r>
      </text>
    </comment>
    <comment ref="U76" authorId="6" shapeId="0" xr:uid="{60F4CD71-016D-4073-97C9-92EB8B733A96}">
      <text>
        <r>
          <rPr>
            <b/>
            <sz val="9"/>
            <color indexed="81"/>
            <rFont val="Tahoma"/>
            <family val="2"/>
          </rPr>
          <t>Ann Prosser:</t>
        </r>
        <r>
          <rPr>
            <sz val="9"/>
            <color indexed="81"/>
            <rFont val="Tahoma"/>
            <family val="2"/>
          </rPr>
          <t xml:space="preserve">
Loan Limit: ~US$450m
Bank Limit: SGD 51.7m 
Policy Limit: SGD 14.1m
</t>
        </r>
      </text>
    </comment>
    <comment ref="U77" authorId="6" shapeId="0" xr:uid="{BDEF9011-0350-4167-BA51-21989DDC08A2}">
      <text>
        <r>
          <rPr>
            <b/>
            <sz val="9"/>
            <color indexed="81"/>
            <rFont val="Tahoma"/>
            <family val="2"/>
          </rPr>
          <t>Ann Prosser:</t>
        </r>
        <r>
          <rPr>
            <sz val="9"/>
            <color indexed="81"/>
            <rFont val="Tahoma"/>
            <family val="2"/>
          </rPr>
          <t xml:space="preserve">
Loan Limit A$1.6b
Bank Limit  A$60m
Policy Limit A$30m</t>
        </r>
      </text>
    </comment>
    <comment ref="U78" authorId="6" shapeId="0" xr:uid="{9380495A-12B0-44D6-A5A1-6328DB64A2CE}">
      <text>
        <r>
          <rPr>
            <b/>
            <sz val="9"/>
            <color indexed="81"/>
            <rFont val="Tahoma"/>
            <family val="2"/>
          </rPr>
          <t>Ann Prosser:</t>
        </r>
        <r>
          <rPr>
            <sz val="9"/>
            <color indexed="81"/>
            <rFont val="Tahoma"/>
            <family val="2"/>
          </rPr>
          <t xml:space="preserve">
"Loan Limit: A$1.04bn
Bank Limit: A$50m 
Policy Limit: A$25m"
</t>
        </r>
      </text>
    </comment>
    <comment ref="U79" authorId="6" shapeId="0" xr:uid="{E4F366F2-0F2E-422F-98BC-F4D94B17B27B}">
      <text>
        <r>
          <rPr>
            <b/>
            <sz val="9"/>
            <color indexed="81"/>
            <rFont val="Tahoma"/>
            <family val="2"/>
          </rPr>
          <t>Ann Prosser:</t>
        </r>
        <r>
          <rPr>
            <sz val="9"/>
            <color indexed="81"/>
            <rFont val="Tahoma"/>
            <family val="2"/>
          </rPr>
          <t xml:space="preserve">
Loan Limit: GBP 4.5B
Bank Limit: GBP 132m 
Policy Limit: GBP 10m
</t>
        </r>
      </text>
    </comment>
    <comment ref="U80" authorId="6" shapeId="0" xr:uid="{1C34E5DA-8EFA-41E3-8028-5CCF53E5E8F4}">
      <text>
        <r>
          <rPr>
            <b/>
            <sz val="9"/>
            <color indexed="81"/>
            <rFont val="Tahoma"/>
            <family val="2"/>
          </rPr>
          <t>Ann Prosser:</t>
        </r>
        <r>
          <rPr>
            <sz val="9"/>
            <color indexed="81"/>
            <rFont val="Tahoma"/>
            <family val="2"/>
          </rPr>
          <t xml:space="preserve">
Loan Limit: US$3bn
Bank Limit: US$150m 
Policy Limit: US$7.5</t>
        </r>
      </text>
    </comment>
    <comment ref="U81" authorId="6" shapeId="0" xr:uid="{0FFAC491-DBFA-4A3C-B5AF-6AD35D66CC2F}">
      <text>
        <r>
          <rPr>
            <b/>
            <sz val="9"/>
            <color indexed="81"/>
            <rFont val="Tahoma"/>
            <family val="2"/>
          </rPr>
          <t>Ann Prosser:</t>
        </r>
        <r>
          <rPr>
            <sz val="9"/>
            <color indexed="81"/>
            <rFont val="Tahoma"/>
            <family val="2"/>
          </rPr>
          <t xml:space="preserve">
"Loan Limit: US$46.9m
Bank Limit: US$46.9m 
Policy Limit: US$20m"
</t>
        </r>
      </text>
    </comment>
    <comment ref="U82" authorId="6" shapeId="0" xr:uid="{485D9BAC-93B4-460A-9677-D5751B488296}">
      <text>
        <r>
          <rPr>
            <b/>
            <sz val="9"/>
            <color indexed="81"/>
            <rFont val="Tahoma"/>
            <family val="2"/>
          </rPr>
          <t>Ann Prosser:</t>
        </r>
        <r>
          <rPr>
            <sz val="9"/>
            <color indexed="81"/>
            <rFont val="Tahoma"/>
            <family val="2"/>
          </rPr>
          <t xml:space="preserve">
Loan Limit: €57m
Bank Limit: €53m
Policy Limit: €12.5m
</t>
        </r>
      </text>
    </comment>
    <comment ref="U83" authorId="6" shapeId="0" xr:uid="{0F0268D8-2CB5-477E-B44D-19B15087BDA2}">
      <text>
        <r>
          <rPr>
            <b/>
            <sz val="9"/>
            <color indexed="81"/>
            <rFont val="Tahoma"/>
            <family val="2"/>
          </rPr>
          <t>Ann Prosser:</t>
        </r>
        <r>
          <rPr>
            <sz val="9"/>
            <color indexed="81"/>
            <rFont val="Tahoma"/>
            <family val="2"/>
          </rPr>
          <t xml:space="preserve">
Loan Limit: EUR300m
Bank Limit: EUR65m 
Policy Limit: EUR20m
</t>
        </r>
      </text>
    </comment>
    <comment ref="U84" authorId="0" shapeId="0" xr:uid="{E09CA961-734E-4833-A844-4BE73434107D}">
      <text>
        <r>
          <rPr>
            <b/>
            <sz val="9"/>
            <color indexed="81"/>
            <rFont val="Tahoma"/>
            <family val="2"/>
          </rPr>
          <t>Lea Krstevska:</t>
        </r>
        <r>
          <rPr>
            <sz val="9"/>
            <color indexed="81"/>
            <rFont val="Tahoma"/>
            <family val="2"/>
          </rPr>
          <t xml:space="preserve">
Loan Limit: US$267m
Bank Limit: US$225m 
Policy Limit: US$20m</t>
        </r>
      </text>
    </comment>
    <comment ref="U85" authorId="0" shapeId="0" xr:uid="{997D7BE2-B75B-46E7-8150-364BC31FF9EB}">
      <text>
        <r>
          <rPr>
            <b/>
            <sz val="9"/>
            <color indexed="81"/>
            <rFont val="Tahoma"/>
            <family val="2"/>
          </rPr>
          <t>Lea Krstevska:</t>
        </r>
        <r>
          <rPr>
            <sz val="9"/>
            <color indexed="81"/>
            <rFont val="Tahoma"/>
            <family val="2"/>
          </rPr>
          <t xml:space="preserve">
Loan Limit: US$886m
Bank Limit: US$58m 
Policy Limit: US$10m</t>
        </r>
      </text>
    </comment>
    <comment ref="U86" authorId="6" shapeId="0" xr:uid="{9829D408-630B-4EEA-8E2D-14F1486AF1F0}">
      <text>
        <r>
          <rPr>
            <b/>
            <sz val="9"/>
            <color indexed="81"/>
            <rFont val="Tahoma"/>
            <family val="2"/>
          </rPr>
          <t>Ann Prosser:</t>
        </r>
        <r>
          <rPr>
            <sz val="9"/>
            <color indexed="81"/>
            <rFont val="Tahoma"/>
            <family val="2"/>
          </rPr>
          <t xml:space="preserve">
Loan Limit: A$5,250m
Bank Limit: A$488m 
Policy Limit: A$15m
</t>
        </r>
      </text>
    </comment>
    <comment ref="U87" authorId="0" shapeId="0" xr:uid="{A1772639-1B67-431F-B5B6-6E5A8732A523}">
      <text>
        <r>
          <rPr>
            <b/>
            <sz val="9"/>
            <color indexed="81"/>
            <rFont val="Tahoma"/>
            <family val="2"/>
          </rPr>
          <t>Lea Krstevska:</t>
        </r>
        <r>
          <rPr>
            <sz val="9"/>
            <color indexed="81"/>
            <rFont val="Tahoma"/>
            <family val="2"/>
          </rPr>
          <t xml:space="preserve">
Loan Limit: US$300m
Bank Limit: US$100m 
Policy Limit: US$10m</t>
        </r>
      </text>
    </comment>
    <comment ref="U88" authorId="0" shapeId="0" xr:uid="{7E86AE03-78DB-4EF8-91C5-9E32696BD676}">
      <text>
        <r>
          <rPr>
            <b/>
            <sz val="9"/>
            <color indexed="81"/>
            <rFont val="Tahoma"/>
            <family val="2"/>
          </rPr>
          <t>Lea Krstevska:</t>
        </r>
        <r>
          <rPr>
            <sz val="9"/>
            <color indexed="81"/>
            <rFont val="Tahoma"/>
            <family val="2"/>
          </rPr>
          <t xml:space="preserve">
Loan Limit: A$256.3m
Bank Limit: A$256.3m 
Policy Limit: A$25m</t>
        </r>
      </text>
    </comment>
    <comment ref="U89" authorId="5" shapeId="0" xr:uid="{B3F62239-2D33-4DC0-914E-0E64E29F4677}">
      <text>
        <r>
          <rPr>
            <b/>
            <sz val="9"/>
            <color indexed="81"/>
            <rFont val="Tahoma"/>
            <family val="2"/>
          </rPr>
          <t>Samuel Atkinson:</t>
        </r>
        <r>
          <rPr>
            <sz val="9"/>
            <color indexed="81"/>
            <rFont val="Tahoma"/>
            <family val="2"/>
          </rPr>
          <t xml:space="preserve">
USD 1.2-2.0 Facility Limit</t>
        </r>
      </text>
    </comment>
    <comment ref="U90" authorId="0" shapeId="0" xr:uid="{AED4B640-51F8-4812-BFE3-7E4F04142B41}">
      <text>
        <r>
          <rPr>
            <b/>
            <sz val="9"/>
            <color indexed="81"/>
            <rFont val="Tahoma"/>
            <family val="2"/>
          </rPr>
          <t>Lea Krstevska:</t>
        </r>
        <r>
          <rPr>
            <sz val="9"/>
            <color indexed="81"/>
            <rFont val="Tahoma"/>
            <family val="2"/>
          </rPr>
          <t xml:space="preserve">
Loan Limit: US$400m
Bank Limit: US$75m 
Policy Limit: US$20m</t>
        </r>
      </text>
    </comment>
    <comment ref="U91" authorId="0" shapeId="0" xr:uid="{F0A503E8-1028-4252-A575-7E2CDC83EDC9}">
      <text>
        <r>
          <rPr>
            <b/>
            <sz val="9"/>
            <color indexed="81"/>
            <rFont val="Tahoma"/>
            <family val="2"/>
          </rPr>
          <t>Lea Krstevska:</t>
        </r>
        <r>
          <rPr>
            <sz val="9"/>
            <color indexed="81"/>
            <rFont val="Tahoma"/>
            <family val="2"/>
          </rPr>
          <t xml:space="preserve">
Loan Limit: NOK 1.5b
Bank Limit: NOK 990m 
Policy Limit: NOK 158m</t>
        </r>
      </text>
    </comment>
    <comment ref="U92" authorId="6" shapeId="0" xr:uid="{4420DCBF-710A-479D-BC79-DED5FF8941A4}">
      <text>
        <r>
          <rPr>
            <b/>
            <sz val="9"/>
            <color indexed="81"/>
            <rFont val="Tahoma"/>
            <family val="2"/>
          </rPr>
          <t>Ann Prosser:</t>
        </r>
        <r>
          <rPr>
            <sz val="9"/>
            <color indexed="81"/>
            <rFont val="Tahoma"/>
            <family val="2"/>
          </rPr>
          <t xml:space="preserve">
Loan Limit: A$129.6m
Bank Limit: A$93m 
Policy Limit: A$25m
</t>
        </r>
      </text>
    </comment>
    <comment ref="U93" authorId="0" shapeId="0" xr:uid="{483D68C7-F61F-4B5F-B160-07972FE07CF1}">
      <text>
        <r>
          <rPr>
            <b/>
            <sz val="9"/>
            <color indexed="81"/>
            <rFont val="Tahoma"/>
            <family val="2"/>
          </rPr>
          <t>Lea Krstevska:</t>
        </r>
        <r>
          <rPr>
            <sz val="9"/>
            <color indexed="81"/>
            <rFont val="Tahoma"/>
            <family val="2"/>
          </rPr>
          <t xml:space="preserve">
Loan Limit: JPY 18.5b
Bank Limit: JPY 13.88b
Policy Limit: JPY 1.87b</t>
        </r>
      </text>
    </comment>
    <comment ref="U94" authorId="0" shapeId="0" xr:uid="{0C4B0AE3-8971-4FDE-AA13-E0C32003794B}">
      <text>
        <r>
          <rPr>
            <b/>
            <sz val="9"/>
            <color indexed="81"/>
            <rFont val="Tahoma"/>
            <family val="2"/>
          </rPr>
          <t>Lea Krstevska:</t>
        </r>
        <r>
          <rPr>
            <sz val="9"/>
            <color indexed="81"/>
            <rFont val="Tahoma"/>
            <family val="2"/>
          </rPr>
          <t xml:space="preserve">
Loan Limit: US$1.575b
Bank Limit: US$93.3m 
Policy Limit: US$10m</t>
        </r>
      </text>
    </comment>
    <comment ref="U95" authorId="0" shapeId="0" xr:uid="{51C50B1A-697C-499C-B32D-F4476A0329C6}">
      <text>
        <r>
          <rPr>
            <b/>
            <sz val="9"/>
            <color indexed="81"/>
            <rFont val="Tahoma"/>
            <family val="2"/>
          </rPr>
          <t>Lea Krstevska:</t>
        </r>
        <r>
          <rPr>
            <sz val="9"/>
            <color indexed="81"/>
            <rFont val="Tahoma"/>
            <family val="2"/>
          </rPr>
          <t xml:space="preserve">
Loan Limit: EUR 1.4b
Bank Limit: EUR 212m 
Policy Limit: EUR 15m</t>
        </r>
      </text>
    </comment>
    <comment ref="U96" authorId="0" shapeId="0" xr:uid="{F2FEFC29-382E-440D-B145-173DAD20CF07}">
      <text>
        <r>
          <rPr>
            <b/>
            <sz val="9"/>
            <color indexed="81"/>
            <rFont val="Tahoma"/>
            <family val="2"/>
          </rPr>
          <t>Lea Krstevska:</t>
        </r>
        <r>
          <rPr>
            <sz val="9"/>
            <color indexed="81"/>
            <rFont val="Tahoma"/>
            <family val="2"/>
          </rPr>
          <t xml:space="preserve">
Loan Limit: US$75m
Bank Limit: US$75m 
Policy Limit: US$20m</t>
        </r>
      </text>
    </comment>
    <comment ref="U97" authorId="0" shapeId="0" xr:uid="{D62C4039-D80F-4045-9187-40D80AE95272}">
      <text>
        <r>
          <rPr>
            <b/>
            <sz val="9"/>
            <color indexed="81"/>
            <rFont val="Tahoma"/>
            <family val="2"/>
          </rPr>
          <t>Lea Krstevska:</t>
        </r>
        <r>
          <rPr>
            <sz val="9"/>
            <color indexed="81"/>
            <rFont val="Tahoma"/>
            <family val="2"/>
          </rPr>
          <t xml:space="preserve">
Loan Limit: EUR 20m
Bank Limit: EUR 20m 
Policy Limit: EUR 3m</t>
        </r>
      </text>
    </comment>
    <comment ref="U98" authorId="0" shapeId="0" xr:uid="{0A8750EA-2630-4E73-832E-4E6AF56DB34E}">
      <text>
        <r>
          <rPr>
            <b/>
            <sz val="9"/>
            <color indexed="81"/>
            <rFont val="Tahoma"/>
            <family val="2"/>
          </rPr>
          <t>Lea Krstevska:</t>
        </r>
        <r>
          <rPr>
            <sz val="9"/>
            <color indexed="81"/>
            <rFont val="Tahoma"/>
            <family val="2"/>
          </rPr>
          <t xml:space="preserve">
Loan Limit: US$60m
Bank Limit: US$30m 
Policy Limit: US$15m</t>
        </r>
      </text>
    </comment>
    <comment ref="U99" authorId="0" shapeId="0" xr:uid="{F745E107-8781-4D64-9CC1-4AE7E0910AEC}">
      <text>
        <r>
          <rPr>
            <b/>
            <sz val="9"/>
            <color indexed="81"/>
            <rFont val="Tahoma"/>
            <family val="2"/>
          </rPr>
          <t>Lea Krstevska:</t>
        </r>
        <r>
          <rPr>
            <sz val="9"/>
            <color indexed="81"/>
            <rFont val="Tahoma"/>
            <family val="2"/>
          </rPr>
          <t xml:space="preserve">
Loan: JPY12bn
Bank: JPY7bn
Policy: JPY 2.6bn</t>
        </r>
      </text>
    </comment>
    <comment ref="U100" authorId="0" shapeId="0" xr:uid="{DB9C54AE-5CEB-4E85-A311-5C10C73D2EF6}">
      <text>
        <r>
          <rPr>
            <b/>
            <sz val="9"/>
            <color indexed="81"/>
            <rFont val="Tahoma"/>
            <family val="2"/>
          </rPr>
          <t>Lea Krstevska:</t>
        </r>
        <r>
          <rPr>
            <sz val="9"/>
            <color indexed="81"/>
            <rFont val="Tahoma"/>
            <family val="2"/>
          </rPr>
          <t xml:space="preserve">
Loan Limit £400m
Bank Limit £90m
Policy Limit  £5m</t>
        </r>
      </text>
    </comment>
    <comment ref="U101" authorId="0" shapeId="0" xr:uid="{BA414724-9620-46CF-92F1-205DF2F9687A}">
      <text>
        <r>
          <rPr>
            <b/>
            <sz val="9"/>
            <color indexed="81"/>
            <rFont val="Tahoma"/>
            <family val="2"/>
          </rPr>
          <t>Lea Krstevska:</t>
        </r>
        <r>
          <rPr>
            <sz val="9"/>
            <color indexed="81"/>
            <rFont val="Tahoma"/>
            <family val="2"/>
          </rPr>
          <t xml:space="preserve">
Loan Limit: A$319m
Bank Limit: A$319m 
Policy Limit: A$30m</t>
        </r>
      </text>
    </comment>
    <comment ref="U102" authorId="5" shapeId="0" xr:uid="{D58AF045-6392-49FD-AA95-0A0F95803D0C}">
      <text>
        <r>
          <rPr>
            <b/>
            <sz val="9"/>
            <color indexed="81"/>
            <rFont val="Tahoma"/>
            <family val="2"/>
          </rPr>
          <t>Samuel Atkinson:EUR 25m Bank Limit 
EUR 25m Loan Limit</t>
        </r>
      </text>
    </comment>
    <comment ref="U103" authorId="5" shapeId="0" xr:uid="{29FD36F7-3E90-4B96-8F48-9305139B8F90}">
      <text>
        <r>
          <rPr>
            <b/>
            <sz val="9"/>
            <color indexed="81"/>
            <rFont val="Tahoma"/>
            <family val="2"/>
          </rPr>
          <t>Samuel Atkinson:</t>
        </r>
        <r>
          <rPr>
            <sz val="9"/>
            <color indexed="81"/>
            <rFont val="Tahoma"/>
            <family val="2"/>
          </rPr>
          <t xml:space="preserve">
Bank Limit: EUR 105m
Loan Limit: EUR 330m</t>
        </r>
      </text>
    </comment>
    <comment ref="U104" authorId="5" shapeId="0" xr:uid="{9ACB25FE-57E2-4E15-A0A0-F0B39443D560}">
      <text>
        <r>
          <rPr>
            <b/>
            <sz val="9"/>
            <color indexed="81"/>
            <rFont val="Tahoma"/>
            <family val="2"/>
          </rPr>
          <t>Samuel Atkinson
US$61m Bank Limit
US$575m Loan Limit</t>
        </r>
      </text>
    </comment>
    <comment ref="U105" authorId="0" shapeId="0" xr:uid="{4E75AEE2-B79B-4017-9BBB-72F8A7BD7C88}">
      <text>
        <r>
          <rPr>
            <b/>
            <sz val="9"/>
            <color indexed="81"/>
            <rFont val="Tahoma"/>
            <family val="2"/>
          </rPr>
          <t xml:space="preserve">Lea Krstevska:
</t>
        </r>
        <r>
          <rPr>
            <sz val="9"/>
            <color indexed="81"/>
            <rFont val="Tahoma"/>
            <family val="2"/>
          </rPr>
          <t>Bank Limit: US$50m
Loan Limit: US$1.245bn</t>
        </r>
      </text>
    </comment>
    <comment ref="U106" authorId="6" shapeId="0" xr:uid="{D99B3AB5-CF8A-417C-AC88-BB71B940A791}">
      <text>
        <r>
          <rPr>
            <b/>
            <sz val="9"/>
            <color indexed="81"/>
            <rFont val="Tahoma"/>
            <family val="2"/>
          </rPr>
          <t>Ann Prosser:</t>
        </r>
        <r>
          <rPr>
            <sz val="9"/>
            <color indexed="81"/>
            <rFont val="Tahoma"/>
            <family val="2"/>
          </rPr>
          <t xml:space="preserve">
Loan Limit: US$310m
Bank Limit: US$50m
Policy Limit: US$5m
</t>
        </r>
      </text>
    </comment>
    <comment ref="U107" authorId="2" shapeId="0" xr:uid="{9AC34324-4C47-47AA-B7C2-EAC24F0A403E}">
      <text>
        <r>
          <rPr>
            <sz val="8"/>
            <color indexed="81"/>
            <rFont val="Tahoma"/>
            <family val="2"/>
          </rPr>
          <t>US$397.5m , ING US$50m</t>
        </r>
      </text>
    </comment>
    <comment ref="U108" authorId="0" shapeId="0" xr:uid="{8F004502-5CA6-4358-A98A-0F7F9F4735B0}">
      <text>
        <r>
          <rPr>
            <b/>
            <sz val="9"/>
            <color indexed="81"/>
            <rFont val="Tahoma"/>
            <family val="2"/>
          </rPr>
          <t>Lea Krstevska:</t>
        </r>
        <r>
          <rPr>
            <sz val="9"/>
            <color indexed="81"/>
            <rFont val="Tahoma"/>
            <family val="2"/>
          </rPr>
          <t xml:space="preserve">
Loan: US$340m
Bank: US$80m
Policy: US$15m</t>
        </r>
      </text>
    </comment>
    <comment ref="U109" authorId="0" shapeId="0" xr:uid="{C2FF4E96-1FDC-4792-B71B-D71EC0FFF7CF}">
      <text>
        <r>
          <rPr>
            <b/>
            <sz val="9"/>
            <color indexed="81"/>
            <rFont val="Tahoma"/>
            <family val="2"/>
          </rPr>
          <t>Lea Krstevska:</t>
        </r>
        <r>
          <rPr>
            <sz val="9"/>
            <color indexed="81"/>
            <rFont val="Tahoma"/>
            <family val="2"/>
          </rPr>
          <t xml:space="preserve">
Loan: US$125m
Bank: US$9.375m
Policy: US$7.5m</t>
        </r>
      </text>
    </comment>
    <comment ref="U110" authorId="0" shapeId="0" xr:uid="{9AB26229-023D-4471-BE8E-3E78DB720C7C}">
      <text>
        <r>
          <rPr>
            <b/>
            <sz val="9"/>
            <color indexed="81"/>
            <rFont val="Tahoma"/>
            <family val="2"/>
          </rPr>
          <t>Lea Krstevska:</t>
        </r>
        <r>
          <rPr>
            <sz val="9"/>
            <color indexed="81"/>
            <rFont val="Tahoma"/>
            <family val="2"/>
          </rPr>
          <t xml:space="preserve">
Loan: US$265m
Bank: US$30m
Policy: US$15m</t>
        </r>
      </text>
    </comment>
    <comment ref="U111" authorId="0" shapeId="0" xr:uid="{956C940C-8C17-4652-8F04-CF2F059F2886}">
      <text>
        <r>
          <rPr>
            <b/>
            <sz val="9"/>
            <color indexed="81"/>
            <rFont val="Tahoma"/>
            <family val="2"/>
          </rPr>
          <t>Lea Krstevska:</t>
        </r>
        <r>
          <rPr>
            <sz val="9"/>
            <color indexed="81"/>
            <rFont val="Tahoma"/>
            <family val="2"/>
          </rPr>
          <t xml:space="preserve">
Loan: US$400m
Bank: US$45m
Policy: US$15m</t>
        </r>
      </text>
    </comment>
    <comment ref="U112" authorId="0" shapeId="0" xr:uid="{9C14810E-DEC9-4FE2-A527-1E9B4AEBD1B1}">
      <text>
        <r>
          <rPr>
            <b/>
            <sz val="9"/>
            <color indexed="81"/>
            <rFont val="Tahoma"/>
            <family val="2"/>
          </rPr>
          <t>Lea Krstevska:</t>
        </r>
        <r>
          <rPr>
            <sz val="9"/>
            <color indexed="81"/>
            <rFont val="Tahoma"/>
            <family val="2"/>
          </rPr>
          <t xml:space="preserve">
Loan: EUR620m
Bank: EUR100m
Policy: EUR15m</t>
        </r>
      </text>
    </comment>
    <comment ref="U113" authorId="0" shapeId="0" xr:uid="{521A3753-AADE-4A55-A9CE-ADE68C1BED50}">
      <text>
        <r>
          <rPr>
            <b/>
            <sz val="9"/>
            <color indexed="81"/>
            <rFont val="Tahoma"/>
            <family val="2"/>
          </rPr>
          <t>Lea Krstevska:</t>
        </r>
        <r>
          <rPr>
            <sz val="9"/>
            <color indexed="81"/>
            <rFont val="Tahoma"/>
            <family val="2"/>
          </rPr>
          <t xml:space="preserve">
Loan: US$69.8m
Bank: US$69.8m
Policy: US$15m</t>
        </r>
      </text>
    </comment>
    <comment ref="U114" authorId="0" shapeId="0" xr:uid="{4E651839-C785-4C60-B814-F9A9D70AB1D6}">
      <text>
        <r>
          <rPr>
            <b/>
            <sz val="9"/>
            <color indexed="81"/>
            <rFont val="Tahoma"/>
            <family val="2"/>
          </rPr>
          <t>Lea Krstevska:</t>
        </r>
        <r>
          <rPr>
            <sz val="9"/>
            <color indexed="81"/>
            <rFont val="Tahoma"/>
            <family val="2"/>
          </rPr>
          <t xml:space="preserve">
Loan: US$300m
Bank: US$30m
Policy: US$15m</t>
        </r>
      </text>
    </comment>
    <comment ref="U115" authorId="0" shapeId="0" xr:uid="{DDA5CF5D-2D92-459D-820D-20C2B7064EEC}">
      <text>
        <r>
          <rPr>
            <b/>
            <sz val="9"/>
            <color indexed="81"/>
            <rFont val="Tahoma"/>
            <family val="2"/>
          </rPr>
          <t>Lea Krstevska:</t>
        </r>
        <r>
          <rPr>
            <sz val="9"/>
            <color indexed="81"/>
            <rFont val="Tahoma"/>
            <family val="2"/>
          </rPr>
          <t xml:space="preserve">
Loan: EUR1.03bn
Bank: EUR185.6m
Policy: EUR22m</t>
        </r>
      </text>
    </comment>
    <comment ref="U116" authorId="0" shapeId="0" xr:uid="{7E1E691E-914F-484C-81CE-6AD2CB4F9F47}">
      <text>
        <r>
          <rPr>
            <b/>
            <sz val="9"/>
            <color indexed="81"/>
            <rFont val="Tahoma"/>
            <family val="2"/>
          </rPr>
          <t>Lea Krstevska:</t>
        </r>
        <r>
          <rPr>
            <sz val="9"/>
            <color indexed="81"/>
            <rFont val="Tahoma"/>
            <family val="2"/>
          </rPr>
          <t xml:space="preserve">
Loan: EUR375m
Bank: EUR50m
Policy: EUR10m</t>
        </r>
      </text>
    </comment>
    <comment ref="U117" authorId="0" shapeId="0" xr:uid="{54DC9D22-BD5D-43CF-A5D3-F62746918FA3}">
      <text>
        <r>
          <rPr>
            <b/>
            <sz val="9"/>
            <color indexed="81"/>
            <rFont val="Tahoma"/>
            <family val="2"/>
          </rPr>
          <t>Lea Krstevska:</t>
        </r>
        <r>
          <rPr>
            <sz val="9"/>
            <color indexed="81"/>
            <rFont val="Tahoma"/>
            <family val="2"/>
          </rPr>
          <t xml:space="preserve">
Loan Limit: US$90m
Bank Limit: US$90m
Policy Limit: US$20m</t>
        </r>
      </text>
    </comment>
    <comment ref="U118" authorId="0" shapeId="0" xr:uid="{67774A4F-2BC0-4375-847C-DA6405DC3351}">
      <text>
        <r>
          <rPr>
            <b/>
            <sz val="9"/>
            <color indexed="81"/>
            <rFont val="Tahoma"/>
            <family val="2"/>
          </rPr>
          <t>Lea Krstevska:</t>
        </r>
        <r>
          <rPr>
            <sz val="9"/>
            <color indexed="81"/>
            <rFont val="Tahoma"/>
            <family val="2"/>
          </rPr>
          <t xml:space="preserve">
Loan Limit: US$1.05bn
Bank Limit: US$125m
Policy Limit: US$15m</t>
        </r>
      </text>
    </comment>
    <comment ref="U119" authorId="0" shapeId="0" xr:uid="{6BDC20C1-ECB7-4F06-A6EF-1B712E701E83}">
      <text>
        <r>
          <rPr>
            <b/>
            <sz val="9"/>
            <color indexed="81"/>
            <rFont val="Tahoma"/>
            <family val="2"/>
          </rPr>
          <t>Lea Krstevska:</t>
        </r>
        <r>
          <rPr>
            <sz val="9"/>
            <color indexed="81"/>
            <rFont val="Tahoma"/>
            <family val="2"/>
          </rPr>
          <t xml:space="preserve">
Loan Limit: JPY 22.117bn
Bank Limit: JPY 10bn
Policy Limit: JPY 986.8m</t>
        </r>
      </text>
    </comment>
    <comment ref="U120" authorId="0" shapeId="0" xr:uid="{62B366DC-9760-4969-87F1-1F96DFE53D5B}">
      <text>
        <r>
          <rPr>
            <b/>
            <sz val="9"/>
            <color indexed="81"/>
            <rFont val="Tahoma"/>
            <family val="2"/>
          </rPr>
          <t>Lea Krstevska:</t>
        </r>
        <r>
          <rPr>
            <sz val="9"/>
            <color indexed="81"/>
            <rFont val="Tahoma"/>
            <family val="2"/>
          </rPr>
          <t xml:space="preserve">
Loan Limit: US$327m
Bank Llimit: US$20m
Policy Limit: US$10m</t>
        </r>
      </text>
    </comment>
    <comment ref="U121" authorId="0" shapeId="0" xr:uid="{7D79714B-DDFC-4C53-8CF9-F0430E6DF01D}">
      <text>
        <r>
          <rPr>
            <b/>
            <sz val="9"/>
            <color indexed="81"/>
            <rFont val="Tahoma"/>
            <family val="2"/>
          </rPr>
          <t>Lea Krstevska:</t>
        </r>
        <r>
          <rPr>
            <sz val="9"/>
            <color indexed="81"/>
            <rFont val="Tahoma"/>
            <family val="2"/>
          </rPr>
          <t xml:space="preserve">
Loan Limit: US$818m
Bank Limit: US$40m
Policy Limit: US$20m</t>
        </r>
      </text>
    </comment>
    <comment ref="U122" authorId="0" shapeId="0" xr:uid="{3123E062-0920-4AF6-92F5-15BA2177D83F}">
      <text>
        <r>
          <rPr>
            <b/>
            <sz val="9"/>
            <color indexed="81"/>
            <rFont val="Tahoma"/>
            <family val="2"/>
          </rPr>
          <t>Lea Krstevska:</t>
        </r>
        <r>
          <rPr>
            <sz val="9"/>
            <color indexed="81"/>
            <rFont val="Tahoma"/>
            <family val="2"/>
          </rPr>
          <t xml:space="preserve">
Loan Limit: US$450m
Bank Limit: US$15m
Policy Limit: US$7.5m</t>
        </r>
      </text>
    </comment>
    <comment ref="U123" authorId="0" shapeId="0" xr:uid="{EF45F1F3-E54F-4437-9887-06C600528FD2}">
      <text>
        <r>
          <rPr>
            <b/>
            <sz val="9"/>
            <color indexed="81"/>
            <rFont val="Tahoma"/>
            <family val="2"/>
          </rPr>
          <t>Lea Krstevska:</t>
        </r>
        <r>
          <rPr>
            <sz val="9"/>
            <color indexed="81"/>
            <rFont val="Tahoma"/>
            <family val="2"/>
          </rPr>
          <t xml:space="preserve">
Loan Limit: CAD$355m
Bank Limit: CAD$30m
Policu Limit: CAD$15m</t>
        </r>
      </text>
    </comment>
    <comment ref="U124" authorId="0" shapeId="0" xr:uid="{1C9CB271-085B-4350-9F8A-3DAF54516B7A}">
      <text>
        <r>
          <rPr>
            <b/>
            <sz val="9"/>
            <color indexed="81"/>
            <rFont val="Tahoma"/>
            <family val="2"/>
          </rPr>
          <t>Lea Krstevska:</t>
        </r>
        <r>
          <rPr>
            <sz val="9"/>
            <color indexed="81"/>
            <rFont val="Tahoma"/>
            <family val="2"/>
          </rPr>
          <t xml:space="preserve">
Loan Limit: US$327m
Bank Llimit: US$13.8m
Policy Limit: US$6.9m</t>
        </r>
      </text>
    </comment>
    <comment ref="U125" authorId="0" shapeId="0" xr:uid="{01F06F4B-467F-43BC-B27E-7C1CB48BDF4C}">
      <text>
        <r>
          <rPr>
            <b/>
            <sz val="9"/>
            <color indexed="81"/>
            <rFont val="Tahoma"/>
            <family val="2"/>
          </rPr>
          <t>Lea Krstevska:</t>
        </r>
        <r>
          <rPr>
            <sz val="9"/>
            <color indexed="81"/>
            <rFont val="Tahoma"/>
            <family val="2"/>
          </rPr>
          <t xml:space="preserve">
Loan Limit: USD$103m
Bank Limit: USD$103m
Policy Limit: USD$15m</t>
        </r>
      </text>
    </comment>
    <comment ref="U126" authorId="0" shapeId="0" xr:uid="{8A9E154F-CB97-4BC6-B919-1C663A914F34}">
      <text>
        <r>
          <rPr>
            <b/>
            <sz val="9"/>
            <color indexed="81"/>
            <rFont val="Tahoma"/>
            <family val="2"/>
          </rPr>
          <t>Lea Krstevska:</t>
        </r>
        <r>
          <rPr>
            <sz val="9"/>
            <color indexed="81"/>
            <rFont val="Tahoma"/>
            <family val="2"/>
          </rPr>
          <t xml:space="preserve">
Loan Limit: USD$35m
Bank Limit: USD$15m
Policy Limit: USD$7.5m</t>
        </r>
      </text>
    </comment>
    <comment ref="U127" authorId="0" shapeId="0" xr:uid="{90D44E5C-6E5E-45F5-A10C-406E3F955211}">
      <text>
        <r>
          <rPr>
            <b/>
            <sz val="9"/>
            <color indexed="81"/>
            <rFont val="Tahoma"/>
            <family val="2"/>
          </rPr>
          <t>Lea Krstevska:</t>
        </r>
        <r>
          <rPr>
            <sz val="9"/>
            <color indexed="81"/>
            <rFont val="Tahoma"/>
            <family val="2"/>
          </rPr>
          <t xml:space="preserve">
Loan Limit: A$64m
Bank Limit: A$64m
Policy Limit: A$15m</t>
        </r>
      </text>
    </comment>
    <comment ref="U128" authorId="0" shapeId="0" xr:uid="{BA0EB9EB-7584-4463-91DB-930387690BD9}">
      <text>
        <r>
          <rPr>
            <b/>
            <sz val="9"/>
            <color indexed="81"/>
            <rFont val="Tahoma"/>
            <family val="2"/>
          </rPr>
          <t>Lea Krstevska:</t>
        </r>
        <r>
          <rPr>
            <sz val="9"/>
            <color indexed="81"/>
            <rFont val="Tahoma"/>
            <family val="2"/>
          </rPr>
          <t xml:space="preserve">
Loan Limit: USD$988m
Bank Limit: USD$74.3m
Policy Limit: USD$20m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Jemma Sargeant</author>
    <author>Samuel Atkinson</author>
    <author>Ann Prosser</author>
  </authors>
  <commentList>
    <comment ref="AF2" authorId="0" shapeId="0" xr:uid="{1FDABEB7-E90A-4E4C-BFC0-29251C56F8A7}">
      <text>
        <r>
          <rPr>
            <b/>
            <sz val="9"/>
            <color indexed="81"/>
            <rFont val="Tahoma"/>
            <family val="2"/>
          </rPr>
          <t>Lea Krstevska:</t>
        </r>
        <r>
          <rPr>
            <sz val="9"/>
            <color indexed="81"/>
            <rFont val="Tahoma"/>
            <family val="2"/>
          </rPr>
          <t xml:space="preserve">
AUD 20m-30m
USD 15m - 25m
EUR 15m - 22m</t>
        </r>
      </text>
    </comment>
    <comment ref="U4" authorId="1" shapeId="0" xr:uid="{F8AAD181-73CA-42FE-99F2-878C36742946}">
      <text>
        <r>
          <rPr>
            <b/>
            <sz val="8"/>
            <color indexed="81"/>
            <rFont val="Tahoma"/>
            <family val="2"/>
          </rPr>
          <t>Marc Nicholls:</t>
        </r>
        <r>
          <rPr>
            <sz val="8"/>
            <color indexed="81"/>
            <rFont val="Tahoma"/>
            <family val="2"/>
          </rPr>
          <t xml:space="preserve">
ANZ $50m, Syndicate $225m</t>
        </r>
      </text>
    </comment>
    <comment ref="A5" authorId="2" shapeId="0" xr:uid="{AA01B8C7-8FEE-4E26-B78E-DB4B81960C41}">
      <text>
        <r>
          <rPr>
            <sz val="9"/>
            <color indexed="81"/>
            <rFont val="Tahoma"/>
            <family val="2"/>
          </rPr>
          <t>Note, in run off</t>
        </r>
      </text>
    </comment>
    <comment ref="V5" authorId="1" shapeId="0" xr:uid="{4EA3C7C0-E2D8-4135-9FDD-F52F83CBBA11}">
      <text>
        <r>
          <rPr>
            <b/>
            <sz val="8"/>
            <color indexed="81"/>
            <rFont val="Tahoma"/>
            <family val="2"/>
          </rPr>
          <t>Marc Nicholls:</t>
        </r>
        <r>
          <rPr>
            <sz val="8"/>
            <color indexed="81"/>
            <rFont val="Tahoma"/>
            <family val="2"/>
          </rPr>
          <t xml:space="preserve">
upto 30 June 18 - assumes 1.04NZD:1AUD</t>
        </r>
      </text>
    </comment>
    <comment ref="AJ5" authorId="2" shapeId="0" xr:uid="{2D16803D-EFDA-4727-8EA0-A026D91F88AF}">
      <text>
        <r>
          <rPr>
            <b/>
            <sz val="9"/>
            <color indexed="81"/>
            <rFont val="Tahoma"/>
            <family val="2"/>
          </rPr>
          <t>Facility is in run off</t>
        </r>
      </text>
    </comment>
    <comment ref="U7" authorId="2" shapeId="0" xr:uid="{F795F968-AAF2-4026-9F77-32C907513EC5}">
      <text>
        <r>
          <rPr>
            <b/>
            <sz val="8"/>
            <color indexed="81"/>
            <rFont val="Tahoma"/>
            <family val="2"/>
          </rPr>
          <t>Loan Limit: 100m
Bank Limit: 83.4m
Policy Limit: 16.680m</t>
        </r>
      </text>
    </comment>
    <comment ref="U8" authorId="2" shapeId="0" xr:uid="{80F5B0D0-683C-4B26-8590-3ECA86616BE6}">
      <text>
        <r>
          <rPr>
            <sz val="9"/>
            <color indexed="81"/>
            <rFont val="Tahoma"/>
            <family val="2"/>
          </rPr>
          <t xml:space="preserve">Supporting SG's USD150 participation in a USD750m facility
</t>
        </r>
      </text>
    </comment>
    <comment ref="U9" authorId="2" shapeId="0" xr:uid="{FA2C94D0-26A1-4B3F-AD45-F7E3CBF9B2B9}">
      <text>
        <r>
          <rPr>
            <b/>
            <sz val="9"/>
            <color indexed="81"/>
            <rFont val="Tahoma"/>
            <family val="2"/>
          </rPr>
          <t>supports DB INR6b participation</t>
        </r>
      </text>
    </comment>
    <comment ref="U10" authorId="1" shapeId="0" xr:uid="{DAC788D9-0F37-451F-849C-BCC5E31A8FBC}">
      <text>
        <r>
          <rPr>
            <b/>
            <sz val="9"/>
            <color indexed="81"/>
            <rFont val="Tahoma"/>
            <family val="2"/>
          </rPr>
          <t>Marc Nicholls:</t>
        </r>
        <r>
          <rPr>
            <sz val="9"/>
            <color indexed="81"/>
            <rFont val="Tahoma"/>
            <family val="2"/>
          </rPr>
          <t xml:space="preserve">
supports ING in its EUR175m participation in Eur625m faciilty</t>
        </r>
      </text>
    </comment>
    <comment ref="U11" authorId="2" shapeId="0" xr:uid="{18B5B98F-3276-4C8B-8CC2-EF247081DB5C}">
      <text>
        <r>
          <rPr>
            <sz val="8"/>
            <color indexed="81"/>
            <rFont val="Tahoma"/>
            <family val="2"/>
          </rPr>
          <t>US1.024b, StanChart US131.75m</t>
        </r>
      </text>
    </comment>
    <comment ref="U13" authorId="2" shapeId="0" xr:uid="{A8BB6A8D-471B-4A35-AFCF-2C7BAC836A81}">
      <text>
        <r>
          <rPr>
            <b/>
            <sz val="9"/>
            <color indexed="81"/>
            <rFont val="Tahoma"/>
            <family val="2"/>
          </rPr>
          <t>USD263m of USD5.5 facilityheld by CA</t>
        </r>
      </text>
    </comment>
    <comment ref="U14" authorId="2" shapeId="0" xr:uid="{30945C0D-BDAF-4B6E-BBE3-277A4915A12D}">
      <text>
        <r>
          <rPr>
            <b/>
            <sz val="9"/>
            <color indexed="81"/>
            <rFont val="Tahoma"/>
            <family val="2"/>
          </rPr>
          <t>CEIP supporting DBs A$40m exposure in the B1 senior tranche of a A$850m, 6-year non-amortising Senior Syndicated Loan Facility (the Facility).</t>
        </r>
      </text>
    </comment>
    <comment ref="U15" authorId="3" shapeId="0" xr:uid="{4A2079EF-1363-461B-90B4-1CAD644CB680}">
      <text>
        <r>
          <rPr>
            <sz val="9"/>
            <color indexed="81"/>
            <rFont val="Tahoma"/>
            <family val="2"/>
          </rPr>
          <t>CEIP support to SG (Paris Branch)  in its US$120m participation in a US$790m committed senior secured syndicated pooled commercial aircraft term loan financing facility</t>
        </r>
      </text>
    </comment>
    <comment ref="U16" authorId="3" shapeId="0" xr:uid="{074449BB-8058-4B9C-81BF-B0BA1FFA11ED}">
      <text>
        <r>
          <rPr>
            <sz val="9"/>
            <color indexed="81"/>
            <rFont val="Tahoma"/>
            <family val="2"/>
          </rPr>
          <t>EUR15m CEIP to support ING Belgium in a EUR50m bilateral committed term loan facility to Retail Estates NV.</t>
        </r>
      </text>
    </comment>
    <comment ref="U17" authorId="3" shapeId="0" xr:uid="{D7087761-BBE6-4193-90AF-8E1C8DCA070A}">
      <text>
        <r>
          <rPr>
            <sz val="9"/>
            <color indexed="81"/>
            <rFont val="Tahoma"/>
            <family val="2"/>
          </rPr>
          <t>A$20m proportional collateral shortfall CEIP for a term of 4 years to support its participation in a A$270m Syndicated Senior Secured Facility (the Facility) to Bis Finance Pty Ltd. DB will participate with A$30m in the Term Loan Facility and A$20m in the Capex Facility.</t>
        </r>
      </text>
    </comment>
    <comment ref="U20" authorId="3" shapeId="0" xr:uid="{F8845C88-AFF7-410C-BD73-815B516E4930}">
      <text>
        <r>
          <rPr>
            <sz val="9"/>
            <color indexed="81"/>
            <rFont val="Tahoma"/>
            <family val="2"/>
          </rPr>
          <t xml:space="preserve">CEIP support to Greenstars BNPP in its US$75m participation in a US$1160m committed senior secured syndicated term loan financing </t>
        </r>
      </text>
    </comment>
    <comment ref="U24" authorId="2" shapeId="0" xr:uid="{24BC162E-FD4F-4D30-AD04-AFC4A78783F7}">
      <text>
        <r>
          <rPr>
            <sz val="8"/>
            <color indexed="81"/>
            <rFont val="Tahoma"/>
            <family val="2"/>
          </rPr>
          <t>US$500m, Socgen US$75m</t>
        </r>
      </text>
    </comment>
    <comment ref="U27" authorId="2" shapeId="0" xr:uid="{3742CD3F-1DDE-4547-BAD4-76EDB40F4D63}">
      <text>
        <r>
          <rPr>
            <sz val="8"/>
            <color indexed="81"/>
            <rFont val="Tahoma"/>
            <family val="2"/>
          </rPr>
          <t>US$1b, ANZ London US$107m</t>
        </r>
      </text>
    </comment>
    <comment ref="U30" authorId="2" shapeId="0" xr:uid="{DFB5F8A7-1D93-4674-BF8D-679BB59A6AC1}">
      <text>
        <r>
          <rPr>
            <sz val="8"/>
            <color indexed="81"/>
            <rFont val="Tahoma"/>
            <family val="2"/>
          </rPr>
          <t>US290m, SMBC US$50m</t>
        </r>
      </text>
    </comment>
    <comment ref="U31" authorId="2" shapeId="0" xr:uid="{1E5631D2-1DAA-409A-ABFE-0B1C29AEDF82}">
      <text>
        <r>
          <rPr>
            <b/>
            <sz val="9"/>
            <color indexed="81"/>
            <rFont val="Tahoma"/>
            <family val="2"/>
          </rPr>
          <t>ING participation of EUR150m of EUR650m facility</t>
        </r>
      </text>
    </comment>
    <comment ref="U33" authorId="2" shapeId="0" xr:uid="{E6CD391E-5B4F-4F31-B553-9C67CAD1654D}">
      <text>
        <r>
          <rPr>
            <b/>
            <sz val="9"/>
            <color indexed="81"/>
            <rFont val="Tahoma"/>
            <family val="2"/>
          </rPr>
          <t>DB participation of $65m in $180m senior secured loan only, $10m revolver and $10m capex facility</t>
        </r>
      </text>
    </comment>
    <comment ref="U34" authorId="1" shapeId="0" xr:uid="{4923D022-FC41-4434-BD58-54E1F2A434D0}">
      <text>
        <r>
          <rPr>
            <b/>
            <sz val="9"/>
            <color indexed="81"/>
            <rFont val="Tahoma"/>
            <family val="2"/>
          </rPr>
          <t>Marc Nicholls:</t>
        </r>
        <r>
          <rPr>
            <sz val="9"/>
            <color indexed="81"/>
            <rFont val="Tahoma"/>
            <family val="2"/>
          </rPr>
          <t xml:space="preserve">
ING $137m of $137m</t>
        </r>
      </text>
    </comment>
    <comment ref="U35" authorId="1" shapeId="0" xr:uid="{ACDE4E4D-F5E8-4ED8-9B30-053D46FF05F0}">
      <text>
        <r>
          <rPr>
            <b/>
            <sz val="9"/>
            <color indexed="81"/>
            <rFont val="Tahoma"/>
            <family val="2"/>
          </rPr>
          <t>Marc Nicholls:</t>
        </r>
        <r>
          <rPr>
            <sz val="9"/>
            <color indexed="81"/>
            <rFont val="Tahoma"/>
            <family val="2"/>
          </rPr>
          <t xml:space="preserve">
BNPP $30 of $80m</t>
        </r>
      </text>
    </comment>
    <comment ref="U36" authorId="4" shapeId="0" xr:uid="{914E19FB-2E05-4E40-B973-36B52BEE0043}">
      <text>
        <r>
          <rPr>
            <b/>
            <sz val="9"/>
            <color indexed="81"/>
            <rFont val="Tahoma"/>
            <family val="2"/>
          </rPr>
          <t>Jemma Sargeant:</t>
        </r>
        <r>
          <rPr>
            <sz val="9"/>
            <color indexed="81"/>
            <rFont val="Tahoma"/>
            <family val="2"/>
          </rPr>
          <t xml:space="preserve">
ANZ US$92mil in US$1.5bil</t>
        </r>
      </text>
    </comment>
    <comment ref="U37" authorId="4" shapeId="0" xr:uid="{0CB331ED-FD16-40F1-B039-8E833298EA29}">
      <text>
        <r>
          <rPr>
            <b/>
            <sz val="9"/>
            <color indexed="81"/>
            <rFont val="Tahoma"/>
            <family val="2"/>
          </rPr>
          <t>Jemma Sargeant:</t>
        </r>
        <r>
          <rPr>
            <sz val="9"/>
            <color indexed="81"/>
            <rFont val="Tahoma"/>
            <family val="2"/>
          </rPr>
          <t xml:space="preserve">
ANZ US$96.8mil in US$193.6mil</t>
        </r>
      </text>
    </comment>
    <comment ref="A38" authorId="2" shapeId="0" xr:uid="{F65C9B60-4F60-417A-BB1F-1A9DFB05DEB1}">
      <text>
        <r>
          <rPr>
            <b/>
            <sz val="9"/>
            <color indexed="81"/>
            <rFont val="Tahoma"/>
            <family val="2"/>
          </rPr>
          <t>Barings (Head Office)</t>
        </r>
      </text>
    </comment>
    <comment ref="U38" authorId="4" shapeId="0" xr:uid="{1C89DB5A-9BC4-4D91-A4E6-740B84CD0844}">
      <text>
        <r>
          <rPr>
            <b/>
            <sz val="9"/>
            <color indexed="81"/>
            <rFont val="Tahoma"/>
            <family val="2"/>
          </rPr>
          <t>Jemma Sargeant:</t>
        </r>
        <r>
          <rPr>
            <sz val="9"/>
            <color indexed="81"/>
            <rFont val="Tahoma"/>
            <family val="2"/>
          </rPr>
          <t xml:space="preserve">
ING EUR 16.055mil</t>
        </r>
      </text>
    </comment>
    <comment ref="U39" authorId="4" shapeId="0" xr:uid="{F6B9FB28-564C-4CD8-BCB0-E2A218869FC4}">
      <text>
        <r>
          <rPr>
            <b/>
            <sz val="9"/>
            <color indexed="81"/>
            <rFont val="Tahoma"/>
            <family val="2"/>
          </rPr>
          <t>Jemma Sargeant:</t>
        </r>
        <r>
          <rPr>
            <sz val="9"/>
            <color indexed="81"/>
            <rFont val="Tahoma"/>
            <family val="2"/>
          </rPr>
          <t xml:space="preserve">
US$105m in US$1.3b facility</t>
        </r>
      </text>
    </comment>
    <comment ref="U40" authorId="2" shapeId="0" xr:uid="{2B5C2516-BAD2-486C-9C4A-1E39E5638CBD}">
      <text>
        <r>
          <rPr>
            <b/>
            <sz val="9"/>
            <color indexed="81"/>
            <rFont val="Tahoma"/>
            <family val="2"/>
          </rPr>
          <t xml:space="preserve">Total Loan $560m, Bank Limit $40m, Policy Limit (BNPP) $10m, RI Policy Limit $5m
</t>
        </r>
      </text>
    </comment>
    <comment ref="U41" authorId="4" shapeId="0" xr:uid="{4934D5E9-FF4B-461D-855A-1C15EBBBA9B2}">
      <text>
        <r>
          <rPr>
            <b/>
            <sz val="9"/>
            <color indexed="81"/>
            <rFont val="Tahoma"/>
            <family val="2"/>
          </rPr>
          <t>Jemma Sargeant:</t>
        </r>
        <r>
          <rPr>
            <sz val="9"/>
            <color indexed="81"/>
            <rFont val="Tahoma"/>
            <family val="2"/>
          </rPr>
          <t xml:space="preserve">
US$75m in US$200m</t>
        </r>
      </text>
    </comment>
    <comment ref="U42" authorId="4" shapeId="0" xr:uid="{9C0D25B5-2974-4CE6-8A85-5ED804111214}">
      <text>
        <r>
          <rPr>
            <b/>
            <sz val="9"/>
            <color indexed="81"/>
            <rFont val="Tahoma"/>
            <family val="2"/>
          </rPr>
          <t>Jemma Sargeant:</t>
        </r>
        <r>
          <rPr>
            <sz val="9"/>
            <color indexed="81"/>
            <rFont val="Tahoma"/>
            <family val="2"/>
          </rPr>
          <t xml:space="preserve">
US$36m facility
</t>
        </r>
      </text>
    </comment>
    <comment ref="U43" authorId="4" shapeId="0" xr:uid="{11C67EC7-844F-45CE-BE2A-E38FA8A1B0F0}">
      <text>
        <r>
          <rPr>
            <b/>
            <sz val="9"/>
            <color indexed="81"/>
            <rFont val="Tahoma"/>
            <family val="2"/>
          </rPr>
          <t>Jemma Sargeant:</t>
        </r>
        <r>
          <rPr>
            <sz val="9"/>
            <color indexed="81"/>
            <rFont val="Tahoma"/>
            <family val="2"/>
          </rPr>
          <t xml:space="preserve">
US$150m in US$300m facility</t>
        </r>
      </text>
    </comment>
    <comment ref="U44" authorId="4" shapeId="0" xr:uid="{E8F5C98B-5477-4194-8B0A-C00B6ACC12D3}">
      <text>
        <r>
          <rPr>
            <b/>
            <sz val="9"/>
            <color indexed="81"/>
            <rFont val="Tahoma"/>
            <family val="2"/>
          </rPr>
          <t xml:space="preserve">Jemma Sargeant
EUR70M in EUR1.4b
</t>
        </r>
        <r>
          <rPr>
            <sz val="9"/>
            <color indexed="81"/>
            <rFont val="Tahoma"/>
            <family val="2"/>
          </rPr>
          <t xml:space="preserve">
</t>
        </r>
      </text>
    </comment>
    <comment ref="U45" authorId="4" shapeId="0" xr:uid="{4B980554-9FBC-46DD-A04E-FBC8889EA91E}">
      <text>
        <r>
          <rPr>
            <b/>
            <sz val="9"/>
            <color indexed="81"/>
            <rFont val="Tahoma"/>
            <family val="2"/>
          </rPr>
          <t>Jemma Sargeant:</t>
        </r>
        <r>
          <rPr>
            <sz val="9"/>
            <color indexed="81"/>
            <rFont val="Tahoma"/>
            <family val="2"/>
          </rPr>
          <t xml:space="preserve">
US$20m in US$115m Facility
</t>
        </r>
      </text>
    </comment>
    <comment ref="U46" authorId="4" shapeId="0" xr:uid="{95CC5599-1021-45DE-B9A3-7E0629A843A6}">
      <text>
        <r>
          <rPr>
            <b/>
            <sz val="9"/>
            <color indexed="81"/>
            <rFont val="Tahoma"/>
            <family val="2"/>
          </rPr>
          <t xml:space="preserve">Loan = us$350
Bank = us$100
</t>
        </r>
        <r>
          <rPr>
            <sz val="9"/>
            <color indexed="81"/>
            <rFont val="Tahoma"/>
            <family val="2"/>
          </rPr>
          <t xml:space="preserve">
</t>
        </r>
      </text>
    </comment>
    <comment ref="U47" authorId="4" shapeId="0" xr:uid="{5F136F83-FFF5-4F33-B9BA-42248229E6E9}">
      <text>
        <r>
          <rPr>
            <b/>
            <sz val="9"/>
            <color indexed="81"/>
            <rFont val="Tahoma"/>
            <family val="2"/>
          </rPr>
          <t xml:space="preserve">Jemma Sargeant
SGD100M in SGD427m
</t>
        </r>
        <r>
          <rPr>
            <sz val="9"/>
            <color indexed="81"/>
            <rFont val="Tahoma"/>
            <family val="2"/>
          </rPr>
          <t xml:space="preserve">
</t>
        </r>
      </text>
    </comment>
    <comment ref="U48" authorId="5" shapeId="0" xr:uid="{241F1247-3B6A-4104-B830-5F7EB1B7C0A4}">
      <text>
        <r>
          <rPr>
            <b/>
            <sz val="9"/>
            <color indexed="81"/>
            <rFont val="Tahoma"/>
            <family val="2"/>
          </rPr>
          <t>Samuel Atkinson:</t>
        </r>
        <r>
          <rPr>
            <sz val="9"/>
            <color indexed="81"/>
            <rFont val="Tahoma"/>
            <family val="2"/>
          </rPr>
          <t xml:space="preserve">
Bank limit: AUD 75m 
Facility limit: AUD 750m</t>
        </r>
      </text>
    </comment>
    <comment ref="U49" authorId="4" shapeId="0" xr:uid="{E36B7AFF-CFBF-4128-8C49-F4C36EF807B5}">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50" authorId="5" shapeId="0" xr:uid="{FB7C7373-6C46-4D9C-9AD1-9310ABC4CA25}">
      <text>
        <r>
          <rPr>
            <b/>
            <sz val="9"/>
            <color indexed="81"/>
            <rFont val="Tahoma"/>
            <family val="2"/>
          </rPr>
          <t>Samuel Atkinson:
Facility Limit: EUR 97.2m
Bank Limit: 48.6
Policy Limit: 15</t>
        </r>
      </text>
    </comment>
    <comment ref="U51" authorId="5" shapeId="0" xr:uid="{C569F841-004E-41E4-ADDF-DD6F69529A25}">
      <text>
        <r>
          <rPr>
            <b/>
            <sz val="9"/>
            <color indexed="81"/>
            <rFont val="Tahoma"/>
            <family val="2"/>
          </rPr>
          <t xml:space="preserve">Samuel Atkinson:
Loan Limit: EUR 90.25m
Bank Limit: EUR 90.25m
</t>
        </r>
      </text>
    </comment>
    <comment ref="AA51" authorId="5" shapeId="0" xr:uid="{1ACFBBA7-FF83-4C04-A92F-775D83A1CD74}">
      <text>
        <r>
          <rPr>
            <b/>
            <sz val="9"/>
            <color indexed="81"/>
            <rFont val="Tahoma"/>
            <family val="2"/>
          </rPr>
          <t>Samuel Atkinson:</t>
        </r>
        <r>
          <rPr>
            <sz val="9"/>
            <color indexed="81"/>
            <rFont val="Tahoma"/>
            <family val="2"/>
          </rPr>
          <t xml:space="preserve">
Two 1 year extension options approved
</t>
        </r>
      </text>
    </comment>
    <comment ref="U52" authorId="5" shapeId="0" xr:uid="{AC1C3735-C1AE-4013-A7B8-3ED1A81E215C}">
      <text>
        <r>
          <rPr>
            <b/>
            <sz val="9"/>
            <color indexed="81"/>
            <rFont val="Tahoma"/>
            <family val="2"/>
          </rPr>
          <t>Samuel Atkinson:</t>
        </r>
        <r>
          <rPr>
            <sz val="9"/>
            <color indexed="81"/>
            <rFont val="Tahoma"/>
            <family val="2"/>
          </rPr>
          <t xml:space="preserve">
Facility Limit: US$3b</t>
        </r>
      </text>
    </comment>
    <comment ref="U53" authorId="5" shapeId="0" xr:uid="{3150C060-5412-4B4A-A0CD-A26DA1CCD481}">
      <text>
        <r>
          <rPr>
            <b/>
            <sz val="9"/>
            <color indexed="81"/>
            <rFont val="Tahoma"/>
            <family val="2"/>
          </rPr>
          <t>Samuel Atkinson:</t>
        </r>
        <r>
          <rPr>
            <sz val="9"/>
            <color indexed="81"/>
            <rFont val="Tahoma"/>
            <family val="2"/>
          </rPr>
          <t xml:space="preserve">
1.75b US term loan
175b US ANZ commitment
</t>
        </r>
      </text>
    </comment>
    <comment ref="U54" authorId="5" shapeId="0" xr:uid="{ECBF1A88-4C00-4A48-BDFF-6821248214E7}">
      <text>
        <r>
          <rPr>
            <b/>
            <sz val="9"/>
            <color indexed="81"/>
            <rFont val="Tahoma"/>
            <family val="2"/>
          </rPr>
          <t>Samuel Atkinson:</t>
        </r>
        <r>
          <rPr>
            <sz val="9"/>
            <color indexed="81"/>
            <rFont val="Tahoma"/>
            <family val="2"/>
          </rPr>
          <t xml:space="preserve">
Bank: EUR 120m
Loan: EUR 500m</t>
        </r>
      </text>
    </comment>
    <comment ref="N55" authorId="5" shapeId="0" xr:uid="{5F3701A3-3EA3-4E9C-85D4-877DD9F86A00}">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55" authorId="5" shapeId="0" xr:uid="{DF13B784-3DAB-44EF-A36B-81B345EA1000}">
      <text>
        <r>
          <rPr>
            <b/>
            <sz val="9"/>
            <color indexed="81"/>
            <rFont val="Tahoma"/>
            <family val="2"/>
          </rPr>
          <t>Samuel Atkinson:</t>
        </r>
        <r>
          <rPr>
            <sz val="9"/>
            <color indexed="81"/>
            <rFont val="Tahoma"/>
            <family val="2"/>
          </rPr>
          <t xml:space="preserve">
30m Bank Limit
265m Facility Limit</t>
        </r>
      </text>
    </comment>
    <comment ref="U56" authorId="5" shapeId="0" xr:uid="{4DCD7D19-ACD9-4510-838C-0E38441FC55D}">
      <text>
        <r>
          <rPr>
            <b/>
            <sz val="9"/>
            <color indexed="81"/>
            <rFont val="Tahoma"/>
            <family val="2"/>
          </rPr>
          <t>Samuel Atkinson:</t>
        </r>
        <r>
          <rPr>
            <sz val="9"/>
            <color indexed="81"/>
            <rFont val="Tahoma"/>
            <family val="2"/>
          </rPr>
          <t xml:space="preserve">
Bank Limit = 114.4m 
Loan Limit = 1.5b</t>
        </r>
      </text>
    </comment>
    <comment ref="U57" authorId="5" shapeId="0" xr:uid="{CEF50121-C419-4863-9253-EA84786EE98F}">
      <text>
        <r>
          <rPr>
            <b/>
            <sz val="9"/>
            <color indexed="81"/>
            <rFont val="Tahoma"/>
            <family val="2"/>
          </rPr>
          <t>Samuel Atkinson:
RI: 15m
Bank: 50m
Loan: 545m</t>
        </r>
      </text>
    </comment>
    <comment ref="U58" authorId="6" shapeId="0" xr:uid="{3039C3D7-C5F7-4D4E-9454-07998C38A703}">
      <text>
        <r>
          <rPr>
            <b/>
            <sz val="9"/>
            <color indexed="81"/>
            <rFont val="Tahoma"/>
            <family val="2"/>
          </rPr>
          <t>Ann Prosser:</t>
        </r>
        <r>
          <rPr>
            <sz val="9"/>
            <color indexed="81"/>
            <rFont val="Tahoma"/>
            <family val="2"/>
          </rPr>
          <t xml:space="preserve">
Loan Limit: A$1b
Bank Limit: A$50m 
Policy Limit: A$10m
</t>
        </r>
      </text>
    </comment>
    <comment ref="U59" authorId="5" shapeId="0" xr:uid="{8E567D66-0927-4711-9160-15C08DCB5598}">
      <text>
        <r>
          <rPr>
            <b/>
            <sz val="9"/>
            <color indexed="81"/>
            <rFont val="Tahoma"/>
            <family val="2"/>
          </rPr>
          <t>Samuel Atkinson
RI Policy: US$3.125
Policy: US$6.25
Bank: US$12.5
Loan: US$36.5m</t>
        </r>
      </text>
    </comment>
    <comment ref="U61" authorId="6" shapeId="0" xr:uid="{B5CC3A7D-19CE-4D22-8C10-7603CC12A9FC}">
      <text>
        <r>
          <rPr>
            <b/>
            <sz val="9"/>
            <color indexed="81"/>
            <rFont val="Tahoma"/>
            <family val="2"/>
          </rPr>
          <t>Ann Prosser:</t>
        </r>
        <r>
          <rPr>
            <sz val="9"/>
            <color indexed="81"/>
            <rFont val="Tahoma"/>
            <family val="2"/>
          </rPr>
          <t xml:space="preserve">
Policy limit: USD $15m, Bank Limit: usd $ 30m</t>
        </r>
      </text>
    </comment>
    <comment ref="U62" authorId="5" shapeId="0" xr:uid="{AAA54215-202C-4C09-B89E-564EA5585379}">
      <text>
        <r>
          <rPr>
            <b/>
            <sz val="9"/>
            <color indexed="81"/>
            <rFont val="Tahoma"/>
            <family val="2"/>
          </rPr>
          <t>Samuel Atkinson:</t>
        </r>
        <r>
          <rPr>
            <sz val="9"/>
            <color indexed="81"/>
            <rFont val="Tahoma"/>
            <family val="2"/>
          </rPr>
          <t xml:space="preserve">
Bank Limit = approx US$26.67m
Loan Limit = Approx US$300m</t>
        </r>
      </text>
    </comment>
    <comment ref="U63" authorId="5" shapeId="0" xr:uid="{8FC8D45C-ABB7-4A2F-B6B3-FA3B5F21A6B6}">
      <text>
        <r>
          <rPr>
            <b/>
            <sz val="9"/>
            <color indexed="81"/>
            <rFont val="Tahoma"/>
            <family val="2"/>
          </rPr>
          <t>Samuel Atkinson:</t>
        </r>
        <r>
          <rPr>
            <sz val="9"/>
            <color indexed="81"/>
            <rFont val="Tahoma"/>
            <family val="2"/>
          </rPr>
          <t xml:space="preserve">
 Bank Limit: US$105m Loan Limit: US$210 m </t>
        </r>
      </text>
    </comment>
    <comment ref="U64" authorId="5" shapeId="0" xr:uid="{2F33EA5A-7269-47BF-B0C5-850B8474545C}">
      <text>
        <r>
          <rPr>
            <b/>
            <sz val="9"/>
            <color indexed="81"/>
            <rFont val="Tahoma"/>
            <family val="2"/>
          </rPr>
          <t>Samuel Atkinson:</t>
        </r>
        <r>
          <rPr>
            <sz val="9"/>
            <color indexed="81"/>
            <rFont val="Tahoma"/>
            <family val="2"/>
          </rPr>
          <t xml:space="preserve">
Bank Limit: US$42.033m
Loan  Limit: US$126.1m</t>
        </r>
      </text>
    </comment>
    <comment ref="U65" authorId="5" shapeId="0" xr:uid="{60EEC248-438C-4D66-88BA-D1BED36CC669}">
      <text>
        <r>
          <rPr>
            <b/>
            <sz val="9"/>
            <color indexed="81"/>
            <rFont val="Tahoma"/>
            <family val="2"/>
          </rPr>
          <t>Samuel Atkinson:</t>
        </r>
        <r>
          <rPr>
            <sz val="9"/>
            <color indexed="81"/>
            <rFont val="Tahoma"/>
            <family val="2"/>
          </rPr>
          <t xml:space="preserve">
Bank Limit: US$10
Loan Limit: US$730m 
</t>
        </r>
      </text>
    </comment>
    <comment ref="U66" authorId="6" shapeId="0" xr:uid="{FDF2E064-E1C0-4E14-9C4F-D528C6C34CAA}">
      <text>
        <r>
          <rPr>
            <b/>
            <sz val="9"/>
            <color indexed="81"/>
            <rFont val="Tahoma"/>
            <family val="2"/>
          </rPr>
          <t>Ann Prosser:</t>
        </r>
        <r>
          <rPr>
            <sz val="9"/>
            <color indexed="81"/>
            <rFont val="Tahoma"/>
            <family val="2"/>
          </rPr>
          <t xml:space="preserve">
Loan Limit: GBP 700m
Bank Limit: GBP 80m 
Policy Limit: GBP 10m</t>
        </r>
      </text>
    </comment>
    <comment ref="U67" authorId="6" shapeId="0" xr:uid="{012FF933-9314-41BF-BF3E-C10E2F42B3B4}">
      <text>
        <r>
          <rPr>
            <b/>
            <sz val="9"/>
            <color indexed="81"/>
            <rFont val="Tahoma"/>
            <family val="2"/>
          </rPr>
          <t>Ann Prosser:</t>
        </r>
        <r>
          <rPr>
            <sz val="9"/>
            <color indexed="81"/>
            <rFont val="Tahoma"/>
            <family val="2"/>
          </rPr>
          <t xml:space="preserve">
Loan Limit: US$185m
Bank Limit: US$35m 
Policy Limit: US$7m
</t>
        </r>
      </text>
    </comment>
    <comment ref="U68" authorId="6" shapeId="0" xr:uid="{DEBD5B98-A5BB-47A1-8E1D-49749DA0E219}">
      <text>
        <r>
          <rPr>
            <b/>
            <sz val="9"/>
            <color indexed="81"/>
            <rFont val="Tahoma"/>
            <family val="2"/>
          </rPr>
          <t>Ann Prosser:</t>
        </r>
        <r>
          <rPr>
            <sz val="9"/>
            <color indexed="81"/>
            <rFont val="Tahoma"/>
            <family val="2"/>
          </rPr>
          <t xml:space="preserve">
Loan Limit: US$64.1m
Bank Limit: US$53.4m 
Policy Limit: US$20m
</t>
        </r>
      </text>
    </comment>
    <comment ref="U69" authorId="6" shapeId="0" xr:uid="{8CDA5AAE-A682-45A6-9F91-92EB85E9541B}">
      <text>
        <r>
          <rPr>
            <b/>
            <sz val="9"/>
            <color indexed="81"/>
            <rFont val="Tahoma"/>
            <family val="2"/>
          </rPr>
          <t>Ann Prosser:</t>
        </r>
        <r>
          <rPr>
            <sz val="9"/>
            <color indexed="81"/>
            <rFont val="Tahoma"/>
            <family val="2"/>
          </rPr>
          <t xml:space="preserve">
Loan Limit: ~US$450m
Bank Limit: SGD 51.7m 
Policy Limit: SGD 14.1m
</t>
        </r>
      </text>
    </comment>
    <comment ref="U70" authorId="6" shapeId="0" xr:uid="{ECB9C7FA-5299-4A8F-8640-B987D2968C0F}">
      <text>
        <r>
          <rPr>
            <b/>
            <sz val="9"/>
            <color indexed="81"/>
            <rFont val="Tahoma"/>
            <family val="2"/>
          </rPr>
          <t>Ann Prosser:</t>
        </r>
        <r>
          <rPr>
            <sz val="9"/>
            <color indexed="81"/>
            <rFont val="Tahoma"/>
            <family val="2"/>
          </rPr>
          <t xml:space="preserve">
Loan Limit A$1.6b
Bank Limit  A$60m
Policy Limit A$30m</t>
        </r>
      </text>
    </comment>
    <comment ref="U71" authorId="6" shapeId="0" xr:uid="{A2B474F1-CE04-4C08-9EEC-EA810E89F06E}">
      <text>
        <r>
          <rPr>
            <b/>
            <sz val="9"/>
            <color indexed="81"/>
            <rFont val="Tahoma"/>
            <family val="2"/>
          </rPr>
          <t>Ann Prosser:</t>
        </r>
        <r>
          <rPr>
            <sz val="9"/>
            <color indexed="81"/>
            <rFont val="Tahoma"/>
            <family val="2"/>
          </rPr>
          <t xml:space="preserve">
"Loan Limit: A$1.04bn
Bank Limit: A$50m 
Policy Limit: A$25m"
</t>
        </r>
      </text>
    </comment>
    <comment ref="U72" authorId="6" shapeId="0" xr:uid="{1928CFE8-1F0E-405D-8E52-FD4DECE5D856}">
      <text>
        <r>
          <rPr>
            <b/>
            <sz val="9"/>
            <color indexed="81"/>
            <rFont val="Tahoma"/>
            <family val="2"/>
          </rPr>
          <t>Ann Prosser:</t>
        </r>
        <r>
          <rPr>
            <sz val="9"/>
            <color indexed="81"/>
            <rFont val="Tahoma"/>
            <family val="2"/>
          </rPr>
          <t xml:space="preserve">
Loan Limit: GBP 4.5B
Bank Limit: GBP 132m 
Policy Limit: GBP 10m
</t>
        </r>
      </text>
    </comment>
    <comment ref="U73" authorId="6" shapeId="0" xr:uid="{2DB166D4-66AB-435D-9E53-B8313441CF3A}">
      <text>
        <r>
          <rPr>
            <b/>
            <sz val="9"/>
            <color indexed="81"/>
            <rFont val="Tahoma"/>
            <family val="2"/>
          </rPr>
          <t>Ann Prosser:</t>
        </r>
        <r>
          <rPr>
            <sz val="9"/>
            <color indexed="81"/>
            <rFont val="Tahoma"/>
            <family val="2"/>
          </rPr>
          <t xml:space="preserve">
Loan Limit: US$3bn
Bank Limit: US$150m 
Policy Limit: US$7.5</t>
        </r>
      </text>
    </comment>
    <comment ref="U74" authorId="6" shapeId="0" xr:uid="{1FE89390-B65B-4FC8-B3AC-BC65E30040F1}">
      <text>
        <r>
          <rPr>
            <b/>
            <sz val="9"/>
            <color indexed="81"/>
            <rFont val="Tahoma"/>
            <family val="2"/>
          </rPr>
          <t>Ann Prosser:</t>
        </r>
        <r>
          <rPr>
            <sz val="9"/>
            <color indexed="81"/>
            <rFont val="Tahoma"/>
            <family val="2"/>
          </rPr>
          <t xml:space="preserve">
"Loan Limit: US$46.9m
Bank Limit: US$46.9m 
Policy Limit: US$20m"
</t>
        </r>
      </text>
    </comment>
    <comment ref="U75" authorId="6" shapeId="0" xr:uid="{B5F244EE-8B46-4E20-9D2F-9B88FC0C00EC}">
      <text>
        <r>
          <rPr>
            <b/>
            <sz val="9"/>
            <color indexed="81"/>
            <rFont val="Tahoma"/>
            <family val="2"/>
          </rPr>
          <t>Ann Prosser:</t>
        </r>
        <r>
          <rPr>
            <sz val="9"/>
            <color indexed="81"/>
            <rFont val="Tahoma"/>
            <family val="2"/>
          </rPr>
          <t xml:space="preserve">
Loan Limit: €57m
Bank Limit: €53m
Policy Limit: €12.5m
</t>
        </r>
      </text>
    </comment>
    <comment ref="U76" authorId="6" shapeId="0" xr:uid="{50F35264-C87F-4142-8E5B-E3CEC24A5B06}">
      <text>
        <r>
          <rPr>
            <b/>
            <sz val="9"/>
            <color indexed="81"/>
            <rFont val="Tahoma"/>
            <family val="2"/>
          </rPr>
          <t>Ann Prosser:</t>
        </r>
        <r>
          <rPr>
            <sz val="9"/>
            <color indexed="81"/>
            <rFont val="Tahoma"/>
            <family val="2"/>
          </rPr>
          <t xml:space="preserve">
Loan Limit: EUR300m
Bank Limit: EUR65m 
Policy Limit: EUR20m
</t>
        </r>
      </text>
    </comment>
    <comment ref="U77" authorId="0" shapeId="0" xr:uid="{8094F424-3828-4A7F-8E6B-80B2643037A1}">
      <text>
        <r>
          <rPr>
            <b/>
            <sz val="9"/>
            <color indexed="81"/>
            <rFont val="Tahoma"/>
            <family val="2"/>
          </rPr>
          <t>Lea Krstevska:</t>
        </r>
        <r>
          <rPr>
            <sz val="9"/>
            <color indexed="81"/>
            <rFont val="Tahoma"/>
            <family val="2"/>
          </rPr>
          <t xml:space="preserve">
Loan Limit: US$5bn
Bank Limit: US$350m
Policy Limit: US$20m</t>
        </r>
      </text>
    </comment>
    <comment ref="U78" authorId="0" shapeId="0" xr:uid="{95BC1FE5-BFEA-4F46-BA99-7B3B9A107EF6}">
      <text>
        <r>
          <rPr>
            <b/>
            <sz val="9"/>
            <color indexed="81"/>
            <rFont val="Tahoma"/>
            <family val="2"/>
          </rPr>
          <t>Lea Krstevska:</t>
        </r>
        <r>
          <rPr>
            <sz val="9"/>
            <color indexed="81"/>
            <rFont val="Tahoma"/>
            <family val="2"/>
          </rPr>
          <t xml:space="preserve">
Loan Limit: US$886m
Bank Limit: US$58m 
Policy Limit: US$10m</t>
        </r>
      </text>
    </comment>
    <comment ref="U79" authorId="6" shapeId="0" xr:uid="{C9E67664-1085-4467-BF1E-89EFF506543C}">
      <text>
        <r>
          <rPr>
            <b/>
            <sz val="9"/>
            <color indexed="81"/>
            <rFont val="Tahoma"/>
            <family val="2"/>
          </rPr>
          <t>Ann Prosser:</t>
        </r>
        <r>
          <rPr>
            <sz val="9"/>
            <color indexed="81"/>
            <rFont val="Tahoma"/>
            <family val="2"/>
          </rPr>
          <t xml:space="preserve">
Loan Limit: A$5,250m
Bank Limit: A$488m 
Policy Limit: A$15m
</t>
        </r>
      </text>
    </comment>
    <comment ref="U80" authorId="0" shapeId="0" xr:uid="{917522FA-3D90-4B7A-905F-446365182AD8}">
      <text>
        <r>
          <rPr>
            <b/>
            <sz val="9"/>
            <color indexed="81"/>
            <rFont val="Tahoma"/>
            <family val="2"/>
          </rPr>
          <t>Lea Krstevska:</t>
        </r>
        <r>
          <rPr>
            <sz val="9"/>
            <color indexed="81"/>
            <rFont val="Tahoma"/>
            <family val="2"/>
          </rPr>
          <t xml:space="preserve">
Loan Limit: US$300m
Bank Limit: US$100m 
Policy Limit: US$10m</t>
        </r>
      </text>
    </comment>
    <comment ref="U81" authorId="0" shapeId="0" xr:uid="{4717A8AA-CBEE-45AA-9D6A-1F4B7AC2E64B}">
      <text>
        <r>
          <rPr>
            <b/>
            <sz val="9"/>
            <color indexed="81"/>
            <rFont val="Tahoma"/>
            <family val="2"/>
          </rPr>
          <t>Lea Krstevska:</t>
        </r>
        <r>
          <rPr>
            <sz val="9"/>
            <color indexed="81"/>
            <rFont val="Tahoma"/>
            <family val="2"/>
          </rPr>
          <t xml:space="preserve">
Loan Limit: A$256.3m
Bank Limit: A$256.3m 
Policy Limit: A$25m</t>
        </r>
      </text>
    </comment>
    <comment ref="U82" authorId="5" shapeId="0" xr:uid="{369D98F7-E5B5-4209-AA08-5105087978AC}">
      <text>
        <r>
          <rPr>
            <b/>
            <sz val="9"/>
            <color indexed="81"/>
            <rFont val="Tahoma"/>
            <family val="2"/>
          </rPr>
          <t>Samuel Atkinson:</t>
        </r>
        <r>
          <rPr>
            <sz val="9"/>
            <color indexed="81"/>
            <rFont val="Tahoma"/>
            <family val="2"/>
          </rPr>
          <t xml:space="preserve">
USD 1.2-2.0 Facility Limit</t>
        </r>
      </text>
    </comment>
    <comment ref="U83" authorId="0" shapeId="0" xr:uid="{6A13B5E1-3933-468B-B9C3-B95B50A64F3A}">
      <text>
        <r>
          <rPr>
            <b/>
            <sz val="9"/>
            <color indexed="81"/>
            <rFont val="Tahoma"/>
            <family val="2"/>
          </rPr>
          <t>Lea Krstevska:</t>
        </r>
        <r>
          <rPr>
            <sz val="9"/>
            <color indexed="81"/>
            <rFont val="Tahoma"/>
            <family val="2"/>
          </rPr>
          <t xml:space="preserve">
Loan Limit: US$400m
Bank Limit: US$75m 
Policy Limit: US$20m</t>
        </r>
      </text>
    </comment>
    <comment ref="U84" authorId="0" shapeId="0" xr:uid="{901AA422-236F-4F53-9BED-5F9277C3462E}">
      <text>
        <r>
          <rPr>
            <b/>
            <sz val="9"/>
            <color indexed="81"/>
            <rFont val="Tahoma"/>
            <family val="2"/>
          </rPr>
          <t>Lea Krstevska:</t>
        </r>
        <r>
          <rPr>
            <sz val="9"/>
            <color indexed="81"/>
            <rFont val="Tahoma"/>
            <family val="2"/>
          </rPr>
          <t xml:space="preserve">
Loan Limit: NOK 1.5b
Bank Limit: NOK 990m 
Policy Limit: NOK 158m</t>
        </r>
      </text>
    </comment>
    <comment ref="U85" authorId="6" shapeId="0" xr:uid="{115BCF87-E43D-4D98-B705-E1A61BFA09F6}">
      <text>
        <r>
          <rPr>
            <b/>
            <sz val="9"/>
            <color indexed="81"/>
            <rFont val="Tahoma"/>
            <family val="2"/>
          </rPr>
          <t>Ann Prosser:</t>
        </r>
        <r>
          <rPr>
            <sz val="9"/>
            <color indexed="81"/>
            <rFont val="Tahoma"/>
            <family val="2"/>
          </rPr>
          <t xml:space="preserve">
Loan Limit: A$129.6m
Bank Limit: A$93m 
Policy Limit: A$25m
</t>
        </r>
      </text>
    </comment>
    <comment ref="U86" authorId="0" shapeId="0" xr:uid="{0B946D4A-DF1A-428D-B399-9EBE1D0F3BE6}">
      <text>
        <r>
          <rPr>
            <b/>
            <sz val="9"/>
            <color indexed="81"/>
            <rFont val="Tahoma"/>
            <family val="2"/>
          </rPr>
          <t>Lea Krstevska:</t>
        </r>
        <r>
          <rPr>
            <sz val="9"/>
            <color indexed="81"/>
            <rFont val="Tahoma"/>
            <family val="2"/>
          </rPr>
          <t xml:space="preserve">
Loan Limit: JPY 18.5b
Bank Limit: JPY 13.88b
Policy Limit: JPY 1.87b</t>
        </r>
      </text>
    </comment>
    <comment ref="U87" authorId="0" shapeId="0" xr:uid="{F8A3819E-083C-4770-BB06-A6850EB644BD}">
      <text>
        <r>
          <rPr>
            <b/>
            <sz val="9"/>
            <color indexed="81"/>
            <rFont val="Tahoma"/>
            <family val="2"/>
          </rPr>
          <t>Lea Krstevska:</t>
        </r>
        <r>
          <rPr>
            <sz val="9"/>
            <color indexed="81"/>
            <rFont val="Tahoma"/>
            <family val="2"/>
          </rPr>
          <t xml:space="preserve">
Loan Limit: US$1.575b
Bank Limit: US$93.3m 
Policy Limit: US$10m</t>
        </r>
      </text>
    </comment>
    <comment ref="U88" authorId="0" shapeId="0" xr:uid="{AF37B4C0-13D2-40C8-B972-901AE1B1110A}">
      <text>
        <r>
          <rPr>
            <b/>
            <sz val="9"/>
            <color indexed="81"/>
            <rFont val="Tahoma"/>
            <family val="2"/>
          </rPr>
          <t>Lea Krstevska:</t>
        </r>
        <r>
          <rPr>
            <sz val="9"/>
            <color indexed="81"/>
            <rFont val="Tahoma"/>
            <family val="2"/>
          </rPr>
          <t xml:space="preserve">
Loan Limit: EUR 1.4b
Bank Limit: EUR 212m 
Policy Limit: EUR 15m</t>
        </r>
      </text>
    </comment>
    <comment ref="U89" authorId="0" shapeId="0" xr:uid="{9AA3E139-E249-43F0-AEA1-A2D1AAFD97A3}">
      <text>
        <r>
          <rPr>
            <b/>
            <sz val="9"/>
            <color indexed="81"/>
            <rFont val="Tahoma"/>
            <family val="2"/>
          </rPr>
          <t>Lea Krstevska:</t>
        </r>
        <r>
          <rPr>
            <sz val="9"/>
            <color indexed="81"/>
            <rFont val="Tahoma"/>
            <family val="2"/>
          </rPr>
          <t xml:space="preserve">
Loan Limit: US$75m
Bank Limit: US$75m 
Policy Limit: US$20m</t>
        </r>
      </text>
    </comment>
    <comment ref="U90" authorId="0" shapeId="0" xr:uid="{D983DF9F-E7BF-46CF-A92D-EBAF4390EF85}">
      <text>
        <r>
          <rPr>
            <b/>
            <sz val="9"/>
            <color indexed="81"/>
            <rFont val="Tahoma"/>
            <family val="2"/>
          </rPr>
          <t>Lea Krstevska:</t>
        </r>
        <r>
          <rPr>
            <sz val="9"/>
            <color indexed="81"/>
            <rFont val="Tahoma"/>
            <family val="2"/>
          </rPr>
          <t xml:space="preserve">
Loan Limit: EUR 20m
Bank Limit: EUR 20m 
Policy Limit: EUR 3m</t>
        </r>
      </text>
    </comment>
    <comment ref="U91" authorId="0" shapeId="0" xr:uid="{ADB17FB8-D2EA-45BE-B564-E612A0754513}">
      <text>
        <r>
          <rPr>
            <b/>
            <sz val="9"/>
            <color indexed="81"/>
            <rFont val="Tahoma"/>
            <family val="2"/>
          </rPr>
          <t>Lea Krstevska:</t>
        </r>
        <r>
          <rPr>
            <sz val="9"/>
            <color indexed="81"/>
            <rFont val="Tahoma"/>
            <family val="2"/>
          </rPr>
          <t xml:space="preserve">
Loan: JPY12bn
Bank: JPY7bn
Policy: JPY 2.6bn</t>
        </r>
      </text>
    </comment>
    <comment ref="U92" authorId="0" shapeId="0" xr:uid="{F9A69FFD-FEC8-481E-A174-B52801C2775A}">
      <text>
        <r>
          <rPr>
            <b/>
            <sz val="9"/>
            <color indexed="81"/>
            <rFont val="Tahoma"/>
            <family val="2"/>
          </rPr>
          <t>Lea Krstevska:</t>
        </r>
        <r>
          <rPr>
            <sz val="9"/>
            <color indexed="81"/>
            <rFont val="Tahoma"/>
            <family val="2"/>
          </rPr>
          <t xml:space="preserve">
Loan Limit £400m
Bank Limit £90m
Policy Limit  £5m</t>
        </r>
      </text>
    </comment>
    <comment ref="U93" authorId="0" shapeId="0" xr:uid="{DB2A6FD0-1FE9-472A-8E5B-33613FE82DDA}">
      <text>
        <r>
          <rPr>
            <b/>
            <sz val="9"/>
            <color indexed="81"/>
            <rFont val="Tahoma"/>
            <family val="2"/>
          </rPr>
          <t>Lea Krstevska:</t>
        </r>
        <r>
          <rPr>
            <sz val="9"/>
            <color indexed="81"/>
            <rFont val="Tahoma"/>
            <family val="2"/>
          </rPr>
          <t xml:space="preserve">
Loan Limit: A$319m
Bank Limit: A$319m 
Policy Limit: A$30m</t>
        </r>
      </text>
    </comment>
    <comment ref="U94" authorId="5" shapeId="0" xr:uid="{76B0E617-B474-4E9F-9693-6249A56AFC46}">
      <text>
        <r>
          <rPr>
            <b/>
            <sz val="9"/>
            <color indexed="81"/>
            <rFont val="Tahoma"/>
            <family val="2"/>
          </rPr>
          <t>Samuel Atkinson:EUR 25m Bank Limit 
EUR 25m Loan Limit</t>
        </r>
      </text>
    </comment>
    <comment ref="U95" authorId="5" shapeId="0" xr:uid="{89A9AE7E-9ECF-4464-857F-7CBF3840D486}">
      <text>
        <r>
          <rPr>
            <b/>
            <sz val="9"/>
            <color indexed="81"/>
            <rFont val="Tahoma"/>
            <family val="2"/>
          </rPr>
          <t>Samuel Atkinson:</t>
        </r>
        <r>
          <rPr>
            <sz val="9"/>
            <color indexed="81"/>
            <rFont val="Tahoma"/>
            <family val="2"/>
          </rPr>
          <t xml:space="preserve">
Bank Limit: EUR 105m
Loan Limit: EUR 330m</t>
        </r>
      </text>
    </comment>
    <comment ref="U96" authorId="5" shapeId="0" xr:uid="{3EF703D1-734F-4C29-9936-C082A7E4A67D}">
      <text>
        <r>
          <rPr>
            <b/>
            <sz val="9"/>
            <color indexed="81"/>
            <rFont val="Tahoma"/>
            <family val="2"/>
          </rPr>
          <t>Samuel Atkinson
US$61m Bank Limit
US$575m Loan Limit</t>
        </r>
      </text>
    </comment>
    <comment ref="U97" authorId="0" shapeId="0" xr:uid="{58ABAE4C-7BAD-4ECD-80A1-D3DE83BEC747}">
      <text>
        <r>
          <rPr>
            <b/>
            <sz val="9"/>
            <color indexed="81"/>
            <rFont val="Tahoma"/>
            <family val="2"/>
          </rPr>
          <t xml:space="preserve">Lea Krstevska:
</t>
        </r>
        <r>
          <rPr>
            <sz val="9"/>
            <color indexed="81"/>
            <rFont val="Tahoma"/>
            <family val="2"/>
          </rPr>
          <t>Bank Limit: US$50m
Loan Limit: US$1.245bn</t>
        </r>
      </text>
    </comment>
    <comment ref="U98" authorId="6" shapeId="0" xr:uid="{95B6B890-A4CE-4DF2-846C-CEE8E7953212}">
      <text>
        <r>
          <rPr>
            <b/>
            <sz val="9"/>
            <color indexed="81"/>
            <rFont val="Tahoma"/>
            <family val="2"/>
          </rPr>
          <t>Ann Prosser:</t>
        </r>
        <r>
          <rPr>
            <sz val="9"/>
            <color indexed="81"/>
            <rFont val="Tahoma"/>
            <family val="2"/>
          </rPr>
          <t xml:space="preserve">
Loan Limit: US$1.3bn
Bank Limit: US$95m
Policy Limit: US$5m
</t>
        </r>
      </text>
    </comment>
    <comment ref="U99" authorId="2" shapeId="0" xr:uid="{7A53A091-A979-4969-98E4-62EB0A28282F}">
      <text>
        <r>
          <rPr>
            <sz val="8"/>
            <color indexed="81"/>
            <rFont val="Tahoma"/>
            <family val="2"/>
          </rPr>
          <t>US$397.5m , ING US$50m</t>
        </r>
      </text>
    </comment>
    <comment ref="U100" authorId="0" shapeId="0" xr:uid="{F42A30A0-46AF-4014-9438-C9FD05E98078}">
      <text>
        <r>
          <rPr>
            <b/>
            <sz val="9"/>
            <color indexed="81"/>
            <rFont val="Tahoma"/>
            <family val="2"/>
          </rPr>
          <t>Lea Krstevska:</t>
        </r>
        <r>
          <rPr>
            <sz val="9"/>
            <color indexed="81"/>
            <rFont val="Tahoma"/>
            <family val="2"/>
          </rPr>
          <t xml:space="preserve">
Loan: US$340m
Bank: US$80m
Policy: US$15m</t>
        </r>
      </text>
    </comment>
    <comment ref="U101" authorId="0" shapeId="0" xr:uid="{B9B34347-C083-4BA4-80BC-012E5F0D79C0}">
      <text>
        <r>
          <rPr>
            <b/>
            <sz val="9"/>
            <color indexed="81"/>
            <rFont val="Tahoma"/>
            <family val="2"/>
          </rPr>
          <t>Lea Krstevska:</t>
        </r>
        <r>
          <rPr>
            <sz val="9"/>
            <color indexed="81"/>
            <rFont val="Tahoma"/>
            <family val="2"/>
          </rPr>
          <t xml:space="preserve">
Loan: US$125m
Bank: US$9.375m
Policy: US$7.5m</t>
        </r>
      </text>
    </comment>
    <comment ref="U102" authorId="0" shapeId="0" xr:uid="{2143DB85-54ED-427B-BFFF-12A9EAF126B5}">
      <text>
        <r>
          <rPr>
            <b/>
            <sz val="9"/>
            <color indexed="81"/>
            <rFont val="Tahoma"/>
            <family val="2"/>
          </rPr>
          <t>Lea Krstevska:</t>
        </r>
        <r>
          <rPr>
            <sz val="9"/>
            <color indexed="81"/>
            <rFont val="Tahoma"/>
            <family val="2"/>
          </rPr>
          <t xml:space="preserve">
Loan: US$265m
Bank: US$30m
Policy: US$15m</t>
        </r>
      </text>
    </comment>
    <comment ref="U103" authorId="0" shapeId="0" xr:uid="{B852DB51-6977-48DC-A071-190BE1A510D7}">
      <text>
        <r>
          <rPr>
            <b/>
            <sz val="9"/>
            <color indexed="81"/>
            <rFont val="Tahoma"/>
            <family val="2"/>
          </rPr>
          <t>Lea Krstevska:</t>
        </r>
        <r>
          <rPr>
            <sz val="9"/>
            <color indexed="81"/>
            <rFont val="Tahoma"/>
            <family val="2"/>
          </rPr>
          <t xml:space="preserve">
Loan: US$400m
Bank: US$45m
Policy: US$15m</t>
        </r>
      </text>
    </comment>
    <comment ref="U104" authorId="0" shapeId="0" xr:uid="{672407BF-B80F-4169-A363-59575948E098}">
      <text>
        <r>
          <rPr>
            <b/>
            <sz val="9"/>
            <color indexed="81"/>
            <rFont val="Tahoma"/>
            <family val="2"/>
          </rPr>
          <t>Lea Krstevska:</t>
        </r>
        <r>
          <rPr>
            <sz val="9"/>
            <color indexed="81"/>
            <rFont val="Tahoma"/>
            <family val="2"/>
          </rPr>
          <t xml:space="preserve">
Loan: EUR620m
Bank: EUR100m
Policy: EUR15m</t>
        </r>
      </text>
    </comment>
    <comment ref="U105" authorId="0" shapeId="0" xr:uid="{453FC471-8035-48D0-BDB0-F0A24A0AC167}">
      <text>
        <r>
          <rPr>
            <b/>
            <sz val="9"/>
            <color indexed="81"/>
            <rFont val="Tahoma"/>
            <family val="2"/>
          </rPr>
          <t>Lea Krstevska:</t>
        </r>
        <r>
          <rPr>
            <sz val="9"/>
            <color indexed="81"/>
            <rFont val="Tahoma"/>
            <family val="2"/>
          </rPr>
          <t xml:space="preserve">
Loan: US$69.8m
Bank: US$69.8m
Policy: US$15m</t>
        </r>
      </text>
    </comment>
    <comment ref="U106" authorId="0" shapeId="0" xr:uid="{00854C68-B35C-4E4D-9840-74F9E2BC9D46}">
      <text>
        <r>
          <rPr>
            <b/>
            <sz val="9"/>
            <color indexed="81"/>
            <rFont val="Tahoma"/>
            <family val="2"/>
          </rPr>
          <t>Lea Krstevska:</t>
        </r>
        <r>
          <rPr>
            <sz val="9"/>
            <color indexed="81"/>
            <rFont val="Tahoma"/>
            <family val="2"/>
          </rPr>
          <t xml:space="preserve">
Loan: US$300m
Bank: US$30m
Policy: US$15m</t>
        </r>
      </text>
    </comment>
    <comment ref="U107" authorId="0" shapeId="0" xr:uid="{DD582441-6BAE-404B-8E83-3E044306B6FE}">
      <text>
        <r>
          <rPr>
            <b/>
            <sz val="9"/>
            <color indexed="81"/>
            <rFont val="Tahoma"/>
            <family val="2"/>
          </rPr>
          <t>Lea Krstevska:</t>
        </r>
        <r>
          <rPr>
            <sz val="9"/>
            <color indexed="81"/>
            <rFont val="Tahoma"/>
            <family val="2"/>
          </rPr>
          <t xml:space="preserve">
Loan: EUR1.03bn
Bank: EUR185.6m
Policy: EUR22m</t>
        </r>
      </text>
    </comment>
    <comment ref="U108" authorId="0" shapeId="0" xr:uid="{4A7336CB-A1F4-4E37-B6AD-D30DE92653A8}">
      <text>
        <r>
          <rPr>
            <b/>
            <sz val="9"/>
            <color indexed="81"/>
            <rFont val="Tahoma"/>
            <family val="2"/>
          </rPr>
          <t>Lea Krstevska:</t>
        </r>
        <r>
          <rPr>
            <sz val="9"/>
            <color indexed="81"/>
            <rFont val="Tahoma"/>
            <family val="2"/>
          </rPr>
          <t xml:space="preserve">
Loan: EUR375m
Bank: EUR50m
Policy: EUR10m</t>
        </r>
      </text>
    </comment>
    <comment ref="U109" authorId="0" shapeId="0" xr:uid="{3BA3D20D-B8E2-4E64-AEF5-387B187BF10B}">
      <text>
        <r>
          <rPr>
            <b/>
            <sz val="9"/>
            <color indexed="81"/>
            <rFont val="Tahoma"/>
            <family val="2"/>
          </rPr>
          <t>Lea Krstevska:</t>
        </r>
        <r>
          <rPr>
            <sz val="9"/>
            <color indexed="81"/>
            <rFont val="Tahoma"/>
            <family val="2"/>
          </rPr>
          <t xml:space="preserve">
Loan Limit: US$90m
Bank Limit: US$90m
Policy Limit: US$20m</t>
        </r>
      </text>
    </comment>
    <comment ref="U110" authorId="0" shapeId="0" xr:uid="{7FF16FD6-C9A1-4FAE-AD43-50D942429342}">
      <text>
        <r>
          <rPr>
            <b/>
            <sz val="9"/>
            <color indexed="81"/>
            <rFont val="Tahoma"/>
            <family val="2"/>
          </rPr>
          <t>Lea Krstevska:</t>
        </r>
        <r>
          <rPr>
            <sz val="9"/>
            <color indexed="81"/>
            <rFont val="Tahoma"/>
            <family val="2"/>
          </rPr>
          <t xml:space="preserve">
Loan Limit: US$1.05bn
Bank Limit: US$125m
Policy Limit: US$15m</t>
        </r>
      </text>
    </comment>
    <comment ref="U111" authorId="0" shapeId="0" xr:uid="{4623471C-EED6-414E-A8A8-73F0E7CB8A17}">
      <text>
        <r>
          <rPr>
            <b/>
            <sz val="9"/>
            <color indexed="81"/>
            <rFont val="Tahoma"/>
            <family val="2"/>
          </rPr>
          <t>Lea Krstevska:</t>
        </r>
        <r>
          <rPr>
            <sz val="9"/>
            <color indexed="81"/>
            <rFont val="Tahoma"/>
            <family val="2"/>
          </rPr>
          <t xml:space="preserve">
Loan Limit: JPY 22.117bn
Bank Limit: JPY 10bn
Policy Limit: JPY 986.8m</t>
        </r>
      </text>
    </comment>
    <comment ref="U112" authorId="0" shapeId="0" xr:uid="{22C9169B-7D7E-4756-A774-AB326E3BC516}">
      <text>
        <r>
          <rPr>
            <b/>
            <sz val="9"/>
            <color indexed="81"/>
            <rFont val="Tahoma"/>
            <family val="2"/>
          </rPr>
          <t>Lea Krstevska:</t>
        </r>
        <r>
          <rPr>
            <sz val="9"/>
            <color indexed="81"/>
            <rFont val="Tahoma"/>
            <family val="2"/>
          </rPr>
          <t xml:space="preserve">
Loan Limit: US$327m
Bank Llimit: US$20m
Policy Limit: US$10m</t>
        </r>
      </text>
    </comment>
    <comment ref="U113" authorId="0" shapeId="0" xr:uid="{C0B7AA98-1EB1-4E58-92F6-761A54D89611}">
      <text>
        <r>
          <rPr>
            <b/>
            <sz val="9"/>
            <color indexed="81"/>
            <rFont val="Tahoma"/>
            <family val="2"/>
          </rPr>
          <t>Lea Krstevska:</t>
        </r>
        <r>
          <rPr>
            <sz val="9"/>
            <color indexed="81"/>
            <rFont val="Tahoma"/>
            <family val="2"/>
          </rPr>
          <t xml:space="preserve">
Loan Limit: US$818m
Bank Limit: US$40m
Policy Limit: US$20m</t>
        </r>
      </text>
    </comment>
    <comment ref="U114" authorId="0" shapeId="0" xr:uid="{B5C03F7D-C994-45A6-871C-F6F5F6936033}">
      <text>
        <r>
          <rPr>
            <b/>
            <sz val="9"/>
            <color indexed="81"/>
            <rFont val="Tahoma"/>
            <family val="2"/>
          </rPr>
          <t>Lea Krstevska:</t>
        </r>
        <r>
          <rPr>
            <sz val="9"/>
            <color indexed="81"/>
            <rFont val="Tahoma"/>
            <family val="2"/>
          </rPr>
          <t xml:space="preserve">
Loan Limit: US$450m
Bank Limit: US$15m
Policy Limit: US$7.5m</t>
        </r>
      </text>
    </comment>
    <comment ref="U115" authorId="0" shapeId="0" xr:uid="{902B3CD6-88D7-41E3-B0B9-0FBC1B9D7E53}">
      <text>
        <r>
          <rPr>
            <b/>
            <sz val="9"/>
            <color indexed="81"/>
            <rFont val="Tahoma"/>
            <family val="2"/>
          </rPr>
          <t>Lea Krstevska:</t>
        </r>
        <r>
          <rPr>
            <sz val="9"/>
            <color indexed="81"/>
            <rFont val="Tahoma"/>
            <family val="2"/>
          </rPr>
          <t xml:space="preserve">
Loan Limit: CAD$355m
Bank Limit: CAD$30m
Policu Limit: CAD$15m</t>
        </r>
      </text>
    </comment>
    <comment ref="U116" authorId="0" shapeId="0" xr:uid="{E13025AB-D025-438F-AC70-A4E50E646EA9}">
      <text>
        <r>
          <rPr>
            <b/>
            <sz val="9"/>
            <color indexed="81"/>
            <rFont val="Tahoma"/>
            <family val="2"/>
          </rPr>
          <t>Lea Krstevska:</t>
        </r>
        <r>
          <rPr>
            <sz val="9"/>
            <color indexed="81"/>
            <rFont val="Tahoma"/>
            <family val="2"/>
          </rPr>
          <t xml:space="preserve">
Loan Limit: US$327m
Bank Llimit: US$13.8m
Policy Limit: US$6.9m</t>
        </r>
      </text>
    </comment>
    <comment ref="U117" authorId="0" shapeId="0" xr:uid="{751D52BF-A671-4153-8036-0D978B8298DC}">
      <text>
        <r>
          <rPr>
            <b/>
            <sz val="9"/>
            <color indexed="81"/>
            <rFont val="Tahoma"/>
            <family val="2"/>
          </rPr>
          <t>Lea Krstevska:</t>
        </r>
        <r>
          <rPr>
            <sz val="9"/>
            <color indexed="81"/>
            <rFont val="Tahoma"/>
            <family val="2"/>
          </rPr>
          <t xml:space="preserve">
Loan Limit: USD$103m
Bank Limit: USD$103m
Policy Limit: USD$15m</t>
        </r>
      </text>
    </comment>
    <comment ref="U118" authorId="0" shapeId="0" xr:uid="{7FF9D001-4C4F-4AF4-A686-3E4825367B49}">
      <text>
        <r>
          <rPr>
            <b/>
            <sz val="9"/>
            <color indexed="81"/>
            <rFont val="Tahoma"/>
            <family val="2"/>
          </rPr>
          <t>Lea Krstevska:</t>
        </r>
        <r>
          <rPr>
            <sz val="9"/>
            <color indexed="81"/>
            <rFont val="Tahoma"/>
            <family val="2"/>
          </rPr>
          <t xml:space="preserve">
Loan Limit: USD$35m
Bank Limit: USD$15m
Policy Limit: USD$7.5m</t>
        </r>
      </text>
    </comment>
    <comment ref="U119" authorId="0" shapeId="0" xr:uid="{084ACCAF-B692-4FF4-9C71-F1A065F70EDD}">
      <text>
        <r>
          <rPr>
            <b/>
            <sz val="9"/>
            <color indexed="81"/>
            <rFont val="Tahoma"/>
            <family val="2"/>
          </rPr>
          <t>Lea Krstevska:</t>
        </r>
        <r>
          <rPr>
            <sz val="9"/>
            <color indexed="81"/>
            <rFont val="Tahoma"/>
            <family val="2"/>
          </rPr>
          <t xml:space="preserve">
Loan Limit: A$64m
Bank Limit: A$64m
Policy Limit: A$15m</t>
        </r>
      </text>
    </comment>
    <comment ref="U120" authorId="0" shapeId="0" xr:uid="{B25AC933-29D3-420A-9667-21AF867C4E78}">
      <text>
        <r>
          <rPr>
            <b/>
            <sz val="9"/>
            <color indexed="81"/>
            <rFont val="Tahoma"/>
            <family val="2"/>
          </rPr>
          <t>Lea Krstevska:</t>
        </r>
        <r>
          <rPr>
            <sz val="9"/>
            <color indexed="81"/>
            <rFont val="Tahoma"/>
            <family val="2"/>
          </rPr>
          <t xml:space="preserve">
Loan Limit: USD$988m
Bank Limit: USD$74.3m
Policy Limit: USD$20m</t>
        </r>
      </text>
    </comment>
    <comment ref="U121" authorId="0" shapeId="0" xr:uid="{489C3334-E8D2-4989-B40B-FC8E5DBE55BA}">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U122" authorId="0" shapeId="0" xr:uid="{88779893-FA61-411B-96BB-91FA5A9C3796}">
      <text>
        <r>
          <rPr>
            <b/>
            <sz val="9"/>
            <color indexed="81"/>
            <rFont val="Tahoma"/>
            <family val="2"/>
          </rPr>
          <t>Lea Krstevska:</t>
        </r>
        <r>
          <rPr>
            <sz val="9"/>
            <color indexed="81"/>
            <rFont val="Tahoma"/>
            <family val="2"/>
          </rPr>
          <t xml:space="preserve">
Loan Limit: US$4.5bn
Bank Limit: US$285m
Policy Limit: US$10m</t>
        </r>
      </text>
    </comment>
    <comment ref="U123" authorId="0" shapeId="0" xr:uid="{0EF19758-B9E8-4EE7-A160-0999E028EF2C}">
      <text>
        <r>
          <rPr>
            <b/>
            <sz val="9"/>
            <color indexed="81"/>
            <rFont val="Tahoma"/>
            <family val="2"/>
          </rPr>
          <t>Lea Krstevska:</t>
        </r>
        <r>
          <rPr>
            <sz val="9"/>
            <color indexed="81"/>
            <rFont val="Tahoma"/>
            <family val="2"/>
          </rPr>
          <t xml:space="preserve">
Loan: EUR119.6m
Bank:EUR23.9m
Policy: EUR5m</t>
        </r>
      </text>
    </comment>
    <comment ref="U124" authorId="0" shapeId="0" xr:uid="{8B11F572-BC8D-4C7D-959E-CB0C80640272}">
      <text>
        <r>
          <rPr>
            <b/>
            <sz val="9"/>
            <color indexed="81"/>
            <rFont val="Tahoma"/>
            <family val="2"/>
          </rPr>
          <t>Lea Krstevska:</t>
        </r>
        <r>
          <rPr>
            <sz val="9"/>
            <color indexed="81"/>
            <rFont val="Tahoma"/>
            <family val="2"/>
          </rPr>
          <t xml:space="preserve">
Loan Limit: A$266M
Bank Limit: A$41.5m
Policy Limit: A$15m</t>
        </r>
      </text>
    </comment>
    <comment ref="U125" authorId="0" shapeId="0" xr:uid="{1D2D853A-D176-47AF-AD60-E33FE2C7DFE8}">
      <text>
        <r>
          <rPr>
            <b/>
            <sz val="9"/>
            <color indexed="81"/>
            <rFont val="Tahoma"/>
            <family val="2"/>
          </rPr>
          <t>Lea Krstevska:</t>
        </r>
        <r>
          <rPr>
            <sz val="9"/>
            <color indexed="81"/>
            <rFont val="Tahoma"/>
            <family val="2"/>
          </rPr>
          <t xml:space="preserve">
Loan Limit: US$80m
Bank Limit: U$9.5m
Policy Limit: US$4.75m</t>
        </r>
      </text>
    </comment>
    <comment ref="U126" authorId="0" shapeId="0" xr:uid="{AEE57E33-1005-4807-9667-F280578E152E}">
      <text>
        <r>
          <rPr>
            <b/>
            <sz val="9"/>
            <color indexed="81"/>
            <rFont val="Tahoma"/>
            <family val="2"/>
          </rPr>
          <t>Lea Krstevska:</t>
        </r>
        <r>
          <rPr>
            <sz val="9"/>
            <color indexed="81"/>
            <rFont val="Tahoma"/>
            <family val="2"/>
          </rPr>
          <t xml:space="preserve">
Loan Limit: EUR350m
Bank Limit: EUR70m
Policy Limit: EUR6.25m</t>
        </r>
      </text>
    </comment>
    <comment ref="U127" authorId="0" shapeId="0" xr:uid="{B3330AE7-C001-4BD0-94FA-AC50A414D98A}">
      <text>
        <r>
          <rPr>
            <b/>
            <sz val="9"/>
            <color indexed="81"/>
            <rFont val="Tahoma"/>
            <family val="2"/>
          </rPr>
          <t>Lea Krstevska:</t>
        </r>
        <r>
          <rPr>
            <sz val="9"/>
            <color indexed="81"/>
            <rFont val="Tahoma"/>
            <family val="2"/>
          </rPr>
          <t xml:space="preserve">
Loan Limit: US$55m
Bank Limit: US$15.7m
Policy Limit: US$10m</t>
        </r>
      </text>
    </comment>
    <comment ref="U128" authorId="0" shapeId="0" xr:uid="{1EC82A1A-CD10-4577-ABC5-050DBFF2AD03}">
      <text>
        <r>
          <rPr>
            <b/>
            <sz val="9"/>
            <color indexed="81"/>
            <rFont val="Tahoma"/>
            <family val="2"/>
          </rPr>
          <t>Lea Krstevska:</t>
        </r>
        <r>
          <rPr>
            <sz val="9"/>
            <color indexed="81"/>
            <rFont val="Tahoma"/>
            <family val="2"/>
          </rPr>
          <t xml:space="preserve">
Loan Limit: US$1bn
Bank Limit: US$45m
Policy Limit: US$15m</t>
        </r>
      </text>
    </comment>
    <comment ref="U129" authorId="0" shapeId="0" xr:uid="{9D912D09-4C3D-4C51-BD2F-5D61263F70C6}">
      <text>
        <r>
          <rPr>
            <b/>
            <sz val="9"/>
            <color indexed="81"/>
            <rFont val="Tahoma"/>
            <family val="2"/>
          </rPr>
          <t>Lea Krstevska:</t>
        </r>
        <r>
          <rPr>
            <sz val="9"/>
            <color indexed="81"/>
            <rFont val="Tahoma"/>
            <family val="2"/>
          </rPr>
          <t xml:space="preserve">
Loan Limit: US$818m
Bank Limit: US$35m
Policy Limit: US$5m</t>
        </r>
      </text>
    </comment>
    <comment ref="U130" authorId="0" shapeId="0" xr:uid="{C3F4AF18-9C9D-4AEA-9DC9-1B6A1E592EB0}">
      <text>
        <r>
          <rPr>
            <b/>
            <sz val="9"/>
            <color indexed="81"/>
            <rFont val="Tahoma"/>
            <family val="2"/>
          </rPr>
          <t>Lea Krstevska:</t>
        </r>
        <r>
          <rPr>
            <sz val="9"/>
            <color indexed="81"/>
            <rFont val="Tahoma"/>
            <family val="2"/>
          </rPr>
          <t xml:space="preserve">
Loan Limit: A$2.5bn
Bank Limit: A$155m
Policy Limit: A$20m</t>
        </r>
      </text>
    </comment>
    <comment ref="U131" authorId="0" shapeId="0" xr:uid="{21ADEB98-AA65-442D-859F-771EF3FB2FD7}">
      <text>
        <r>
          <rPr>
            <b/>
            <sz val="9"/>
            <color indexed="81"/>
            <rFont val="Tahoma"/>
            <family val="2"/>
          </rPr>
          <t>Lea Krstevska:</t>
        </r>
        <r>
          <rPr>
            <sz val="9"/>
            <color indexed="81"/>
            <rFont val="Tahoma"/>
            <family val="2"/>
          </rPr>
          <t xml:space="preserve">
Loan Limit: A$116m
Bank Limit: A$24m
Policy Limit: A$12m</t>
        </r>
      </text>
    </comment>
    <comment ref="U132" authorId="0" shapeId="0" xr:uid="{18B7EF44-5B4B-433F-9BC8-2D1CB9142AA2}">
      <text>
        <r>
          <rPr>
            <b/>
            <sz val="9"/>
            <color indexed="81"/>
            <rFont val="Tahoma"/>
            <family val="2"/>
          </rPr>
          <t>Lea Krstevska:</t>
        </r>
        <r>
          <rPr>
            <sz val="9"/>
            <color indexed="81"/>
            <rFont val="Tahoma"/>
            <family val="2"/>
          </rPr>
          <t xml:space="preserve">
Loan Limit: US$1.2bn
Bank Limit: US$!50m
Policy Limit: US$7.5m</t>
        </r>
      </text>
    </comment>
    <comment ref="U133" authorId="0" shapeId="0" xr:uid="{7B8FB70E-4E98-4B52-B953-EF9F97A7287B}">
      <text>
        <r>
          <rPr>
            <b/>
            <sz val="9"/>
            <color indexed="81"/>
            <rFont val="Tahoma"/>
            <family val="2"/>
          </rPr>
          <t>Lea Krstevska:</t>
        </r>
        <r>
          <rPr>
            <sz val="9"/>
            <color indexed="81"/>
            <rFont val="Tahoma"/>
            <family val="2"/>
          </rPr>
          <t xml:space="preserve">
Loan Limit: EUR 1bn
Bank Limit: EUR 35m
Policy Limit: EUR20m</t>
        </r>
      </text>
    </comment>
    <comment ref="U135" authorId="0" shapeId="0" xr:uid="{BAE7E737-C94A-4C7B-A263-B7A709F8D5C5}">
      <text>
        <r>
          <rPr>
            <b/>
            <sz val="9"/>
            <color indexed="81"/>
            <rFont val="Tahoma"/>
            <family val="2"/>
          </rPr>
          <t>Lea Krstevska:</t>
        </r>
        <r>
          <rPr>
            <sz val="9"/>
            <color indexed="81"/>
            <rFont val="Tahoma"/>
            <family val="2"/>
          </rPr>
          <t xml:space="preserve">
Loan Limit: EUR 824m
Bank Limit: EUR 86m
Policy Limit: EUR 7.5m (SEK, NOK, DKK)</t>
        </r>
      </text>
    </comment>
    <comment ref="U136" authorId="0" shapeId="0" xr:uid="{A2482FDA-2F73-4F07-9987-E88D102CE266}">
      <text>
        <r>
          <rPr>
            <b/>
            <sz val="9"/>
            <color indexed="81"/>
            <rFont val="Tahoma"/>
            <family val="2"/>
          </rPr>
          <t>Lea Krstevska:</t>
        </r>
        <r>
          <rPr>
            <sz val="9"/>
            <color indexed="81"/>
            <rFont val="Tahoma"/>
            <family val="2"/>
          </rPr>
          <t xml:space="preserve">
Loan Limit: US$1bn
Bank Limit: US$150m
Policy Limit: US$20m</t>
        </r>
      </text>
    </comment>
    <comment ref="U137" authorId="0" shapeId="0" xr:uid="{B688E9AD-33FD-4925-81BB-5FB7E6B71FBC}">
      <text>
        <r>
          <rPr>
            <b/>
            <sz val="9"/>
            <color indexed="81"/>
            <rFont val="Tahoma"/>
            <family val="2"/>
          </rPr>
          <t>Lea Krstevska:</t>
        </r>
        <r>
          <rPr>
            <sz val="9"/>
            <color indexed="81"/>
            <rFont val="Tahoma"/>
            <family val="2"/>
          </rPr>
          <t xml:space="preserve">
Loan Limit: US$570m
Bank Limit: US$16.6m
Policy Limit: US$10m</t>
        </r>
      </text>
    </comment>
    <comment ref="U138" authorId="0" shapeId="0" xr:uid="{FCFB26C2-9FBF-42E8-92B9-351E413705B9}">
      <text>
        <r>
          <rPr>
            <b/>
            <sz val="9"/>
            <color indexed="81"/>
            <rFont val="Tahoma"/>
            <family val="2"/>
          </rPr>
          <t>Lea Krstevska:</t>
        </r>
        <r>
          <rPr>
            <sz val="9"/>
            <color indexed="81"/>
            <rFont val="Tahoma"/>
            <family val="2"/>
          </rPr>
          <t xml:space="preserve">
Loan Limit: US$657m + 5bn HKD
Bank limit: US$200m
Policy Limit: US$15m</t>
        </r>
      </text>
    </comment>
    <comment ref="U139" authorId="0" shapeId="0" xr:uid="{A1AA0661-B7B8-4D4C-BA83-FBECCDBA3A96}">
      <text>
        <r>
          <rPr>
            <b/>
            <sz val="9"/>
            <color indexed="81"/>
            <rFont val="Tahoma"/>
            <family val="2"/>
          </rPr>
          <t>Lea Krstevska:</t>
        </r>
        <r>
          <rPr>
            <sz val="9"/>
            <color indexed="81"/>
            <rFont val="Tahoma"/>
            <family val="2"/>
          </rPr>
          <t xml:space="preserve">
Loan Limit: EUR159m
Bank Limit: EUR 40m
Policy Limit: EUR 10m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Jemma Sargeant</author>
    <author>Samuel Atkinson</author>
    <author>Ann Prosser</author>
  </authors>
  <commentList>
    <comment ref="AF2" authorId="0" shapeId="0" xr:uid="{AA62C2D1-CC2C-463F-B700-8530960D5079}">
      <text>
        <r>
          <rPr>
            <b/>
            <sz val="9"/>
            <color indexed="81"/>
            <rFont val="Tahoma"/>
            <family val="2"/>
          </rPr>
          <t>Lea Krstevska:</t>
        </r>
        <r>
          <rPr>
            <sz val="9"/>
            <color indexed="81"/>
            <rFont val="Tahoma"/>
            <family val="2"/>
          </rPr>
          <t xml:space="preserve">
AUD 20m-30m
USD 15m - 25m
EUR 15m - 22m</t>
        </r>
      </text>
    </comment>
    <comment ref="U4" authorId="1" shapeId="0" xr:uid="{29F431C0-80FF-4674-949C-90F030B54204}">
      <text>
        <r>
          <rPr>
            <b/>
            <sz val="8"/>
            <color indexed="81"/>
            <rFont val="Tahoma"/>
            <family val="2"/>
          </rPr>
          <t>Marc Nicholls:</t>
        </r>
        <r>
          <rPr>
            <sz val="8"/>
            <color indexed="81"/>
            <rFont val="Tahoma"/>
            <family val="2"/>
          </rPr>
          <t xml:space="preserve">
ANZ $50m, Syndicate $225m</t>
        </r>
      </text>
    </comment>
    <comment ref="A5" authorId="2" shapeId="0" xr:uid="{C9028832-69C9-4339-89AE-FBD2848CB7B9}">
      <text>
        <r>
          <rPr>
            <sz val="9"/>
            <color indexed="81"/>
            <rFont val="Tahoma"/>
            <family val="2"/>
          </rPr>
          <t>Note, in run off</t>
        </r>
      </text>
    </comment>
    <comment ref="V5" authorId="1" shapeId="0" xr:uid="{056A750D-99D6-43FE-B9B4-565407DEF25C}">
      <text>
        <r>
          <rPr>
            <b/>
            <sz val="8"/>
            <color indexed="81"/>
            <rFont val="Tahoma"/>
            <family val="2"/>
          </rPr>
          <t>Marc Nicholls:</t>
        </r>
        <r>
          <rPr>
            <sz val="8"/>
            <color indexed="81"/>
            <rFont val="Tahoma"/>
            <family val="2"/>
          </rPr>
          <t xml:space="preserve">
upto 30 June 18 - assumes 1.04NZD:1AUD</t>
        </r>
      </text>
    </comment>
    <comment ref="AJ5" authorId="2" shapeId="0" xr:uid="{81A8F870-FDAF-43CD-A6FF-B78D4D772BB1}">
      <text>
        <r>
          <rPr>
            <b/>
            <sz val="9"/>
            <color indexed="81"/>
            <rFont val="Tahoma"/>
            <family val="2"/>
          </rPr>
          <t>Facility is in run off</t>
        </r>
      </text>
    </comment>
    <comment ref="U7" authorId="2" shapeId="0" xr:uid="{02713A49-231B-45F6-AAA9-B8EC8BCF74FD}">
      <text>
        <r>
          <rPr>
            <b/>
            <sz val="8"/>
            <color indexed="81"/>
            <rFont val="Tahoma"/>
            <family val="2"/>
          </rPr>
          <t>Loan Limit: 100m
Bank Limit: 83.4m
Policy Limit: 16.680m</t>
        </r>
      </text>
    </comment>
    <comment ref="U8" authorId="2" shapeId="0" xr:uid="{18F457C4-7F2F-4451-9C17-266E36DB83BA}">
      <text>
        <r>
          <rPr>
            <sz val="9"/>
            <color indexed="81"/>
            <rFont val="Tahoma"/>
            <family val="2"/>
          </rPr>
          <t xml:space="preserve">Supporting SG's USD150 participation in a USD750m facility
</t>
        </r>
      </text>
    </comment>
    <comment ref="U9" authorId="2" shapeId="0" xr:uid="{9545269A-FFCD-48AB-8D02-783D4FAE55CD}">
      <text>
        <r>
          <rPr>
            <b/>
            <sz val="9"/>
            <color indexed="81"/>
            <rFont val="Tahoma"/>
            <family val="2"/>
          </rPr>
          <t>supports DB INR6b participation</t>
        </r>
      </text>
    </comment>
    <comment ref="U10" authorId="1" shapeId="0" xr:uid="{59BE70F6-CAD1-479B-B5CE-E1262F343CF9}">
      <text>
        <r>
          <rPr>
            <b/>
            <sz val="9"/>
            <color indexed="81"/>
            <rFont val="Tahoma"/>
            <family val="2"/>
          </rPr>
          <t>Marc Nicholls:</t>
        </r>
        <r>
          <rPr>
            <sz val="9"/>
            <color indexed="81"/>
            <rFont val="Tahoma"/>
            <family val="2"/>
          </rPr>
          <t xml:space="preserve">
supports ING in its EUR175m participation in Eur625m faciilty</t>
        </r>
      </text>
    </comment>
    <comment ref="U11" authorId="2" shapeId="0" xr:uid="{57235390-7A26-4386-91C7-C81DFEE4976F}">
      <text>
        <r>
          <rPr>
            <sz val="8"/>
            <color indexed="81"/>
            <rFont val="Tahoma"/>
            <family val="2"/>
          </rPr>
          <t>US1.024b, StanChart US131.75m</t>
        </r>
      </text>
    </comment>
    <comment ref="U13" authorId="2" shapeId="0" xr:uid="{23A7BA0F-8E7E-477C-9CC5-4CFD4E043C9A}">
      <text>
        <r>
          <rPr>
            <b/>
            <sz val="9"/>
            <color indexed="81"/>
            <rFont val="Tahoma"/>
            <family val="2"/>
          </rPr>
          <t>USD263m of USD5.5 facilityheld by CA</t>
        </r>
      </text>
    </comment>
    <comment ref="U14" authorId="2" shapeId="0" xr:uid="{4ADAB801-1D62-4859-8472-74A069547A40}">
      <text>
        <r>
          <rPr>
            <b/>
            <sz val="9"/>
            <color indexed="81"/>
            <rFont val="Tahoma"/>
            <family val="2"/>
          </rPr>
          <t>CEIP supporting DBs A$40m exposure in the B1 senior tranche of a A$850m, 6-year non-amortising Senior Syndicated Loan Facility (the Facility).</t>
        </r>
      </text>
    </comment>
    <comment ref="U15" authorId="3" shapeId="0" xr:uid="{352924AE-268E-43F1-A5E0-EFF174E3D0CD}">
      <text>
        <r>
          <rPr>
            <sz val="9"/>
            <color indexed="81"/>
            <rFont val="Tahoma"/>
            <family val="2"/>
          </rPr>
          <t>CEIP support to SG (Paris Branch)  in its US$120m participation in a US$790m committed senior secured syndicated pooled commercial aircraft term loan financing facility</t>
        </r>
      </text>
    </comment>
    <comment ref="U16" authorId="3" shapeId="0" xr:uid="{215272F9-27AB-45E3-9C75-A3E8E8E62AC5}">
      <text>
        <r>
          <rPr>
            <sz val="9"/>
            <color indexed="81"/>
            <rFont val="Tahoma"/>
            <family val="2"/>
          </rPr>
          <t>EUR15m CEIP to support ING Belgium in a EUR50m bilateral committed term loan facility to Retail Estates NV.</t>
        </r>
      </text>
    </comment>
    <comment ref="U17" authorId="3" shapeId="0" xr:uid="{B3A1CDE7-2B81-4CFF-99A8-5609F2042E25}">
      <text>
        <r>
          <rPr>
            <sz val="9"/>
            <color indexed="81"/>
            <rFont val="Tahoma"/>
            <family val="2"/>
          </rPr>
          <t>A$20m proportional collateral shortfall CEIP for a term of 4 years to support its participation in a A$270m Syndicated Senior Secured Facility (the Facility) to Bis Finance Pty Ltd. DB will participate with A$30m in the Term Loan Facility and A$20m in the Capex Facility.</t>
        </r>
      </text>
    </comment>
    <comment ref="U20" authorId="3" shapeId="0" xr:uid="{0E2763BA-529C-4CCD-876F-F8F1DE083720}">
      <text>
        <r>
          <rPr>
            <sz val="9"/>
            <color indexed="81"/>
            <rFont val="Tahoma"/>
            <family val="2"/>
          </rPr>
          <t xml:space="preserve">CEIP support to Greenstars BNPP in its US$75m participation in a US$1160m committed senior secured syndicated term loan financing </t>
        </r>
      </text>
    </comment>
    <comment ref="U24" authorId="2" shapeId="0" xr:uid="{1A644A28-C5C5-42DA-A1BB-2D4696F73BB1}">
      <text>
        <r>
          <rPr>
            <sz val="8"/>
            <color indexed="81"/>
            <rFont val="Tahoma"/>
            <family val="2"/>
          </rPr>
          <t>US$500m, Socgen US$75m</t>
        </r>
      </text>
    </comment>
    <comment ref="U27" authorId="2" shapeId="0" xr:uid="{F1EC7D7A-AE1C-4714-826C-A05052E0BAAD}">
      <text>
        <r>
          <rPr>
            <sz val="8"/>
            <color indexed="81"/>
            <rFont val="Tahoma"/>
            <family val="2"/>
          </rPr>
          <t>US$1b, ANZ London US$107m</t>
        </r>
      </text>
    </comment>
    <comment ref="U30" authorId="2" shapeId="0" xr:uid="{3E3A7558-C756-4EDE-9A2C-ADCED3FE42D2}">
      <text>
        <r>
          <rPr>
            <sz val="8"/>
            <color indexed="81"/>
            <rFont val="Tahoma"/>
            <family val="2"/>
          </rPr>
          <t>US290m, SMBC US$50m</t>
        </r>
      </text>
    </comment>
    <comment ref="U31" authorId="2" shapeId="0" xr:uid="{5D975A8F-2E7F-41DB-ABEE-16C63F6D0455}">
      <text>
        <r>
          <rPr>
            <b/>
            <sz val="9"/>
            <color indexed="81"/>
            <rFont val="Tahoma"/>
            <family val="2"/>
          </rPr>
          <t>ING participation of EUR150m of EUR650m facility</t>
        </r>
      </text>
    </comment>
    <comment ref="U33" authorId="2" shapeId="0" xr:uid="{25B37D72-1D92-4D89-A99E-91F051126C94}">
      <text>
        <r>
          <rPr>
            <b/>
            <sz val="9"/>
            <color indexed="81"/>
            <rFont val="Tahoma"/>
            <family val="2"/>
          </rPr>
          <t>DB participation of $65m in $180m senior secured loan only, $10m revolver and $10m capex facility</t>
        </r>
      </text>
    </comment>
    <comment ref="U34" authorId="1" shapeId="0" xr:uid="{90C989B6-3C16-4369-86A3-774D9D6EE792}">
      <text>
        <r>
          <rPr>
            <b/>
            <sz val="9"/>
            <color indexed="81"/>
            <rFont val="Tahoma"/>
            <family val="2"/>
          </rPr>
          <t>Marc Nicholls:</t>
        </r>
        <r>
          <rPr>
            <sz val="9"/>
            <color indexed="81"/>
            <rFont val="Tahoma"/>
            <family val="2"/>
          </rPr>
          <t xml:space="preserve">
ING $137m of $137m</t>
        </r>
      </text>
    </comment>
    <comment ref="U35" authorId="1" shapeId="0" xr:uid="{9838A70B-0925-4EAF-8011-B6546631608C}">
      <text>
        <r>
          <rPr>
            <b/>
            <sz val="9"/>
            <color indexed="81"/>
            <rFont val="Tahoma"/>
            <family val="2"/>
          </rPr>
          <t>Marc Nicholls:</t>
        </r>
        <r>
          <rPr>
            <sz val="9"/>
            <color indexed="81"/>
            <rFont val="Tahoma"/>
            <family val="2"/>
          </rPr>
          <t xml:space="preserve">
BNPP $30 of $80m</t>
        </r>
      </text>
    </comment>
    <comment ref="U36" authorId="4" shapeId="0" xr:uid="{0D6CE51C-FB36-457C-B316-30D5F506E653}">
      <text>
        <r>
          <rPr>
            <b/>
            <sz val="9"/>
            <color indexed="81"/>
            <rFont val="Tahoma"/>
            <family val="2"/>
          </rPr>
          <t>Jemma Sargeant:</t>
        </r>
        <r>
          <rPr>
            <sz val="9"/>
            <color indexed="81"/>
            <rFont val="Tahoma"/>
            <family val="2"/>
          </rPr>
          <t xml:space="preserve">
ANZ US$92mil in US$1.5bil</t>
        </r>
      </text>
    </comment>
    <comment ref="U37" authorId="4" shapeId="0" xr:uid="{66CD92B5-4C03-47C2-8AD2-21D78216BA9C}">
      <text>
        <r>
          <rPr>
            <b/>
            <sz val="9"/>
            <color indexed="81"/>
            <rFont val="Tahoma"/>
            <family val="2"/>
          </rPr>
          <t>Jemma Sargeant:</t>
        </r>
        <r>
          <rPr>
            <sz val="9"/>
            <color indexed="81"/>
            <rFont val="Tahoma"/>
            <family val="2"/>
          </rPr>
          <t xml:space="preserve">
ANZ US$96.8mil in US$193.6mil</t>
        </r>
      </text>
    </comment>
    <comment ref="A38" authorId="2" shapeId="0" xr:uid="{C94943A6-84F1-4542-BE0D-D0F819CB3FCC}">
      <text>
        <r>
          <rPr>
            <b/>
            <sz val="9"/>
            <color indexed="81"/>
            <rFont val="Tahoma"/>
            <family val="2"/>
          </rPr>
          <t>Barings (Head Office)</t>
        </r>
      </text>
    </comment>
    <comment ref="U38" authorId="4" shapeId="0" xr:uid="{A5C7B8C5-8D98-4687-B2F6-C7610C7CA98E}">
      <text>
        <r>
          <rPr>
            <b/>
            <sz val="9"/>
            <color indexed="81"/>
            <rFont val="Tahoma"/>
            <family val="2"/>
          </rPr>
          <t>Jemma Sargeant:</t>
        </r>
        <r>
          <rPr>
            <sz val="9"/>
            <color indexed="81"/>
            <rFont val="Tahoma"/>
            <family val="2"/>
          </rPr>
          <t xml:space="preserve">
ING EUR 16.055mil</t>
        </r>
      </text>
    </comment>
    <comment ref="U39" authorId="4" shapeId="0" xr:uid="{7B40EFCA-6EED-4751-BC1A-82CD452A5D9B}">
      <text>
        <r>
          <rPr>
            <b/>
            <sz val="9"/>
            <color indexed="81"/>
            <rFont val="Tahoma"/>
            <family val="2"/>
          </rPr>
          <t>Jemma Sargeant:</t>
        </r>
        <r>
          <rPr>
            <sz val="9"/>
            <color indexed="81"/>
            <rFont val="Tahoma"/>
            <family val="2"/>
          </rPr>
          <t xml:space="preserve">
US$105m in US$1.3b facility</t>
        </r>
      </text>
    </comment>
    <comment ref="U40" authorId="2" shapeId="0" xr:uid="{C0EC5938-A5F5-4874-B95F-5F5D2219430A}">
      <text>
        <r>
          <rPr>
            <b/>
            <sz val="9"/>
            <color indexed="81"/>
            <rFont val="Tahoma"/>
            <family val="2"/>
          </rPr>
          <t xml:space="preserve">Total Loan $560m, Bank Limit $40m, Policy Limit (BNPP) $10m, RI Policy Limit $5m
</t>
        </r>
      </text>
    </comment>
    <comment ref="U41" authorId="4" shapeId="0" xr:uid="{D0CC920D-5F67-42D1-98BC-2FF561A7392E}">
      <text>
        <r>
          <rPr>
            <b/>
            <sz val="9"/>
            <color indexed="81"/>
            <rFont val="Tahoma"/>
            <family val="2"/>
          </rPr>
          <t>Jemma Sargeant:</t>
        </r>
        <r>
          <rPr>
            <sz val="9"/>
            <color indexed="81"/>
            <rFont val="Tahoma"/>
            <family val="2"/>
          </rPr>
          <t xml:space="preserve">
US$75m in US$200m</t>
        </r>
      </text>
    </comment>
    <comment ref="U42" authorId="4" shapeId="0" xr:uid="{20E10ECA-9FDE-47C9-ADA2-34227F82869E}">
      <text>
        <r>
          <rPr>
            <b/>
            <sz val="9"/>
            <color indexed="81"/>
            <rFont val="Tahoma"/>
            <family val="2"/>
          </rPr>
          <t>Jemma Sargeant:</t>
        </r>
        <r>
          <rPr>
            <sz val="9"/>
            <color indexed="81"/>
            <rFont val="Tahoma"/>
            <family val="2"/>
          </rPr>
          <t xml:space="preserve">
US$36m facility
</t>
        </r>
      </text>
    </comment>
    <comment ref="U43" authorId="4" shapeId="0" xr:uid="{4313E638-8DAF-4088-ABA3-776F03EDA9AA}">
      <text>
        <r>
          <rPr>
            <b/>
            <sz val="9"/>
            <color indexed="81"/>
            <rFont val="Tahoma"/>
            <family val="2"/>
          </rPr>
          <t>Jemma Sargeant:</t>
        </r>
        <r>
          <rPr>
            <sz val="9"/>
            <color indexed="81"/>
            <rFont val="Tahoma"/>
            <family val="2"/>
          </rPr>
          <t xml:space="preserve">
US$150m in US$300m facility</t>
        </r>
      </text>
    </comment>
    <comment ref="U44" authorId="4" shapeId="0" xr:uid="{35245632-A09E-4CB4-A50F-EEDA414A0678}">
      <text>
        <r>
          <rPr>
            <b/>
            <sz val="9"/>
            <color indexed="81"/>
            <rFont val="Tahoma"/>
            <family val="2"/>
          </rPr>
          <t xml:space="preserve">Jemma Sargeant
EUR70M in EUR1.4b
</t>
        </r>
        <r>
          <rPr>
            <sz val="9"/>
            <color indexed="81"/>
            <rFont val="Tahoma"/>
            <family val="2"/>
          </rPr>
          <t xml:space="preserve">
</t>
        </r>
      </text>
    </comment>
    <comment ref="U45" authorId="4" shapeId="0" xr:uid="{BE1B8290-8B0F-4D54-9373-CA90AF70DD02}">
      <text>
        <r>
          <rPr>
            <b/>
            <sz val="9"/>
            <color indexed="81"/>
            <rFont val="Tahoma"/>
            <family val="2"/>
          </rPr>
          <t>Jemma Sargeant:</t>
        </r>
        <r>
          <rPr>
            <sz val="9"/>
            <color indexed="81"/>
            <rFont val="Tahoma"/>
            <family val="2"/>
          </rPr>
          <t xml:space="preserve">
US$20m in US$115m Facility
</t>
        </r>
      </text>
    </comment>
    <comment ref="U46" authorId="4" shapeId="0" xr:uid="{73E76966-F7EB-4F4D-8FFC-5B26B038A249}">
      <text>
        <r>
          <rPr>
            <b/>
            <sz val="9"/>
            <color indexed="81"/>
            <rFont val="Tahoma"/>
            <family val="2"/>
          </rPr>
          <t xml:space="preserve">Loan = us$350
Bank = us$100
</t>
        </r>
        <r>
          <rPr>
            <sz val="9"/>
            <color indexed="81"/>
            <rFont val="Tahoma"/>
            <family val="2"/>
          </rPr>
          <t xml:space="preserve">
</t>
        </r>
      </text>
    </comment>
    <comment ref="U47" authorId="4" shapeId="0" xr:uid="{DDC222E3-488B-4EBF-A47F-3DDA46F939EC}">
      <text>
        <r>
          <rPr>
            <b/>
            <sz val="9"/>
            <color indexed="81"/>
            <rFont val="Tahoma"/>
            <family val="2"/>
          </rPr>
          <t xml:space="preserve">Jemma Sargeant
SGD100M in SGD427m
</t>
        </r>
        <r>
          <rPr>
            <sz val="9"/>
            <color indexed="81"/>
            <rFont val="Tahoma"/>
            <family val="2"/>
          </rPr>
          <t xml:space="preserve">
</t>
        </r>
      </text>
    </comment>
    <comment ref="U48" authorId="5" shapeId="0" xr:uid="{A3E315F6-FCE3-46A5-AC50-C2E85ECC2D32}">
      <text>
        <r>
          <rPr>
            <b/>
            <sz val="9"/>
            <color indexed="81"/>
            <rFont val="Tahoma"/>
            <family val="2"/>
          </rPr>
          <t>Samuel Atkinson:</t>
        </r>
        <r>
          <rPr>
            <sz val="9"/>
            <color indexed="81"/>
            <rFont val="Tahoma"/>
            <family val="2"/>
          </rPr>
          <t xml:space="preserve">
Bank limit: AUD 75m 
Facility limit: AUD 750m</t>
        </r>
      </text>
    </comment>
    <comment ref="U49" authorId="4" shapeId="0" xr:uid="{5AB03007-4E83-479D-9814-04CD1F40D8F3}">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50" authorId="5" shapeId="0" xr:uid="{EAE15C0B-8745-417E-AE2E-AC9B85316509}">
      <text>
        <r>
          <rPr>
            <b/>
            <sz val="9"/>
            <color indexed="81"/>
            <rFont val="Tahoma"/>
            <family val="2"/>
          </rPr>
          <t>Samuel Atkinson:
Facility Limit: EUR 97.2m
Bank Limit: 48.6
Policy Limit: 15</t>
        </r>
      </text>
    </comment>
    <comment ref="U51" authorId="5" shapeId="0" xr:uid="{0289077A-6AE9-43E9-AD6D-E37C4A1789BD}">
      <text>
        <r>
          <rPr>
            <b/>
            <sz val="9"/>
            <color indexed="81"/>
            <rFont val="Tahoma"/>
            <family val="2"/>
          </rPr>
          <t xml:space="preserve">Samuel Atkinson:
Loan Limit: EUR 90.25m
Bank Limit: EUR 90.25m
</t>
        </r>
      </text>
    </comment>
    <comment ref="AA51" authorId="5" shapeId="0" xr:uid="{F60EFB59-7418-49F7-B24C-2E4635F897CA}">
      <text>
        <r>
          <rPr>
            <b/>
            <sz val="9"/>
            <color indexed="81"/>
            <rFont val="Tahoma"/>
            <family val="2"/>
          </rPr>
          <t>Samuel Atkinson:</t>
        </r>
        <r>
          <rPr>
            <sz val="9"/>
            <color indexed="81"/>
            <rFont val="Tahoma"/>
            <family val="2"/>
          </rPr>
          <t xml:space="preserve">
Two 1 year extension options approved
</t>
        </r>
      </text>
    </comment>
    <comment ref="U52" authorId="5" shapeId="0" xr:uid="{D0CB9214-CF27-4E5D-92C4-22EEEA398F34}">
      <text>
        <r>
          <rPr>
            <b/>
            <sz val="9"/>
            <color indexed="81"/>
            <rFont val="Tahoma"/>
            <family val="2"/>
          </rPr>
          <t>Samuel Atkinson:</t>
        </r>
        <r>
          <rPr>
            <sz val="9"/>
            <color indexed="81"/>
            <rFont val="Tahoma"/>
            <family val="2"/>
          </rPr>
          <t xml:space="preserve">
Facility Limit: US$3b</t>
        </r>
      </text>
    </comment>
    <comment ref="U53" authorId="5" shapeId="0" xr:uid="{78DC1777-B29B-49D2-BDB8-D8F87DAA4EA0}">
      <text>
        <r>
          <rPr>
            <b/>
            <sz val="9"/>
            <color indexed="81"/>
            <rFont val="Tahoma"/>
            <family val="2"/>
          </rPr>
          <t>Samuel Atkinson:</t>
        </r>
        <r>
          <rPr>
            <sz val="9"/>
            <color indexed="81"/>
            <rFont val="Tahoma"/>
            <family val="2"/>
          </rPr>
          <t xml:space="preserve">
1.75b US term loan
175b US ANZ commitment
</t>
        </r>
      </text>
    </comment>
    <comment ref="U54" authorId="5" shapeId="0" xr:uid="{84A9B4B5-2AC7-43F5-813A-EBE0ACB2131A}">
      <text>
        <r>
          <rPr>
            <b/>
            <sz val="9"/>
            <color indexed="81"/>
            <rFont val="Tahoma"/>
            <family val="2"/>
          </rPr>
          <t>Samuel Atkinson:</t>
        </r>
        <r>
          <rPr>
            <sz val="9"/>
            <color indexed="81"/>
            <rFont val="Tahoma"/>
            <family val="2"/>
          </rPr>
          <t xml:space="preserve">
Bank: EUR 120m
Loan: EUR 500m</t>
        </r>
      </text>
    </comment>
    <comment ref="N55" authorId="5" shapeId="0" xr:uid="{5218425B-8C61-4CB9-A2F4-B1A4AFC3ED7E}">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55" authorId="5" shapeId="0" xr:uid="{DF3BF84B-ADBD-4855-B344-8FEAABDA554F}">
      <text>
        <r>
          <rPr>
            <b/>
            <sz val="9"/>
            <color indexed="81"/>
            <rFont val="Tahoma"/>
            <family val="2"/>
          </rPr>
          <t>Samuel Atkinson:</t>
        </r>
        <r>
          <rPr>
            <sz val="9"/>
            <color indexed="81"/>
            <rFont val="Tahoma"/>
            <family val="2"/>
          </rPr>
          <t xml:space="preserve">
Loan Limit:US$385.9m
Bank Limit: US$30m
Policy: US$10m</t>
        </r>
      </text>
    </comment>
    <comment ref="U56" authorId="5" shapeId="0" xr:uid="{293F86D6-3FB5-4349-A758-BBB1A29D17C2}">
      <text>
        <r>
          <rPr>
            <b/>
            <sz val="9"/>
            <color indexed="81"/>
            <rFont val="Tahoma"/>
            <family val="2"/>
          </rPr>
          <t>Samuel Atkinson:</t>
        </r>
        <r>
          <rPr>
            <sz val="9"/>
            <color indexed="81"/>
            <rFont val="Tahoma"/>
            <family val="2"/>
          </rPr>
          <t xml:space="preserve">
Bank Limit = 114.4m 
Loan Limit = 1.5b</t>
        </r>
      </text>
    </comment>
    <comment ref="U57" authorId="5" shapeId="0" xr:uid="{38B8E9EE-FAC2-4E77-9C57-F7B5CDFA40D2}">
      <text>
        <r>
          <rPr>
            <b/>
            <sz val="9"/>
            <color indexed="81"/>
            <rFont val="Tahoma"/>
            <family val="2"/>
          </rPr>
          <t>Samuel Atkinson:
RI: 15m
Bank: 50m
Loan: 545m</t>
        </r>
      </text>
    </comment>
    <comment ref="U58" authorId="6" shapeId="0" xr:uid="{F4E1C03C-2610-4CD5-8553-C2E12A23BFF5}">
      <text>
        <r>
          <rPr>
            <b/>
            <sz val="9"/>
            <color indexed="81"/>
            <rFont val="Tahoma"/>
            <family val="2"/>
          </rPr>
          <t>Ann Prosser:</t>
        </r>
        <r>
          <rPr>
            <sz val="9"/>
            <color indexed="81"/>
            <rFont val="Tahoma"/>
            <family val="2"/>
          </rPr>
          <t xml:space="preserve">
Loan Limit: A$1b
Bank Limit: A$50m 
Policy Limit: A$10m
</t>
        </r>
      </text>
    </comment>
    <comment ref="U59" authorId="5" shapeId="0" xr:uid="{4C00DC76-D37A-409A-9EAD-657D0E0C4469}">
      <text>
        <r>
          <rPr>
            <b/>
            <sz val="9"/>
            <color indexed="81"/>
            <rFont val="Tahoma"/>
            <family val="2"/>
          </rPr>
          <t>Samuel Atkinson
RI Policy: US$3.125
Policy: US$6.25
Bank: US$12.5
Loan: US$36.5m</t>
        </r>
      </text>
    </comment>
    <comment ref="U61" authorId="6" shapeId="0" xr:uid="{1AEF111F-9CC6-48F4-9FCD-A9F78BD29EA6}">
      <text>
        <r>
          <rPr>
            <b/>
            <sz val="9"/>
            <color indexed="81"/>
            <rFont val="Tahoma"/>
            <family val="2"/>
          </rPr>
          <t>Ann Prosser:</t>
        </r>
        <r>
          <rPr>
            <sz val="9"/>
            <color indexed="81"/>
            <rFont val="Tahoma"/>
            <family val="2"/>
          </rPr>
          <t xml:space="preserve">
Policy limit: USD $15m, Bank Limit: usd $ 30m</t>
        </r>
      </text>
    </comment>
    <comment ref="U62" authorId="5" shapeId="0" xr:uid="{98E17F9C-8C7F-4402-8AE3-00538533A786}">
      <text>
        <r>
          <rPr>
            <b/>
            <sz val="9"/>
            <color indexed="81"/>
            <rFont val="Tahoma"/>
            <family val="2"/>
          </rPr>
          <t>Samuel Atkinson:</t>
        </r>
        <r>
          <rPr>
            <sz val="9"/>
            <color indexed="81"/>
            <rFont val="Tahoma"/>
            <family val="2"/>
          </rPr>
          <t xml:space="preserve">
Bank Limit = approx US$26.67m
Loan Limit = Approx US$300m</t>
        </r>
      </text>
    </comment>
    <comment ref="U63" authorId="5" shapeId="0" xr:uid="{E6A532DF-9D4F-422D-BD52-AAF03692AE87}">
      <text>
        <r>
          <rPr>
            <b/>
            <sz val="9"/>
            <color indexed="81"/>
            <rFont val="Tahoma"/>
            <family val="2"/>
          </rPr>
          <t>Samuel Atkinson:</t>
        </r>
        <r>
          <rPr>
            <sz val="9"/>
            <color indexed="81"/>
            <rFont val="Tahoma"/>
            <family val="2"/>
          </rPr>
          <t xml:space="preserve">
 Bank Limit: US$105m Loan Limit: US$210 m </t>
        </r>
      </text>
    </comment>
    <comment ref="U64" authorId="5" shapeId="0" xr:uid="{4A42E6E3-63D7-4B11-831B-4D63AD5D68A2}">
      <text>
        <r>
          <rPr>
            <b/>
            <sz val="9"/>
            <color indexed="81"/>
            <rFont val="Tahoma"/>
            <family val="2"/>
          </rPr>
          <t>Samuel Atkinson:</t>
        </r>
        <r>
          <rPr>
            <sz val="9"/>
            <color indexed="81"/>
            <rFont val="Tahoma"/>
            <family val="2"/>
          </rPr>
          <t xml:space="preserve">
Bank Limit: US$42.033m
Loan  Limit: US$126.1m</t>
        </r>
      </text>
    </comment>
    <comment ref="U65" authorId="5" shapeId="0" xr:uid="{98ADA75A-7BD0-4330-9800-A61DB651183B}">
      <text>
        <r>
          <rPr>
            <b/>
            <sz val="9"/>
            <color indexed="81"/>
            <rFont val="Tahoma"/>
            <family val="2"/>
          </rPr>
          <t>Samuel Atkinson:</t>
        </r>
        <r>
          <rPr>
            <sz val="9"/>
            <color indexed="81"/>
            <rFont val="Tahoma"/>
            <family val="2"/>
          </rPr>
          <t xml:space="preserve">
Bank Limit: US$10
Loan Limit: US$730m 
</t>
        </r>
      </text>
    </comment>
    <comment ref="U66" authorId="6" shapeId="0" xr:uid="{750342C6-B019-4486-8A5E-F5870DEE49F6}">
      <text>
        <r>
          <rPr>
            <b/>
            <sz val="9"/>
            <color indexed="81"/>
            <rFont val="Tahoma"/>
            <family val="2"/>
          </rPr>
          <t>Ann Prosser:</t>
        </r>
        <r>
          <rPr>
            <sz val="9"/>
            <color indexed="81"/>
            <rFont val="Tahoma"/>
            <family val="2"/>
          </rPr>
          <t xml:space="preserve">
Loan Limit: GBP 700m
Bank Limit: GBP 80m 
Policy Limit: GBP 10m</t>
        </r>
      </text>
    </comment>
    <comment ref="U67" authorId="6" shapeId="0" xr:uid="{F7153E63-618A-4F8D-9CE2-646C23643D09}">
      <text>
        <r>
          <rPr>
            <b/>
            <sz val="9"/>
            <color indexed="81"/>
            <rFont val="Tahoma"/>
            <family val="2"/>
          </rPr>
          <t>Ann Prosser:</t>
        </r>
        <r>
          <rPr>
            <sz val="9"/>
            <color indexed="81"/>
            <rFont val="Tahoma"/>
            <family val="2"/>
          </rPr>
          <t xml:space="preserve">
Loan Limit: US$185m
Bank Limit: US$35m 
Policy Limit: US$7m
</t>
        </r>
      </text>
    </comment>
    <comment ref="U68" authorId="6" shapeId="0" xr:uid="{B1851CB4-D314-4C45-8877-F0C4501EEFD7}">
      <text>
        <r>
          <rPr>
            <b/>
            <sz val="9"/>
            <color indexed="81"/>
            <rFont val="Tahoma"/>
            <family val="2"/>
          </rPr>
          <t>Ann Prosser:</t>
        </r>
        <r>
          <rPr>
            <sz val="9"/>
            <color indexed="81"/>
            <rFont val="Tahoma"/>
            <family val="2"/>
          </rPr>
          <t xml:space="preserve">
Loan Limit: US$64.1m
Bank Limit: US$53.4m 
Policy Limit: US$20m
</t>
        </r>
      </text>
    </comment>
    <comment ref="U69" authorId="6" shapeId="0" xr:uid="{7CEE4BDB-EF3C-4FC0-9BB7-6CB94CADD71F}">
      <text>
        <r>
          <rPr>
            <b/>
            <sz val="9"/>
            <color indexed="81"/>
            <rFont val="Tahoma"/>
            <family val="2"/>
          </rPr>
          <t>Ann Prosser:</t>
        </r>
        <r>
          <rPr>
            <sz val="9"/>
            <color indexed="81"/>
            <rFont val="Tahoma"/>
            <family val="2"/>
          </rPr>
          <t xml:space="preserve">
Loan Limit: ~US$450m
Bank Limit: SGD 51.7m 
Policy Limit: SGD 14.1m
</t>
        </r>
      </text>
    </comment>
    <comment ref="U70" authorId="6" shapeId="0" xr:uid="{DFE4ABDE-6BCF-4D6D-BDB3-BA73ECCF67E9}">
      <text>
        <r>
          <rPr>
            <b/>
            <sz val="9"/>
            <color indexed="81"/>
            <rFont val="Tahoma"/>
            <family val="2"/>
          </rPr>
          <t>Ann Prosser:</t>
        </r>
        <r>
          <rPr>
            <sz val="9"/>
            <color indexed="81"/>
            <rFont val="Tahoma"/>
            <family val="2"/>
          </rPr>
          <t xml:space="preserve">
Loan Limit A$1.6b
Bank Limit  A$60m
Policy Limit A$30m</t>
        </r>
      </text>
    </comment>
    <comment ref="U71" authorId="6" shapeId="0" xr:uid="{652B269B-E8A9-4AAA-AB37-C077E824933A}">
      <text>
        <r>
          <rPr>
            <b/>
            <sz val="9"/>
            <color indexed="81"/>
            <rFont val="Tahoma"/>
            <family val="2"/>
          </rPr>
          <t>Ann Prosser:</t>
        </r>
        <r>
          <rPr>
            <sz val="9"/>
            <color indexed="81"/>
            <rFont val="Tahoma"/>
            <family val="2"/>
          </rPr>
          <t xml:space="preserve">
"Loan Limit: A$1.04bn
Bank Limit: A$50m 
Policy Limit: A$25m"
</t>
        </r>
      </text>
    </comment>
    <comment ref="U72" authorId="6" shapeId="0" xr:uid="{AD97AC98-21EF-4DF9-9626-959FC1E45FAE}">
      <text>
        <r>
          <rPr>
            <b/>
            <sz val="9"/>
            <color indexed="81"/>
            <rFont val="Tahoma"/>
            <family val="2"/>
          </rPr>
          <t>Ann Prosser:</t>
        </r>
        <r>
          <rPr>
            <sz val="9"/>
            <color indexed="81"/>
            <rFont val="Tahoma"/>
            <family val="2"/>
          </rPr>
          <t xml:space="preserve">
Loan Limit: GBP 4.5B
Bank Limit: GBP 132m 
Policy Limit: GBP 10m
</t>
        </r>
      </text>
    </comment>
    <comment ref="U73" authorId="6" shapeId="0" xr:uid="{5AA510EB-815C-4608-B81A-B1C2C3752116}">
      <text>
        <r>
          <rPr>
            <b/>
            <sz val="9"/>
            <color indexed="81"/>
            <rFont val="Tahoma"/>
            <family val="2"/>
          </rPr>
          <t>Ann Prosser:</t>
        </r>
        <r>
          <rPr>
            <sz val="9"/>
            <color indexed="81"/>
            <rFont val="Tahoma"/>
            <family val="2"/>
          </rPr>
          <t xml:space="preserve">
Loan Limit: US$3bn
Bank Limit: US$150m 
Policy Limit: US$7.5</t>
        </r>
      </text>
    </comment>
    <comment ref="U74" authorId="6" shapeId="0" xr:uid="{303FC659-1772-4CF1-AD4D-6D666FC101CE}">
      <text>
        <r>
          <rPr>
            <b/>
            <sz val="9"/>
            <color indexed="81"/>
            <rFont val="Tahoma"/>
            <family val="2"/>
          </rPr>
          <t>Ann Prosser:</t>
        </r>
        <r>
          <rPr>
            <sz val="9"/>
            <color indexed="81"/>
            <rFont val="Tahoma"/>
            <family val="2"/>
          </rPr>
          <t xml:space="preserve">
"Loan Limit: US$46.9m
Bank Limit: US$46.9m 
Policy Limit: US$20m"
</t>
        </r>
      </text>
    </comment>
    <comment ref="U75" authorId="6" shapeId="0" xr:uid="{61D38029-30BD-47BE-AB48-83C017031F9E}">
      <text>
        <r>
          <rPr>
            <b/>
            <sz val="9"/>
            <color indexed="81"/>
            <rFont val="Tahoma"/>
            <family val="2"/>
          </rPr>
          <t>Ann Prosser:</t>
        </r>
        <r>
          <rPr>
            <sz val="9"/>
            <color indexed="81"/>
            <rFont val="Tahoma"/>
            <family val="2"/>
          </rPr>
          <t xml:space="preserve">
Loan Limit: €57m
Bank Limit: €53m
Policy Limit: €12.5m
</t>
        </r>
      </text>
    </comment>
    <comment ref="U76" authorId="6" shapeId="0" xr:uid="{0CAB175E-3B98-4C07-9DB9-9FA6117C03E5}">
      <text>
        <r>
          <rPr>
            <b/>
            <sz val="9"/>
            <color indexed="81"/>
            <rFont val="Tahoma"/>
            <family val="2"/>
          </rPr>
          <t>Ann Prosser:</t>
        </r>
        <r>
          <rPr>
            <sz val="9"/>
            <color indexed="81"/>
            <rFont val="Tahoma"/>
            <family val="2"/>
          </rPr>
          <t xml:space="preserve">
Loan Limit: EUR300m
Bank Limit: EUR65m 
Policy Limit: EUR20m
</t>
        </r>
      </text>
    </comment>
    <comment ref="U77" authorId="0" shapeId="0" xr:uid="{0A5D181B-936D-403F-9ADC-D5D0B24EC34B}">
      <text>
        <r>
          <rPr>
            <b/>
            <sz val="9"/>
            <color indexed="81"/>
            <rFont val="Tahoma"/>
            <family val="2"/>
          </rPr>
          <t>Lea Krstevska:</t>
        </r>
        <r>
          <rPr>
            <sz val="9"/>
            <color indexed="81"/>
            <rFont val="Tahoma"/>
            <family val="2"/>
          </rPr>
          <t xml:space="preserve">
Loan Limit: US$5bn
Bank Limit: US$350m
Policy Limit: US$20m</t>
        </r>
      </text>
    </comment>
    <comment ref="U78" authorId="0" shapeId="0" xr:uid="{C3154DDF-A315-4F18-8E8B-C8A66FC20F51}">
      <text>
        <r>
          <rPr>
            <b/>
            <sz val="9"/>
            <color indexed="81"/>
            <rFont val="Tahoma"/>
            <family val="2"/>
          </rPr>
          <t>Lea Krstevska:</t>
        </r>
        <r>
          <rPr>
            <sz val="9"/>
            <color indexed="81"/>
            <rFont val="Tahoma"/>
            <family val="2"/>
          </rPr>
          <t xml:space="preserve">
Loan Limit: US$886m
Bank Limit: US$58m 
Policy Limit: US$10m</t>
        </r>
      </text>
    </comment>
    <comment ref="U79" authorId="6" shapeId="0" xr:uid="{0C0CC165-8C3B-4FA5-9020-9313D43FE3A0}">
      <text>
        <r>
          <rPr>
            <b/>
            <sz val="9"/>
            <color indexed="81"/>
            <rFont val="Tahoma"/>
            <family val="2"/>
          </rPr>
          <t>Ann Prosser:</t>
        </r>
        <r>
          <rPr>
            <sz val="9"/>
            <color indexed="81"/>
            <rFont val="Tahoma"/>
            <family val="2"/>
          </rPr>
          <t xml:space="preserve">
Loan Limit: A$5,250m
Bank Limit: A$488m 
Policy Limit: A$15m
</t>
        </r>
      </text>
    </comment>
    <comment ref="U80" authorId="0" shapeId="0" xr:uid="{C11C8082-5C34-4FBE-B8CD-61D6CB46BB0C}">
      <text>
        <r>
          <rPr>
            <b/>
            <sz val="9"/>
            <color indexed="81"/>
            <rFont val="Tahoma"/>
            <family val="2"/>
          </rPr>
          <t>Lea Krstevska:</t>
        </r>
        <r>
          <rPr>
            <sz val="9"/>
            <color indexed="81"/>
            <rFont val="Tahoma"/>
            <family val="2"/>
          </rPr>
          <t xml:space="preserve">
Loan Limit: US$300m
Bank Limit: US$100m 
Policy Limit: US$10m</t>
        </r>
      </text>
    </comment>
    <comment ref="U81" authorId="0" shapeId="0" xr:uid="{EF60EED4-3C27-4800-A6EF-B7F1792529B2}">
      <text>
        <r>
          <rPr>
            <b/>
            <sz val="9"/>
            <color indexed="81"/>
            <rFont val="Tahoma"/>
            <family val="2"/>
          </rPr>
          <t>Lea Krstevska:</t>
        </r>
        <r>
          <rPr>
            <sz val="9"/>
            <color indexed="81"/>
            <rFont val="Tahoma"/>
            <family val="2"/>
          </rPr>
          <t xml:space="preserve">
Loan Limit: A$256.3m
Bank Limit: A$256.3m 
Policy Limit: A$25m</t>
        </r>
      </text>
    </comment>
    <comment ref="U82" authorId="5" shapeId="0" xr:uid="{A0134555-7A6D-4649-9191-65A7EF9F907E}">
      <text>
        <r>
          <rPr>
            <b/>
            <sz val="9"/>
            <color indexed="81"/>
            <rFont val="Tahoma"/>
            <family val="2"/>
          </rPr>
          <t>Samuel Atkinson:</t>
        </r>
        <r>
          <rPr>
            <sz val="9"/>
            <color indexed="81"/>
            <rFont val="Tahoma"/>
            <family val="2"/>
          </rPr>
          <t xml:space="preserve">
USD 1.2-2.0 Facility Limit</t>
        </r>
      </text>
    </comment>
    <comment ref="U83" authorId="0" shapeId="0" xr:uid="{12DEA092-3C6B-45FE-91ED-07B1798BE94F}">
      <text>
        <r>
          <rPr>
            <b/>
            <sz val="9"/>
            <color indexed="81"/>
            <rFont val="Tahoma"/>
            <family val="2"/>
          </rPr>
          <t>Lea Krstevska:</t>
        </r>
        <r>
          <rPr>
            <sz val="9"/>
            <color indexed="81"/>
            <rFont val="Tahoma"/>
            <family val="2"/>
          </rPr>
          <t xml:space="preserve">
Loan Limit: US$400m
Bank Limit: US$75m 
Policy Limit: US$20m</t>
        </r>
      </text>
    </comment>
    <comment ref="U84" authorId="0" shapeId="0" xr:uid="{0359FAED-2B92-4068-B47B-183C99C2E0E4}">
      <text>
        <r>
          <rPr>
            <b/>
            <sz val="9"/>
            <color indexed="81"/>
            <rFont val="Tahoma"/>
            <family val="2"/>
          </rPr>
          <t>Lea Krstevska:</t>
        </r>
        <r>
          <rPr>
            <sz val="9"/>
            <color indexed="81"/>
            <rFont val="Tahoma"/>
            <family val="2"/>
          </rPr>
          <t xml:space="preserve">
Loan Limit: NOK 1.5b
Bank Limit: NOK 990m 
Policy Limit: NOK 158m</t>
        </r>
      </text>
    </comment>
    <comment ref="U85" authorId="6" shapeId="0" xr:uid="{C087963A-1E18-4592-9397-396216792965}">
      <text>
        <r>
          <rPr>
            <b/>
            <sz val="9"/>
            <color indexed="81"/>
            <rFont val="Tahoma"/>
            <family val="2"/>
          </rPr>
          <t>Ann Prosser:</t>
        </r>
        <r>
          <rPr>
            <sz val="9"/>
            <color indexed="81"/>
            <rFont val="Tahoma"/>
            <family val="2"/>
          </rPr>
          <t xml:space="preserve">
Loan Limit: A$129.6m
Bank Limit: A$93m 
Policy Limit: A$25m
</t>
        </r>
      </text>
    </comment>
    <comment ref="U86" authorId="0" shapeId="0" xr:uid="{3809C129-6907-44FA-BCAA-17615DF76040}">
      <text>
        <r>
          <rPr>
            <b/>
            <sz val="9"/>
            <color indexed="81"/>
            <rFont val="Tahoma"/>
            <family val="2"/>
          </rPr>
          <t>Lea Krstevska:</t>
        </r>
        <r>
          <rPr>
            <sz val="9"/>
            <color indexed="81"/>
            <rFont val="Tahoma"/>
            <family val="2"/>
          </rPr>
          <t xml:space="preserve">
Loan Limit: JPY 18.5b
Bank Limit: JPY 13.88b
Policy Limit: JPY 1.87b</t>
        </r>
      </text>
    </comment>
    <comment ref="U87" authorId="0" shapeId="0" xr:uid="{81150B4A-F640-4149-A731-FA14442AE90C}">
      <text>
        <r>
          <rPr>
            <b/>
            <sz val="9"/>
            <color indexed="81"/>
            <rFont val="Tahoma"/>
            <family val="2"/>
          </rPr>
          <t>Lea Krstevska:</t>
        </r>
        <r>
          <rPr>
            <sz val="9"/>
            <color indexed="81"/>
            <rFont val="Tahoma"/>
            <family val="2"/>
          </rPr>
          <t xml:space="preserve">
Loan Limit: US$1.575b
Bank Limit: US$93.3m 
Policy Limit: US$10m</t>
        </r>
      </text>
    </comment>
    <comment ref="U88" authorId="0" shapeId="0" xr:uid="{412967FF-C872-48C3-9D52-4AD091573796}">
      <text>
        <r>
          <rPr>
            <b/>
            <sz val="9"/>
            <color indexed="81"/>
            <rFont val="Tahoma"/>
            <family val="2"/>
          </rPr>
          <t>Lea Krstevska:</t>
        </r>
        <r>
          <rPr>
            <sz val="9"/>
            <color indexed="81"/>
            <rFont val="Tahoma"/>
            <family val="2"/>
          </rPr>
          <t xml:space="preserve">
Loan Limit: EUR 1.4b
Bank Limit: EUR 212m 
Policy Limit: EUR 15m</t>
        </r>
      </text>
    </comment>
    <comment ref="U89" authorId="0" shapeId="0" xr:uid="{72A7D321-6F6A-4966-BC20-3C80FE92DAAC}">
      <text>
        <r>
          <rPr>
            <b/>
            <sz val="9"/>
            <color indexed="81"/>
            <rFont val="Tahoma"/>
            <family val="2"/>
          </rPr>
          <t>Lea Krstevska:</t>
        </r>
        <r>
          <rPr>
            <sz val="9"/>
            <color indexed="81"/>
            <rFont val="Tahoma"/>
            <family val="2"/>
          </rPr>
          <t xml:space="preserve">
Loan Limit: US$75m
Bank Limit: US$75m 
Policy Limit: US$20m</t>
        </r>
      </text>
    </comment>
    <comment ref="U90" authorId="0" shapeId="0" xr:uid="{B74B6B0A-08ED-4BE5-9F46-F2304BDB5578}">
      <text>
        <r>
          <rPr>
            <b/>
            <sz val="9"/>
            <color indexed="81"/>
            <rFont val="Tahoma"/>
            <family val="2"/>
          </rPr>
          <t>Lea Krstevska:</t>
        </r>
        <r>
          <rPr>
            <sz val="9"/>
            <color indexed="81"/>
            <rFont val="Tahoma"/>
            <family val="2"/>
          </rPr>
          <t xml:space="preserve">
Loan Limit: EUR 20m
Bank Limit: EUR 20m 
Policy Limit: EUR 3m</t>
        </r>
      </text>
    </comment>
    <comment ref="U91" authorId="0" shapeId="0" xr:uid="{3E79F9A2-58E8-4C05-A78C-7D5BB035C49F}">
      <text>
        <r>
          <rPr>
            <b/>
            <sz val="9"/>
            <color indexed="81"/>
            <rFont val="Tahoma"/>
            <family val="2"/>
          </rPr>
          <t>Lea Krstevska:</t>
        </r>
        <r>
          <rPr>
            <sz val="9"/>
            <color indexed="81"/>
            <rFont val="Tahoma"/>
            <family val="2"/>
          </rPr>
          <t xml:space="preserve">
Loan: JPY12bn
Bank: JPY7bn
Policy: JPY 2.6bn</t>
        </r>
      </text>
    </comment>
    <comment ref="U92" authorId="0" shapeId="0" xr:uid="{103C8738-F8D4-470C-9C7E-94A2D89A8D36}">
      <text>
        <r>
          <rPr>
            <b/>
            <sz val="9"/>
            <color indexed="81"/>
            <rFont val="Tahoma"/>
            <family val="2"/>
          </rPr>
          <t>Lea Krstevska:</t>
        </r>
        <r>
          <rPr>
            <sz val="9"/>
            <color indexed="81"/>
            <rFont val="Tahoma"/>
            <family val="2"/>
          </rPr>
          <t xml:space="preserve">
Loan Limit £400m
Bank Limit £90m
Policy Limit  £5m</t>
        </r>
      </text>
    </comment>
    <comment ref="U93" authorId="0" shapeId="0" xr:uid="{A7BF17BC-9BF4-4EED-AA14-20AFA88FD095}">
      <text>
        <r>
          <rPr>
            <b/>
            <sz val="9"/>
            <color indexed="81"/>
            <rFont val="Tahoma"/>
            <family val="2"/>
          </rPr>
          <t>Lea Krstevska:</t>
        </r>
        <r>
          <rPr>
            <sz val="9"/>
            <color indexed="81"/>
            <rFont val="Tahoma"/>
            <family val="2"/>
          </rPr>
          <t xml:space="preserve">
Loan Limit: A$319m
Bank Limit: A$319m 
Policy Limit: A$30m</t>
        </r>
      </text>
    </comment>
    <comment ref="U94" authorId="5" shapeId="0" xr:uid="{F2CD1F4E-B168-4F85-A036-AD84C97B4B20}">
      <text>
        <r>
          <rPr>
            <b/>
            <sz val="9"/>
            <color indexed="81"/>
            <rFont val="Tahoma"/>
            <family val="2"/>
          </rPr>
          <t>Samuel Atkinson:EUR 25m Bank Limit 
EUR 25m Loan Limit</t>
        </r>
      </text>
    </comment>
    <comment ref="U95" authorId="5" shapeId="0" xr:uid="{0D1D4470-12A6-4895-A02B-D6343DF91708}">
      <text>
        <r>
          <rPr>
            <b/>
            <sz val="9"/>
            <color indexed="81"/>
            <rFont val="Tahoma"/>
            <family val="2"/>
          </rPr>
          <t>Samuel Atkinson:</t>
        </r>
        <r>
          <rPr>
            <sz val="9"/>
            <color indexed="81"/>
            <rFont val="Tahoma"/>
            <family val="2"/>
          </rPr>
          <t xml:space="preserve">
Bank Limit: EUR 105m
Loan Limit: EUR 330m</t>
        </r>
      </text>
    </comment>
    <comment ref="U96" authorId="5" shapeId="0" xr:uid="{AB3C2628-330E-42CD-B43A-1B5D1A1CCDD7}">
      <text>
        <r>
          <rPr>
            <b/>
            <sz val="9"/>
            <color indexed="81"/>
            <rFont val="Tahoma"/>
            <family val="2"/>
          </rPr>
          <t>Samuel Atkinson
US$61m Bank Limit
US$575m Loan Limit</t>
        </r>
      </text>
    </comment>
    <comment ref="U97" authorId="0" shapeId="0" xr:uid="{73D1415D-E8BC-46E8-AFC8-7A83F59C8E8C}">
      <text>
        <r>
          <rPr>
            <b/>
            <sz val="9"/>
            <color indexed="81"/>
            <rFont val="Tahoma"/>
            <family val="2"/>
          </rPr>
          <t xml:space="preserve">Lea Krstevska:
</t>
        </r>
        <r>
          <rPr>
            <sz val="9"/>
            <color indexed="81"/>
            <rFont val="Tahoma"/>
            <family val="2"/>
          </rPr>
          <t>Bank Limit: US$50m
Loan Limit: US$1.245bn</t>
        </r>
      </text>
    </comment>
    <comment ref="U98" authorId="6" shapeId="0" xr:uid="{C9373055-F841-40E9-951E-B470FB9D465C}">
      <text>
        <r>
          <rPr>
            <b/>
            <sz val="9"/>
            <color indexed="81"/>
            <rFont val="Tahoma"/>
            <family val="2"/>
          </rPr>
          <t>Ann Prosser:</t>
        </r>
        <r>
          <rPr>
            <sz val="9"/>
            <color indexed="81"/>
            <rFont val="Tahoma"/>
            <family val="2"/>
          </rPr>
          <t xml:space="preserve">
Loan Limit: US$1.3bn
Bank Limit: US$95m
Policy Limit: US$5m
</t>
        </r>
      </text>
    </comment>
    <comment ref="U99" authorId="2" shapeId="0" xr:uid="{B72E2291-9075-4BDD-AEA9-C2B3EE1E192A}">
      <text>
        <r>
          <rPr>
            <sz val="8"/>
            <color indexed="81"/>
            <rFont val="Tahoma"/>
            <family val="2"/>
          </rPr>
          <t>US$397.5m , ING US$50m</t>
        </r>
      </text>
    </comment>
    <comment ref="U100" authorId="0" shapeId="0" xr:uid="{4D797BD2-8D3D-4417-86A6-16F974520289}">
      <text>
        <r>
          <rPr>
            <b/>
            <sz val="9"/>
            <color indexed="81"/>
            <rFont val="Tahoma"/>
            <family val="2"/>
          </rPr>
          <t>Lea Krstevska:</t>
        </r>
        <r>
          <rPr>
            <sz val="9"/>
            <color indexed="81"/>
            <rFont val="Tahoma"/>
            <family val="2"/>
          </rPr>
          <t xml:space="preserve">
Loan: US$340m
Bank: US$80m
Policy: US$15m</t>
        </r>
      </text>
    </comment>
    <comment ref="U101" authorId="0" shapeId="0" xr:uid="{B50F16FF-0CAB-446C-B6E0-A8E7DEA2C01D}">
      <text>
        <r>
          <rPr>
            <b/>
            <sz val="9"/>
            <color indexed="81"/>
            <rFont val="Tahoma"/>
            <family val="2"/>
          </rPr>
          <t>Lea Krstevska:</t>
        </r>
        <r>
          <rPr>
            <sz val="9"/>
            <color indexed="81"/>
            <rFont val="Tahoma"/>
            <family val="2"/>
          </rPr>
          <t xml:space="preserve">
Loan: US$125m
Bank: US$9.375m
Policy: US$7.5m</t>
        </r>
      </text>
    </comment>
    <comment ref="U102" authorId="0" shapeId="0" xr:uid="{F03207B4-785F-4F5F-8DFA-DCA0B6BB53D1}">
      <text>
        <r>
          <rPr>
            <b/>
            <sz val="9"/>
            <color indexed="81"/>
            <rFont val="Tahoma"/>
            <family val="2"/>
          </rPr>
          <t>Lea Krstevska:</t>
        </r>
        <r>
          <rPr>
            <sz val="9"/>
            <color indexed="81"/>
            <rFont val="Tahoma"/>
            <family val="2"/>
          </rPr>
          <t xml:space="preserve">
Loan: US$265m
Bank: US$30m
Policy: US$15m</t>
        </r>
      </text>
    </comment>
    <comment ref="U103" authorId="0" shapeId="0" xr:uid="{88469A7A-F888-46E7-A004-15794DA35C1D}">
      <text>
        <r>
          <rPr>
            <b/>
            <sz val="9"/>
            <color indexed="81"/>
            <rFont val="Tahoma"/>
            <family val="2"/>
          </rPr>
          <t>Lea Krstevska:</t>
        </r>
        <r>
          <rPr>
            <sz val="9"/>
            <color indexed="81"/>
            <rFont val="Tahoma"/>
            <family val="2"/>
          </rPr>
          <t xml:space="preserve">
Loan: US$400m
Bank: US$45m
Policy: US$15m</t>
        </r>
      </text>
    </comment>
    <comment ref="U104" authorId="0" shapeId="0" xr:uid="{6872CE7B-5DA3-4371-B53B-2C0736F05800}">
      <text>
        <r>
          <rPr>
            <b/>
            <sz val="9"/>
            <color indexed="81"/>
            <rFont val="Tahoma"/>
            <family val="2"/>
          </rPr>
          <t>Lea Krstevska:</t>
        </r>
        <r>
          <rPr>
            <sz val="9"/>
            <color indexed="81"/>
            <rFont val="Tahoma"/>
            <family val="2"/>
          </rPr>
          <t xml:space="preserve">
Loan: EUR620m
Bank: EUR100m
Policy: EUR15m</t>
        </r>
      </text>
    </comment>
    <comment ref="U105" authorId="0" shapeId="0" xr:uid="{470CD684-8603-45A6-80F0-DFEBEABEDDAE}">
      <text>
        <r>
          <rPr>
            <b/>
            <sz val="9"/>
            <color indexed="81"/>
            <rFont val="Tahoma"/>
            <family val="2"/>
          </rPr>
          <t>Lea Krstevska:</t>
        </r>
        <r>
          <rPr>
            <sz val="9"/>
            <color indexed="81"/>
            <rFont val="Tahoma"/>
            <family val="2"/>
          </rPr>
          <t xml:space="preserve">
Loan: US$69.8m
Bank: US$69.8m
Policy: US$15m</t>
        </r>
      </text>
    </comment>
    <comment ref="U106" authorId="0" shapeId="0" xr:uid="{C135FE8B-A961-4BED-AFB5-68385FC4B7BC}">
      <text>
        <r>
          <rPr>
            <b/>
            <sz val="9"/>
            <color indexed="81"/>
            <rFont val="Tahoma"/>
            <family val="2"/>
          </rPr>
          <t>Lea Krstevska:</t>
        </r>
        <r>
          <rPr>
            <sz val="9"/>
            <color indexed="81"/>
            <rFont val="Tahoma"/>
            <family val="2"/>
          </rPr>
          <t xml:space="preserve">
Loan: US$300m
Bank: US$30m
Policy: US$15m</t>
        </r>
      </text>
    </comment>
    <comment ref="U107" authorId="0" shapeId="0" xr:uid="{1C9B9BDB-6D50-4E18-981E-7C45E83746ED}">
      <text>
        <r>
          <rPr>
            <b/>
            <sz val="9"/>
            <color indexed="81"/>
            <rFont val="Tahoma"/>
            <family val="2"/>
          </rPr>
          <t>Lea Krstevska:</t>
        </r>
        <r>
          <rPr>
            <sz val="9"/>
            <color indexed="81"/>
            <rFont val="Tahoma"/>
            <family val="2"/>
          </rPr>
          <t xml:space="preserve">
Loan: EUR1.03bn
Bank: EUR185.6m
Policy: EUR22m</t>
        </r>
      </text>
    </comment>
    <comment ref="U108" authorId="0" shapeId="0" xr:uid="{FFA677F5-105D-4E51-9842-88C1041D58FC}">
      <text>
        <r>
          <rPr>
            <b/>
            <sz val="9"/>
            <color indexed="81"/>
            <rFont val="Tahoma"/>
            <family val="2"/>
          </rPr>
          <t>Lea Krstevska:</t>
        </r>
        <r>
          <rPr>
            <sz val="9"/>
            <color indexed="81"/>
            <rFont val="Tahoma"/>
            <family val="2"/>
          </rPr>
          <t xml:space="preserve">
Loan: EUR375m
Bank: EUR50m
Policy: EUR10m</t>
        </r>
      </text>
    </comment>
    <comment ref="U109" authorId="0" shapeId="0" xr:uid="{3E44C81C-A62F-4466-ABCF-6F9A07BEBB80}">
      <text>
        <r>
          <rPr>
            <b/>
            <sz val="9"/>
            <color indexed="81"/>
            <rFont val="Tahoma"/>
            <family val="2"/>
          </rPr>
          <t>Lea Krstevska:</t>
        </r>
        <r>
          <rPr>
            <sz val="9"/>
            <color indexed="81"/>
            <rFont val="Tahoma"/>
            <family val="2"/>
          </rPr>
          <t xml:space="preserve">
Loan Limit: US$1.05bn
Bank Limit: US$125m
Policy Limit: US$15m</t>
        </r>
      </text>
    </comment>
    <comment ref="U110" authorId="0" shapeId="0" xr:uid="{F8421F2C-BF8B-4ACB-9983-24F278571A89}">
      <text>
        <r>
          <rPr>
            <b/>
            <sz val="9"/>
            <color indexed="81"/>
            <rFont val="Tahoma"/>
            <family val="2"/>
          </rPr>
          <t>Lea Krstevska:</t>
        </r>
        <r>
          <rPr>
            <sz val="9"/>
            <color indexed="81"/>
            <rFont val="Tahoma"/>
            <family val="2"/>
          </rPr>
          <t xml:space="preserve">
Loan Limit: JPY 22.117bn
Bank Limit: JPY 10bn
Policy Limit: JPY 986.8m</t>
        </r>
      </text>
    </comment>
    <comment ref="U111" authorId="0" shapeId="0" xr:uid="{D0FDCF89-DA92-4BEF-9284-6208A092E82A}">
      <text>
        <r>
          <rPr>
            <b/>
            <sz val="9"/>
            <color indexed="81"/>
            <rFont val="Tahoma"/>
            <family val="2"/>
          </rPr>
          <t>Lea Krstevska:</t>
        </r>
        <r>
          <rPr>
            <sz val="9"/>
            <color indexed="81"/>
            <rFont val="Tahoma"/>
            <family val="2"/>
          </rPr>
          <t xml:space="preserve">
Loan Limit: US$327m
Bank Llimit: US$20m
Policy Limit: US$10m</t>
        </r>
      </text>
    </comment>
    <comment ref="U112" authorId="0" shapeId="0" xr:uid="{C4822274-B635-4A03-B3D5-05D0653DDF3A}">
      <text>
        <r>
          <rPr>
            <b/>
            <sz val="9"/>
            <color indexed="81"/>
            <rFont val="Tahoma"/>
            <family val="2"/>
          </rPr>
          <t>Lea Krstevska:</t>
        </r>
        <r>
          <rPr>
            <sz val="9"/>
            <color indexed="81"/>
            <rFont val="Tahoma"/>
            <family val="2"/>
          </rPr>
          <t xml:space="preserve">
Loan Limit: US$818m
Bank Limit: US$40m
Policy Limit: US$20m</t>
        </r>
      </text>
    </comment>
    <comment ref="U113" authorId="0" shapeId="0" xr:uid="{8C14A3E0-4053-4346-96C3-A4562BC8D50E}">
      <text>
        <r>
          <rPr>
            <b/>
            <sz val="9"/>
            <color indexed="81"/>
            <rFont val="Tahoma"/>
            <family val="2"/>
          </rPr>
          <t>Lea Krstevska:</t>
        </r>
        <r>
          <rPr>
            <sz val="9"/>
            <color indexed="81"/>
            <rFont val="Tahoma"/>
            <family val="2"/>
          </rPr>
          <t xml:space="preserve">
Loan Limit: US$450m
Bank Limit: US$15m
Policy Limit: US$7.5m</t>
        </r>
      </text>
    </comment>
    <comment ref="U114" authorId="0" shapeId="0" xr:uid="{8E3CE477-3479-4539-9426-B0DC57045021}">
      <text>
        <r>
          <rPr>
            <b/>
            <sz val="9"/>
            <color indexed="81"/>
            <rFont val="Tahoma"/>
            <family val="2"/>
          </rPr>
          <t>Lea Krstevska:</t>
        </r>
        <r>
          <rPr>
            <sz val="9"/>
            <color indexed="81"/>
            <rFont val="Tahoma"/>
            <family val="2"/>
          </rPr>
          <t xml:space="preserve">
Loan Limit: CAD$355m
Bank Limit: CAD$30m
Policu Limit: CAD$15m</t>
        </r>
      </text>
    </comment>
    <comment ref="U115" authorId="0" shapeId="0" xr:uid="{7DEAD580-3220-45FC-B482-7C63E5E7E714}">
      <text>
        <r>
          <rPr>
            <b/>
            <sz val="9"/>
            <color indexed="81"/>
            <rFont val="Tahoma"/>
            <family val="2"/>
          </rPr>
          <t>Lea Krstevska:</t>
        </r>
        <r>
          <rPr>
            <sz val="9"/>
            <color indexed="81"/>
            <rFont val="Tahoma"/>
            <family val="2"/>
          </rPr>
          <t xml:space="preserve">
Loan Limit: US$327m
Bank Llimit: US$13.8m
Policy Limit: US$6.9m</t>
        </r>
      </text>
    </comment>
    <comment ref="U116" authorId="0" shapeId="0" xr:uid="{FD2BECF3-222F-4644-A739-276E3E849617}">
      <text>
        <r>
          <rPr>
            <b/>
            <sz val="9"/>
            <color indexed="81"/>
            <rFont val="Tahoma"/>
            <family val="2"/>
          </rPr>
          <t>Lea Krstevska:</t>
        </r>
        <r>
          <rPr>
            <sz val="9"/>
            <color indexed="81"/>
            <rFont val="Tahoma"/>
            <family val="2"/>
          </rPr>
          <t xml:space="preserve">
Loan Limit: USD$103m
Bank Limit: USD$103m
Policy Limit: USD$15m</t>
        </r>
      </text>
    </comment>
    <comment ref="U117" authorId="0" shapeId="0" xr:uid="{716B666F-8ED8-4486-AACA-A7488F11164E}">
      <text>
        <r>
          <rPr>
            <b/>
            <sz val="9"/>
            <color indexed="81"/>
            <rFont val="Tahoma"/>
            <family val="2"/>
          </rPr>
          <t>Lea Krstevska:</t>
        </r>
        <r>
          <rPr>
            <sz val="9"/>
            <color indexed="81"/>
            <rFont val="Tahoma"/>
            <family val="2"/>
          </rPr>
          <t xml:space="preserve">
Loan Limit: USD$35m
Bank Limit: USD$15m
Policy Limit: USD$7.5m</t>
        </r>
      </text>
    </comment>
    <comment ref="U118" authorId="0" shapeId="0" xr:uid="{56F30745-34B6-462B-B005-CE8A5306E323}">
      <text>
        <r>
          <rPr>
            <b/>
            <sz val="9"/>
            <color indexed="81"/>
            <rFont val="Tahoma"/>
            <family val="2"/>
          </rPr>
          <t>Lea Krstevska:</t>
        </r>
        <r>
          <rPr>
            <sz val="9"/>
            <color indexed="81"/>
            <rFont val="Tahoma"/>
            <family val="2"/>
          </rPr>
          <t xml:space="preserve">
Loan Limit: A$72.688m
Bank Limit: A$72.688m
Policy Limit: A$15m+10m</t>
        </r>
      </text>
    </comment>
    <comment ref="U119" authorId="0" shapeId="0" xr:uid="{B14682AA-275F-47EE-862F-A3CDDA9A07EB}">
      <text>
        <r>
          <rPr>
            <b/>
            <sz val="9"/>
            <color indexed="81"/>
            <rFont val="Tahoma"/>
            <family val="2"/>
          </rPr>
          <t>Lea Krstevska:</t>
        </r>
        <r>
          <rPr>
            <sz val="9"/>
            <color indexed="81"/>
            <rFont val="Tahoma"/>
            <family val="2"/>
          </rPr>
          <t xml:space="preserve">
Loan Limit: USD$988m
Bank Limit: USD$74.3m
Policy Limit: USD$20m</t>
        </r>
      </text>
    </comment>
    <comment ref="U120" authorId="0" shapeId="0" xr:uid="{E6C1FAAB-1F66-4426-AE8C-787198804606}">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U121" authorId="0" shapeId="0" xr:uid="{DEB77799-0284-4DF8-B410-B5898CFCEE03}">
      <text>
        <r>
          <rPr>
            <b/>
            <sz val="9"/>
            <color indexed="81"/>
            <rFont val="Tahoma"/>
            <family val="2"/>
          </rPr>
          <t>Lea Krstevska:</t>
        </r>
        <r>
          <rPr>
            <sz val="9"/>
            <color indexed="81"/>
            <rFont val="Tahoma"/>
            <family val="2"/>
          </rPr>
          <t xml:space="preserve">
Loan Limit: US$4.5bn
Bank Limit: US$285m
Policy Limit: US$10m</t>
        </r>
      </text>
    </comment>
    <comment ref="U122" authorId="0" shapeId="0" xr:uid="{B9AA13C9-48B6-4AD1-9C65-895B11CA57A7}">
      <text>
        <r>
          <rPr>
            <b/>
            <sz val="9"/>
            <color indexed="81"/>
            <rFont val="Tahoma"/>
            <family val="2"/>
          </rPr>
          <t>Lea Krstevska:</t>
        </r>
        <r>
          <rPr>
            <sz val="9"/>
            <color indexed="81"/>
            <rFont val="Tahoma"/>
            <family val="2"/>
          </rPr>
          <t xml:space="preserve">
Loan: EUR119.6m
Bank:EUR23.9m
Policy: EUR5m</t>
        </r>
      </text>
    </comment>
    <comment ref="U123" authorId="0" shapeId="0" xr:uid="{281C8B7C-BAA5-43FE-85B3-D56E5877CA9A}">
      <text>
        <r>
          <rPr>
            <b/>
            <sz val="9"/>
            <color indexed="81"/>
            <rFont val="Tahoma"/>
            <family val="2"/>
          </rPr>
          <t>Lea Krstevska:</t>
        </r>
        <r>
          <rPr>
            <sz val="9"/>
            <color indexed="81"/>
            <rFont val="Tahoma"/>
            <family val="2"/>
          </rPr>
          <t xml:space="preserve">
Loan Limit: A$266M
Bank Limit: A$41.5m
Policy Limit: A$15m</t>
        </r>
      </text>
    </comment>
    <comment ref="U124" authorId="0" shapeId="0" xr:uid="{BC8B2E0E-26D2-4D60-AA11-0B00380819D1}">
      <text>
        <r>
          <rPr>
            <b/>
            <sz val="9"/>
            <color indexed="81"/>
            <rFont val="Tahoma"/>
            <family val="2"/>
          </rPr>
          <t>Lea Krstevska:</t>
        </r>
        <r>
          <rPr>
            <sz val="9"/>
            <color indexed="81"/>
            <rFont val="Tahoma"/>
            <family val="2"/>
          </rPr>
          <t xml:space="preserve">
Loan Limit: US$80m
Bank Limit: U$9.5m
Policy Limit: US$4.75m</t>
        </r>
      </text>
    </comment>
    <comment ref="U125" authorId="0" shapeId="0" xr:uid="{2894C7D6-A5D9-413B-A29A-C0F1FEB4DCA7}">
      <text>
        <r>
          <rPr>
            <b/>
            <sz val="9"/>
            <color indexed="81"/>
            <rFont val="Tahoma"/>
            <family val="2"/>
          </rPr>
          <t>Lea Krstevska:</t>
        </r>
        <r>
          <rPr>
            <sz val="9"/>
            <color indexed="81"/>
            <rFont val="Tahoma"/>
            <family val="2"/>
          </rPr>
          <t xml:space="preserve">
Loan Limit: EUR350m
Bank Limit: EUR70m
Policy Limit: EUR6.25m</t>
        </r>
      </text>
    </comment>
    <comment ref="U126" authorId="0" shapeId="0" xr:uid="{94C57D6D-D66F-4AF8-B6F1-FFA6AB62FD49}">
      <text>
        <r>
          <rPr>
            <b/>
            <sz val="9"/>
            <color indexed="81"/>
            <rFont val="Tahoma"/>
            <family val="2"/>
          </rPr>
          <t>Lea Krstevska:</t>
        </r>
        <r>
          <rPr>
            <sz val="9"/>
            <color indexed="81"/>
            <rFont val="Tahoma"/>
            <family val="2"/>
          </rPr>
          <t xml:space="preserve">
Loan Limit: US$55m
Bank Limit: US$15.7m
Policy Limit: US$10m</t>
        </r>
      </text>
    </comment>
    <comment ref="U127" authorId="0" shapeId="0" xr:uid="{B77CD2F8-0E45-46AF-83DB-14656DAC08DE}">
      <text>
        <r>
          <rPr>
            <b/>
            <sz val="9"/>
            <color indexed="81"/>
            <rFont val="Tahoma"/>
            <family val="2"/>
          </rPr>
          <t>Lea Krstevska:</t>
        </r>
        <r>
          <rPr>
            <sz val="9"/>
            <color indexed="81"/>
            <rFont val="Tahoma"/>
            <family val="2"/>
          </rPr>
          <t xml:space="preserve">
Loan Limit: US$1bn
Bank Limit: US$45m
Policy Limit: US$15m</t>
        </r>
      </text>
    </comment>
    <comment ref="U128" authorId="0" shapeId="0" xr:uid="{39E0778D-9786-412F-A044-8C3C19873CF5}">
      <text>
        <r>
          <rPr>
            <b/>
            <sz val="9"/>
            <color indexed="81"/>
            <rFont val="Tahoma"/>
            <family val="2"/>
          </rPr>
          <t>Lea Krstevska:</t>
        </r>
        <r>
          <rPr>
            <sz val="9"/>
            <color indexed="81"/>
            <rFont val="Tahoma"/>
            <family val="2"/>
          </rPr>
          <t xml:space="preserve">
Loan Limit: US$818m
Bank Limit: US$35m
Policy Limit: US$5m</t>
        </r>
      </text>
    </comment>
    <comment ref="U129" authorId="0" shapeId="0" xr:uid="{1EDF8029-45DE-4A87-A712-F8093723DF27}">
      <text>
        <r>
          <rPr>
            <b/>
            <sz val="9"/>
            <color indexed="81"/>
            <rFont val="Tahoma"/>
            <family val="2"/>
          </rPr>
          <t>Lea Krstevska:</t>
        </r>
        <r>
          <rPr>
            <sz val="9"/>
            <color indexed="81"/>
            <rFont val="Tahoma"/>
            <family val="2"/>
          </rPr>
          <t xml:space="preserve">
Loan Limit: A$2.5bn
Bank Limit: A$155m
Policy Limit: A$20m</t>
        </r>
      </text>
    </comment>
    <comment ref="U130" authorId="0" shapeId="0" xr:uid="{AD16929E-A3B1-42DA-9531-5EFFC25BBA36}">
      <text>
        <r>
          <rPr>
            <b/>
            <sz val="9"/>
            <color indexed="81"/>
            <rFont val="Tahoma"/>
            <family val="2"/>
          </rPr>
          <t>Lea Krstevska:</t>
        </r>
        <r>
          <rPr>
            <sz val="9"/>
            <color indexed="81"/>
            <rFont val="Tahoma"/>
            <family val="2"/>
          </rPr>
          <t xml:space="preserve">
Loan Limit: A$116m
Bank Limit: A$24m
Policy Limit: A$12m</t>
        </r>
      </text>
    </comment>
    <comment ref="U131" authorId="0" shapeId="0" xr:uid="{2ACD7F49-F9FB-4FB6-BB3C-F05B3713EB89}">
      <text>
        <r>
          <rPr>
            <b/>
            <sz val="9"/>
            <color indexed="81"/>
            <rFont val="Tahoma"/>
            <family val="2"/>
          </rPr>
          <t>Lea Krstevska:</t>
        </r>
        <r>
          <rPr>
            <sz val="9"/>
            <color indexed="81"/>
            <rFont val="Tahoma"/>
            <family val="2"/>
          </rPr>
          <t xml:space="preserve">
Loan Limit: US$1.2bn
Bank Limit: US$!50m
Policy Limit: US$7.5m</t>
        </r>
      </text>
    </comment>
    <comment ref="U132" authorId="0" shapeId="0" xr:uid="{91AFC706-AC53-49FE-B3C8-AA8750AD2F5B}">
      <text>
        <r>
          <rPr>
            <b/>
            <sz val="9"/>
            <color indexed="81"/>
            <rFont val="Tahoma"/>
            <family val="2"/>
          </rPr>
          <t>Lea Krstevska:</t>
        </r>
        <r>
          <rPr>
            <sz val="9"/>
            <color indexed="81"/>
            <rFont val="Tahoma"/>
            <family val="2"/>
          </rPr>
          <t xml:space="preserve">
Loan Limit: EUR 1bn
Bank Limit: EUR 35m
Policy Limit: EUR20m</t>
        </r>
      </text>
    </comment>
    <comment ref="U134" authorId="0" shapeId="0" xr:uid="{F4C8EF94-31E8-45BA-8704-BF26ED553590}">
      <text>
        <r>
          <rPr>
            <b/>
            <sz val="9"/>
            <color indexed="81"/>
            <rFont val="Tahoma"/>
            <family val="2"/>
          </rPr>
          <t>Lea Krstevska:</t>
        </r>
        <r>
          <rPr>
            <sz val="9"/>
            <color indexed="81"/>
            <rFont val="Tahoma"/>
            <family val="2"/>
          </rPr>
          <t xml:space="preserve">
Loan Limit: EUR 824m
Bank Limit: EUR 86m
Policy Limit: EUR 7.5m (SEK, NOK, DKK)</t>
        </r>
      </text>
    </comment>
    <comment ref="U135" authorId="0" shapeId="0" xr:uid="{E094DDB7-7F81-401C-952D-216F44E9866A}">
      <text>
        <r>
          <rPr>
            <b/>
            <sz val="9"/>
            <color indexed="81"/>
            <rFont val="Tahoma"/>
            <family val="2"/>
          </rPr>
          <t>Lea Krstevska:</t>
        </r>
        <r>
          <rPr>
            <sz val="9"/>
            <color indexed="81"/>
            <rFont val="Tahoma"/>
            <family val="2"/>
          </rPr>
          <t xml:space="preserve">
Loan Limit: US$1bn
Bank Limit: US$150m
Policy Limit: US$20m</t>
        </r>
      </text>
    </comment>
    <comment ref="U136" authorId="0" shapeId="0" xr:uid="{452FA88E-F8AA-4C14-BAD0-B27397C4820F}">
      <text>
        <r>
          <rPr>
            <b/>
            <sz val="9"/>
            <color indexed="81"/>
            <rFont val="Tahoma"/>
            <family val="2"/>
          </rPr>
          <t>Lea Krstevska:</t>
        </r>
        <r>
          <rPr>
            <sz val="9"/>
            <color indexed="81"/>
            <rFont val="Tahoma"/>
            <family val="2"/>
          </rPr>
          <t xml:space="preserve">
Loan Limit: US$570m
Bank Limit: US$16.6m
Policy Limit: US$10m</t>
        </r>
      </text>
    </comment>
    <comment ref="U137" authorId="0" shapeId="0" xr:uid="{A319BF77-0743-4A91-A192-429641CB0352}">
      <text>
        <r>
          <rPr>
            <b/>
            <sz val="9"/>
            <color indexed="81"/>
            <rFont val="Tahoma"/>
            <family val="2"/>
          </rPr>
          <t>Lea Krstevska:</t>
        </r>
        <r>
          <rPr>
            <sz val="9"/>
            <color indexed="81"/>
            <rFont val="Tahoma"/>
            <family val="2"/>
          </rPr>
          <t xml:space="preserve">
Loan Limit: US$657m + 5bn HKD
Bank limit: US$200m
Policy Limit: US$15m</t>
        </r>
      </text>
    </comment>
    <comment ref="U138" authorId="0" shapeId="0" xr:uid="{169B3676-FF96-4E79-AC5E-37A05ED16448}">
      <text>
        <r>
          <rPr>
            <b/>
            <sz val="9"/>
            <color indexed="81"/>
            <rFont val="Tahoma"/>
            <family val="2"/>
          </rPr>
          <t>Lea Krstevska:</t>
        </r>
        <r>
          <rPr>
            <sz val="9"/>
            <color indexed="81"/>
            <rFont val="Tahoma"/>
            <family val="2"/>
          </rPr>
          <t xml:space="preserve">
Loan Limit: EUR159m
Bank Limit: EUR 40m
Policy Limit: EUR 10m</t>
        </r>
      </text>
    </comment>
    <comment ref="U139" authorId="0" shapeId="0" xr:uid="{6B1BE237-F034-4AE7-9E0C-F6BC96D53425}">
      <text>
        <r>
          <rPr>
            <b/>
            <sz val="9"/>
            <color indexed="81"/>
            <rFont val="Tahoma"/>
            <family val="2"/>
          </rPr>
          <t>Lea Krstevska:</t>
        </r>
        <r>
          <rPr>
            <sz val="9"/>
            <color indexed="81"/>
            <rFont val="Tahoma"/>
            <family val="2"/>
          </rPr>
          <t xml:space="preserve">
Loan: EUR 120m
Bank: EUR 30m
Policy: EUR 10m</t>
        </r>
      </text>
    </comment>
    <comment ref="U140" authorId="0" shapeId="0" xr:uid="{E983AD80-4431-4449-ACF6-A236FEA212E7}">
      <text>
        <r>
          <rPr>
            <b/>
            <sz val="9"/>
            <color indexed="81"/>
            <rFont val="Tahoma"/>
            <family val="2"/>
          </rPr>
          <t>Lea Krstevska:</t>
        </r>
        <r>
          <rPr>
            <sz val="9"/>
            <color indexed="81"/>
            <rFont val="Tahoma"/>
            <family val="2"/>
          </rPr>
          <t xml:space="preserve">
Loan Limit: EUR 65m
Bank Limit: EUR 32.5m
Policy Limit: EUR 7.8m</t>
        </r>
      </text>
    </comment>
    <comment ref="U141" authorId="0" shapeId="0" xr:uid="{5ED3AAD6-519D-4625-A448-0A4B78B9DE6C}">
      <text>
        <r>
          <rPr>
            <b/>
            <sz val="9"/>
            <color indexed="81"/>
            <rFont val="Tahoma"/>
            <family val="2"/>
          </rPr>
          <t>Lea Krstevska:</t>
        </r>
        <r>
          <rPr>
            <sz val="9"/>
            <color indexed="81"/>
            <rFont val="Tahoma"/>
            <family val="2"/>
          </rPr>
          <t xml:space="preserve">
Loan Limit: EUR60m
Bank Loan: EUR30m
Policy Limit: EUR7.2m
</t>
        </r>
      </text>
    </comment>
    <comment ref="U142" authorId="0" shapeId="0" xr:uid="{68FA968F-5807-43FC-AE41-0A94C51A0663}">
      <text>
        <r>
          <rPr>
            <b/>
            <sz val="9"/>
            <color indexed="81"/>
            <rFont val="Tahoma"/>
            <family val="2"/>
          </rPr>
          <t>Lea Krstevska:</t>
        </r>
        <r>
          <rPr>
            <sz val="9"/>
            <color indexed="81"/>
            <rFont val="Tahoma"/>
            <family val="2"/>
          </rPr>
          <t xml:space="preserve">
Loan: US$100m
Bank: US$40m
Policy: US$20m</t>
        </r>
      </text>
    </comment>
    <comment ref="U143" authorId="0" shapeId="0" xr:uid="{3635A060-B2FB-4FFD-88DA-81FD0EDE7F1B}">
      <text>
        <r>
          <rPr>
            <b/>
            <sz val="9"/>
            <color indexed="81"/>
            <rFont val="Tahoma"/>
            <family val="2"/>
          </rPr>
          <t xml:space="preserve">Lea Krstevska:B
</t>
        </r>
        <r>
          <rPr>
            <sz val="9"/>
            <color indexed="81"/>
            <rFont val="Tahoma"/>
            <family val="2"/>
          </rPr>
          <t xml:space="preserve">Loan: NOK4.026bn
Bank: NOK311.5m
Policy: NOK156m
</t>
        </r>
      </text>
    </comment>
    <comment ref="U144" authorId="0" shapeId="0" xr:uid="{624DE84D-B546-4C4D-924A-B6E92831DF54}">
      <text>
        <r>
          <rPr>
            <b/>
            <sz val="9"/>
            <color indexed="81"/>
            <rFont val="Tahoma"/>
            <family val="2"/>
          </rPr>
          <t>Lea Krstevska:</t>
        </r>
        <r>
          <rPr>
            <sz val="9"/>
            <color indexed="81"/>
            <rFont val="Tahoma"/>
            <family val="2"/>
          </rPr>
          <t xml:space="preserve">
Loan: AUD 308m
Bank: AUD48m
Policy: AUD11.1m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Jemma Sargeant</author>
    <author>Samuel Atkinson</author>
    <author>Ann Prosser</author>
    <author>Chris Power</author>
  </authors>
  <commentList>
    <comment ref="AF2" authorId="0" shapeId="0" xr:uid="{3FAE00CB-47D8-40F5-8845-317D19EC0312}">
      <text>
        <r>
          <rPr>
            <b/>
            <sz val="9"/>
            <color indexed="81"/>
            <rFont val="Tahoma"/>
            <family val="2"/>
          </rPr>
          <t>Lea Krstevska:</t>
        </r>
        <r>
          <rPr>
            <sz val="9"/>
            <color indexed="81"/>
            <rFont val="Tahoma"/>
            <family val="2"/>
          </rPr>
          <t xml:space="preserve">
AUD 20m-30m
USD 15m - 25m
EUR 15m - 22m</t>
        </r>
      </text>
    </comment>
    <comment ref="U4" authorId="1" shapeId="0" xr:uid="{1ED4B1C3-B57A-4670-99DB-6EA07852E738}">
      <text>
        <r>
          <rPr>
            <b/>
            <sz val="8"/>
            <color indexed="81"/>
            <rFont val="Tahoma"/>
            <family val="2"/>
          </rPr>
          <t>Marc Nicholls:</t>
        </r>
        <r>
          <rPr>
            <sz val="8"/>
            <color indexed="81"/>
            <rFont val="Tahoma"/>
            <family val="2"/>
          </rPr>
          <t xml:space="preserve">
ANZ $50m, Syndicate $225m</t>
        </r>
      </text>
    </comment>
    <comment ref="A5" authorId="2" shapeId="0" xr:uid="{ED53418F-FBC7-4F80-823D-8191E22C78F9}">
      <text>
        <r>
          <rPr>
            <sz val="9"/>
            <color indexed="81"/>
            <rFont val="Tahoma"/>
            <family val="2"/>
          </rPr>
          <t>Note, in run off</t>
        </r>
      </text>
    </comment>
    <comment ref="V5" authorId="1" shapeId="0" xr:uid="{CD2505F6-AADC-4D45-876E-26EC065AE0B0}">
      <text>
        <r>
          <rPr>
            <b/>
            <sz val="8"/>
            <color indexed="81"/>
            <rFont val="Tahoma"/>
            <family val="2"/>
          </rPr>
          <t>Marc Nicholls:</t>
        </r>
        <r>
          <rPr>
            <sz val="8"/>
            <color indexed="81"/>
            <rFont val="Tahoma"/>
            <family val="2"/>
          </rPr>
          <t xml:space="preserve">
upto 30 June 18 - assumes 1.04NZD:1AUD</t>
        </r>
      </text>
    </comment>
    <comment ref="AJ5" authorId="2" shapeId="0" xr:uid="{72E7BA1C-CEFB-4713-B1BC-EABED0866152}">
      <text>
        <r>
          <rPr>
            <b/>
            <sz val="9"/>
            <color indexed="81"/>
            <rFont val="Tahoma"/>
            <family val="2"/>
          </rPr>
          <t>Facility is in run off</t>
        </r>
      </text>
    </comment>
    <comment ref="U7" authorId="2" shapeId="0" xr:uid="{B8BFED08-0EF7-49EE-8CB0-D17CD60BE3AA}">
      <text>
        <r>
          <rPr>
            <b/>
            <sz val="8"/>
            <color indexed="81"/>
            <rFont val="Tahoma"/>
            <family val="2"/>
          </rPr>
          <t>Loan Limit: 100m
Bank Limit: 83.4m
Policy Limit: 16.680m</t>
        </r>
      </text>
    </comment>
    <comment ref="U8" authorId="2" shapeId="0" xr:uid="{815B1616-F676-419A-BEB6-728E73D49AB1}">
      <text>
        <r>
          <rPr>
            <sz val="9"/>
            <color indexed="81"/>
            <rFont val="Tahoma"/>
            <family val="2"/>
          </rPr>
          <t xml:space="preserve">Supporting SG's USD150 participation in a USD750m facility
</t>
        </r>
      </text>
    </comment>
    <comment ref="U9" authorId="2" shapeId="0" xr:uid="{547C8656-28F5-4C83-926F-EEC287AE2659}">
      <text>
        <r>
          <rPr>
            <b/>
            <sz val="9"/>
            <color indexed="81"/>
            <rFont val="Tahoma"/>
            <family val="2"/>
          </rPr>
          <t>supports DB INR6b participation</t>
        </r>
      </text>
    </comment>
    <comment ref="U10" authorId="1" shapeId="0" xr:uid="{34ECE942-0788-4507-B163-4E5D438E4974}">
      <text>
        <r>
          <rPr>
            <b/>
            <sz val="9"/>
            <color indexed="81"/>
            <rFont val="Tahoma"/>
            <family val="2"/>
          </rPr>
          <t>Marc Nicholls:</t>
        </r>
        <r>
          <rPr>
            <sz val="9"/>
            <color indexed="81"/>
            <rFont val="Tahoma"/>
            <family val="2"/>
          </rPr>
          <t xml:space="preserve">
supports ING in its EUR175m participation in Eur625m faciilty</t>
        </r>
      </text>
    </comment>
    <comment ref="U11" authorId="2" shapeId="0" xr:uid="{D9C94E5B-B645-488F-9540-EC07EAC43288}">
      <text>
        <r>
          <rPr>
            <sz val="8"/>
            <color indexed="81"/>
            <rFont val="Tahoma"/>
            <family val="2"/>
          </rPr>
          <t>US1.024b, StanChart US131.75m</t>
        </r>
      </text>
    </comment>
    <comment ref="U13" authorId="2" shapeId="0" xr:uid="{5669F3BB-88B2-4EEA-86CE-465899686444}">
      <text>
        <r>
          <rPr>
            <b/>
            <sz val="9"/>
            <color indexed="81"/>
            <rFont val="Tahoma"/>
            <family val="2"/>
          </rPr>
          <t>CEIP supporting DBs A$40m exposure in the B1 senior tranche of a A$850m, 6-year non-amortising Senior Syndicated Loan Facility (the Facility).</t>
        </r>
      </text>
    </comment>
    <comment ref="U14" authorId="3" shapeId="0" xr:uid="{00050060-38F5-411F-A73A-A308AD051BBB}">
      <text>
        <r>
          <rPr>
            <sz val="9"/>
            <color indexed="81"/>
            <rFont val="Tahoma"/>
            <family val="2"/>
          </rPr>
          <t>CEIP support to SG (Paris Branch)  in its US$120m participation in a US$790m committed senior secured syndicated pooled commercial aircraft term loan financing facility</t>
        </r>
      </text>
    </comment>
    <comment ref="U15" authorId="3" shapeId="0" xr:uid="{1246AC78-6205-40A9-8976-A8A1888B97D3}">
      <text>
        <r>
          <rPr>
            <sz val="9"/>
            <color indexed="81"/>
            <rFont val="Tahoma"/>
            <family val="2"/>
          </rPr>
          <t>A$20m proportional collateral shortfall CEIP for a term of 4 years to support its participation in a A$270m Syndicated Senior Secured Facility (the Facility) to Bis Finance Pty Ltd. DB will participate with A$30m in the Term Loan Facility and A$20m in the Capex Facility.</t>
        </r>
      </text>
    </comment>
    <comment ref="U18" authorId="3" shapeId="0" xr:uid="{208EFB41-BCE0-4803-AE31-AA8B767B5608}">
      <text>
        <r>
          <rPr>
            <sz val="9"/>
            <color indexed="81"/>
            <rFont val="Tahoma"/>
            <family val="2"/>
          </rPr>
          <t xml:space="preserve">CEIP support to Greenstars BNPP in its US$75m participation in a US$1160m committed senior secured syndicated term loan financing </t>
        </r>
      </text>
    </comment>
    <comment ref="U21" authorId="2" shapeId="0" xr:uid="{A474767A-A079-4A75-BD2D-5E025048733E}">
      <text>
        <r>
          <rPr>
            <sz val="8"/>
            <color indexed="81"/>
            <rFont val="Tahoma"/>
            <family val="2"/>
          </rPr>
          <t>US$500m, Socgen US$75m</t>
        </r>
      </text>
    </comment>
    <comment ref="U24" authorId="2" shapeId="0" xr:uid="{EDDEAB13-F780-4B89-8195-2595A4F37D06}">
      <text>
        <r>
          <rPr>
            <sz val="8"/>
            <color indexed="81"/>
            <rFont val="Tahoma"/>
            <family val="2"/>
          </rPr>
          <t>US$1b, ANZ London US$107m</t>
        </r>
      </text>
    </comment>
    <comment ref="U27" authorId="2" shapeId="0" xr:uid="{11B3E914-AAE4-4960-93B8-5C69D5686B81}">
      <text>
        <r>
          <rPr>
            <sz val="8"/>
            <color indexed="81"/>
            <rFont val="Tahoma"/>
            <family val="2"/>
          </rPr>
          <t>US290m, SMBC US$50m</t>
        </r>
      </text>
    </comment>
    <comment ref="U28" authorId="2" shapeId="0" xr:uid="{DC0F7827-0594-443A-9C6F-30EFA5603719}">
      <text>
        <r>
          <rPr>
            <b/>
            <sz val="9"/>
            <color indexed="81"/>
            <rFont val="Tahoma"/>
            <family val="2"/>
          </rPr>
          <t>ING participation of EUR150m of EUR650m facility</t>
        </r>
      </text>
    </comment>
    <comment ref="U30" authorId="2" shapeId="0" xr:uid="{1D3A7211-B4F6-4250-B851-E2711D513EF1}">
      <text>
        <r>
          <rPr>
            <b/>
            <sz val="9"/>
            <color indexed="81"/>
            <rFont val="Tahoma"/>
            <family val="2"/>
          </rPr>
          <t>DB participation of $65m in $180m senior secured loan only, $10m revolver and $10m capex facility</t>
        </r>
      </text>
    </comment>
    <comment ref="U31" authorId="1" shapeId="0" xr:uid="{FBDA4A86-7904-4DD8-80B9-09205A13B6BB}">
      <text>
        <r>
          <rPr>
            <b/>
            <sz val="9"/>
            <color indexed="81"/>
            <rFont val="Tahoma"/>
            <family val="2"/>
          </rPr>
          <t>Marc Nicholls:</t>
        </r>
        <r>
          <rPr>
            <sz val="9"/>
            <color indexed="81"/>
            <rFont val="Tahoma"/>
            <family val="2"/>
          </rPr>
          <t xml:space="preserve">
ING $137m of $137m</t>
        </r>
      </text>
    </comment>
    <comment ref="U32" authorId="1" shapeId="0" xr:uid="{72E95522-1957-48BE-A427-45C85768FA81}">
      <text>
        <r>
          <rPr>
            <b/>
            <sz val="9"/>
            <color indexed="81"/>
            <rFont val="Tahoma"/>
            <family val="2"/>
          </rPr>
          <t>Marc Nicholls:</t>
        </r>
        <r>
          <rPr>
            <sz val="9"/>
            <color indexed="81"/>
            <rFont val="Tahoma"/>
            <family val="2"/>
          </rPr>
          <t xml:space="preserve">
BNPP $30 of $80m</t>
        </r>
      </text>
    </comment>
    <comment ref="U33" authorId="4" shapeId="0" xr:uid="{21758E02-EC3C-4430-A023-568F2B6D0206}">
      <text>
        <r>
          <rPr>
            <b/>
            <sz val="9"/>
            <color indexed="81"/>
            <rFont val="Tahoma"/>
            <family val="2"/>
          </rPr>
          <t>Jemma Sargeant:</t>
        </r>
        <r>
          <rPr>
            <sz val="9"/>
            <color indexed="81"/>
            <rFont val="Tahoma"/>
            <family val="2"/>
          </rPr>
          <t xml:space="preserve">
ANZ US$92mil in US$1.5bil</t>
        </r>
      </text>
    </comment>
    <comment ref="U34" authorId="4" shapeId="0" xr:uid="{42B1C09A-BD5C-4D9A-B00A-424492603845}">
      <text>
        <r>
          <rPr>
            <b/>
            <sz val="9"/>
            <color indexed="81"/>
            <rFont val="Tahoma"/>
            <family val="2"/>
          </rPr>
          <t>Jemma Sargeant:</t>
        </r>
        <r>
          <rPr>
            <sz val="9"/>
            <color indexed="81"/>
            <rFont val="Tahoma"/>
            <family val="2"/>
          </rPr>
          <t xml:space="preserve">
ANZ US$96.8mil in US$193.6mil</t>
        </r>
      </text>
    </comment>
    <comment ref="A35" authorId="2" shapeId="0" xr:uid="{494AE3D7-A2BB-442E-B8CA-5DCF9EDEF9B0}">
      <text>
        <r>
          <rPr>
            <b/>
            <sz val="9"/>
            <color indexed="81"/>
            <rFont val="Tahoma"/>
            <family val="2"/>
          </rPr>
          <t>Barings (Head Office)</t>
        </r>
      </text>
    </comment>
    <comment ref="U35" authorId="4" shapeId="0" xr:uid="{C3C865D0-8D80-4223-BD5E-19A3C387F8B2}">
      <text>
        <r>
          <rPr>
            <b/>
            <sz val="9"/>
            <color indexed="81"/>
            <rFont val="Tahoma"/>
            <family val="2"/>
          </rPr>
          <t>Jemma Sargeant:</t>
        </r>
        <r>
          <rPr>
            <sz val="9"/>
            <color indexed="81"/>
            <rFont val="Tahoma"/>
            <family val="2"/>
          </rPr>
          <t xml:space="preserve">
ING EUR 16.055mil</t>
        </r>
      </text>
    </comment>
    <comment ref="U36" authorId="4" shapeId="0" xr:uid="{E54C81DF-73F1-4F68-9131-EE0671C18A94}">
      <text>
        <r>
          <rPr>
            <b/>
            <sz val="9"/>
            <color indexed="81"/>
            <rFont val="Tahoma"/>
            <family val="2"/>
          </rPr>
          <t>Jemma Sargeant:</t>
        </r>
        <r>
          <rPr>
            <sz val="9"/>
            <color indexed="81"/>
            <rFont val="Tahoma"/>
            <family val="2"/>
          </rPr>
          <t xml:space="preserve">
US$105m in US$1.3b facility</t>
        </r>
      </text>
    </comment>
    <comment ref="U37" authorId="4" shapeId="0" xr:uid="{7CA20A97-8E70-46C0-929F-EFEE7386803E}">
      <text>
        <r>
          <rPr>
            <b/>
            <sz val="9"/>
            <color indexed="81"/>
            <rFont val="Tahoma"/>
            <family val="2"/>
          </rPr>
          <t>Jemma Sargeant:</t>
        </r>
        <r>
          <rPr>
            <sz val="9"/>
            <color indexed="81"/>
            <rFont val="Tahoma"/>
            <family val="2"/>
          </rPr>
          <t xml:space="preserve">
US$75m in US$200m</t>
        </r>
      </text>
    </comment>
    <comment ref="U38" authorId="4" shapeId="0" xr:uid="{DD6FC009-C368-454F-A4F8-C8EA0DF85CA5}">
      <text>
        <r>
          <rPr>
            <b/>
            <sz val="9"/>
            <color indexed="81"/>
            <rFont val="Tahoma"/>
            <family val="2"/>
          </rPr>
          <t>Jemma Sargeant:</t>
        </r>
        <r>
          <rPr>
            <sz val="9"/>
            <color indexed="81"/>
            <rFont val="Tahoma"/>
            <family val="2"/>
          </rPr>
          <t xml:space="preserve">
US$36m facility
</t>
        </r>
      </text>
    </comment>
    <comment ref="U39" authorId="4" shapeId="0" xr:uid="{C8622322-D7C7-4C41-9BD2-E9113CE56FA0}">
      <text>
        <r>
          <rPr>
            <b/>
            <sz val="9"/>
            <color indexed="81"/>
            <rFont val="Tahoma"/>
            <family val="2"/>
          </rPr>
          <t>Jemma Sargeant:</t>
        </r>
        <r>
          <rPr>
            <sz val="9"/>
            <color indexed="81"/>
            <rFont val="Tahoma"/>
            <family val="2"/>
          </rPr>
          <t xml:space="preserve">
US$150m in US$300m facility</t>
        </r>
      </text>
    </comment>
    <comment ref="U40" authorId="4" shapeId="0" xr:uid="{7BAA82CF-BFC0-4F12-8ED3-3BE72ACC63DF}">
      <text>
        <r>
          <rPr>
            <b/>
            <sz val="9"/>
            <color indexed="81"/>
            <rFont val="Tahoma"/>
            <family val="2"/>
          </rPr>
          <t xml:space="preserve">Loan = us$350
Bank = us$100
</t>
        </r>
        <r>
          <rPr>
            <sz val="9"/>
            <color indexed="81"/>
            <rFont val="Tahoma"/>
            <family val="2"/>
          </rPr>
          <t xml:space="preserve">
</t>
        </r>
      </text>
    </comment>
    <comment ref="U41" authorId="4" shapeId="0" xr:uid="{DBA7FF06-4D1A-421D-9FD2-281ADA16EFE4}">
      <text>
        <r>
          <rPr>
            <b/>
            <sz val="9"/>
            <color indexed="81"/>
            <rFont val="Tahoma"/>
            <family val="2"/>
          </rPr>
          <t xml:space="preserve">Jemma Sargeant
SGD100M in SGD427m
</t>
        </r>
        <r>
          <rPr>
            <sz val="9"/>
            <color indexed="81"/>
            <rFont val="Tahoma"/>
            <family val="2"/>
          </rPr>
          <t xml:space="preserve">
</t>
        </r>
      </text>
    </comment>
    <comment ref="U42" authorId="5" shapeId="0" xr:uid="{2AB06138-7634-4B04-98DD-CDCFEE2CE47E}">
      <text>
        <r>
          <rPr>
            <b/>
            <sz val="9"/>
            <color indexed="81"/>
            <rFont val="Tahoma"/>
            <family val="2"/>
          </rPr>
          <t>Samuel Atkinson:</t>
        </r>
        <r>
          <rPr>
            <sz val="9"/>
            <color indexed="81"/>
            <rFont val="Tahoma"/>
            <family val="2"/>
          </rPr>
          <t xml:space="preserve">
Bank limit: AUD 75m 
Facility limit: AUD 750m</t>
        </r>
      </text>
    </comment>
    <comment ref="U43" authorId="4" shapeId="0" xr:uid="{2557E9D1-678A-45F4-996B-BE8E502F62BB}">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44" authorId="5" shapeId="0" xr:uid="{B671B66F-F9F5-404A-BCB8-C3D082CC21B9}">
      <text>
        <r>
          <rPr>
            <b/>
            <sz val="9"/>
            <color indexed="81"/>
            <rFont val="Tahoma"/>
            <family val="2"/>
          </rPr>
          <t>Samuel Atkinson:
Facility Limit: EUR 97.2m
Bank Limit: 48.6
Policy Limit: 15</t>
        </r>
      </text>
    </comment>
    <comment ref="U45" authorId="5" shapeId="0" xr:uid="{A45BF479-CB36-4827-B03F-F07B5184E61B}">
      <text>
        <r>
          <rPr>
            <b/>
            <sz val="9"/>
            <color indexed="81"/>
            <rFont val="Tahoma"/>
            <family val="2"/>
          </rPr>
          <t xml:space="preserve">Samuel Atkinson:
Loan Limit: EUR 90.25m
Bank Limit: EUR 90.25m
</t>
        </r>
      </text>
    </comment>
    <comment ref="AA45" authorId="5" shapeId="0" xr:uid="{414A1F27-E397-4003-B8F3-71D4D63C330E}">
      <text>
        <r>
          <rPr>
            <b/>
            <sz val="9"/>
            <color indexed="81"/>
            <rFont val="Tahoma"/>
            <family val="2"/>
          </rPr>
          <t>Samuel Atkinson:</t>
        </r>
        <r>
          <rPr>
            <sz val="9"/>
            <color indexed="81"/>
            <rFont val="Tahoma"/>
            <family val="2"/>
          </rPr>
          <t xml:space="preserve">
Two 1 year extension options approved
</t>
        </r>
      </text>
    </comment>
    <comment ref="U46" authorId="5" shapeId="0" xr:uid="{A86F4D73-6E83-483D-BD88-76EC69936F06}">
      <text>
        <r>
          <rPr>
            <b/>
            <sz val="9"/>
            <color indexed="81"/>
            <rFont val="Tahoma"/>
            <family val="2"/>
          </rPr>
          <t>Samuel Atkinson:</t>
        </r>
        <r>
          <rPr>
            <sz val="9"/>
            <color indexed="81"/>
            <rFont val="Tahoma"/>
            <family val="2"/>
          </rPr>
          <t xml:space="preserve">
Facility Limit: US$3b</t>
        </r>
      </text>
    </comment>
    <comment ref="U47" authorId="5" shapeId="0" xr:uid="{CEA1671D-20C0-41CC-AE21-4ED43FE7EFEF}">
      <text>
        <r>
          <rPr>
            <b/>
            <sz val="9"/>
            <color indexed="81"/>
            <rFont val="Tahoma"/>
            <family val="2"/>
          </rPr>
          <t>Samuel Atkinson:</t>
        </r>
        <r>
          <rPr>
            <sz val="9"/>
            <color indexed="81"/>
            <rFont val="Tahoma"/>
            <family val="2"/>
          </rPr>
          <t xml:space="preserve">
1.75b US term loan
175b US ANZ commitment
</t>
        </r>
      </text>
    </comment>
    <comment ref="U48" authorId="5" shapeId="0" xr:uid="{2EDEECD7-52B8-436E-B35B-7C3A9064AB3C}">
      <text>
        <r>
          <rPr>
            <b/>
            <sz val="9"/>
            <color indexed="81"/>
            <rFont val="Tahoma"/>
            <family val="2"/>
          </rPr>
          <t>Samuel Atkinson:</t>
        </r>
        <r>
          <rPr>
            <sz val="9"/>
            <color indexed="81"/>
            <rFont val="Tahoma"/>
            <family val="2"/>
          </rPr>
          <t xml:space="preserve">
Bank: EUR 120m
Loan: EUR 500m</t>
        </r>
      </text>
    </comment>
    <comment ref="N49" authorId="5" shapeId="0" xr:uid="{B44FA642-803D-4382-ADE5-42F8865DC7B7}">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49" authorId="5" shapeId="0" xr:uid="{7BD8A3D4-4871-4FDD-B07D-9411A3C515E6}">
      <text>
        <r>
          <rPr>
            <b/>
            <sz val="9"/>
            <color indexed="81"/>
            <rFont val="Tahoma"/>
            <family val="2"/>
          </rPr>
          <t>Samuel Atkinson:</t>
        </r>
        <r>
          <rPr>
            <sz val="9"/>
            <color indexed="81"/>
            <rFont val="Tahoma"/>
            <family val="2"/>
          </rPr>
          <t xml:space="preserve">
Loan Limit:US$385.9m
Bank Limit: US$30m
Policy: US$10m</t>
        </r>
      </text>
    </comment>
    <comment ref="U50" authorId="5" shapeId="0" xr:uid="{4BE381A6-118F-4170-8D01-40D7FBF3CE0F}">
      <text>
        <r>
          <rPr>
            <b/>
            <sz val="9"/>
            <color indexed="81"/>
            <rFont val="Tahoma"/>
            <family val="2"/>
          </rPr>
          <t>Samuel Atkinson:</t>
        </r>
        <r>
          <rPr>
            <sz val="9"/>
            <color indexed="81"/>
            <rFont val="Tahoma"/>
            <family val="2"/>
          </rPr>
          <t xml:space="preserve">
Bank Limit = 114.4m 
Loan Limit = 1.5b</t>
        </r>
      </text>
    </comment>
    <comment ref="U51" authorId="5" shapeId="0" xr:uid="{7BC3A56C-9967-4B24-B23B-A62E7BD6C3FF}">
      <text>
        <r>
          <rPr>
            <b/>
            <sz val="9"/>
            <color indexed="81"/>
            <rFont val="Tahoma"/>
            <family val="2"/>
          </rPr>
          <t>Samuel Atkinson:
RI: 15m
Bank: 50m
Loan: 545m</t>
        </r>
      </text>
    </comment>
    <comment ref="U52" authorId="6" shapeId="0" xr:uid="{1B6B5E9E-EBE2-4CCF-95A8-978C4737B2D4}">
      <text>
        <r>
          <rPr>
            <b/>
            <sz val="9"/>
            <color indexed="81"/>
            <rFont val="Tahoma"/>
            <family val="2"/>
          </rPr>
          <t>Ann Prosser:</t>
        </r>
        <r>
          <rPr>
            <sz val="9"/>
            <color indexed="81"/>
            <rFont val="Tahoma"/>
            <family val="2"/>
          </rPr>
          <t xml:space="preserve">
Loan Limit: A$1b
Bank Limit: A$50m 
Policy Limit: A$10m
</t>
        </r>
      </text>
    </comment>
    <comment ref="U53" authorId="5" shapeId="0" xr:uid="{1BB79976-9CD2-4A2D-8DC0-28825BD89359}">
      <text>
        <r>
          <rPr>
            <b/>
            <sz val="9"/>
            <color indexed="81"/>
            <rFont val="Tahoma"/>
            <family val="2"/>
          </rPr>
          <t>Samuel Atkinson
RI Policy: US$3.125
Policy: US$6.25
Bank: US$12.5
Loan: US$36.5m</t>
        </r>
      </text>
    </comment>
    <comment ref="U55" authorId="6" shapeId="0" xr:uid="{DE3672C5-69DF-41B7-B31B-2492EDCDBD09}">
      <text>
        <r>
          <rPr>
            <b/>
            <sz val="9"/>
            <color indexed="81"/>
            <rFont val="Tahoma"/>
            <family val="2"/>
          </rPr>
          <t>Ann Prosser:</t>
        </r>
        <r>
          <rPr>
            <sz val="9"/>
            <color indexed="81"/>
            <rFont val="Tahoma"/>
            <family val="2"/>
          </rPr>
          <t xml:space="preserve">
Policy limit: USD $15m, Bank Limit: usd $ 30m</t>
        </r>
      </text>
    </comment>
    <comment ref="U56" authorId="5" shapeId="0" xr:uid="{A7AF49EA-B80B-44A9-AF1B-954F7CD92A9A}">
      <text>
        <r>
          <rPr>
            <b/>
            <sz val="9"/>
            <color indexed="81"/>
            <rFont val="Tahoma"/>
            <family val="2"/>
          </rPr>
          <t>Samuel Atkinson:</t>
        </r>
        <r>
          <rPr>
            <sz val="9"/>
            <color indexed="81"/>
            <rFont val="Tahoma"/>
            <family val="2"/>
          </rPr>
          <t xml:space="preserve">
Bank Limit = approx US$26.67m
Loan Limit = Approx US$300m</t>
        </r>
      </text>
    </comment>
    <comment ref="U57" authorId="5" shapeId="0" xr:uid="{851A5B7A-0F0A-4420-9BE7-4393F16B985E}">
      <text>
        <r>
          <rPr>
            <b/>
            <sz val="9"/>
            <color indexed="81"/>
            <rFont val="Tahoma"/>
            <family val="2"/>
          </rPr>
          <t>Samuel Atkinson:</t>
        </r>
        <r>
          <rPr>
            <sz val="9"/>
            <color indexed="81"/>
            <rFont val="Tahoma"/>
            <family val="2"/>
          </rPr>
          <t xml:space="preserve">
 Bank Limit: US$105m Loan Limit: US$210 m </t>
        </r>
      </text>
    </comment>
    <comment ref="U58" authorId="5" shapeId="0" xr:uid="{4661E17A-2017-4478-9552-4C23E8CC3D1C}">
      <text>
        <r>
          <rPr>
            <b/>
            <sz val="9"/>
            <color indexed="81"/>
            <rFont val="Tahoma"/>
            <family val="2"/>
          </rPr>
          <t>Samuel Atkinson:</t>
        </r>
        <r>
          <rPr>
            <sz val="9"/>
            <color indexed="81"/>
            <rFont val="Tahoma"/>
            <family val="2"/>
          </rPr>
          <t xml:space="preserve">
Bank Limit: US$42.033m
Loan  Limit: US$126.1m</t>
        </r>
      </text>
    </comment>
    <comment ref="U59" authorId="5" shapeId="0" xr:uid="{607624FA-F643-41F6-AF9B-604245FE81EF}">
      <text>
        <r>
          <rPr>
            <b/>
            <sz val="9"/>
            <color indexed="81"/>
            <rFont val="Tahoma"/>
            <family val="2"/>
          </rPr>
          <t>Samuel Atkinson:</t>
        </r>
        <r>
          <rPr>
            <sz val="9"/>
            <color indexed="81"/>
            <rFont val="Tahoma"/>
            <family val="2"/>
          </rPr>
          <t xml:space="preserve">
Bank Limit: US$10
Loan Limit: US$730m 
</t>
        </r>
      </text>
    </comment>
    <comment ref="U60" authorId="6" shapeId="0" xr:uid="{3F0C7465-6B75-4524-8304-7D2D3781994B}">
      <text>
        <r>
          <rPr>
            <b/>
            <sz val="9"/>
            <color indexed="81"/>
            <rFont val="Tahoma"/>
            <family val="2"/>
          </rPr>
          <t>Ann Prosser:</t>
        </r>
        <r>
          <rPr>
            <sz val="9"/>
            <color indexed="81"/>
            <rFont val="Tahoma"/>
            <family val="2"/>
          </rPr>
          <t xml:space="preserve">
Loan Limit: GBP 700m
Bank Limit: GBP 80m 
Policy Limit: GBP 10m</t>
        </r>
      </text>
    </comment>
    <comment ref="U61" authorId="6" shapeId="0" xr:uid="{7E80179A-EC08-4DEA-8ACC-D5A711F56C94}">
      <text>
        <r>
          <rPr>
            <b/>
            <sz val="9"/>
            <color indexed="81"/>
            <rFont val="Tahoma"/>
            <family val="2"/>
          </rPr>
          <t>Ann Prosser:</t>
        </r>
        <r>
          <rPr>
            <sz val="9"/>
            <color indexed="81"/>
            <rFont val="Tahoma"/>
            <family val="2"/>
          </rPr>
          <t xml:space="preserve">
Loan Limit: US$185m
Bank Limit: US$35m 
Policy Limit: US$7m
</t>
        </r>
      </text>
    </comment>
    <comment ref="U62" authorId="6" shapeId="0" xr:uid="{47CB9EA3-C44D-424F-B382-CA74107F9BBA}">
      <text>
        <r>
          <rPr>
            <b/>
            <sz val="9"/>
            <color indexed="81"/>
            <rFont val="Tahoma"/>
            <family val="2"/>
          </rPr>
          <t>Ann Prosser:</t>
        </r>
        <r>
          <rPr>
            <sz val="9"/>
            <color indexed="81"/>
            <rFont val="Tahoma"/>
            <family val="2"/>
          </rPr>
          <t xml:space="preserve">
Loan Limit: US$64.1m
Bank Limit: US$53.4m 
Policy Limit: US$20m
</t>
        </r>
      </text>
    </comment>
    <comment ref="U63" authorId="6" shapeId="0" xr:uid="{071061F1-4638-422F-B843-2CBD7AF404FB}">
      <text>
        <r>
          <rPr>
            <b/>
            <sz val="9"/>
            <color indexed="81"/>
            <rFont val="Tahoma"/>
            <family val="2"/>
          </rPr>
          <t>Ann Prosser:</t>
        </r>
        <r>
          <rPr>
            <sz val="9"/>
            <color indexed="81"/>
            <rFont val="Tahoma"/>
            <family val="2"/>
          </rPr>
          <t xml:space="preserve">
Loan Limit: ~US$450m
Bank Limit: SGD 51.7m 
Policy Limit: SGD 14.1m
</t>
        </r>
      </text>
    </comment>
    <comment ref="U64" authorId="6" shapeId="0" xr:uid="{CA37429A-7427-4AAF-9BD0-3DE205E209F5}">
      <text>
        <r>
          <rPr>
            <b/>
            <sz val="9"/>
            <color indexed="81"/>
            <rFont val="Tahoma"/>
            <family val="2"/>
          </rPr>
          <t>Ann Prosser:</t>
        </r>
        <r>
          <rPr>
            <sz val="9"/>
            <color indexed="81"/>
            <rFont val="Tahoma"/>
            <family val="2"/>
          </rPr>
          <t xml:space="preserve">
Loan Limit A$1.6b
Bank Limit  A$60m
Policy Limit A$30m</t>
        </r>
      </text>
    </comment>
    <comment ref="U65" authorId="6" shapeId="0" xr:uid="{493AAE26-88B1-4D1E-A017-EEDC4D1B6029}">
      <text>
        <r>
          <rPr>
            <b/>
            <sz val="9"/>
            <color indexed="81"/>
            <rFont val="Tahoma"/>
            <family val="2"/>
          </rPr>
          <t>Ann Prosser:</t>
        </r>
        <r>
          <rPr>
            <sz val="9"/>
            <color indexed="81"/>
            <rFont val="Tahoma"/>
            <family val="2"/>
          </rPr>
          <t xml:space="preserve">
"Loan Limit: A$1.04bn
Bank Limit: A$50m 
Policy Limit: A$25m"
</t>
        </r>
      </text>
    </comment>
    <comment ref="U66" authorId="6" shapeId="0" xr:uid="{18B2050C-A3EE-42F7-B9E1-3959F709B0D4}">
      <text>
        <r>
          <rPr>
            <b/>
            <sz val="9"/>
            <color indexed="81"/>
            <rFont val="Tahoma"/>
            <family val="2"/>
          </rPr>
          <t>Ann Prosser:</t>
        </r>
        <r>
          <rPr>
            <sz val="9"/>
            <color indexed="81"/>
            <rFont val="Tahoma"/>
            <family val="2"/>
          </rPr>
          <t xml:space="preserve">
Loan Limit: US$3bn
Bank Limit: US$150m 
Policy Limit: US$7.5</t>
        </r>
      </text>
    </comment>
    <comment ref="U67" authorId="6" shapeId="0" xr:uid="{D421892E-99D0-48E3-ABC4-63C1C2806E79}">
      <text>
        <r>
          <rPr>
            <b/>
            <sz val="9"/>
            <color indexed="81"/>
            <rFont val="Tahoma"/>
            <family val="2"/>
          </rPr>
          <t>Ann Prosser:</t>
        </r>
        <r>
          <rPr>
            <sz val="9"/>
            <color indexed="81"/>
            <rFont val="Tahoma"/>
            <family val="2"/>
          </rPr>
          <t xml:space="preserve">
"Loan Limit: US$46.9m
Bank Limit: US$46.9m 
Policy Limit: US$20m"
</t>
        </r>
      </text>
    </comment>
    <comment ref="U68" authorId="6" shapeId="0" xr:uid="{35B4C2BD-47CC-4C5B-9C98-F7BAD90516B7}">
      <text>
        <r>
          <rPr>
            <b/>
            <sz val="9"/>
            <color indexed="81"/>
            <rFont val="Tahoma"/>
            <family val="2"/>
          </rPr>
          <t>Ann Prosser:</t>
        </r>
        <r>
          <rPr>
            <sz val="9"/>
            <color indexed="81"/>
            <rFont val="Tahoma"/>
            <family val="2"/>
          </rPr>
          <t xml:space="preserve">
Loan Limit: €57m
Bank Limit: €53m
Policy Limit: €12.5m
</t>
        </r>
      </text>
    </comment>
    <comment ref="U69" authorId="6" shapeId="0" xr:uid="{2E8620D6-5F1D-46F3-B1FF-2E42C18FF78A}">
      <text>
        <r>
          <rPr>
            <b/>
            <sz val="9"/>
            <color indexed="81"/>
            <rFont val="Tahoma"/>
            <family val="2"/>
          </rPr>
          <t>Ann Prosser:</t>
        </r>
        <r>
          <rPr>
            <sz val="9"/>
            <color indexed="81"/>
            <rFont val="Tahoma"/>
            <family val="2"/>
          </rPr>
          <t xml:space="preserve">
Loan Limit: EUR300m
Bank Limit: EUR65m 
Policy Limit: EUR20m
</t>
        </r>
      </text>
    </comment>
    <comment ref="U70" authorId="0" shapeId="0" xr:uid="{6B34AA8A-A863-4467-A2AD-BF90F14A10BC}">
      <text>
        <r>
          <rPr>
            <b/>
            <sz val="9"/>
            <color indexed="81"/>
            <rFont val="Tahoma"/>
            <family val="2"/>
          </rPr>
          <t>Lea Krstevska:</t>
        </r>
        <r>
          <rPr>
            <sz val="9"/>
            <color indexed="81"/>
            <rFont val="Tahoma"/>
            <family val="2"/>
          </rPr>
          <t xml:space="preserve">
Loan Limit: US$5bn
Bank Limit: US$350m
Policy Limit: US$20m</t>
        </r>
      </text>
    </comment>
    <comment ref="U71" authorId="0" shapeId="0" xr:uid="{29727CC5-D896-4E25-BBF3-FC8F518C8A15}">
      <text>
        <r>
          <rPr>
            <b/>
            <sz val="9"/>
            <color indexed="81"/>
            <rFont val="Tahoma"/>
            <family val="2"/>
          </rPr>
          <t>Lea Krstevska:</t>
        </r>
        <r>
          <rPr>
            <sz val="9"/>
            <color indexed="81"/>
            <rFont val="Tahoma"/>
            <family val="2"/>
          </rPr>
          <t xml:space="preserve">
Loan Limit: US$886m
Bank Limit: US$58m 
Policy Limit: US$10m</t>
        </r>
      </text>
    </comment>
    <comment ref="U72" authorId="6" shapeId="0" xr:uid="{483FCA47-EC50-4899-BF79-C123BC59F69C}">
      <text>
        <r>
          <rPr>
            <b/>
            <sz val="9"/>
            <color indexed="81"/>
            <rFont val="Tahoma"/>
            <family val="2"/>
          </rPr>
          <t>Ann Prosser:</t>
        </r>
        <r>
          <rPr>
            <sz val="9"/>
            <color indexed="81"/>
            <rFont val="Tahoma"/>
            <family val="2"/>
          </rPr>
          <t xml:space="preserve">
Loan Limit: A$5,250m
Bank Limit: A$488m 
Policy Limit: A$15m
</t>
        </r>
      </text>
    </comment>
    <comment ref="U73" authorId="0" shapeId="0" xr:uid="{9D34DD2B-F3B5-4FBA-8E5B-1E8AA0CAC59A}">
      <text>
        <r>
          <rPr>
            <b/>
            <sz val="9"/>
            <color indexed="81"/>
            <rFont val="Tahoma"/>
            <family val="2"/>
          </rPr>
          <t>Lea Krstevska:</t>
        </r>
        <r>
          <rPr>
            <sz val="9"/>
            <color indexed="81"/>
            <rFont val="Tahoma"/>
            <family val="2"/>
          </rPr>
          <t xml:space="preserve">
Loan Limit: US$300m
Bank Limit: US$100m 
Policy Limit: US$10m</t>
        </r>
      </text>
    </comment>
    <comment ref="U74" authorId="0" shapeId="0" xr:uid="{ADD2E7E9-8C8B-4088-A2FF-7A018E292EBD}">
      <text>
        <r>
          <rPr>
            <b/>
            <sz val="9"/>
            <color indexed="81"/>
            <rFont val="Tahoma"/>
            <family val="2"/>
          </rPr>
          <t>Lea Krstevska:</t>
        </r>
        <r>
          <rPr>
            <sz val="9"/>
            <color indexed="81"/>
            <rFont val="Tahoma"/>
            <family val="2"/>
          </rPr>
          <t xml:space="preserve">
Loan Limit: A$256.3m
Bank Limit: A$256.3m 
Policy Limit: A$25m</t>
        </r>
      </text>
    </comment>
    <comment ref="U75" authorId="5" shapeId="0" xr:uid="{B316F3FA-3C40-4E9F-829F-C62A5752E361}">
      <text>
        <r>
          <rPr>
            <b/>
            <sz val="9"/>
            <color indexed="81"/>
            <rFont val="Tahoma"/>
            <family val="2"/>
          </rPr>
          <t>Samuel Atkinson:</t>
        </r>
        <r>
          <rPr>
            <sz val="9"/>
            <color indexed="81"/>
            <rFont val="Tahoma"/>
            <family val="2"/>
          </rPr>
          <t xml:space="preserve">
USD 1.2-2.0 Facility Limit</t>
        </r>
      </text>
    </comment>
    <comment ref="U76" authorId="0" shapeId="0" xr:uid="{6AE10D69-C8A5-44CF-8595-83A2745AA99F}">
      <text>
        <r>
          <rPr>
            <b/>
            <sz val="9"/>
            <color indexed="81"/>
            <rFont val="Tahoma"/>
            <family val="2"/>
          </rPr>
          <t>Lea Krstevska:</t>
        </r>
        <r>
          <rPr>
            <sz val="9"/>
            <color indexed="81"/>
            <rFont val="Tahoma"/>
            <family val="2"/>
          </rPr>
          <t xml:space="preserve">
Loan Limit: US$400m
Bank Limit: US$75m 
Policy Limit: US$20m</t>
        </r>
      </text>
    </comment>
    <comment ref="U77" authorId="0" shapeId="0" xr:uid="{91FEEB2B-D1A8-4E66-BF1A-442431E3A840}">
      <text>
        <r>
          <rPr>
            <b/>
            <sz val="9"/>
            <color indexed="81"/>
            <rFont val="Tahoma"/>
            <family val="2"/>
          </rPr>
          <t>Lea Krstevska:</t>
        </r>
        <r>
          <rPr>
            <sz val="9"/>
            <color indexed="81"/>
            <rFont val="Tahoma"/>
            <family val="2"/>
          </rPr>
          <t xml:space="preserve">
Loan Limit: NOK 1.5b
Bank Limit: NOK 990m 
Policy Limit: NOK 158m</t>
        </r>
      </text>
    </comment>
    <comment ref="U78" authorId="6" shapeId="0" xr:uid="{F5A80ABB-4793-467C-8602-85C29D695338}">
      <text>
        <r>
          <rPr>
            <b/>
            <sz val="9"/>
            <color indexed="81"/>
            <rFont val="Tahoma"/>
            <family val="2"/>
          </rPr>
          <t>Ann Prosser:</t>
        </r>
        <r>
          <rPr>
            <sz val="9"/>
            <color indexed="81"/>
            <rFont val="Tahoma"/>
            <family val="2"/>
          </rPr>
          <t xml:space="preserve">
Loan Limit: A$129.6m
Bank Limit: A$93m 
Policy Limit: A$25m
</t>
        </r>
      </text>
    </comment>
    <comment ref="U79" authorId="0" shapeId="0" xr:uid="{9FD9F3A9-0A9C-4262-B438-5B2ECBADA831}">
      <text>
        <r>
          <rPr>
            <b/>
            <sz val="9"/>
            <color indexed="81"/>
            <rFont val="Tahoma"/>
            <family val="2"/>
          </rPr>
          <t>Lea Krstevska:</t>
        </r>
        <r>
          <rPr>
            <sz val="9"/>
            <color indexed="81"/>
            <rFont val="Tahoma"/>
            <family val="2"/>
          </rPr>
          <t xml:space="preserve">
Loan Limit: JPY 18.5b
Bank Limit: JPY 13.88b
Policy Limit: JPY 1.87b</t>
        </r>
      </text>
    </comment>
    <comment ref="U80" authorId="0" shapeId="0" xr:uid="{8DD435B5-9960-4669-9286-C7AB46C1E99B}">
      <text>
        <r>
          <rPr>
            <b/>
            <sz val="9"/>
            <color indexed="81"/>
            <rFont val="Tahoma"/>
            <family val="2"/>
          </rPr>
          <t>Lea Krstevska:</t>
        </r>
        <r>
          <rPr>
            <sz val="9"/>
            <color indexed="81"/>
            <rFont val="Tahoma"/>
            <family val="2"/>
          </rPr>
          <t xml:space="preserve">
Loan Limit: US$1.575b
Bank Limit: US$93.3m 
Policy Limit: US$10m</t>
        </r>
      </text>
    </comment>
    <comment ref="U81" authorId="0" shapeId="0" xr:uid="{2908C36F-97E3-4A4C-BF8A-14C8F83D8D9A}">
      <text>
        <r>
          <rPr>
            <b/>
            <sz val="9"/>
            <color indexed="81"/>
            <rFont val="Tahoma"/>
            <family val="2"/>
          </rPr>
          <t>Lea Krstevska:</t>
        </r>
        <r>
          <rPr>
            <sz val="9"/>
            <color indexed="81"/>
            <rFont val="Tahoma"/>
            <family val="2"/>
          </rPr>
          <t xml:space="preserve">
Loan Limit: EUR 1.4b
Bank Limit: EUR 212m 
Policy Limit: EUR 15m</t>
        </r>
      </text>
    </comment>
    <comment ref="U82" authorId="0" shapeId="0" xr:uid="{1B4D1591-1B56-4641-8E05-02D2D3EF411C}">
      <text>
        <r>
          <rPr>
            <b/>
            <sz val="9"/>
            <color indexed="81"/>
            <rFont val="Tahoma"/>
            <family val="2"/>
          </rPr>
          <t>Lea Krstevska:</t>
        </r>
        <r>
          <rPr>
            <sz val="9"/>
            <color indexed="81"/>
            <rFont val="Tahoma"/>
            <family val="2"/>
          </rPr>
          <t xml:space="preserve">
Loan Limit: US$75m
Bank Limit: US$75m 
Policy Limit: US$20m</t>
        </r>
      </text>
    </comment>
    <comment ref="U83" authorId="0" shapeId="0" xr:uid="{5623CE90-87AA-424A-B1C7-F99B9E6F1492}">
      <text>
        <r>
          <rPr>
            <b/>
            <sz val="9"/>
            <color indexed="81"/>
            <rFont val="Tahoma"/>
            <family val="2"/>
          </rPr>
          <t>Lea Krstevska:</t>
        </r>
        <r>
          <rPr>
            <sz val="9"/>
            <color indexed="81"/>
            <rFont val="Tahoma"/>
            <family val="2"/>
          </rPr>
          <t xml:space="preserve">
Loan Limit: EUR 20m
Bank Limit: EUR 20m 
Policy Limit: EUR 3m</t>
        </r>
      </text>
    </comment>
    <comment ref="U84" authorId="0" shapeId="0" xr:uid="{5AA1E046-7794-40A2-8EF1-E159332B2C6E}">
      <text>
        <r>
          <rPr>
            <b/>
            <sz val="9"/>
            <color indexed="81"/>
            <rFont val="Tahoma"/>
            <family val="2"/>
          </rPr>
          <t>Lea Krstevska:</t>
        </r>
        <r>
          <rPr>
            <sz val="9"/>
            <color indexed="81"/>
            <rFont val="Tahoma"/>
            <family val="2"/>
          </rPr>
          <t xml:space="preserve">
Loan: JPY12bn
Bank: JPY7bn
Policy: JPY 2.6bn</t>
        </r>
      </text>
    </comment>
    <comment ref="U85" authorId="0" shapeId="0" xr:uid="{21157105-8D35-4497-9F67-8237607D38C5}">
      <text>
        <r>
          <rPr>
            <b/>
            <sz val="9"/>
            <color indexed="81"/>
            <rFont val="Tahoma"/>
            <family val="2"/>
          </rPr>
          <t>Lea Krstevska:</t>
        </r>
        <r>
          <rPr>
            <sz val="9"/>
            <color indexed="81"/>
            <rFont val="Tahoma"/>
            <family val="2"/>
          </rPr>
          <t xml:space="preserve">
Loan Limit £400m
Bank Limit £90m
Policy Limit  £5m</t>
        </r>
      </text>
    </comment>
    <comment ref="U86" authorId="0" shapeId="0" xr:uid="{70709295-DE68-424C-8A2E-74BED6BA01B2}">
      <text>
        <r>
          <rPr>
            <b/>
            <sz val="9"/>
            <color indexed="81"/>
            <rFont val="Tahoma"/>
            <family val="2"/>
          </rPr>
          <t>Lea Krstevska:</t>
        </r>
        <r>
          <rPr>
            <sz val="9"/>
            <color indexed="81"/>
            <rFont val="Tahoma"/>
            <family val="2"/>
          </rPr>
          <t xml:space="preserve">
Loan Limit: A$319m
Bank Limit: A$319m 
Policy Limit: A$30m</t>
        </r>
      </text>
    </comment>
    <comment ref="U87" authorId="5" shapeId="0" xr:uid="{18D2EF6E-AC93-4527-A11F-CA389418C6E4}">
      <text>
        <r>
          <rPr>
            <b/>
            <sz val="9"/>
            <color indexed="81"/>
            <rFont val="Tahoma"/>
            <family val="2"/>
          </rPr>
          <t>Samuel Atkinson:EUR 25m Bank Limit 
EUR 25m Loan Limit</t>
        </r>
      </text>
    </comment>
    <comment ref="U88" authorId="5" shapeId="0" xr:uid="{BE963F88-F4B6-4F8A-A227-C7C9E940A394}">
      <text>
        <r>
          <rPr>
            <b/>
            <sz val="9"/>
            <color indexed="81"/>
            <rFont val="Tahoma"/>
            <family val="2"/>
          </rPr>
          <t>Samuel Atkinson:</t>
        </r>
        <r>
          <rPr>
            <sz val="9"/>
            <color indexed="81"/>
            <rFont val="Tahoma"/>
            <family val="2"/>
          </rPr>
          <t xml:space="preserve">
Bank Limit: EUR 105m
Loan Limit: EUR 330m</t>
        </r>
      </text>
    </comment>
    <comment ref="U89" authorId="5" shapeId="0" xr:uid="{0F053EC0-BBBA-4686-AF4F-867CB6DE32E5}">
      <text>
        <r>
          <rPr>
            <b/>
            <sz val="9"/>
            <color indexed="81"/>
            <rFont val="Tahoma"/>
            <family val="2"/>
          </rPr>
          <t>Samuel Atkinson
US$61m Bank Limit
US$575m Loan Limit</t>
        </r>
      </text>
    </comment>
    <comment ref="U90" authorId="6" shapeId="0" xr:uid="{85E3FA33-0320-49B4-BA7B-7617682FF7DF}">
      <text>
        <r>
          <rPr>
            <b/>
            <sz val="9"/>
            <color indexed="81"/>
            <rFont val="Tahoma"/>
            <family val="2"/>
          </rPr>
          <t>Ann Prosser:</t>
        </r>
        <r>
          <rPr>
            <sz val="9"/>
            <color indexed="81"/>
            <rFont val="Tahoma"/>
            <family val="2"/>
          </rPr>
          <t xml:space="preserve">
Loan Limit: US$1.3bn
Bank Limit: US$95m
Policy Limit: US$5m
</t>
        </r>
      </text>
    </comment>
    <comment ref="U91" authorId="2" shapeId="0" xr:uid="{04D9495C-B837-42E3-A568-601C4F493607}">
      <text>
        <r>
          <rPr>
            <sz val="8"/>
            <color indexed="81"/>
            <rFont val="Tahoma"/>
            <family val="2"/>
          </rPr>
          <t>US$397.5m , ING US$50m</t>
        </r>
      </text>
    </comment>
    <comment ref="U92" authorId="0" shapeId="0" xr:uid="{87CA8289-61F0-4B74-A2ED-31545678B07C}">
      <text>
        <r>
          <rPr>
            <b/>
            <sz val="9"/>
            <color indexed="81"/>
            <rFont val="Tahoma"/>
            <family val="2"/>
          </rPr>
          <t>Lea Krstevska:</t>
        </r>
        <r>
          <rPr>
            <sz val="9"/>
            <color indexed="81"/>
            <rFont val="Tahoma"/>
            <family val="2"/>
          </rPr>
          <t xml:space="preserve">
Loan: US$340m
Bank: US$80m
Policy: US$15m</t>
        </r>
      </text>
    </comment>
    <comment ref="U93" authorId="0" shapeId="0" xr:uid="{4EE3E35D-F3F4-4CBE-975E-72D1FFC4BE96}">
      <text>
        <r>
          <rPr>
            <b/>
            <sz val="9"/>
            <color indexed="81"/>
            <rFont val="Tahoma"/>
            <family val="2"/>
          </rPr>
          <t>Lea Krstevska:</t>
        </r>
        <r>
          <rPr>
            <sz val="9"/>
            <color indexed="81"/>
            <rFont val="Tahoma"/>
            <family val="2"/>
          </rPr>
          <t xml:space="preserve">
Loan: US$125m
Bank: US$9.375m
Policy: US$7.5m</t>
        </r>
      </text>
    </comment>
    <comment ref="U94" authorId="0" shapeId="0" xr:uid="{CA9F653A-4F2A-4611-A88C-45F72E70656A}">
      <text>
        <r>
          <rPr>
            <b/>
            <sz val="9"/>
            <color indexed="81"/>
            <rFont val="Tahoma"/>
            <family val="2"/>
          </rPr>
          <t>Lea Krstevska:</t>
        </r>
        <r>
          <rPr>
            <sz val="9"/>
            <color indexed="81"/>
            <rFont val="Tahoma"/>
            <family val="2"/>
          </rPr>
          <t xml:space="preserve">
Loan: US$265m
Bank: US$30m
Policy: US$15m</t>
        </r>
      </text>
    </comment>
    <comment ref="U95" authorId="0" shapeId="0" xr:uid="{DEB7497A-7751-4FF3-89BB-C29B8E5D9478}">
      <text>
        <r>
          <rPr>
            <b/>
            <sz val="9"/>
            <color indexed="81"/>
            <rFont val="Tahoma"/>
            <family val="2"/>
          </rPr>
          <t>Lea Krstevska:</t>
        </r>
        <r>
          <rPr>
            <sz val="9"/>
            <color indexed="81"/>
            <rFont val="Tahoma"/>
            <family val="2"/>
          </rPr>
          <t xml:space="preserve">
Loan: US$400m
Bank: US$45m
Policy: US$15m</t>
        </r>
      </text>
    </comment>
    <comment ref="U96" authorId="0" shapeId="0" xr:uid="{22148CE8-4363-4F0F-9042-3B24DCCB51A1}">
      <text>
        <r>
          <rPr>
            <b/>
            <sz val="9"/>
            <color indexed="81"/>
            <rFont val="Tahoma"/>
            <family val="2"/>
          </rPr>
          <t>Lea Krstevska:</t>
        </r>
        <r>
          <rPr>
            <sz val="9"/>
            <color indexed="81"/>
            <rFont val="Tahoma"/>
            <family val="2"/>
          </rPr>
          <t xml:space="preserve">
Loan: EUR620m
Bank: EUR100m
Policy: EUR15m</t>
        </r>
      </text>
    </comment>
    <comment ref="U97" authorId="0" shapeId="0" xr:uid="{0C0D9DD1-71B6-4C9D-819F-400168D26856}">
      <text>
        <r>
          <rPr>
            <b/>
            <sz val="9"/>
            <color indexed="81"/>
            <rFont val="Tahoma"/>
            <family val="2"/>
          </rPr>
          <t>Lea Krstevska:</t>
        </r>
        <r>
          <rPr>
            <sz val="9"/>
            <color indexed="81"/>
            <rFont val="Tahoma"/>
            <family val="2"/>
          </rPr>
          <t xml:space="preserve">
Loan: US$69.8m
Bank: US$69.8m
Policy: US$15m</t>
        </r>
      </text>
    </comment>
    <comment ref="U98" authorId="0" shapeId="0" xr:uid="{9274E1D7-BF0A-4CC7-9359-F74ED4B94990}">
      <text>
        <r>
          <rPr>
            <b/>
            <sz val="9"/>
            <color indexed="81"/>
            <rFont val="Tahoma"/>
            <family val="2"/>
          </rPr>
          <t>Lea Krstevska:</t>
        </r>
        <r>
          <rPr>
            <sz val="9"/>
            <color indexed="81"/>
            <rFont val="Tahoma"/>
            <family val="2"/>
          </rPr>
          <t xml:space="preserve">
Loan: US$300m
Bank: US$30m
Policy: US$15m</t>
        </r>
      </text>
    </comment>
    <comment ref="U99" authorId="0" shapeId="0" xr:uid="{39AA9369-DE94-40B6-99A3-114C78267593}">
      <text>
        <r>
          <rPr>
            <b/>
            <sz val="9"/>
            <color indexed="81"/>
            <rFont val="Tahoma"/>
            <family val="2"/>
          </rPr>
          <t>Lea Krstevska:</t>
        </r>
        <r>
          <rPr>
            <sz val="9"/>
            <color indexed="81"/>
            <rFont val="Tahoma"/>
            <family val="2"/>
          </rPr>
          <t xml:space="preserve">
Loan: EUR1.03bn
Bank: EUR185.6m
Policy: EUR22m</t>
        </r>
      </text>
    </comment>
    <comment ref="U100" authorId="0" shapeId="0" xr:uid="{92ED007C-E7C2-42CC-A2FF-2EBD67D85A50}">
      <text>
        <r>
          <rPr>
            <b/>
            <sz val="9"/>
            <color indexed="81"/>
            <rFont val="Tahoma"/>
            <family val="2"/>
          </rPr>
          <t>Lea Krstevska:</t>
        </r>
        <r>
          <rPr>
            <sz val="9"/>
            <color indexed="81"/>
            <rFont val="Tahoma"/>
            <family val="2"/>
          </rPr>
          <t xml:space="preserve">
Loan: EUR375m
Bank: EUR50m
Policy: EUR10m</t>
        </r>
      </text>
    </comment>
    <comment ref="U101" authorId="0" shapeId="0" xr:uid="{7D697B55-5F31-4CBD-8E16-18E8260CE840}">
      <text>
        <r>
          <rPr>
            <b/>
            <sz val="9"/>
            <color indexed="81"/>
            <rFont val="Tahoma"/>
            <family val="2"/>
          </rPr>
          <t>Lea Krstevska:</t>
        </r>
        <r>
          <rPr>
            <sz val="9"/>
            <color indexed="81"/>
            <rFont val="Tahoma"/>
            <family val="2"/>
          </rPr>
          <t xml:space="preserve">
Loan Limit: US$1.05bn
Bank Limit: US$125m
Policy Limit: US$15m</t>
        </r>
      </text>
    </comment>
    <comment ref="U102" authorId="0" shapeId="0" xr:uid="{17BB2C83-E209-4BF7-A0F8-C8B4480A32D3}">
      <text>
        <r>
          <rPr>
            <b/>
            <sz val="9"/>
            <color indexed="81"/>
            <rFont val="Tahoma"/>
            <family val="2"/>
          </rPr>
          <t>Lea Krstevska:</t>
        </r>
        <r>
          <rPr>
            <sz val="9"/>
            <color indexed="81"/>
            <rFont val="Tahoma"/>
            <family val="2"/>
          </rPr>
          <t xml:space="preserve">
Loan Limit: JPY 22.117bn
Bank Limit: JPY 10bn
Policy Limit: JPY 986.8m</t>
        </r>
      </text>
    </comment>
    <comment ref="U103" authorId="0" shapeId="0" xr:uid="{3E82949C-9459-4483-BEE2-F6AFB67C5FF5}">
      <text>
        <r>
          <rPr>
            <b/>
            <sz val="9"/>
            <color indexed="81"/>
            <rFont val="Tahoma"/>
            <family val="2"/>
          </rPr>
          <t>Lea Krstevska:</t>
        </r>
        <r>
          <rPr>
            <sz val="9"/>
            <color indexed="81"/>
            <rFont val="Tahoma"/>
            <family val="2"/>
          </rPr>
          <t xml:space="preserve">
Loan Limit: US$327m
Bank Llimit: US$20m
Policy Limit: US$10m</t>
        </r>
      </text>
    </comment>
    <comment ref="U104" authorId="0" shapeId="0" xr:uid="{1C7B4AA6-D64D-47E8-AFD7-AD2A59E07896}">
      <text>
        <r>
          <rPr>
            <b/>
            <sz val="9"/>
            <color indexed="81"/>
            <rFont val="Tahoma"/>
            <family val="2"/>
          </rPr>
          <t>Lea Krstevska:</t>
        </r>
        <r>
          <rPr>
            <sz val="9"/>
            <color indexed="81"/>
            <rFont val="Tahoma"/>
            <family val="2"/>
          </rPr>
          <t xml:space="preserve">
Loan Limit: US$818m
Bank Limit: US$40m
Policy Limit: US$20m</t>
        </r>
      </text>
    </comment>
    <comment ref="U105" authorId="0" shapeId="0" xr:uid="{FCAD0174-3ED5-495D-8408-453EF658C59B}">
      <text>
        <r>
          <rPr>
            <b/>
            <sz val="9"/>
            <color indexed="81"/>
            <rFont val="Tahoma"/>
            <family val="2"/>
          </rPr>
          <t>Lea Krstevska:</t>
        </r>
        <r>
          <rPr>
            <sz val="9"/>
            <color indexed="81"/>
            <rFont val="Tahoma"/>
            <family val="2"/>
          </rPr>
          <t xml:space="preserve">
Loan Limit: US$450m
Bank Limit: US$15m
Policy Limit: US$7.5m</t>
        </r>
      </text>
    </comment>
    <comment ref="U106" authorId="0" shapeId="0" xr:uid="{856FEB73-95BB-425A-9855-E3AA41340368}">
      <text>
        <r>
          <rPr>
            <b/>
            <sz val="9"/>
            <color indexed="81"/>
            <rFont val="Tahoma"/>
            <family val="2"/>
          </rPr>
          <t>Lea Krstevska:</t>
        </r>
        <r>
          <rPr>
            <sz val="9"/>
            <color indexed="81"/>
            <rFont val="Tahoma"/>
            <family val="2"/>
          </rPr>
          <t xml:space="preserve">
Loan Limit: CAD$355m
Bank Limit: CAD$30m
Policu Limit: CAD$15m</t>
        </r>
      </text>
    </comment>
    <comment ref="U107" authorId="0" shapeId="0" xr:uid="{2C8B5A7B-585A-4EA1-A948-87281A15F72B}">
      <text>
        <r>
          <rPr>
            <b/>
            <sz val="9"/>
            <color indexed="81"/>
            <rFont val="Tahoma"/>
            <family val="2"/>
          </rPr>
          <t>Lea Krstevska:</t>
        </r>
        <r>
          <rPr>
            <sz val="9"/>
            <color indexed="81"/>
            <rFont val="Tahoma"/>
            <family val="2"/>
          </rPr>
          <t xml:space="preserve">
Loan Limit: US$327m
Bank Llimit: US$13.8m
Policy Limit: US$6.9m</t>
        </r>
      </text>
    </comment>
    <comment ref="U108" authorId="0" shapeId="0" xr:uid="{577C993D-0C7B-4DF6-9FBA-B40F9B010F42}">
      <text>
        <r>
          <rPr>
            <b/>
            <sz val="9"/>
            <color indexed="81"/>
            <rFont val="Tahoma"/>
            <family val="2"/>
          </rPr>
          <t>Lea Krstevska:</t>
        </r>
        <r>
          <rPr>
            <sz val="9"/>
            <color indexed="81"/>
            <rFont val="Tahoma"/>
            <family val="2"/>
          </rPr>
          <t xml:space="preserve">
Loan Limit: USD$103m
Bank Limit: USD$103m
Policy Limit: USD$15m</t>
        </r>
      </text>
    </comment>
    <comment ref="U109" authorId="0" shapeId="0" xr:uid="{38660FA6-A9B3-4F2A-910C-5090A22C663D}">
      <text>
        <r>
          <rPr>
            <b/>
            <sz val="9"/>
            <color indexed="81"/>
            <rFont val="Tahoma"/>
            <family val="2"/>
          </rPr>
          <t>Lea Krstevska:</t>
        </r>
        <r>
          <rPr>
            <sz val="9"/>
            <color indexed="81"/>
            <rFont val="Tahoma"/>
            <family val="2"/>
          </rPr>
          <t xml:space="preserve">
Loan Limit: USD$35m
Bank Limit: USD$15m
Policy Limit: USD$7.5m</t>
        </r>
      </text>
    </comment>
    <comment ref="U110" authorId="0" shapeId="0" xr:uid="{82129810-D056-4F3F-9DC9-360236ADA0D6}">
      <text>
        <r>
          <rPr>
            <b/>
            <sz val="9"/>
            <color indexed="81"/>
            <rFont val="Tahoma"/>
            <family val="2"/>
          </rPr>
          <t>Lea Krstevska:</t>
        </r>
        <r>
          <rPr>
            <sz val="9"/>
            <color indexed="81"/>
            <rFont val="Tahoma"/>
            <family val="2"/>
          </rPr>
          <t xml:space="preserve">
Loan Limit: A$72.688m
Bank Limit: A$72.688m
Policy Limit: A$15m+10m</t>
        </r>
      </text>
    </comment>
    <comment ref="U111" authorId="0" shapeId="0" xr:uid="{61C966A1-55D8-4F6A-A420-40331B2BB27A}">
      <text>
        <r>
          <rPr>
            <b/>
            <sz val="9"/>
            <color indexed="81"/>
            <rFont val="Tahoma"/>
            <family val="2"/>
          </rPr>
          <t>Lea Krstevska:</t>
        </r>
        <r>
          <rPr>
            <sz val="9"/>
            <color indexed="81"/>
            <rFont val="Tahoma"/>
            <family val="2"/>
          </rPr>
          <t xml:space="preserve">
Loan Limit: USD$988m
Bank Limit: USD$74.3m
Policy Limit: USD$20m</t>
        </r>
      </text>
    </comment>
    <comment ref="U112" authorId="0" shapeId="0" xr:uid="{55B05F98-E10A-403E-82F0-5A24E71DF1F8}">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U113" authorId="0" shapeId="0" xr:uid="{3492DBDB-0B55-4E3A-9133-298F309BD6BB}">
      <text>
        <r>
          <rPr>
            <b/>
            <sz val="9"/>
            <color indexed="81"/>
            <rFont val="Tahoma"/>
            <family val="2"/>
          </rPr>
          <t>Lea Krstevska:</t>
        </r>
        <r>
          <rPr>
            <sz val="9"/>
            <color indexed="81"/>
            <rFont val="Tahoma"/>
            <family val="2"/>
          </rPr>
          <t xml:space="preserve">
Loan Limit: US$4.5bn
Bank Limit: US$285m
Policy Limit: US$10m</t>
        </r>
      </text>
    </comment>
    <comment ref="U114" authorId="0" shapeId="0" xr:uid="{BA2B9063-39BF-4BB3-99DD-0B83C8627F22}">
      <text>
        <r>
          <rPr>
            <b/>
            <sz val="9"/>
            <color indexed="81"/>
            <rFont val="Tahoma"/>
            <family val="2"/>
          </rPr>
          <t>Lea Krstevska:</t>
        </r>
        <r>
          <rPr>
            <sz val="9"/>
            <color indexed="81"/>
            <rFont val="Tahoma"/>
            <family val="2"/>
          </rPr>
          <t xml:space="preserve">
Loan: EUR119.6m
Bank:EUR23.9m
Policy: EUR5m</t>
        </r>
      </text>
    </comment>
    <comment ref="U115" authorId="0" shapeId="0" xr:uid="{398F7153-C8C4-40A3-B464-F3985D1727E8}">
      <text>
        <r>
          <rPr>
            <b/>
            <sz val="9"/>
            <color indexed="81"/>
            <rFont val="Tahoma"/>
            <family val="2"/>
          </rPr>
          <t>Lea Krstevska:</t>
        </r>
        <r>
          <rPr>
            <sz val="9"/>
            <color indexed="81"/>
            <rFont val="Tahoma"/>
            <family val="2"/>
          </rPr>
          <t xml:space="preserve">
Loan Limit: A$266M
Bank Limit: A$41.5m
Policy Limit: A$15m</t>
        </r>
      </text>
    </comment>
    <comment ref="U116" authorId="0" shapeId="0" xr:uid="{843BED0D-DCA0-443A-A476-70A41C252809}">
      <text>
        <r>
          <rPr>
            <b/>
            <sz val="9"/>
            <color indexed="81"/>
            <rFont val="Tahoma"/>
            <family val="2"/>
          </rPr>
          <t>Lea Krstevska:</t>
        </r>
        <r>
          <rPr>
            <sz val="9"/>
            <color indexed="81"/>
            <rFont val="Tahoma"/>
            <family val="2"/>
          </rPr>
          <t xml:space="preserve">
Loan Limit: US$80m
Bank Limit: U$9.5m
Policy Limit: US$4.75m</t>
        </r>
      </text>
    </comment>
    <comment ref="U117" authorId="0" shapeId="0" xr:uid="{54D3FD3D-BF3C-42D1-8E09-5F04B4BD951F}">
      <text>
        <r>
          <rPr>
            <b/>
            <sz val="9"/>
            <color indexed="81"/>
            <rFont val="Tahoma"/>
            <family val="2"/>
          </rPr>
          <t>Lea Krstevska:</t>
        </r>
        <r>
          <rPr>
            <sz val="9"/>
            <color indexed="81"/>
            <rFont val="Tahoma"/>
            <family val="2"/>
          </rPr>
          <t xml:space="preserve">
Loan Limit: EUR350m
Bank Limit: EUR70m
Policy Limit: EUR6.25m</t>
        </r>
      </text>
    </comment>
    <comment ref="U118" authorId="0" shapeId="0" xr:uid="{07FA3016-B7C3-4646-AC9F-035C55FA404A}">
      <text>
        <r>
          <rPr>
            <b/>
            <sz val="9"/>
            <color indexed="81"/>
            <rFont val="Tahoma"/>
            <family val="2"/>
          </rPr>
          <t>Lea Krstevska:</t>
        </r>
        <r>
          <rPr>
            <sz val="9"/>
            <color indexed="81"/>
            <rFont val="Tahoma"/>
            <family val="2"/>
          </rPr>
          <t xml:space="preserve">
Loan Limit: US$55m
Bank Limit: US$15.7m
Policy Limit: US$10m</t>
        </r>
      </text>
    </comment>
    <comment ref="U119" authorId="0" shapeId="0" xr:uid="{55BB9355-71D6-4CB4-B3F2-F98FEF1A5061}">
      <text>
        <r>
          <rPr>
            <b/>
            <sz val="9"/>
            <color indexed="81"/>
            <rFont val="Tahoma"/>
            <family val="2"/>
          </rPr>
          <t>Lea Krstevska:</t>
        </r>
        <r>
          <rPr>
            <sz val="9"/>
            <color indexed="81"/>
            <rFont val="Tahoma"/>
            <family val="2"/>
          </rPr>
          <t xml:space="preserve">
Loan Limit: US$1bn
Bank Limit: US$45m
Policy Limit: US$15m</t>
        </r>
      </text>
    </comment>
    <comment ref="U120" authorId="0" shapeId="0" xr:uid="{DB06D073-810F-4DBB-9591-A1D33CE9307A}">
      <text>
        <r>
          <rPr>
            <b/>
            <sz val="9"/>
            <color indexed="81"/>
            <rFont val="Tahoma"/>
            <family val="2"/>
          </rPr>
          <t>Lea Krstevska:</t>
        </r>
        <r>
          <rPr>
            <sz val="9"/>
            <color indexed="81"/>
            <rFont val="Tahoma"/>
            <family val="2"/>
          </rPr>
          <t xml:space="preserve">
Loan Limit: US$818m
Bank Limit: US$35m
Policy Limit: US$5m</t>
        </r>
      </text>
    </comment>
    <comment ref="U121" authorId="0" shapeId="0" xr:uid="{027112E4-1F20-4373-8F93-C809EB810FA0}">
      <text>
        <r>
          <rPr>
            <b/>
            <sz val="9"/>
            <color indexed="81"/>
            <rFont val="Tahoma"/>
            <family val="2"/>
          </rPr>
          <t>Lea Krstevska:</t>
        </r>
        <r>
          <rPr>
            <sz val="9"/>
            <color indexed="81"/>
            <rFont val="Tahoma"/>
            <family val="2"/>
          </rPr>
          <t xml:space="preserve">
Loan Limit: A$2.5bn
Bank Limit: A$155m
Policy Limit: A$20m</t>
        </r>
      </text>
    </comment>
    <comment ref="U122" authorId="0" shapeId="0" xr:uid="{8F69D2B4-DACE-45B8-95F6-177C0BC86C20}">
      <text>
        <r>
          <rPr>
            <b/>
            <sz val="9"/>
            <color indexed="81"/>
            <rFont val="Tahoma"/>
            <family val="2"/>
          </rPr>
          <t>Lea Krstevska:</t>
        </r>
        <r>
          <rPr>
            <sz val="9"/>
            <color indexed="81"/>
            <rFont val="Tahoma"/>
            <family val="2"/>
          </rPr>
          <t xml:space="preserve">
Loan Limit: A$116m
Bank Limit: A$24m
Policy Limit: A$12m</t>
        </r>
      </text>
    </comment>
    <comment ref="U123" authorId="0" shapeId="0" xr:uid="{F604B069-A4C3-4E0E-B6E1-522E45BA81BA}">
      <text>
        <r>
          <rPr>
            <b/>
            <sz val="9"/>
            <color indexed="81"/>
            <rFont val="Tahoma"/>
            <family val="2"/>
          </rPr>
          <t>Lea Krstevska:</t>
        </r>
        <r>
          <rPr>
            <sz val="9"/>
            <color indexed="81"/>
            <rFont val="Tahoma"/>
            <family val="2"/>
          </rPr>
          <t xml:space="preserve">
Loan Limit: US$1.2bn
Bank Limit: US$!50m
Policy Limit: US$7.5m</t>
        </r>
      </text>
    </comment>
    <comment ref="U124" authorId="0" shapeId="0" xr:uid="{4DEE8111-66D2-4DA4-8680-26D4582EE909}">
      <text>
        <r>
          <rPr>
            <b/>
            <sz val="9"/>
            <color indexed="81"/>
            <rFont val="Tahoma"/>
            <family val="2"/>
          </rPr>
          <t>Lea Krstevska:</t>
        </r>
        <r>
          <rPr>
            <sz val="9"/>
            <color indexed="81"/>
            <rFont val="Tahoma"/>
            <family val="2"/>
          </rPr>
          <t xml:space="preserve">
Loan Limit: EUR 1bn
Bank Limit: EUR 35m
Policy Limit: EUR20m</t>
        </r>
      </text>
    </comment>
    <comment ref="U126" authorId="0" shapeId="0" xr:uid="{9CBA4403-7A99-4052-85CA-E1675DC2E35C}">
      <text>
        <r>
          <rPr>
            <b/>
            <sz val="9"/>
            <color indexed="81"/>
            <rFont val="Tahoma"/>
            <family val="2"/>
          </rPr>
          <t>Lea Krstevska:</t>
        </r>
        <r>
          <rPr>
            <sz val="9"/>
            <color indexed="81"/>
            <rFont val="Tahoma"/>
            <family val="2"/>
          </rPr>
          <t xml:space="preserve">
Loan Limit: EUR 824m
Bank Limit: EUR 86m
Policy Limit: EUR 7.5m (SEK, NOK, DKK)</t>
        </r>
      </text>
    </comment>
    <comment ref="U127" authorId="0" shapeId="0" xr:uid="{4008A2F7-D8F3-4C38-8621-33BC14881C17}">
      <text>
        <r>
          <rPr>
            <b/>
            <sz val="9"/>
            <color indexed="81"/>
            <rFont val="Tahoma"/>
            <family val="2"/>
          </rPr>
          <t>Lea Krstevska:</t>
        </r>
        <r>
          <rPr>
            <sz val="9"/>
            <color indexed="81"/>
            <rFont val="Tahoma"/>
            <family val="2"/>
          </rPr>
          <t xml:space="preserve">
Loan Limit: US$1bn
Bank Limit: US$150m
Policy Limit: US$20m</t>
        </r>
      </text>
    </comment>
    <comment ref="U128" authorId="0" shapeId="0" xr:uid="{85E4D45D-E61C-4D66-9C16-30DD000392FE}">
      <text>
        <r>
          <rPr>
            <b/>
            <sz val="9"/>
            <color indexed="81"/>
            <rFont val="Tahoma"/>
            <family val="2"/>
          </rPr>
          <t>Lea Krstevska:</t>
        </r>
        <r>
          <rPr>
            <sz val="9"/>
            <color indexed="81"/>
            <rFont val="Tahoma"/>
            <family val="2"/>
          </rPr>
          <t xml:space="preserve">
Loan Limit: US$570m
Bank Limit: US$16.6m
Policy Limit: US$10m</t>
        </r>
      </text>
    </comment>
    <comment ref="U129" authorId="0" shapeId="0" xr:uid="{BC0C77CD-5337-4A0D-A7B6-9445BBA33D21}">
      <text>
        <r>
          <rPr>
            <b/>
            <sz val="9"/>
            <color indexed="81"/>
            <rFont val="Tahoma"/>
            <family val="2"/>
          </rPr>
          <t>Lea Krstevska:</t>
        </r>
        <r>
          <rPr>
            <sz val="9"/>
            <color indexed="81"/>
            <rFont val="Tahoma"/>
            <family val="2"/>
          </rPr>
          <t xml:space="preserve">
Loan Limit: US$657m + 5bn HKD
Bank limit: US$200m
Policy Limit: US$15m</t>
        </r>
      </text>
    </comment>
    <comment ref="U130" authorId="0" shapeId="0" xr:uid="{5018A710-8B02-42FA-B7DD-9C273BEC4D8E}">
      <text>
        <r>
          <rPr>
            <b/>
            <sz val="9"/>
            <color indexed="81"/>
            <rFont val="Tahoma"/>
            <family val="2"/>
          </rPr>
          <t>Lea Krstevska:</t>
        </r>
        <r>
          <rPr>
            <sz val="9"/>
            <color indexed="81"/>
            <rFont val="Tahoma"/>
            <family val="2"/>
          </rPr>
          <t xml:space="preserve">
Loan Limit: EUR159m
Bank Limit: EUR 40m
Policy Limit: EUR 10m</t>
        </r>
      </text>
    </comment>
    <comment ref="U131" authorId="0" shapeId="0" xr:uid="{6BC55AC1-60CF-4F4F-BD2D-AB316B6FED16}">
      <text>
        <r>
          <rPr>
            <b/>
            <sz val="9"/>
            <color indexed="81"/>
            <rFont val="Tahoma"/>
            <family val="2"/>
          </rPr>
          <t>Lea Krstevska:</t>
        </r>
        <r>
          <rPr>
            <sz val="9"/>
            <color indexed="81"/>
            <rFont val="Tahoma"/>
            <family val="2"/>
          </rPr>
          <t xml:space="preserve">
Loan: EUR 120m
Bank: EUR 30m
Policy: EUR 10m</t>
        </r>
      </text>
    </comment>
    <comment ref="U132" authorId="0" shapeId="0" xr:uid="{EA7498E0-339E-4567-9A1F-74761493AB9B}">
      <text>
        <r>
          <rPr>
            <b/>
            <sz val="9"/>
            <color indexed="81"/>
            <rFont val="Tahoma"/>
            <family val="2"/>
          </rPr>
          <t>Lea Krstevska:</t>
        </r>
        <r>
          <rPr>
            <sz val="9"/>
            <color indexed="81"/>
            <rFont val="Tahoma"/>
            <family val="2"/>
          </rPr>
          <t xml:space="preserve">
Loan Limit: EUR 65m
Bank Limit: EUR 32.5m
Policy Limit: EUR 7.8m</t>
        </r>
      </text>
    </comment>
    <comment ref="U133" authorId="0" shapeId="0" xr:uid="{CEFF5906-8A51-497C-AF69-AFADF6D2531C}">
      <text>
        <r>
          <rPr>
            <b/>
            <sz val="9"/>
            <color indexed="81"/>
            <rFont val="Tahoma"/>
            <family val="2"/>
          </rPr>
          <t>Lea Krstevska:</t>
        </r>
        <r>
          <rPr>
            <sz val="9"/>
            <color indexed="81"/>
            <rFont val="Tahoma"/>
            <family val="2"/>
          </rPr>
          <t xml:space="preserve">
Loan Limit: EUR60m
Bank Loan: EUR30m
Policy Limit: EUR7.2m
</t>
        </r>
      </text>
    </comment>
    <comment ref="U134" authorId="0" shapeId="0" xr:uid="{26354284-6BB0-4410-B3F3-12B2FB03A615}">
      <text>
        <r>
          <rPr>
            <b/>
            <sz val="9"/>
            <color indexed="81"/>
            <rFont val="Tahoma"/>
            <family val="2"/>
          </rPr>
          <t>Lea Krstevska:</t>
        </r>
        <r>
          <rPr>
            <sz val="9"/>
            <color indexed="81"/>
            <rFont val="Tahoma"/>
            <family val="2"/>
          </rPr>
          <t xml:space="preserve">
Loan: US$100m
Bank: US$40m
Policy: US$20m</t>
        </r>
      </text>
    </comment>
    <comment ref="U135" authorId="0" shapeId="0" xr:uid="{5C64A32A-0159-44D9-B508-66EF3E052815}">
      <text>
        <r>
          <rPr>
            <b/>
            <sz val="9"/>
            <color indexed="81"/>
            <rFont val="Tahoma"/>
            <family val="2"/>
          </rPr>
          <t xml:space="preserve">Lea Krstevska:B
</t>
        </r>
        <r>
          <rPr>
            <sz val="9"/>
            <color indexed="81"/>
            <rFont val="Tahoma"/>
            <family val="2"/>
          </rPr>
          <t xml:space="preserve">Loan: NOK4.026bn
Bank: NOK311.5m
Policy: NOK156m
</t>
        </r>
      </text>
    </comment>
    <comment ref="U136" authorId="0" shapeId="0" xr:uid="{96775DB0-8C92-414B-AE31-80EBCF250A44}">
      <text>
        <r>
          <rPr>
            <b/>
            <sz val="9"/>
            <color indexed="81"/>
            <rFont val="Tahoma"/>
            <family val="2"/>
          </rPr>
          <t>Lea Krstevska:</t>
        </r>
        <r>
          <rPr>
            <sz val="9"/>
            <color indexed="81"/>
            <rFont val="Tahoma"/>
            <family val="2"/>
          </rPr>
          <t xml:space="preserve">
Loan: AUD 308m
Bank: AUD48m
Policy: AUD11.1m</t>
        </r>
      </text>
    </comment>
    <comment ref="U137" authorId="0" shapeId="0" xr:uid="{8AC1EA8F-33CB-4693-922F-B7128C619DAE}">
      <text>
        <r>
          <rPr>
            <b/>
            <sz val="9"/>
            <color indexed="81"/>
            <rFont val="Tahoma"/>
            <family val="2"/>
          </rPr>
          <t>Lea Krstevska:</t>
        </r>
        <r>
          <rPr>
            <sz val="9"/>
            <color indexed="81"/>
            <rFont val="Tahoma"/>
            <family val="2"/>
          </rPr>
          <t xml:space="preserve">
Loan: A$600m
Bank: A$172.5m
Policy: A$20m</t>
        </r>
      </text>
    </comment>
    <comment ref="U138" authorId="0" shapeId="0" xr:uid="{073A0B1B-EC52-4EBB-A42D-FE9304EE69B0}">
      <text>
        <r>
          <rPr>
            <b/>
            <sz val="9"/>
            <color indexed="81"/>
            <rFont val="Tahoma"/>
            <family val="2"/>
          </rPr>
          <t>Lea Krstevska:</t>
        </r>
        <r>
          <rPr>
            <sz val="9"/>
            <color indexed="81"/>
            <rFont val="Tahoma"/>
            <family val="2"/>
          </rPr>
          <t xml:space="preserve">
Loan: GBP155.4m
Bank: GBP40m
Policy: GBP10m</t>
        </r>
      </text>
    </comment>
    <comment ref="U139" authorId="0" shapeId="0" xr:uid="{1A5117B9-A25E-443C-818F-5995730DF14C}">
      <text>
        <r>
          <rPr>
            <b/>
            <sz val="9"/>
            <color indexed="81"/>
            <rFont val="Tahoma"/>
            <family val="2"/>
          </rPr>
          <t>Lea Krstevska:</t>
        </r>
        <r>
          <rPr>
            <sz val="9"/>
            <color indexed="81"/>
            <rFont val="Tahoma"/>
            <family val="2"/>
          </rPr>
          <t xml:space="preserve">
Loan: USD277m
Bank: USD107m
Policy: USD7.5m</t>
        </r>
      </text>
    </comment>
    <comment ref="U140" authorId="0" shapeId="0" xr:uid="{EEEE5208-10BE-47EB-85CE-296BCAB20CCE}">
      <text>
        <r>
          <rPr>
            <b/>
            <sz val="9"/>
            <color indexed="81"/>
            <rFont val="Tahoma"/>
            <family val="2"/>
          </rPr>
          <t>Lea Krstevska:</t>
        </r>
        <r>
          <rPr>
            <sz val="9"/>
            <color indexed="81"/>
            <rFont val="Tahoma"/>
            <family val="2"/>
          </rPr>
          <t xml:space="preserve">
Loan: EUR119.4m
Bank: EUR24m
Policy: EUR10m</t>
        </r>
      </text>
    </comment>
    <comment ref="U141" authorId="7" shapeId="0" xr:uid="{D5958347-DA22-4602-929A-6906097586E8}">
      <text>
        <r>
          <rPr>
            <b/>
            <sz val="9"/>
            <color indexed="81"/>
            <rFont val="Tahoma"/>
            <family val="2"/>
          </rPr>
          <t>Chris Power:</t>
        </r>
        <r>
          <rPr>
            <sz val="9"/>
            <color indexed="81"/>
            <rFont val="Tahoma"/>
            <family val="2"/>
          </rPr>
          <t xml:space="preserve">
Loan: USD957m
Bank: USD60m
Policy: USD20m</t>
        </r>
      </text>
    </comment>
    <comment ref="U142" authorId="7" shapeId="0" xr:uid="{9F0B1AF6-9CB3-4711-98E6-D2EA7EA5CCF6}">
      <text>
        <r>
          <rPr>
            <b/>
            <sz val="9"/>
            <color indexed="81"/>
            <rFont val="Tahoma"/>
            <family val="2"/>
          </rPr>
          <t>Chris Power:</t>
        </r>
        <r>
          <rPr>
            <sz val="9"/>
            <color indexed="81"/>
            <rFont val="Tahoma"/>
            <family val="2"/>
          </rPr>
          <t xml:space="preserve">
Loan: AUD465m
Bank: AUD88.1m
Policy: AUD10m</t>
        </r>
      </text>
    </comment>
    <comment ref="U143" authorId="7" shapeId="0" xr:uid="{B7DF6ED9-F281-4F1D-9F30-867EECB7D9D9}">
      <text>
        <r>
          <rPr>
            <b/>
            <sz val="9"/>
            <color indexed="81"/>
            <rFont val="Tahoma"/>
            <family val="2"/>
          </rPr>
          <t>Chris Power:</t>
        </r>
        <r>
          <rPr>
            <sz val="9"/>
            <color indexed="81"/>
            <rFont val="Tahoma"/>
            <family val="2"/>
          </rPr>
          <t xml:space="preserve">
Loan: USD330m
Bank: USD20m
Policy: USD10m</t>
        </r>
      </text>
    </comment>
    <comment ref="U144" authorId="7" shapeId="0" xr:uid="{A1ABFF8D-11FF-44EB-B94D-49468794E816}">
      <text>
        <r>
          <rPr>
            <b/>
            <sz val="9"/>
            <color indexed="81"/>
            <rFont val="Tahoma"/>
            <family val="2"/>
          </rPr>
          <t>Chris Power:</t>
        </r>
        <r>
          <rPr>
            <sz val="9"/>
            <color indexed="81"/>
            <rFont val="Tahoma"/>
            <family val="2"/>
          </rPr>
          <t xml:space="preserve">
Loan: AUD265.2m
Bank: AUD120m
Policy: AUD16m</t>
        </r>
      </text>
    </comment>
    <comment ref="U145" authorId="7" shapeId="0" xr:uid="{DA1972C6-69A9-48C0-916B-A2A05CC94CA2}">
      <text>
        <r>
          <rPr>
            <b/>
            <sz val="9"/>
            <color indexed="81"/>
            <rFont val="Tahoma"/>
            <family val="2"/>
          </rPr>
          <t>Chris Power:</t>
        </r>
        <r>
          <rPr>
            <sz val="9"/>
            <color indexed="81"/>
            <rFont val="Tahoma"/>
            <family val="2"/>
          </rPr>
          <t xml:space="preserve">
Loan: USD330m
Bank: USD8.3m
Policy: USD5m</t>
        </r>
      </text>
    </comment>
    <comment ref="U146" authorId="7" shapeId="0" xr:uid="{70DD7AD5-C36F-428E-854B-701F84C49C3D}">
      <text>
        <r>
          <rPr>
            <b/>
            <sz val="9"/>
            <color indexed="81"/>
            <rFont val="Tahoma"/>
            <family val="2"/>
          </rPr>
          <t>Chris Power:</t>
        </r>
        <r>
          <rPr>
            <sz val="9"/>
            <color indexed="81"/>
            <rFont val="Tahoma"/>
            <family val="2"/>
          </rPr>
          <t xml:space="preserve">
Loan: USD350m
Bank: USD20m
Policy: USD10m</t>
        </r>
      </text>
    </comment>
    <comment ref="U147" authorId="7" shapeId="0" xr:uid="{A5EED4AE-3E82-40FC-AA0B-4283F3179ABA}">
      <text>
        <r>
          <rPr>
            <b/>
            <sz val="9"/>
            <color indexed="81"/>
            <rFont val="Tahoma"/>
            <family val="2"/>
          </rPr>
          <t>Chris Power:</t>
        </r>
        <r>
          <rPr>
            <sz val="9"/>
            <color indexed="81"/>
            <rFont val="Tahoma"/>
            <family val="2"/>
          </rPr>
          <t xml:space="preserve">
Loan: USD1.0b
Bank: USD25m
Policy: USD17.5m</t>
        </r>
      </text>
    </comment>
    <comment ref="U148" authorId="7" shapeId="0" xr:uid="{82C61FA3-6C79-4732-84A9-4618C2745D74}">
      <text>
        <r>
          <rPr>
            <b/>
            <sz val="9"/>
            <color indexed="81"/>
            <rFont val="Tahoma"/>
            <family val="2"/>
          </rPr>
          <t>Chris Power:</t>
        </r>
        <r>
          <rPr>
            <sz val="9"/>
            <color indexed="81"/>
            <rFont val="Tahoma"/>
            <family val="2"/>
          </rPr>
          <t xml:space="preserve">
Loan: EUR100m
Bank: EUR50m
Policy: EUR10m</t>
        </r>
      </text>
    </comment>
    <comment ref="U149" authorId="7" shapeId="0" xr:uid="{8BD9B100-E725-491B-8072-453555299E61}">
      <text>
        <r>
          <rPr>
            <b/>
            <sz val="9"/>
            <color indexed="81"/>
            <rFont val="Tahoma"/>
            <family val="2"/>
          </rPr>
          <t>Chris Power:</t>
        </r>
        <r>
          <rPr>
            <sz val="9"/>
            <color indexed="81"/>
            <rFont val="Tahoma"/>
            <family val="2"/>
          </rPr>
          <t xml:space="preserve">
Loan: AUD115m
Bank: AUD51
Policy: AUD10m</t>
        </r>
      </text>
    </comment>
    <comment ref="U150" authorId="7" shapeId="0" xr:uid="{DE8637D2-64CF-45A3-BE8C-12C9C06333D9}">
      <text>
        <r>
          <rPr>
            <b/>
            <sz val="9"/>
            <color indexed="81"/>
            <rFont val="Tahoma"/>
            <family val="2"/>
          </rPr>
          <t>Chris Power:</t>
        </r>
        <r>
          <rPr>
            <sz val="9"/>
            <color indexed="81"/>
            <rFont val="Tahoma"/>
            <family val="2"/>
          </rPr>
          <t xml:space="preserve">
Loan: EUR2.7b
Bank: EUR100m
Policy: EUR20m</t>
        </r>
      </text>
    </comment>
    <comment ref="U151" authorId="7" shapeId="0" xr:uid="{899D4FA2-DECD-4FEE-B1C8-088C6B8A332B}">
      <text>
        <r>
          <rPr>
            <b/>
            <sz val="9"/>
            <color indexed="81"/>
            <rFont val="Tahoma"/>
            <family val="2"/>
          </rPr>
          <t>Chris Power:</t>
        </r>
        <r>
          <rPr>
            <sz val="9"/>
            <color indexed="81"/>
            <rFont val="Tahoma"/>
            <family val="2"/>
          </rPr>
          <t xml:space="preserve">
Loan: USD750m
Bank: USD120m
Policy: USD15m</t>
        </r>
      </text>
    </comment>
    <comment ref="U152" authorId="7" shapeId="0" xr:uid="{FDC00372-04F8-4558-8F08-F18C07D9E312}">
      <text>
        <r>
          <rPr>
            <b/>
            <sz val="9"/>
            <color indexed="81"/>
            <rFont val="Tahoma"/>
            <family val="2"/>
          </rPr>
          <t>Chris Power:</t>
        </r>
        <r>
          <rPr>
            <sz val="9"/>
            <color indexed="81"/>
            <rFont val="Tahoma"/>
            <family val="2"/>
          </rPr>
          <t xml:space="preserve">
Loan: USD70.5m
Bank: USD70.5m
Policy: USD10m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tc={FB401B0A-05AC-494E-8A75-EE469FB13332}</author>
    <author>Jemma Sargeant</author>
    <author>Samuel Atkinson</author>
    <author>Ann Prosser</author>
    <author>Nelly Nguyen</author>
    <author>Chris Power</author>
    <author>Joseph Day</author>
  </authors>
  <commentList>
    <comment ref="AF2" authorId="0" shapeId="0" xr:uid="{9998C0B1-D465-472B-9C0B-CFC60975FFCD}">
      <text>
        <r>
          <rPr>
            <b/>
            <sz val="9"/>
            <color indexed="81"/>
            <rFont val="Tahoma"/>
            <family val="2"/>
          </rPr>
          <t>Lea Krstevska:</t>
        </r>
        <r>
          <rPr>
            <sz val="9"/>
            <color indexed="81"/>
            <rFont val="Tahoma"/>
            <family val="2"/>
          </rPr>
          <t xml:space="preserve">
AUD 20m-30m
USD 15m - 25m
EUR 15m - 22m</t>
        </r>
      </text>
    </comment>
    <comment ref="U4" authorId="1" shapeId="0" xr:uid="{D8031EA8-31B1-4D79-BA4D-9D94D9B9296F}">
      <text>
        <r>
          <rPr>
            <b/>
            <sz val="8"/>
            <color indexed="81"/>
            <rFont val="Tahoma"/>
            <family val="2"/>
          </rPr>
          <t>Marc Nicholls:</t>
        </r>
        <r>
          <rPr>
            <sz val="8"/>
            <color indexed="81"/>
            <rFont val="Tahoma"/>
            <family val="2"/>
          </rPr>
          <t xml:space="preserve">
ANZ $50m, Syndicate $225m</t>
        </r>
      </text>
    </comment>
    <comment ref="A5" authorId="2" shapeId="0" xr:uid="{2D2ED879-4032-4B82-A30B-68276A72950D}">
      <text>
        <r>
          <rPr>
            <sz val="9"/>
            <color indexed="81"/>
            <rFont val="Tahoma"/>
            <family val="2"/>
          </rPr>
          <t>Note, in run off</t>
        </r>
      </text>
    </comment>
    <comment ref="V5" authorId="1" shapeId="0" xr:uid="{AA4741E1-B3D9-40B7-B666-97BDA1EE22BB}">
      <text>
        <r>
          <rPr>
            <b/>
            <sz val="8"/>
            <color indexed="81"/>
            <rFont val="Tahoma"/>
            <family val="2"/>
          </rPr>
          <t>Marc Nicholls:</t>
        </r>
        <r>
          <rPr>
            <sz val="8"/>
            <color indexed="81"/>
            <rFont val="Tahoma"/>
            <family val="2"/>
          </rPr>
          <t xml:space="preserve">
upto 30 June 18 - assumes 1.04NZD:1AUD</t>
        </r>
      </text>
    </comment>
    <comment ref="AJ5" authorId="2" shapeId="0" xr:uid="{DA3CEABC-4638-4F2B-804E-D48683949E01}">
      <text>
        <r>
          <rPr>
            <b/>
            <sz val="9"/>
            <color indexed="81"/>
            <rFont val="Tahoma"/>
            <family val="2"/>
          </rPr>
          <t>Facility is in run off</t>
        </r>
      </text>
    </comment>
    <comment ref="U6" authorId="2" shapeId="0" xr:uid="{B7AE2A70-9026-4F5B-A3C9-8BE93603BCDD}">
      <text>
        <r>
          <rPr>
            <b/>
            <sz val="8"/>
            <color indexed="81"/>
            <rFont val="Tahoma"/>
            <family val="2"/>
          </rPr>
          <t>Loan Limit: 100m
Bank Limit: 83.4m
Policy Limit: 16.680m</t>
        </r>
      </text>
    </comment>
    <comment ref="U7" authorId="2" shapeId="0" xr:uid="{AC4D1F8F-3786-4AAA-8400-146B21DE2158}">
      <text>
        <r>
          <rPr>
            <sz val="9"/>
            <color indexed="81"/>
            <rFont val="Tahoma"/>
            <family val="2"/>
          </rPr>
          <t xml:space="preserve">Supporting SG's USD150 participation in a USD750m facility
</t>
        </r>
      </text>
    </comment>
    <comment ref="U8" authorId="2" shapeId="0" xr:uid="{CCD3FEAA-E5F5-4A71-A772-A7AAFD768B95}">
      <text>
        <r>
          <rPr>
            <b/>
            <sz val="9"/>
            <color indexed="81"/>
            <rFont val="Tahoma"/>
            <family val="2"/>
          </rPr>
          <t>supports DB INR6b participation</t>
        </r>
      </text>
    </comment>
    <comment ref="U9" authorId="1" shapeId="0" xr:uid="{A62DA8FA-B25E-44EF-BC7E-7F9E4908D1A8}">
      <text>
        <r>
          <rPr>
            <b/>
            <sz val="9"/>
            <color indexed="81"/>
            <rFont val="Tahoma"/>
            <family val="2"/>
          </rPr>
          <t>Marc Nicholls:</t>
        </r>
        <r>
          <rPr>
            <sz val="9"/>
            <color indexed="81"/>
            <rFont val="Tahoma"/>
            <family val="2"/>
          </rPr>
          <t xml:space="preserve">
supports ING in its EUR175m participation in Eur625m faciilty</t>
        </r>
      </text>
    </comment>
    <comment ref="U10" authorId="2" shapeId="0" xr:uid="{21C076B4-70D9-4602-91B6-C41F3B17E646}">
      <text>
        <r>
          <rPr>
            <sz val="8"/>
            <color indexed="81"/>
            <rFont val="Tahoma"/>
            <family val="2"/>
          </rPr>
          <t>US1.024b, StanChart US131.75m</t>
        </r>
      </text>
    </comment>
    <comment ref="U12" authorId="2" shapeId="0" xr:uid="{D9AAA7F7-CE79-4131-B582-CB019CAB9FDB}">
      <text>
        <r>
          <rPr>
            <b/>
            <sz val="9"/>
            <color indexed="81"/>
            <rFont val="Tahoma"/>
            <family val="2"/>
          </rPr>
          <t>CEIP supporting DBs A$40m exposure in the B1 senior tranche of a A$850m, 6-year non-amortising Senior Syndicated Loan Facility (the Facility).</t>
        </r>
      </text>
    </comment>
    <comment ref="U13" authorId="3" shapeId="0" xr:uid="{E0D056EB-030C-4DB6-97B9-0747FE3A7227}">
      <text>
        <r>
          <rPr>
            <sz val="9"/>
            <color indexed="81"/>
            <rFont val="Tahoma"/>
            <family val="2"/>
          </rPr>
          <t>CEIP support to SG (Paris Branch)  in its US$120m participation in a US$790m committed senior secured syndicated pooled commercial aircraft term loan financing facility</t>
        </r>
      </text>
    </comment>
    <comment ref="U16" authorId="3" shapeId="0" xr:uid="{AE2FDDAF-00A3-43F7-8146-119D6CCE29F6}">
      <text>
        <r>
          <rPr>
            <sz val="9"/>
            <color indexed="81"/>
            <rFont val="Tahoma"/>
            <family val="2"/>
          </rPr>
          <t xml:space="preserve">CEIP support to Greenstars BNPP in its US$75m participation in a US$1160m committed senior secured syndicated term loan financing </t>
        </r>
      </text>
    </comment>
    <comment ref="U19" authorId="2" shapeId="0" xr:uid="{D1CF9ABA-1658-45D4-967F-765398BAFF05}">
      <text>
        <r>
          <rPr>
            <sz val="8"/>
            <color indexed="81"/>
            <rFont val="Tahoma"/>
            <family val="2"/>
          </rPr>
          <t>US$500m, Socgen US$75m</t>
        </r>
      </text>
    </comment>
    <comment ref="U22" authorId="2" shapeId="0" xr:uid="{E436EAAD-85CA-4A73-9CD1-4DBEE95D8430}">
      <text>
        <r>
          <rPr>
            <sz val="8"/>
            <color indexed="81"/>
            <rFont val="Tahoma"/>
            <family val="2"/>
          </rPr>
          <t>US$1b, ANZ London US$107m</t>
        </r>
      </text>
    </comment>
    <comment ref="U25" authorId="2" shapeId="0" xr:uid="{0EFB662C-43DE-417C-A08C-868F0054E085}">
      <text>
        <r>
          <rPr>
            <sz val="8"/>
            <color indexed="81"/>
            <rFont val="Tahoma"/>
            <family val="2"/>
          </rPr>
          <t>US290m, SMBC US$50m</t>
        </r>
      </text>
    </comment>
    <comment ref="AJ25" authorId="4" shapeId="0" xr:uid="{FB401B0A-05AC-494E-8A75-EE469FB13332}">
      <text>
        <t>[Threaded comment]
Your version of Excel allows you to read this threaded comment; however, any edits to it will get removed if the file is opened in a newer version of Excel. Learn more: https://go.microsoft.com/fwlink/?linkid=870924
Comment:
    GW has confirmed we are awaiting extension (Sep 22)</t>
      </text>
    </comment>
    <comment ref="U26" authorId="2" shapeId="0" xr:uid="{34D3CB4A-021D-42A0-89A5-789ECFB2BB59}">
      <text>
        <r>
          <rPr>
            <b/>
            <sz val="9"/>
            <color indexed="81"/>
            <rFont val="Tahoma"/>
            <family val="2"/>
          </rPr>
          <t>ING participation of EUR150m of EUR650m facility</t>
        </r>
      </text>
    </comment>
    <comment ref="U28" authorId="2" shapeId="0" xr:uid="{D7EF4C82-9A4C-4C62-A16E-7D3429E5213D}">
      <text>
        <r>
          <rPr>
            <b/>
            <sz val="9"/>
            <color indexed="81"/>
            <rFont val="Tahoma"/>
            <family val="2"/>
          </rPr>
          <t>DB participation of $65m in $180m senior secured loan only, $10m revolver and $10m capex facility</t>
        </r>
      </text>
    </comment>
    <comment ref="U29" authorId="1" shapeId="0" xr:uid="{38B6E9A1-B034-48C0-A97D-5837B85FEAA2}">
      <text>
        <r>
          <rPr>
            <b/>
            <sz val="9"/>
            <color indexed="81"/>
            <rFont val="Tahoma"/>
            <family val="2"/>
          </rPr>
          <t>Marc Nicholls:</t>
        </r>
        <r>
          <rPr>
            <sz val="9"/>
            <color indexed="81"/>
            <rFont val="Tahoma"/>
            <family val="2"/>
          </rPr>
          <t xml:space="preserve">
ING $137m of $137m</t>
        </r>
      </text>
    </comment>
    <comment ref="U30" authorId="1" shapeId="0" xr:uid="{999D2631-15B5-4F85-AE32-01A785469589}">
      <text>
        <r>
          <rPr>
            <b/>
            <sz val="9"/>
            <color indexed="81"/>
            <rFont val="Tahoma"/>
            <family val="2"/>
          </rPr>
          <t>Marc Nicholls:</t>
        </r>
        <r>
          <rPr>
            <sz val="9"/>
            <color indexed="81"/>
            <rFont val="Tahoma"/>
            <family val="2"/>
          </rPr>
          <t xml:space="preserve">
BNPP $30 of $80m</t>
        </r>
      </text>
    </comment>
    <comment ref="U31" authorId="5" shapeId="0" xr:uid="{A8DB0CF9-5623-4171-9F62-400BD7BC917C}">
      <text>
        <r>
          <rPr>
            <b/>
            <sz val="9"/>
            <color indexed="81"/>
            <rFont val="Tahoma"/>
            <family val="2"/>
          </rPr>
          <t>Jemma Sargeant:</t>
        </r>
        <r>
          <rPr>
            <sz val="9"/>
            <color indexed="81"/>
            <rFont val="Tahoma"/>
            <family val="2"/>
          </rPr>
          <t xml:space="preserve">
ANZ US$92mil in US$1.5bil</t>
        </r>
      </text>
    </comment>
    <comment ref="U32" authorId="5" shapeId="0" xr:uid="{2CCC0912-3B99-4855-A9A6-161D75D54972}">
      <text>
        <r>
          <rPr>
            <b/>
            <sz val="9"/>
            <color indexed="81"/>
            <rFont val="Tahoma"/>
            <family val="2"/>
          </rPr>
          <t>Jemma Sargeant:</t>
        </r>
        <r>
          <rPr>
            <sz val="9"/>
            <color indexed="81"/>
            <rFont val="Tahoma"/>
            <family val="2"/>
          </rPr>
          <t xml:space="preserve">
ANZ US$96.8mil in US$193.6mil</t>
        </r>
      </text>
    </comment>
    <comment ref="A33" authorId="2" shapeId="0" xr:uid="{AD36D922-9575-4FBA-9522-2D880BCC6E8C}">
      <text>
        <r>
          <rPr>
            <b/>
            <sz val="9"/>
            <color indexed="81"/>
            <rFont val="Tahoma"/>
            <family val="2"/>
          </rPr>
          <t>Barings (Head Office)</t>
        </r>
      </text>
    </comment>
    <comment ref="U33" authorId="5" shapeId="0" xr:uid="{77EA5DDC-E707-4A12-98FE-4EA02EF193EE}">
      <text>
        <r>
          <rPr>
            <b/>
            <sz val="9"/>
            <color indexed="81"/>
            <rFont val="Tahoma"/>
            <family val="2"/>
          </rPr>
          <t>Jemma Sargeant:</t>
        </r>
        <r>
          <rPr>
            <sz val="9"/>
            <color indexed="81"/>
            <rFont val="Tahoma"/>
            <family val="2"/>
          </rPr>
          <t xml:space="preserve">
ING EUR 16.055mil</t>
        </r>
      </text>
    </comment>
    <comment ref="U34" authorId="5" shapeId="0" xr:uid="{2853B2E2-E35E-4423-AEDE-670A691E2D8F}">
      <text>
        <r>
          <rPr>
            <b/>
            <sz val="9"/>
            <color indexed="81"/>
            <rFont val="Tahoma"/>
            <family val="2"/>
          </rPr>
          <t>Jemma Sargeant:</t>
        </r>
        <r>
          <rPr>
            <sz val="9"/>
            <color indexed="81"/>
            <rFont val="Tahoma"/>
            <family val="2"/>
          </rPr>
          <t xml:space="preserve">
US$105m in US$1.3b facility</t>
        </r>
      </text>
    </comment>
    <comment ref="U35" authorId="5" shapeId="0" xr:uid="{CFB38EA4-CD50-462E-B0E1-3819AE418012}">
      <text>
        <r>
          <rPr>
            <b/>
            <sz val="9"/>
            <color indexed="81"/>
            <rFont val="Tahoma"/>
            <family val="2"/>
          </rPr>
          <t>Jemma Sargeant:</t>
        </r>
        <r>
          <rPr>
            <sz val="9"/>
            <color indexed="81"/>
            <rFont val="Tahoma"/>
            <family val="2"/>
          </rPr>
          <t xml:space="preserve">
US$75m in US$200m</t>
        </r>
      </text>
    </comment>
    <comment ref="U36" authorId="5" shapeId="0" xr:uid="{3E77B4CB-54D1-4AE3-88F6-A6DD595F7347}">
      <text>
        <r>
          <rPr>
            <b/>
            <sz val="9"/>
            <color indexed="81"/>
            <rFont val="Tahoma"/>
            <family val="2"/>
          </rPr>
          <t>Jemma Sargeant:</t>
        </r>
        <r>
          <rPr>
            <sz val="9"/>
            <color indexed="81"/>
            <rFont val="Tahoma"/>
            <family val="2"/>
          </rPr>
          <t xml:space="preserve">
US$36m facility
</t>
        </r>
      </text>
    </comment>
    <comment ref="U37" authorId="5" shapeId="0" xr:uid="{DC3C897F-D3C7-4C51-9703-EEA66943A286}">
      <text>
        <r>
          <rPr>
            <b/>
            <sz val="9"/>
            <color indexed="81"/>
            <rFont val="Tahoma"/>
            <family val="2"/>
          </rPr>
          <t>Jemma Sargeant:</t>
        </r>
        <r>
          <rPr>
            <sz val="9"/>
            <color indexed="81"/>
            <rFont val="Tahoma"/>
            <family val="2"/>
          </rPr>
          <t xml:space="preserve">
US$150m in US$300m facility</t>
        </r>
      </text>
    </comment>
    <comment ref="U38" authorId="5" shapeId="0" xr:uid="{4DEB983E-62BC-4958-921B-C788C6BABA78}">
      <text>
        <r>
          <rPr>
            <b/>
            <sz val="9"/>
            <color indexed="81"/>
            <rFont val="Tahoma"/>
            <family val="2"/>
          </rPr>
          <t xml:space="preserve">Loan = us$350
Bank = us$100
</t>
        </r>
        <r>
          <rPr>
            <sz val="9"/>
            <color indexed="81"/>
            <rFont val="Tahoma"/>
            <family val="2"/>
          </rPr>
          <t xml:space="preserve">
</t>
        </r>
      </text>
    </comment>
    <comment ref="U39" authorId="5" shapeId="0" xr:uid="{BD853771-F7F8-49F0-A4A1-D2A804C9ACD0}">
      <text>
        <r>
          <rPr>
            <b/>
            <sz val="9"/>
            <color indexed="81"/>
            <rFont val="Tahoma"/>
            <family val="2"/>
          </rPr>
          <t xml:space="preserve">Jemma Sargeant
SGD100M in SGD427m
</t>
        </r>
        <r>
          <rPr>
            <sz val="9"/>
            <color indexed="81"/>
            <rFont val="Tahoma"/>
            <family val="2"/>
          </rPr>
          <t xml:space="preserve">
</t>
        </r>
      </text>
    </comment>
    <comment ref="U40" authorId="6" shapeId="0" xr:uid="{557C5ABD-60F3-4DDE-8066-C02EBEE80DCD}">
      <text>
        <r>
          <rPr>
            <b/>
            <sz val="9"/>
            <color indexed="81"/>
            <rFont val="Tahoma"/>
            <family val="2"/>
          </rPr>
          <t>Samuel Atkinson:</t>
        </r>
        <r>
          <rPr>
            <sz val="9"/>
            <color indexed="81"/>
            <rFont val="Tahoma"/>
            <family val="2"/>
          </rPr>
          <t xml:space="preserve">
Bank limit: AUD 75m 
Facility limit: AUD 750m</t>
        </r>
      </text>
    </comment>
    <comment ref="U41" authorId="5" shapeId="0" xr:uid="{EE15B525-0217-4A8F-A495-0AF4AFDC2CA4}">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42" authorId="6" shapeId="0" xr:uid="{AE572920-817F-48FD-BD3C-3BAB0B83A168}">
      <text>
        <r>
          <rPr>
            <b/>
            <sz val="9"/>
            <color indexed="81"/>
            <rFont val="Tahoma"/>
            <family val="2"/>
          </rPr>
          <t>Samuel Atkinson:
Facility Limit: EUR 97.2m
Bank Limit: 48.6
Policy Limit: 15</t>
        </r>
      </text>
    </comment>
    <comment ref="U43" authorId="6" shapeId="0" xr:uid="{FD42F064-D3D7-4746-9C10-DA88A43FE2C5}">
      <text>
        <r>
          <rPr>
            <b/>
            <sz val="9"/>
            <color indexed="81"/>
            <rFont val="Tahoma"/>
            <family val="2"/>
          </rPr>
          <t xml:space="preserve">Samuel Atkinson:
Loan Limit: EUR 90.25m
Bank Limit: EUR 90.25m
</t>
        </r>
      </text>
    </comment>
    <comment ref="AA43" authorId="6" shapeId="0" xr:uid="{CA040763-994D-46E3-830F-29D3854EAC66}">
      <text>
        <r>
          <rPr>
            <b/>
            <sz val="9"/>
            <color indexed="81"/>
            <rFont val="Tahoma"/>
            <family val="2"/>
          </rPr>
          <t>Samuel Atkinson:</t>
        </r>
        <r>
          <rPr>
            <sz val="9"/>
            <color indexed="81"/>
            <rFont val="Tahoma"/>
            <family val="2"/>
          </rPr>
          <t xml:space="preserve">
Two 1 year extension options approved
</t>
        </r>
      </text>
    </comment>
    <comment ref="U44" authorId="6" shapeId="0" xr:uid="{9A12DC40-B521-41F7-BAE7-B4831C2551DB}">
      <text>
        <r>
          <rPr>
            <b/>
            <sz val="9"/>
            <color indexed="81"/>
            <rFont val="Tahoma"/>
            <family val="2"/>
          </rPr>
          <t>Samuel Atkinson:</t>
        </r>
        <r>
          <rPr>
            <sz val="9"/>
            <color indexed="81"/>
            <rFont val="Tahoma"/>
            <family val="2"/>
          </rPr>
          <t xml:space="preserve">
1.75b US term loan
175b US ANZ commitment
</t>
        </r>
      </text>
    </comment>
    <comment ref="U45" authorId="6" shapeId="0" xr:uid="{DA4EF921-8BC3-4766-906C-3BB27F5099AA}">
      <text>
        <r>
          <rPr>
            <b/>
            <sz val="9"/>
            <color indexed="81"/>
            <rFont val="Tahoma"/>
            <family val="2"/>
          </rPr>
          <t>Samuel Atkinson:</t>
        </r>
        <r>
          <rPr>
            <sz val="9"/>
            <color indexed="81"/>
            <rFont val="Tahoma"/>
            <family val="2"/>
          </rPr>
          <t xml:space="preserve">
Bank: EUR 120m
Loan: EUR 500m</t>
        </r>
      </text>
    </comment>
    <comment ref="N46" authorId="6" shapeId="0" xr:uid="{C288C77F-43D3-47E7-A85D-810C971DFF35}">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46" authorId="6" shapeId="0" xr:uid="{17474A29-873A-46F1-BE5E-5EECD1BC0A5E}">
      <text>
        <r>
          <rPr>
            <b/>
            <sz val="9"/>
            <color indexed="81"/>
            <rFont val="Tahoma"/>
            <family val="2"/>
          </rPr>
          <t>Samuel Atkinson:</t>
        </r>
        <r>
          <rPr>
            <sz val="9"/>
            <color indexed="81"/>
            <rFont val="Tahoma"/>
            <family val="2"/>
          </rPr>
          <t xml:space="preserve">
Loan Limit:US$385.9m
Bank Limit: US$30m
Policy: US$10m</t>
        </r>
      </text>
    </comment>
    <comment ref="U47" authorId="6" shapeId="0" xr:uid="{57DE2722-B5F6-4B38-8D6E-00FABC3C29AD}">
      <text>
        <r>
          <rPr>
            <b/>
            <sz val="9"/>
            <color indexed="81"/>
            <rFont val="Tahoma"/>
            <family val="2"/>
          </rPr>
          <t>Samuel Atkinson:</t>
        </r>
        <r>
          <rPr>
            <sz val="9"/>
            <color indexed="81"/>
            <rFont val="Tahoma"/>
            <family val="2"/>
          </rPr>
          <t xml:space="preserve">
Bank Limit = 114.4m 
Loan Limit = 1.5b</t>
        </r>
      </text>
    </comment>
    <comment ref="U48" authorId="6" shapeId="0" xr:uid="{76FDFC6C-2E32-434A-AE33-78F6E825AD75}">
      <text>
        <r>
          <rPr>
            <b/>
            <sz val="9"/>
            <color indexed="81"/>
            <rFont val="Tahoma"/>
            <family val="2"/>
          </rPr>
          <t>Samuel Atkinson:
RI: 15m
Bank: 50m
Loan: 545m</t>
        </r>
      </text>
    </comment>
    <comment ref="U49" authorId="7" shapeId="0" xr:uid="{81B81281-6417-4A80-81F5-B3B56B501557}">
      <text>
        <r>
          <rPr>
            <b/>
            <sz val="9"/>
            <color indexed="81"/>
            <rFont val="Tahoma"/>
            <family val="2"/>
          </rPr>
          <t>Ann Prosser:</t>
        </r>
        <r>
          <rPr>
            <sz val="9"/>
            <color indexed="81"/>
            <rFont val="Tahoma"/>
            <family val="2"/>
          </rPr>
          <t xml:space="preserve">
Loan Limit: A$1b
Bank Limit: A$50m 
Policy Limit: A$10m
</t>
        </r>
      </text>
    </comment>
    <comment ref="U50" authorId="8" shapeId="0" xr:uid="{2261D176-EF16-43C2-A238-C8D47F6201F9}">
      <text>
        <r>
          <rPr>
            <b/>
            <sz val="9"/>
            <color indexed="81"/>
            <rFont val="Tahoma"/>
            <family val="2"/>
          </rPr>
          <t>Nelly Nguyen:</t>
        </r>
        <r>
          <rPr>
            <sz val="9"/>
            <color indexed="81"/>
            <rFont val="Tahoma"/>
            <family val="2"/>
          </rPr>
          <t xml:space="preserve">
Loan: NZD 154.5m
Bank: NZD 62.5m
Limit: NZD 34.375m</t>
        </r>
      </text>
    </comment>
    <comment ref="U51" authorId="7" shapeId="0" xr:uid="{1F7C0C11-F55A-4BEF-83BE-D19F8335E554}">
      <text>
        <r>
          <rPr>
            <b/>
            <sz val="9"/>
            <color indexed="81"/>
            <rFont val="Tahoma"/>
            <family val="2"/>
          </rPr>
          <t>Ann Prosser:</t>
        </r>
        <r>
          <rPr>
            <sz val="9"/>
            <color indexed="81"/>
            <rFont val="Tahoma"/>
            <family val="2"/>
          </rPr>
          <t xml:space="preserve">
Policy limit: USD $15m, Bank Limit: usd $ 30m</t>
        </r>
      </text>
    </comment>
    <comment ref="U52" authorId="6" shapeId="0" xr:uid="{2309ED45-E470-4209-976F-9906719CE94B}">
      <text>
        <r>
          <rPr>
            <b/>
            <sz val="9"/>
            <color indexed="81"/>
            <rFont val="Tahoma"/>
            <family val="2"/>
          </rPr>
          <t>Samuel Atkinson:</t>
        </r>
        <r>
          <rPr>
            <sz val="9"/>
            <color indexed="81"/>
            <rFont val="Tahoma"/>
            <family val="2"/>
          </rPr>
          <t xml:space="preserve">
Bank Limit = approx US$26.67m
Loan Limit = Approx US$300m</t>
        </r>
      </text>
    </comment>
    <comment ref="U53" authorId="6" shapeId="0" xr:uid="{127EE4D5-1FBD-478C-8133-4247EBFCC691}">
      <text>
        <r>
          <rPr>
            <b/>
            <sz val="9"/>
            <color indexed="81"/>
            <rFont val="Tahoma"/>
            <family val="2"/>
          </rPr>
          <t>Samuel Atkinson:</t>
        </r>
        <r>
          <rPr>
            <sz val="9"/>
            <color indexed="81"/>
            <rFont val="Tahoma"/>
            <family val="2"/>
          </rPr>
          <t xml:space="preserve">
Bank Limit: US$42.033m
Loan  Limit: US$126.1m</t>
        </r>
      </text>
    </comment>
    <comment ref="U54" authorId="6" shapeId="0" xr:uid="{F897BE40-DFE3-44E4-BA2A-770CC7450D01}">
      <text>
        <r>
          <rPr>
            <b/>
            <sz val="9"/>
            <color indexed="81"/>
            <rFont val="Tahoma"/>
            <family val="2"/>
          </rPr>
          <t>Samuel Atkinson:</t>
        </r>
        <r>
          <rPr>
            <sz val="9"/>
            <color indexed="81"/>
            <rFont val="Tahoma"/>
            <family val="2"/>
          </rPr>
          <t xml:space="preserve">
Bank Limit: US$10
Loan Limit: US$730m 
</t>
        </r>
      </text>
    </comment>
    <comment ref="U55" authorId="7" shapeId="0" xr:uid="{D5F9F5BA-4D17-4EB7-9CA6-59BCBF38D622}">
      <text>
        <r>
          <rPr>
            <b/>
            <sz val="9"/>
            <color indexed="81"/>
            <rFont val="Tahoma"/>
            <family val="2"/>
          </rPr>
          <t>Ann Prosser:</t>
        </r>
        <r>
          <rPr>
            <sz val="9"/>
            <color indexed="81"/>
            <rFont val="Tahoma"/>
            <family val="2"/>
          </rPr>
          <t xml:space="preserve">
Loan Limit: GBP 700m
Bank Limit: GBP 80m 
Policy Limit: GBP 10m</t>
        </r>
      </text>
    </comment>
    <comment ref="U56" authorId="7" shapeId="0" xr:uid="{CA362D69-EC13-4EAD-B5A9-4359ABBBE705}">
      <text>
        <r>
          <rPr>
            <b/>
            <sz val="9"/>
            <color indexed="81"/>
            <rFont val="Tahoma"/>
            <family val="2"/>
          </rPr>
          <t>Ann Prosser:</t>
        </r>
        <r>
          <rPr>
            <sz val="9"/>
            <color indexed="81"/>
            <rFont val="Tahoma"/>
            <family val="2"/>
          </rPr>
          <t xml:space="preserve">
Loan Limit: US$185m
Bank Limit: US$35m 
Policy Limit: US$7m
</t>
        </r>
      </text>
    </comment>
    <comment ref="U57" authorId="7" shapeId="0" xr:uid="{0B58B2BF-C0A3-4945-AE7E-1E69FFCB4E76}">
      <text>
        <r>
          <rPr>
            <b/>
            <sz val="9"/>
            <color indexed="81"/>
            <rFont val="Tahoma"/>
            <family val="2"/>
          </rPr>
          <t>Ann Prosser:</t>
        </r>
        <r>
          <rPr>
            <sz val="9"/>
            <color indexed="81"/>
            <rFont val="Tahoma"/>
            <family val="2"/>
          </rPr>
          <t xml:space="preserve">
Loan Limit: US$64.1m
Bank Limit: US$53.4m 
Policy Limit: US$20m
</t>
        </r>
      </text>
    </comment>
    <comment ref="U58" authorId="7" shapeId="0" xr:uid="{6661A98E-E64B-4F49-8F60-4B234CF608CA}">
      <text>
        <r>
          <rPr>
            <b/>
            <sz val="9"/>
            <color indexed="81"/>
            <rFont val="Tahoma"/>
            <family val="2"/>
          </rPr>
          <t>Ann Prosser:</t>
        </r>
        <r>
          <rPr>
            <sz val="9"/>
            <color indexed="81"/>
            <rFont val="Tahoma"/>
            <family val="2"/>
          </rPr>
          <t xml:space="preserve">
Loan Limit: ~US$450m
Bank Limit: SGD 51.7m 
Policy Limit: SGD 14.1m
</t>
        </r>
      </text>
    </comment>
    <comment ref="U59" authorId="7" shapeId="0" xr:uid="{9FBEA3BC-BF99-49DE-B08F-DA68851292CC}">
      <text>
        <r>
          <rPr>
            <b/>
            <sz val="9"/>
            <color indexed="81"/>
            <rFont val="Tahoma"/>
            <family val="2"/>
          </rPr>
          <t>Ann Prosser:</t>
        </r>
        <r>
          <rPr>
            <sz val="9"/>
            <color indexed="81"/>
            <rFont val="Tahoma"/>
            <family val="2"/>
          </rPr>
          <t xml:space="preserve">
Loan Limit A$1.6b
Bank Limit  A$60m
Policy Limit A$30m</t>
        </r>
      </text>
    </comment>
    <comment ref="U60" authorId="7" shapeId="0" xr:uid="{1C0725B8-0080-43C0-9BB8-5BB6127F016E}">
      <text>
        <r>
          <rPr>
            <b/>
            <sz val="9"/>
            <color indexed="81"/>
            <rFont val="Tahoma"/>
            <family val="2"/>
          </rPr>
          <t>Ann Prosser:</t>
        </r>
        <r>
          <rPr>
            <sz val="9"/>
            <color indexed="81"/>
            <rFont val="Tahoma"/>
            <family val="2"/>
          </rPr>
          <t xml:space="preserve">
"Loan Limit: A$1.04bn
Bank Limit: A$50m 
Policy Limit: A$25m"
</t>
        </r>
      </text>
    </comment>
    <comment ref="U61" authorId="7" shapeId="0" xr:uid="{69521B0F-E4DD-4DC7-9AD3-1661A1DC7CA4}">
      <text>
        <r>
          <rPr>
            <b/>
            <sz val="9"/>
            <color indexed="81"/>
            <rFont val="Tahoma"/>
            <family val="2"/>
          </rPr>
          <t>Ann Prosser:</t>
        </r>
        <r>
          <rPr>
            <sz val="9"/>
            <color indexed="81"/>
            <rFont val="Tahoma"/>
            <family val="2"/>
          </rPr>
          <t xml:space="preserve">
Loan Limit: US$3bn
Bank Limit: US$150m 
Policy Limit: US$7.5</t>
        </r>
      </text>
    </comment>
    <comment ref="U62" authorId="7" shapeId="0" xr:uid="{AEFAC382-8433-4A97-832E-8488ED4700FD}">
      <text>
        <r>
          <rPr>
            <b/>
            <sz val="9"/>
            <color indexed="81"/>
            <rFont val="Tahoma"/>
            <family val="2"/>
          </rPr>
          <t>Ann Prosser:</t>
        </r>
        <r>
          <rPr>
            <sz val="9"/>
            <color indexed="81"/>
            <rFont val="Tahoma"/>
            <family val="2"/>
          </rPr>
          <t xml:space="preserve">
"Loan Limit: US$46.9m
Bank Limit: US$46.9m 
Policy Limit: US$20m"
</t>
        </r>
      </text>
    </comment>
    <comment ref="U63" authorId="7" shapeId="0" xr:uid="{A3E17FB9-A3B7-4867-92E6-42C43D8065D7}">
      <text>
        <r>
          <rPr>
            <b/>
            <sz val="9"/>
            <color indexed="81"/>
            <rFont val="Tahoma"/>
            <family val="2"/>
          </rPr>
          <t>Ann Prosser:</t>
        </r>
        <r>
          <rPr>
            <sz val="9"/>
            <color indexed="81"/>
            <rFont val="Tahoma"/>
            <family val="2"/>
          </rPr>
          <t xml:space="preserve">
Loan Limit: €57m
Bank Limit: €53m
Policy Limit: €12.5m
</t>
        </r>
      </text>
    </comment>
    <comment ref="U64" authorId="7" shapeId="0" xr:uid="{304FB11E-83FA-407B-A21C-9F4B1827FD75}">
      <text>
        <r>
          <rPr>
            <b/>
            <sz val="9"/>
            <color indexed="81"/>
            <rFont val="Tahoma"/>
            <family val="2"/>
          </rPr>
          <t>Ann Prosser:</t>
        </r>
        <r>
          <rPr>
            <sz val="9"/>
            <color indexed="81"/>
            <rFont val="Tahoma"/>
            <family val="2"/>
          </rPr>
          <t xml:space="preserve">
Loan Limit: EUR300m
Bank Limit: EUR65m 
Policy Limit: EUR20m
</t>
        </r>
      </text>
    </comment>
    <comment ref="U65" authorId="0" shapeId="0" xr:uid="{E2E69970-617F-4FB2-9131-3B4EA160C6B5}">
      <text>
        <r>
          <rPr>
            <b/>
            <sz val="9"/>
            <color indexed="81"/>
            <rFont val="Tahoma"/>
            <family val="2"/>
          </rPr>
          <t>Lea Krstevska:</t>
        </r>
        <r>
          <rPr>
            <sz val="9"/>
            <color indexed="81"/>
            <rFont val="Tahoma"/>
            <family val="2"/>
          </rPr>
          <t xml:space="preserve">
Loan Limit: US$5bn
Bank Limit: US$350m
Policy Limit: US$20m</t>
        </r>
      </text>
    </comment>
    <comment ref="U66" authorId="0" shapeId="0" xr:uid="{F9852586-8AA4-4156-B187-B22A9094BEC5}">
      <text>
        <r>
          <rPr>
            <b/>
            <sz val="9"/>
            <color indexed="81"/>
            <rFont val="Tahoma"/>
            <family val="2"/>
          </rPr>
          <t>Lea Krstevska:</t>
        </r>
        <r>
          <rPr>
            <sz val="9"/>
            <color indexed="81"/>
            <rFont val="Tahoma"/>
            <family val="2"/>
          </rPr>
          <t xml:space="preserve">
Loan Limit: US$886m
Bank Limit: US$58m 
Policy Limit: US$10m</t>
        </r>
      </text>
    </comment>
    <comment ref="U67" authorId="7" shapeId="0" xr:uid="{D2EB23C6-299C-4368-852E-37952676E9AB}">
      <text>
        <r>
          <rPr>
            <b/>
            <sz val="9"/>
            <color indexed="81"/>
            <rFont val="Tahoma"/>
            <family val="2"/>
          </rPr>
          <t>Ann Prosser:</t>
        </r>
        <r>
          <rPr>
            <sz val="9"/>
            <color indexed="81"/>
            <rFont val="Tahoma"/>
            <family val="2"/>
          </rPr>
          <t xml:space="preserve">
Loan Limit: A$5,250m
Bank Limit: A$488m 
Policy Limit: A$15m
</t>
        </r>
      </text>
    </comment>
    <comment ref="U68" authorId="0" shapeId="0" xr:uid="{F42D3AB7-E376-44B4-B4DD-935DEFEDBC2C}">
      <text>
        <r>
          <rPr>
            <b/>
            <sz val="9"/>
            <color indexed="81"/>
            <rFont val="Tahoma"/>
            <family val="2"/>
          </rPr>
          <t>Lea Krstevska:</t>
        </r>
        <r>
          <rPr>
            <sz val="9"/>
            <color indexed="81"/>
            <rFont val="Tahoma"/>
            <family val="2"/>
          </rPr>
          <t xml:space="preserve">
Loan Limit: US$300m
Bank Limit: US$100m 
Policy Limit: US$10m</t>
        </r>
      </text>
    </comment>
    <comment ref="U69" authorId="0" shapeId="0" xr:uid="{DAA68A27-E277-40CF-B658-B7F8FC4E2E5D}">
      <text>
        <r>
          <rPr>
            <b/>
            <sz val="9"/>
            <color indexed="81"/>
            <rFont val="Tahoma"/>
            <family val="2"/>
          </rPr>
          <t>Lea Krstevska:</t>
        </r>
        <r>
          <rPr>
            <sz val="9"/>
            <color indexed="81"/>
            <rFont val="Tahoma"/>
            <family val="2"/>
          </rPr>
          <t xml:space="preserve">
Loan Limit: A$256.3m
Bank Limit: A$256.3m 
Policy Limit: A$25m</t>
        </r>
      </text>
    </comment>
    <comment ref="U70" authorId="6" shapeId="0" xr:uid="{A058D479-9FA5-4511-9ACA-27DBA74E32EC}">
      <text>
        <r>
          <rPr>
            <b/>
            <sz val="9"/>
            <color indexed="81"/>
            <rFont val="Tahoma"/>
            <family val="2"/>
          </rPr>
          <t>Samuel Atkinson:</t>
        </r>
        <r>
          <rPr>
            <sz val="9"/>
            <color indexed="81"/>
            <rFont val="Tahoma"/>
            <family val="2"/>
          </rPr>
          <t xml:space="preserve">
USD 1.2-2.0 Facility Limit</t>
        </r>
      </text>
    </comment>
    <comment ref="U71" authorId="0" shapeId="0" xr:uid="{02ABD528-A8F9-4D40-9742-25A99E241231}">
      <text>
        <r>
          <rPr>
            <b/>
            <sz val="9"/>
            <color indexed="81"/>
            <rFont val="Tahoma"/>
            <family val="2"/>
          </rPr>
          <t>Lea Krstevska:</t>
        </r>
        <r>
          <rPr>
            <sz val="9"/>
            <color indexed="81"/>
            <rFont val="Tahoma"/>
            <family val="2"/>
          </rPr>
          <t xml:space="preserve">
Loan Limit: US$400m
Bank Limit: US$75m 
Policy Limit: US$20m</t>
        </r>
      </text>
    </comment>
    <comment ref="U72" authorId="0" shapeId="0" xr:uid="{D434F2C8-51C1-4675-B9EC-4972A2306AE6}">
      <text>
        <r>
          <rPr>
            <b/>
            <sz val="9"/>
            <color indexed="81"/>
            <rFont val="Tahoma"/>
            <family val="2"/>
          </rPr>
          <t>Lea Krstevska:</t>
        </r>
        <r>
          <rPr>
            <sz val="9"/>
            <color indexed="81"/>
            <rFont val="Tahoma"/>
            <family val="2"/>
          </rPr>
          <t xml:space="preserve">
Loan Limit: NOK 1.5b
Bank Limit: NOK 990m 
Policy Limit: NOK 158m</t>
        </r>
      </text>
    </comment>
    <comment ref="U73" authorId="7" shapeId="0" xr:uid="{C72C3C2F-47BD-4DE3-9298-EA6C566E5893}">
      <text>
        <r>
          <rPr>
            <b/>
            <sz val="9"/>
            <color indexed="81"/>
            <rFont val="Tahoma"/>
            <family val="2"/>
          </rPr>
          <t>Ann Prosser:</t>
        </r>
        <r>
          <rPr>
            <sz val="9"/>
            <color indexed="81"/>
            <rFont val="Tahoma"/>
            <family val="2"/>
          </rPr>
          <t xml:space="preserve">
Loan Limit: A$129.6m
Bank Limit: A$93m 
Policy Limit: A$25m
</t>
        </r>
      </text>
    </comment>
    <comment ref="U74" authorId="0" shapeId="0" xr:uid="{C0F34B1F-3EAB-4891-822F-C53264BC2BDD}">
      <text>
        <r>
          <rPr>
            <b/>
            <sz val="9"/>
            <color indexed="81"/>
            <rFont val="Tahoma"/>
            <family val="2"/>
          </rPr>
          <t>Lea Krstevska:</t>
        </r>
        <r>
          <rPr>
            <sz val="9"/>
            <color indexed="81"/>
            <rFont val="Tahoma"/>
            <family val="2"/>
          </rPr>
          <t xml:space="preserve">
Loan Limit: JPY 18.5b
Bank Limit: JPY 13.88b
Policy Limit: JPY 1.87b</t>
        </r>
      </text>
    </comment>
    <comment ref="U75" authorId="0" shapeId="0" xr:uid="{834C722F-31B6-4A3C-8672-79654522BFEB}">
      <text>
        <r>
          <rPr>
            <b/>
            <sz val="9"/>
            <color indexed="81"/>
            <rFont val="Tahoma"/>
            <family val="2"/>
          </rPr>
          <t>Lea Krstevska:</t>
        </r>
        <r>
          <rPr>
            <sz val="9"/>
            <color indexed="81"/>
            <rFont val="Tahoma"/>
            <family val="2"/>
          </rPr>
          <t xml:space="preserve">
Loan Limit: US$1.575b
Bank Limit: US$93.3m 
Policy Limit: US$10m</t>
        </r>
      </text>
    </comment>
    <comment ref="U76" authorId="0" shapeId="0" xr:uid="{FB42495F-0EDC-4816-A332-AAC9AC880D55}">
      <text>
        <r>
          <rPr>
            <b/>
            <sz val="9"/>
            <color indexed="81"/>
            <rFont val="Tahoma"/>
            <family val="2"/>
          </rPr>
          <t>Lea Krstevska:</t>
        </r>
        <r>
          <rPr>
            <sz val="9"/>
            <color indexed="81"/>
            <rFont val="Tahoma"/>
            <family val="2"/>
          </rPr>
          <t xml:space="preserve">
Loan Limit: EUR 1.4b
Bank Limit: EUR 212m 
Policy Limit: EUR 15m</t>
        </r>
      </text>
    </comment>
    <comment ref="U77" authorId="0" shapeId="0" xr:uid="{C08AAF4C-786E-4F1F-9F3C-2348C9D7F7B6}">
      <text>
        <r>
          <rPr>
            <b/>
            <sz val="9"/>
            <color indexed="81"/>
            <rFont val="Tahoma"/>
            <family val="2"/>
          </rPr>
          <t>Lea Krstevska:</t>
        </r>
        <r>
          <rPr>
            <sz val="9"/>
            <color indexed="81"/>
            <rFont val="Tahoma"/>
            <family val="2"/>
          </rPr>
          <t xml:space="preserve">
Loan Limit: US$75m
Bank Limit: US$75m 
Policy Limit: US$20m</t>
        </r>
      </text>
    </comment>
    <comment ref="U78" authorId="0" shapeId="0" xr:uid="{CFB412A2-636A-48E2-AFA0-6A00CD4C1ECE}">
      <text>
        <r>
          <rPr>
            <b/>
            <sz val="9"/>
            <color indexed="81"/>
            <rFont val="Tahoma"/>
            <family val="2"/>
          </rPr>
          <t>Lea Krstevska:</t>
        </r>
        <r>
          <rPr>
            <sz val="9"/>
            <color indexed="81"/>
            <rFont val="Tahoma"/>
            <family val="2"/>
          </rPr>
          <t xml:space="preserve">
Loan Limit: EUR 20m
Bank Limit: EUR 20m 
Policy Limit: EUR 3m</t>
        </r>
      </text>
    </comment>
    <comment ref="U79" authorId="0" shapeId="0" xr:uid="{045DB41B-FCF6-4A71-AF7E-BC5C705AC56C}">
      <text>
        <r>
          <rPr>
            <b/>
            <sz val="9"/>
            <color indexed="81"/>
            <rFont val="Tahoma"/>
            <family val="2"/>
          </rPr>
          <t>Lea Krstevska:</t>
        </r>
        <r>
          <rPr>
            <sz val="9"/>
            <color indexed="81"/>
            <rFont val="Tahoma"/>
            <family val="2"/>
          </rPr>
          <t xml:space="preserve">
Loan: JPY12bn
Bank: JPY7bn
Policy: JPY 2.6bn</t>
        </r>
      </text>
    </comment>
    <comment ref="U80" authorId="0" shapeId="0" xr:uid="{2CC9C45F-C1EB-4ED8-AD98-709A15CE930D}">
      <text>
        <r>
          <rPr>
            <b/>
            <sz val="9"/>
            <color indexed="81"/>
            <rFont val="Tahoma"/>
            <family val="2"/>
          </rPr>
          <t>Lea Krstevska:</t>
        </r>
        <r>
          <rPr>
            <sz val="9"/>
            <color indexed="81"/>
            <rFont val="Tahoma"/>
            <family val="2"/>
          </rPr>
          <t xml:space="preserve">
Loan Limit £400m
Bank Limit £90m
Policy Limit  £5m</t>
        </r>
      </text>
    </comment>
    <comment ref="U81" authorId="0" shapeId="0" xr:uid="{D9B4346C-60A2-4CCB-B212-1D07664A5093}">
      <text>
        <r>
          <rPr>
            <b/>
            <sz val="9"/>
            <color indexed="81"/>
            <rFont val="Tahoma"/>
            <family val="2"/>
          </rPr>
          <t>Lea Krstevska:</t>
        </r>
        <r>
          <rPr>
            <sz val="9"/>
            <color indexed="81"/>
            <rFont val="Tahoma"/>
            <family val="2"/>
          </rPr>
          <t xml:space="preserve">
Loan Limit: A$319m
Bank Limit: A$319m 
Policy Limit: A$30m</t>
        </r>
      </text>
    </comment>
    <comment ref="U82" authorId="6" shapeId="0" xr:uid="{FDA4EB10-E9DC-45B4-923B-FF8DCD2BAD8D}">
      <text>
        <r>
          <rPr>
            <b/>
            <sz val="9"/>
            <color indexed="81"/>
            <rFont val="Tahoma"/>
            <family val="2"/>
          </rPr>
          <t>Samuel Atkinson:EUR 25m Bank Limit 
EUR 25m Loan Limit</t>
        </r>
      </text>
    </comment>
    <comment ref="U83" authorId="6" shapeId="0" xr:uid="{B517A5D3-AA96-4241-9878-6752603E0986}">
      <text>
        <r>
          <rPr>
            <b/>
            <sz val="9"/>
            <color indexed="81"/>
            <rFont val="Tahoma"/>
            <family val="2"/>
          </rPr>
          <t>Samuel Atkinson:</t>
        </r>
        <r>
          <rPr>
            <sz val="9"/>
            <color indexed="81"/>
            <rFont val="Tahoma"/>
            <family val="2"/>
          </rPr>
          <t xml:space="preserve">
Bank Limit: EUR 105m
Loan Limit: EUR 330m</t>
        </r>
      </text>
    </comment>
    <comment ref="U84" authorId="6" shapeId="0" xr:uid="{E387A4E7-00E2-49D5-BB13-B99BB03EBD4A}">
      <text>
        <r>
          <rPr>
            <b/>
            <sz val="9"/>
            <color indexed="81"/>
            <rFont val="Tahoma"/>
            <family val="2"/>
          </rPr>
          <t>Samuel Atkinson
US$61m Bank Limit
US$575m Loan Limit</t>
        </r>
      </text>
    </comment>
    <comment ref="U85" authorId="7" shapeId="0" xr:uid="{E87CF8A7-A00D-43DF-B227-8373658B19A7}">
      <text>
        <r>
          <rPr>
            <b/>
            <sz val="9"/>
            <color indexed="81"/>
            <rFont val="Tahoma"/>
            <family val="2"/>
          </rPr>
          <t>Ann Prosser:</t>
        </r>
        <r>
          <rPr>
            <sz val="9"/>
            <color indexed="81"/>
            <rFont val="Tahoma"/>
            <family val="2"/>
          </rPr>
          <t xml:space="preserve">
Loan Limit: US$1.3bn
Bank Limit: US$95m
Policy Limit: US$5m
</t>
        </r>
      </text>
    </comment>
    <comment ref="U86" authorId="2" shapeId="0" xr:uid="{03A3CC41-196B-41F5-B604-58973BB65466}">
      <text>
        <r>
          <rPr>
            <sz val="8"/>
            <color indexed="81"/>
            <rFont val="Tahoma"/>
            <family val="2"/>
          </rPr>
          <t>US$397.5m , ING US$50m</t>
        </r>
      </text>
    </comment>
    <comment ref="U87" authorId="0" shapeId="0" xr:uid="{0F1F33E0-4AF5-426E-9597-374D35F4B6D8}">
      <text>
        <r>
          <rPr>
            <b/>
            <sz val="9"/>
            <color indexed="81"/>
            <rFont val="Tahoma"/>
            <family val="2"/>
          </rPr>
          <t>Lea Krstevska:</t>
        </r>
        <r>
          <rPr>
            <sz val="9"/>
            <color indexed="81"/>
            <rFont val="Tahoma"/>
            <family val="2"/>
          </rPr>
          <t xml:space="preserve">
Loan: US$340m
Bank: US$80m
Policy: US$15m</t>
        </r>
      </text>
    </comment>
    <comment ref="U88" authorId="0" shapeId="0" xr:uid="{B7D594F4-BD9E-429C-893C-17CCD3F203B1}">
      <text>
        <r>
          <rPr>
            <b/>
            <sz val="9"/>
            <color indexed="81"/>
            <rFont val="Tahoma"/>
            <family val="2"/>
          </rPr>
          <t>Lea Krstevska:</t>
        </r>
        <r>
          <rPr>
            <sz val="9"/>
            <color indexed="81"/>
            <rFont val="Tahoma"/>
            <family val="2"/>
          </rPr>
          <t xml:space="preserve">
Loan: US$125m
Bank: US$9.375m
Policy: US$7.5m</t>
        </r>
      </text>
    </comment>
    <comment ref="U89" authorId="0" shapeId="0" xr:uid="{FAF1AFD0-AB53-47BE-AA7E-4A83B4101B38}">
      <text>
        <r>
          <rPr>
            <b/>
            <sz val="9"/>
            <color indexed="81"/>
            <rFont val="Tahoma"/>
            <family val="2"/>
          </rPr>
          <t>Lea Krstevska:</t>
        </r>
        <r>
          <rPr>
            <sz val="9"/>
            <color indexed="81"/>
            <rFont val="Tahoma"/>
            <family val="2"/>
          </rPr>
          <t xml:space="preserve">
Loan: US$265m
Bank: US$30m
Policy: US$15m</t>
        </r>
      </text>
    </comment>
    <comment ref="U90" authorId="0" shapeId="0" xr:uid="{1F87C443-F89A-4FDA-B921-0064686698B1}">
      <text>
        <r>
          <rPr>
            <b/>
            <sz val="9"/>
            <color indexed="81"/>
            <rFont val="Tahoma"/>
            <family val="2"/>
          </rPr>
          <t>Lea Krstevska:</t>
        </r>
        <r>
          <rPr>
            <sz val="9"/>
            <color indexed="81"/>
            <rFont val="Tahoma"/>
            <family val="2"/>
          </rPr>
          <t xml:space="preserve">
Loan: US$400m
Bank: US$45m
Policy: US$15m</t>
        </r>
      </text>
    </comment>
    <comment ref="U91" authorId="0" shapeId="0" xr:uid="{67C83F1F-9D35-422C-B35E-ACD841E93742}">
      <text>
        <r>
          <rPr>
            <b/>
            <sz val="9"/>
            <color indexed="81"/>
            <rFont val="Tahoma"/>
            <family val="2"/>
          </rPr>
          <t>Lea Krstevska:</t>
        </r>
        <r>
          <rPr>
            <sz val="9"/>
            <color indexed="81"/>
            <rFont val="Tahoma"/>
            <family val="2"/>
          </rPr>
          <t xml:space="preserve">
Loan: EUR620m
Bank: EUR100m
Policy: EUR15m</t>
        </r>
      </text>
    </comment>
    <comment ref="U92" authorId="0" shapeId="0" xr:uid="{A645836A-1FB5-4768-BDEB-8524E50880AE}">
      <text>
        <r>
          <rPr>
            <b/>
            <sz val="9"/>
            <color indexed="81"/>
            <rFont val="Tahoma"/>
            <family val="2"/>
          </rPr>
          <t>Lea Krstevska:</t>
        </r>
        <r>
          <rPr>
            <sz val="9"/>
            <color indexed="81"/>
            <rFont val="Tahoma"/>
            <family val="2"/>
          </rPr>
          <t xml:space="preserve">
Loan: US$69.8m
Bank: US$69.8m
Policy: US$15m</t>
        </r>
      </text>
    </comment>
    <comment ref="U93" authorId="0" shapeId="0" xr:uid="{9973BB03-ED19-447C-A0B4-23C059597431}">
      <text>
        <r>
          <rPr>
            <b/>
            <sz val="9"/>
            <color indexed="81"/>
            <rFont val="Tahoma"/>
            <family val="2"/>
          </rPr>
          <t>Lea Krstevska:</t>
        </r>
        <r>
          <rPr>
            <sz val="9"/>
            <color indexed="81"/>
            <rFont val="Tahoma"/>
            <family val="2"/>
          </rPr>
          <t xml:space="preserve">
Loan: US$300m
Bank: US$30m
Policy: US$15m</t>
        </r>
      </text>
    </comment>
    <comment ref="U94" authorId="0" shapeId="0" xr:uid="{F546F1DB-3AE3-4C2A-8311-5F2CF157B3CF}">
      <text>
        <r>
          <rPr>
            <b/>
            <sz val="9"/>
            <color indexed="81"/>
            <rFont val="Tahoma"/>
            <family val="2"/>
          </rPr>
          <t>Lea Krstevska:</t>
        </r>
        <r>
          <rPr>
            <sz val="9"/>
            <color indexed="81"/>
            <rFont val="Tahoma"/>
            <family val="2"/>
          </rPr>
          <t xml:space="preserve">
Loan: EUR1.03bn
Bank: EUR185.6m
Policy: EUR22m</t>
        </r>
      </text>
    </comment>
    <comment ref="U95" authorId="0" shapeId="0" xr:uid="{F4A3A188-B80D-45F5-8E68-726EDEF98143}">
      <text>
        <r>
          <rPr>
            <b/>
            <sz val="9"/>
            <color indexed="81"/>
            <rFont val="Tahoma"/>
            <family val="2"/>
          </rPr>
          <t>Lea Krstevska:</t>
        </r>
        <r>
          <rPr>
            <sz val="9"/>
            <color indexed="81"/>
            <rFont val="Tahoma"/>
            <family val="2"/>
          </rPr>
          <t xml:space="preserve">
Loan: EUR375m
Bank: EUR50m
Policy: EUR10m</t>
        </r>
      </text>
    </comment>
    <comment ref="U96" authorId="0" shapeId="0" xr:uid="{9CBB3BB5-29C8-44B2-B7B4-BD11D53E51DA}">
      <text>
        <r>
          <rPr>
            <b/>
            <sz val="9"/>
            <color indexed="81"/>
            <rFont val="Tahoma"/>
            <family val="2"/>
          </rPr>
          <t>Lea Krstevska:</t>
        </r>
        <r>
          <rPr>
            <sz val="9"/>
            <color indexed="81"/>
            <rFont val="Tahoma"/>
            <family val="2"/>
          </rPr>
          <t xml:space="preserve">
Loan Limit: US$1.05bn
Bank Limit: US$125m
Policy Limit: US$15m</t>
        </r>
      </text>
    </comment>
    <comment ref="U97" authorId="0" shapeId="0" xr:uid="{9D60919E-4677-4244-B8F7-78A54D562DB9}">
      <text>
        <r>
          <rPr>
            <b/>
            <sz val="9"/>
            <color indexed="81"/>
            <rFont val="Tahoma"/>
            <family val="2"/>
          </rPr>
          <t>Lea Krstevska:</t>
        </r>
        <r>
          <rPr>
            <sz val="9"/>
            <color indexed="81"/>
            <rFont val="Tahoma"/>
            <family val="2"/>
          </rPr>
          <t xml:space="preserve">
Loan Limit: JPY 22.117bn
Bank Limit: JPY 10bn
Policy Limit: JPY 986.8m</t>
        </r>
      </text>
    </comment>
    <comment ref="U98" authorId="0" shapeId="0" xr:uid="{425FBCDA-2BB2-47DA-A517-FEBABCF7934D}">
      <text>
        <r>
          <rPr>
            <b/>
            <sz val="9"/>
            <color indexed="81"/>
            <rFont val="Tahoma"/>
            <family val="2"/>
          </rPr>
          <t>Lea Krstevska:</t>
        </r>
        <r>
          <rPr>
            <sz val="9"/>
            <color indexed="81"/>
            <rFont val="Tahoma"/>
            <family val="2"/>
          </rPr>
          <t xml:space="preserve">
Loan Limit: US$327m
Bank Llimit: US$20m
Policy Limit: US$10m</t>
        </r>
      </text>
    </comment>
    <comment ref="U99" authorId="0" shapeId="0" xr:uid="{5A90994C-D118-4801-A3A9-DF5D288DC8EC}">
      <text>
        <r>
          <rPr>
            <b/>
            <sz val="9"/>
            <color indexed="81"/>
            <rFont val="Tahoma"/>
            <family val="2"/>
          </rPr>
          <t>Lea Krstevska:</t>
        </r>
        <r>
          <rPr>
            <sz val="9"/>
            <color indexed="81"/>
            <rFont val="Tahoma"/>
            <family val="2"/>
          </rPr>
          <t xml:space="preserve">
Loan Limit: US$818m
Bank Limit: US$40m
Policy Limit: US$20m</t>
        </r>
      </text>
    </comment>
    <comment ref="U100" authorId="0" shapeId="0" xr:uid="{E43135B2-F42E-4247-A272-FCF1CEE5780A}">
      <text>
        <r>
          <rPr>
            <b/>
            <sz val="9"/>
            <color indexed="81"/>
            <rFont val="Tahoma"/>
            <family val="2"/>
          </rPr>
          <t>Lea Krstevska:</t>
        </r>
        <r>
          <rPr>
            <sz val="9"/>
            <color indexed="81"/>
            <rFont val="Tahoma"/>
            <family val="2"/>
          </rPr>
          <t xml:space="preserve">
Loan Limit: US$450m
Bank Limit: US$15m
Policy Limit: US$7.5m</t>
        </r>
      </text>
    </comment>
    <comment ref="U101" authorId="0" shapeId="0" xr:uid="{D4B5B276-5356-488F-B653-08333A01EEE4}">
      <text>
        <r>
          <rPr>
            <b/>
            <sz val="9"/>
            <color indexed="81"/>
            <rFont val="Tahoma"/>
            <family val="2"/>
          </rPr>
          <t>Lea Krstevska:</t>
        </r>
        <r>
          <rPr>
            <sz val="9"/>
            <color indexed="81"/>
            <rFont val="Tahoma"/>
            <family val="2"/>
          </rPr>
          <t xml:space="preserve">
Loan Limit: CAD$355m
Bank Limit: CAD$30m
Policu Limit: CAD$15m</t>
        </r>
      </text>
    </comment>
    <comment ref="U102" authorId="0" shapeId="0" xr:uid="{47ED600A-A52E-444D-8767-A58B7C6F0A7B}">
      <text>
        <r>
          <rPr>
            <b/>
            <sz val="9"/>
            <color indexed="81"/>
            <rFont val="Tahoma"/>
            <family val="2"/>
          </rPr>
          <t>Lea Krstevska:</t>
        </r>
        <r>
          <rPr>
            <sz val="9"/>
            <color indexed="81"/>
            <rFont val="Tahoma"/>
            <family val="2"/>
          </rPr>
          <t xml:space="preserve">
Loan Limit: US$327m
Bank Llimit: US$13.8m
Policy Limit: US$6.9m</t>
        </r>
      </text>
    </comment>
    <comment ref="U103" authorId="0" shapeId="0" xr:uid="{42DC8EBD-896F-4D30-AB59-26055ADCC62E}">
      <text>
        <r>
          <rPr>
            <b/>
            <sz val="9"/>
            <color indexed="81"/>
            <rFont val="Tahoma"/>
            <family val="2"/>
          </rPr>
          <t>Lea Krstevska:</t>
        </r>
        <r>
          <rPr>
            <sz val="9"/>
            <color indexed="81"/>
            <rFont val="Tahoma"/>
            <family val="2"/>
          </rPr>
          <t xml:space="preserve">
Loan Limit: USD$103m
Bank Limit: USD$103m
Policy Limit: USD$15m</t>
        </r>
      </text>
    </comment>
    <comment ref="U104" authorId="0" shapeId="0" xr:uid="{379FF98A-F4EB-4E9B-9727-CCF45050C72A}">
      <text>
        <r>
          <rPr>
            <b/>
            <sz val="9"/>
            <color indexed="81"/>
            <rFont val="Tahoma"/>
            <family val="2"/>
          </rPr>
          <t>Lea Krstevska:</t>
        </r>
        <r>
          <rPr>
            <sz val="9"/>
            <color indexed="81"/>
            <rFont val="Tahoma"/>
            <family val="2"/>
          </rPr>
          <t xml:space="preserve">
Loan Limit: A$72.688m
Bank Limit: A$72.688m
Policy Limit: A$15m+10m</t>
        </r>
      </text>
    </comment>
    <comment ref="U105" authorId="0" shapeId="0" xr:uid="{1A80F349-2BA9-4179-8A54-72F54F8E7A3B}">
      <text>
        <r>
          <rPr>
            <b/>
            <sz val="9"/>
            <color indexed="81"/>
            <rFont val="Tahoma"/>
            <family val="2"/>
          </rPr>
          <t>Lea Krstevska:</t>
        </r>
        <r>
          <rPr>
            <sz val="9"/>
            <color indexed="81"/>
            <rFont val="Tahoma"/>
            <family val="2"/>
          </rPr>
          <t xml:space="preserve">
Loan Limit: USD$988m
Bank Limit: USD$74.3m
Policy Limit: USD$20m</t>
        </r>
      </text>
    </comment>
    <comment ref="U106" authorId="0" shapeId="0" xr:uid="{B62B05B0-B4D7-47CD-B25E-DC60CDF915FF}">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U107" authorId="0" shapeId="0" xr:uid="{7C28D8B2-0787-4CD8-AA1D-4771B5A711FE}">
      <text>
        <r>
          <rPr>
            <b/>
            <sz val="9"/>
            <color indexed="81"/>
            <rFont val="Tahoma"/>
            <family val="2"/>
          </rPr>
          <t>Lea Krstevska:</t>
        </r>
        <r>
          <rPr>
            <sz val="9"/>
            <color indexed="81"/>
            <rFont val="Tahoma"/>
            <family val="2"/>
          </rPr>
          <t xml:space="preserve">
Loan Limit: US$4.5bn
Bank Limit: US$285m
Policy Limit: US$10m</t>
        </r>
      </text>
    </comment>
    <comment ref="U108" authorId="0" shapeId="0" xr:uid="{8D650821-CDFD-4530-83B2-393BB31BCFFF}">
      <text>
        <r>
          <rPr>
            <b/>
            <sz val="9"/>
            <color indexed="81"/>
            <rFont val="Tahoma"/>
            <family val="2"/>
          </rPr>
          <t>Lea Krstevska:</t>
        </r>
        <r>
          <rPr>
            <sz val="9"/>
            <color indexed="81"/>
            <rFont val="Tahoma"/>
            <family val="2"/>
          </rPr>
          <t xml:space="preserve">
Loan: EUR119.6m
Bank:EUR23.9m
Policy: EUR5m</t>
        </r>
      </text>
    </comment>
    <comment ref="U109" authorId="0" shapeId="0" xr:uid="{4141F144-43F4-4023-9D71-6D96569CE066}">
      <text>
        <r>
          <rPr>
            <b/>
            <sz val="9"/>
            <color indexed="81"/>
            <rFont val="Tahoma"/>
            <family val="2"/>
          </rPr>
          <t>Lea Krstevska:</t>
        </r>
        <r>
          <rPr>
            <sz val="9"/>
            <color indexed="81"/>
            <rFont val="Tahoma"/>
            <family val="2"/>
          </rPr>
          <t xml:space="preserve">
Loan Limit: A$266M
Bank Limit: A$41.5m
Policy Limit: A$15m</t>
        </r>
      </text>
    </comment>
    <comment ref="U110" authorId="0" shapeId="0" xr:uid="{EA28A7C6-3C9C-475A-B47B-018BB4E81C9F}">
      <text>
        <r>
          <rPr>
            <b/>
            <sz val="9"/>
            <color indexed="81"/>
            <rFont val="Tahoma"/>
            <family val="2"/>
          </rPr>
          <t>Lea Krstevska:</t>
        </r>
        <r>
          <rPr>
            <sz val="9"/>
            <color indexed="81"/>
            <rFont val="Tahoma"/>
            <family val="2"/>
          </rPr>
          <t xml:space="preserve">
Loan Limit: US$80m
Bank Limit: U$9.5m
Policy Limit: US$4.75m</t>
        </r>
      </text>
    </comment>
    <comment ref="U111" authorId="0" shapeId="0" xr:uid="{A2ADBEEA-D7D3-4EE6-BC2C-1A44B7E1258D}">
      <text>
        <r>
          <rPr>
            <b/>
            <sz val="9"/>
            <color indexed="81"/>
            <rFont val="Tahoma"/>
            <family val="2"/>
          </rPr>
          <t>Lea Krstevska:</t>
        </r>
        <r>
          <rPr>
            <sz val="9"/>
            <color indexed="81"/>
            <rFont val="Tahoma"/>
            <family val="2"/>
          </rPr>
          <t xml:space="preserve">
Loan Limit: EUR350m
Bank Limit: EUR70m
Policy Limit: EUR6.25m</t>
        </r>
      </text>
    </comment>
    <comment ref="U112" authorId="0" shapeId="0" xr:uid="{12F7D256-41FE-45A4-A3C1-C7455A80A59D}">
      <text>
        <r>
          <rPr>
            <b/>
            <sz val="9"/>
            <color indexed="81"/>
            <rFont val="Tahoma"/>
            <family val="2"/>
          </rPr>
          <t>Lea Krstevska:</t>
        </r>
        <r>
          <rPr>
            <sz val="9"/>
            <color indexed="81"/>
            <rFont val="Tahoma"/>
            <family val="2"/>
          </rPr>
          <t xml:space="preserve">
Loan Limit: US$55m
Bank Limit: US$15.7m
Policy Limit: US$10m</t>
        </r>
      </text>
    </comment>
    <comment ref="U113" authorId="0" shapeId="0" xr:uid="{FB7D2FBE-D8C3-43DC-8306-1F1D49EF5AB8}">
      <text>
        <r>
          <rPr>
            <b/>
            <sz val="9"/>
            <color indexed="81"/>
            <rFont val="Tahoma"/>
            <family val="2"/>
          </rPr>
          <t>Lea Krstevska:</t>
        </r>
        <r>
          <rPr>
            <sz val="9"/>
            <color indexed="81"/>
            <rFont val="Tahoma"/>
            <family val="2"/>
          </rPr>
          <t xml:space="preserve">
Loan Limit: US$1bn
Bank Limit: US$45m
Policy Limit: US$15m</t>
        </r>
      </text>
    </comment>
    <comment ref="U114" authorId="0" shapeId="0" xr:uid="{63328347-7FF1-40A3-811C-243107238E77}">
      <text>
        <r>
          <rPr>
            <b/>
            <sz val="9"/>
            <color indexed="81"/>
            <rFont val="Tahoma"/>
            <family val="2"/>
          </rPr>
          <t>Lea Krstevska:</t>
        </r>
        <r>
          <rPr>
            <sz val="9"/>
            <color indexed="81"/>
            <rFont val="Tahoma"/>
            <family val="2"/>
          </rPr>
          <t xml:space="preserve">
Loan Limit: US$818m
Bank Limit: US$35m
Policy Limit: US$5m</t>
        </r>
      </text>
    </comment>
    <comment ref="U115" authorId="0" shapeId="0" xr:uid="{C984BFAA-E417-4FCD-B3C4-6E02D7463A2D}">
      <text>
        <r>
          <rPr>
            <b/>
            <sz val="9"/>
            <color indexed="81"/>
            <rFont val="Tahoma"/>
            <family val="2"/>
          </rPr>
          <t>Lea Krstevska:</t>
        </r>
        <r>
          <rPr>
            <sz val="9"/>
            <color indexed="81"/>
            <rFont val="Tahoma"/>
            <family val="2"/>
          </rPr>
          <t xml:space="preserve">
Loan Limit: A$2.5bn
Bank Limit: A$155m
Policy Limit: A$20m</t>
        </r>
      </text>
    </comment>
    <comment ref="U116" authorId="0" shapeId="0" xr:uid="{B46BDC2D-28B5-446F-88A1-6002304A96D1}">
      <text>
        <r>
          <rPr>
            <b/>
            <sz val="9"/>
            <color indexed="81"/>
            <rFont val="Tahoma"/>
            <family val="2"/>
          </rPr>
          <t>Lea Krstevska:</t>
        </r>
        <r>
          <rPr>
            <sz val="9"/>
            <color indexed="81"/>
            <rFont val="Tahoma"/>
            <family val="2"/>
          </rPr>
          <t xml:space="preserve">
Loan Limit: A$116m
Bank Limit: A$24m
Policy Limit: A$12m</t>
        </r>
      </text>
    </comment>
    <comment ref="U117" authorId="0" shapeId="0" xr:uid="{25019F8C-D3BA-481F-A9B1-37B6FC53DF7C}">
      <text>
        <r>
          <rPr>
            <b/>
            <sz val="9"/>
            <color indexed="81"/>
            <rFont val="Tahoma"/>
            <family val="2"/>
          </rPr>
          <t>Lea Krstevska:</t>
        </r>
        <r>
          <rPr>
            <sz val="9"/>
            <color indexed="81"/>
            <rFont val="Tahoma"/>
            <family val="2"/>
          </rPr>
          <t xml:space="preserve">
Loan Limit: US$1.2bn
Bank Limit: US$!50m
Policy Limit: US$7.5m</t>
        </r>
      </text>
    </comment>
    <comment ref="U118" authorId="0" shapeId="0" xr:uid="{8574B70C-EE73-49D0-8144-F4E32848F0AE}">
      <text>
        <r>
          <rPr>
            <b/>
            <sz val="9"/>
            <color indexed="81"/>
            <rFont val="Tahoma"/>
            <family val="2"/>
          </rPr>
          <t>Lea Krstevska:</t>
        </r>
        <r>
          <rPr>
            <sz val="9"/>
            <color indexed="81"/>
            <rFont val="Tahoma"/>
            <family val="2"/>
          </rPr>
          <t xml:space="preserve">
Loan Limit: EUR 1bn
Bank Limit: EUR 35m
Policy Limit: EUR20m</t>
        </r>
      </text>
    </comment>
    <comment ref="U120" authorId="0" shapeId="0" xr:uid="{E8A8E77D-9480-4E5C-B67D-06AF89A9E24E}">
      <text>
        <r>
          <rPr>
            <b/>
            <sz val="9"/>
            <color indexed="81"/>
            <rFont val="Tahoma"/>
            <family val="2"/>
          </rPr>
          <t>Lea Krstevska:</t>
        </r>
        <r>
          <rPr>
            <sz val="9"/>
            <color indexed="81"/>
            <rFont val="Tahoma"/>
            <family val="2"/>
          </rPr>
          <t xml:space="preserve">
Loan Limit: EUR 824m
Bank Limit: EUR 86m
Policy Limit: EUR 7.5m (SEK, NOK, DKK)</t>
        </r>
      </text>
    </comment>
    <comment ref="U121" authorId="0" shapeId="0" xr:uid="{132A61E6-247F-44C3-8156-E1AD533D03C2}">
      <text>
        <r>
          <rPr>
            <b/>
            <sz val="9"/>
            <color indexed="81"/>
            <rFont val="Tahoma"/>
            <family val="2"/>
          </rPr>
          <t>Lea Krstevska:</t>
        </r>
        <r>
          <rPr>
            <sz val="9"/>
            <color indexed="81"/>
            <rFont val="Tahoma"/>
            <family val="2"/>
          </rPr>
          <t xml:space="preserve">
Loan Limit: US$1bn
Bank Limit: US$150m
Policy Limit: US$20m</t>
        </r>
      </text>
    </comment>
    <comment ref="U122" authorId="0" shapeId="0" xr:uid="{A3DF32E5-2F3E-49DF-8C9F-48499CFD285C}">
      <text>
        <r>
          <rPr>
            <b/>
            <sz val="9"/>
            <color indexed="81"/>
            <rFont val="Tahoma"/>
            <family val="2"/>
          </rPr>
          <t>Lea Krstevska:</t>
        </r>
        <r>
          <rPr>
            <sz val="9"/>
            <color indexed="81"/>
            <rFont val="Tahoma"/>
            <family val="2"/>
          </rPr>
          <t xml:space="preserve">
Loan Limit: US$570m
Bank Limit: US$16.6m
Policy Limit: US$10m</t>
        </r>
      </text>
    </comment>
    <comment ref="U123" authorId="0" shapeId="0" xr:uid="{1C7295E3-8F09-4585-AA56-161BD6913865}">
      <text>
        <r>
          <rPr>
            <b/>
            <sz val="9"/>
            <color indexed="81"/>
            <rFont val="Tahoma"/>
            <family val="2"/>
          </rPr>
          <t>Lea Krstevska:</t>
        </r>
        <r>
          <rPr>
            <sz val="9"/>
            <color indexed="81"/>
            <rFont val="Tahoma"/>
            <family val="2"/>
          </rPr>
          <t xml:space="preserve">
Loan Limit: US$657m + 5bn HKD
Bank limit: US$200m
Policy Limit: US$15m</t>
        </r>
      </text>
    </comment>
    <comment ref="U124" authorId="0" shapeId="0" xr:uid="{177521EF-6860-4406-8355-5A6CDA3177C0}">
      <text>
        <r>
          <rPr>
            <b/>
            <sz val="9"/>
            <color indexed="81"/>
            <rFont val="Tahoma"/>
            <family val="2"/>
          </rPr>
          <t>Lea Krstevska:</t>
        </r>
        <r>
          <rPr>
            <sz val="9"/>
            <color indexed="81"/>
            <rFont val="Tahoma"/>
            <family val="2"/>
          </rPr>
          <t xml:space="preserve">
Loan Limit: EUR159m
Bank Limit: EUR 40m
Policy Limit: EUR 10m</t>
        </r>
      </text>
    </comment>
    <comment ref="U125" authorId="0" shapeId="0" xr:uid="{8C4E6776-16E1-49B1-81F5-CDDD1D852ACC}">
      <text>
        <r>
          <rPr>
            <b/>
            <sz val="9"/>
            <color indexed="81"/>
            <rFont val="Tahoma"/>
            <family val="2"/>
          </rPr>
          <t>Lea Krstevska:</t>
        </r>
        <r>
          <rPr>
            <sz val="9"/>
            <color indexed="81"/>
            <rFont val="Tahoma"/>
            <family val="2"/>
          </rPr>
          <t xml:space="preserve">
Loan: EUR 120m
Bank: EUR 30m
Policy: EUR 10m</t>
        </r>
      </text>
    </comment>
    <comment ref="U126" authorId="0" shapeId="0" xr:uid="{D7903ED7-489F-4402-ADDF-750B7985D0E2}">
      <text>
        <r>
          <rPr>
            <b/>
            <sz val="9"/>
            <color indexed="81"/>
            <rFont val="Tahoma"/>
            <family val="2"/>
          </rPr>
          <t>Lea Krstevska:</t>
        </r>
        <r>
          <rPr>
            <sz val="9"/>
            <color indexed="81"/>
            <rFont val="Tahoma"/>
            <family val="2"/>
          </rPr>
          <t xml:space="preserve">
Loan Limit: EUR 65m
Bank Limit: EUR 32.5m
Policy Limit: EUR 7.8m</t>
        </r>
      </text>
    </comment>
    <comment ref="U127" authorId="0" shapeId="0" xr:uid="{341D3765-9163-41C2-9D1C-5E4AFC3B2B28}">
      <text>
        <r>
          <rPr>
            <b/>
            <sz val="9"/>
            <color indexed="81"/>
            <rFont val="Tahoma"/>
            <family val="2"/>
          </rPr>
          <t>Lea Krstevska:</t>
        </r>
        <r>
          <rPr>
            <sz val="9"/>
            <color indexed="81"/>
            <rFont val="Tahoma"/>
            <family val="2"/>
          </rPr>
          <t xml:space="preserve">
Loan Limit: EUR60m
Bank Loan: EUR30m
Policy Limit: EUR7.2m
</t>
        </r>
      </text>
    </comment>
    <comment ref="U128" authorId="0" shapeId="0" xr:uid="{3F161E41-E738-4198-AFF7-FE1E3BB5AF26}">
      <text>
        <r>
          <rPr>
            <b/>
            <sz val="9"/>
            <color indexed="81"/>
            <rFont val="Tahoma"/>
            <family val="2"/>
          </rPr>
          <t>Lea Krstevska:</t>
        </r>
        <r>
          <rPr>
            <sz val="9"/>
            <color indexed="81"/>
            <rFont val="Tahoma"/>
            <family val="2"/>
          </rPr>
          <t xml:space="preserve">
Loan: US$100m
Bank: US$40m
Policy: US$20m</t>
        </r>
      </text>
    </comment>
    <comment ref="U129" authorId="0" shapeId="0" xr:uid="{3BDACD73-E540-4078-B4D2-EE5AF05F9FE6}">
      <text>
        <r>
          <rPr>
            <b/>
            <sz val="9"/>
            <color indexed="81"/>
            <rFont val="Tahoma"/>
            <family val="2"/>
          </rPr>
          <t xml:space="preserve">Lea Krstevska:B
</t>
        </r>
        <r>
          <rPr>
            <sz val="9"/>
            <color indexed="81"/>
            <rFont val="Tahoma"/>
            <family val="2"/>
          </rPr>
          <t xml:space="preserve">Loan: NOK4.026bn
Bank: NOK311.5m
Policy: NOK156m
</t>
        </r>
      </text>
    </comment>
    <comment ref="U130" authorId="0" shapeId="0" xr:uid="{AF0760FD-8778-4ED5-ABDA-FDCF0CB2B122}">
      <text>
        <r>
          <rPr>
            <b/>
            <sz val="9"/>
            <color indexed="81"/>
            <rFont val="Tahoma"/>
            <family val="2"/>
          </rPr>
          <t>Lea Krstevska:</t>
        </r>
        <r>
          <rPr>
            <sz val="9"/>
            <color indexed="81"/>
            <rFont val="Tahoma"/>
            <family val="2"/>
          </rPr>
          <t xml:space="preserve">
Loan: AUD 308m
Bank: AUD48m
Policy: AUD11.1m</t>
        </r>
      </text>
    </comment>
    <comment ref="U131" authorId="0" shapeId="0" xr:uid="{7277AC2A-F703-468E-99CF-964B7D678FE5}">
      <text>
        <r>
          <rPr>
            <b/>
            <sz val="9"/>
            <color indexed="81"/>
            <rFont val="Tahoma"/>
            <family val="2"/>
          </rPr>
          <t>Lea Krstevska:</t>
        </r>
        <r>
          <rPr>
            <sz val="9"/>
            <color indexed="81"/>
            <rFont val="Tahoma"/>
            <family val="2"/>
          </rPr>
          <t xml:space="preserve">
Loan: A$600m
Bank: A$172.5m
Policy: A$20m</t>
        </r>
      </text>
    </comment>
    <comment ref="U132" authorId="0" shapeId="0" xr:uid="{6B1951DD-B5E3-41C1-A2D0-77A3DD928FF4}">
      <text>
        <r>
          <rPr>
            <b/>
            <sz val="9"/>
            <color indexed="81"/>
            <rFont val="Tahoma"/>
            <family val="2"/>
          </rPr>
          <t>Lea Krstevska:</t>
        </r>
        <r>
          <rPr>
            <sz val="9"/>
            <color indexed="81"/>
            <rFont val="Tahoma"/>
            <family val="2"/>
          </rPr>
          <t xml:space="preserve">
Loan: GBP155.4m
Bank: GBP40m
Policy: GBP10m</t>
        </r>
      </text>
    </comment>
    <comment ref="U133" authorId="0" shapeId="0" xr:uid="{5D8F0845-4079-49CD-AC02-14084FD7795C}">
      <text>
        <r>
          <rPr>
            <b/>
            <sz val="9"/>
            <color indexed="81"/>
            <rFont val="Tahoma"/>
            <family val="2"/>
          </rPr>
          <t>Lea Krstevska:</t>
        </r>
        <r>
          <rPr>
            <sz val="9"/>
            <color indexed="81"/>
            <rFont val="Tahoma"/>
            <family val="2"/>
          </rPr>
          <t xml:space="preserve">
Loan: USD277m
Bank: USD107m
Policy: USD7.5m</t>
        </r>
      </text>
    </comment>
    <comment ref="U134" authorId="0" shapeId="0" xr:uid="{28893FC1-2CA7-47A3-9956-B21C32AE1F5C}">
      <text>
        <r>
          <rPr>
            <b/>
            <sz val="9"/>
            <color indexed="81"/>
            <rFont val="Tahoma"/>
            <family val="2"/>
          </rPr>
          <t>Lea Krstevska:</t>
        </r>
        <r>
          <rPr>
            <sz val="9"/>
            <color indexed="81"/>
            <rFont val="Tahoma"/>
            <family val="2"/>
          </rPr>
          <t xml:space="preserve">
Loan: EUR119.4m
Bank: EUR24m
Policy: EUR10m</t>
        </r>
      </text>
    </comment>
    <comment ref="U135" authorId="9" shapeId="0" xr:uid="{F540547F-A4C7-4049-B6B7-5C0D10EF14B9}">
      <text>
        <r>
          <rPr>
            <b/>
            <sz val="9"/>
            <color indexed="81"/>
            <rFont val="Tahoma"/>
            <family val="2"/>
          </rPr>
          <t>Chris Power:</t>
        </r>
        <r>
          <rPr>
            <sz val="9"/>
            <color indexed="81"/>
            <rFont val="Tahoma"/>
            <family val="2"/>
          </rPr>
          <t xml:space="preserve">
Loan: USD957m
Bank: USD60m
Policy: USD20m</t>
        </r>
      </text>
    </comment>
    <comment ref="U136" authorId="9" shapeId="0" xr:uid="{40870D4E-DB4C-4268-BCB3-D8B08321FE41}">
      <text>
        <r>
          <rPr>
            <b/>
            <sz val="9"/>
            <color indexed="81"/>
            <rFont val="Tahoma"/>
            <family val="2"/>
          </rPr>
          <t>Chris Power:</t>
        </r>
        <r>
          <rPr>
            <sz val="9"/>
            <color indexed="81"/>
            <rFont val="Tahoma"/>
            <family val="2"/>
          </rPr>
          <t xml:space="preserve">
Loan: AUD465m
Bank: AUD88.1m
Policy: AUD10m</t>
        </r>
      </text>
    </comment>
    <comment ref="U137" authorId="9" shapeId="0" xr:uid="{7D81A4F0-17A3-41B7-9C1D-5CFF12268E78}">
      <text>
        <r>
          <rPr>
            <b/>
            <sz val="9"/>
            <color indexed="81"/>
            <rFont val="Tahoma"/>
            <family val="2"/>
          </rPr>
          <t>Chris Power:</t>
        </r>
        <r>
          <rPr>
            <sz val="9"/>
            <color indexed="81"/>
            <rFont val="Tahoma"/>
            <family val="2"/>
          </rPr>
          <t xml:space="preserve">
Loan: USD330m
Bank: USD20m
Policy: USD10m</t>
        </r>
      </text>
    </comment>
    <comment ref="U138" authorId="9" shapeId="0" xr:uid="{6B8FD28D-049F-4708-92C8-C2D9BE485930}">
      <text>
        <r>
          <rPr>
            <b/>
            <sz val="9"/>
            <color indexed="81"/>
            <rFont val="Tahoma"/>
            <family val="2"/>
          </rPr>
          <t>Chris Power:</t>
        </r>
        <r>
          <rPr>
            <sz val="9"/>
            <color indexed="81"/>
            <rFont val="Tahoma"/>
            <family val="2"/>
          </rPr>
          <t xml:space="preserve">
Loan: AUD265.2m
Bank: AUD120m
Policy: AUD16m</t>
        </r>
      </text>
    </comment>
    <comment ref="U139" authorId="9" shapeId="0" xr:uid="{92FD6412-863B-48EE-9649-A1C988A90967}">
      <text>
        <r>
          <rPr>
            <b/>
            <sz val="9"/>
            <color indexed="81"/>
            <rFont val="Tahoma"/>
            <family val="2"/>
          </rPr>
          <t>Chris Power:</t>
        </r>
        <r>
          <rPr>
            <sz val="9"/>
            <color indexed="81"/>
            <rFont val="Tahoma"/>
            <family val="2"/>
          </rPr>
          <t xml:space="preserve">
Loan: USD330m
Bank: USD8.3m
Policy: USD5m</t>
        </r>
      </text>
    </comment>
    <comment ref="U140" authorId="9" shapeId="0" xr:uid="{A47B6D91-9C6E-4986-AE04-AA6EEF85F12D}">
      <text>
        <r>
          <rPr>
            <b/>
            <sz val="9"/>
            <color indexed="81"/>
            <rFont val="Tahoma"/>
            <family val="2"/>
          </rPr>
          <t>Chris Power:</t>
        </r>
        <r>
          <rPr>
            <sz val="9"/>
            <color indexed="81"/>
            <rFont val="Tahoma"/>
            <family val="2"/>
          </rPr>
          <t xml:space="preserve">
Loan: USD350m
Bank: USD20m
Policy: USD10m</t>
        </r>
      </text>
    </comment>
    <comment ref="U141" authorId="9" shapeId="0" xr:uid="{2A230DB8-093C-4456-B3D0-6731DF95F71C}">
      <text>
        <r>
          <rPr>
            <b/>
            <sz val="9"/>
            <color indexed="81"/>
            <rFont val="Tahoma"/>
            <family val="2"/>
          </rPr>
          <t>Chris Power:</t>
        </r>
        <r>
          <rPr>
            <sz val="9"/>
            <color indexed="81"/>
            <rFont val="Tahoma"/>
            <family val="2"/>
          </rPr>
          <t xml:space="preserve">
Loan: USD1.0b
Bank: USD25m
Policy: USD17.5m</t>
        </r>
      </text>
    </comment>
    <comment ref="U142" authorId="9" shapeId="0" xr:uid="{D8AB72EE-8F3F-4315-9844-DE83C6A7AA38}">
      <text>
        <r>
          <rPr>
            <b/>
            <sz val="9"/>
            <color indexed="81"/>
            <rFont val="Tahoma"/>
            <family val="2"/>
          </rPr>
          <t>Chris Power:</t>
        </r>
        <r>
          <rPr>
            <sz val="9"/>
            <color indexed="81"/>
            <rFont val="Tahoma"/>
            <family val="2"/>
          </rPr>
          <t xml:space="preserve">
Loan: EUR100m
Bank: EUR50m
Policy: EUR10m</t>
        </r>
      </text>
    </comment>
    <comment ref="U143" authorId="9" shapeId="0" xr:uid="{52B2CEDB-1B74-4361-A3E6-F758965C96C8}">
      <text>
        <r>
          <rPr>
            <b/>
            <sz val="9"/>
            <color indexed="81"/>
            <rFont val="Tahoma"/>
            <family val="2"/>
          </rPr>
          <t>Chris Power:</t>
        </r>
        <r>
          <rPr>
            <sz val="9"/>
            <color indexed="81"/>
            <rFont val="Tahoma"/>
            <family val="2"/>
          </rPr>
          <t xml:space="preserve">
Loan: AUD115m
Bank: AUD51
Policy: AUD10m</t>
        </r>
      </text>
    </comment>
    <comment ref="U144" authorId="9" shapeId="0" xr:uid="{48AC6887-2BA3-4C03-98AD-D96E493FB519}">
      <text>
        <r>
          <rPr>
            <b/>
            <sz val="9"/>
            <color indexed="81"/>
            <rFont val="Tahoma"/>
            <family val="2"/>
          </rPr>
          <t>Chris Power:</t>
        </r>
        <r>
          <rPr>
            <sz val="9"/>
            <color indexed="81"/>
            <rFont val="Tahoma"/>
            <family val="2"/>
          </rPr>
          <t xml:space="preserve">
Loan: EUR2.7b
Bank: EUR100m
Policy: EUR20m</t>
        </r>
      </text>
    </comment>
    <comment ref="U145" authorId="9" shapeId="0" xr:uid="{BE0DB8C0-F23A-4D73-AD5F-9FEDA7AF6BB7}">
      <text>
        <r>
          <rPr>
            <b/>
            <sz val="9"/>
            <color indexed="81"/>
            <rFont val="Tahoma"/>
            <family val="2"/>
          </rPr>
          <t>Chris Power:</t>
        </r>
        <r>
          <rPr>
            <sz val="9"/>
            <color indexed="81"/>
            <rFont val="Tahoma"/>
            <family val="2"/>
          </rPr>
          <t xml:space="preserve">
Loan: USD750m
Bank: USD120m
Policy: USD15m</t>
        </r>
      </text>
    </comment>
    <comment ref="U146" authorId="9" shapeId="0" xr:uid="{4A18EC84-1262-4E8B-8864-87F5C47E17AB}">
      <text>
        <r>
          <rPr>
            <b/>
            <sz val="9"/>
            <color indexed="81"/>
            <rFont val="Tahoma"/>
            <family val="2"/>
          </rPr>
          <t>Chris Power:</t>
        </r>
        <r>
          <rPr>
            <sz val="9"/>
            <color indexed="81"/>
            <rFont val="Tahoma"/>
            <family val="2"/>
          </rPr>
          <t xml:space="preserve">
Loan: USD70.5m
Bank: USD70.5m
Policy: USD10m</t>
        </r>
      </text>
    </comment>
    <comment ref="U147" authorId="9" shapeId="0" xr:uid="{43676982-A937-45F7-B265-FCEE7FABE7FD}">
      <text>
        <r>
          <rPr>
            <b/>
            <sz val="9"/>
            <color indexed="81"/>
            <rFont val="Tahoma"/>
            <family val="2"/>
          </rPr>
          <t>Chris Power:</t>
        </r>
        <r>
          <rPr>
            <sz val="9"/>
            <color indexed="81"/>
            <rFont val="Tahoma"/>
            <family val="2"/>
          </rPr>
          <t xml:space="preserve">
Loan: CHF510m
Bank: CHF14m
Policy: CHF7m</t>
        </r>
      </text>
    </comment>
    <comment ref="U148" authorId="9" shapeId="0" xr:uid="{3AFA71C7-0D6F-4FF0-9D34-D55CD3B1C5B1}">
      <text>
        <r>
          <rPr>
            <b/>
            <sz val="9"/>
            <color indexed="81"/>
            <rFont val="Tahoma"/>
            <family val="2"/>
          </rPr>
          <t>Chris Power:</t>
        </r>
        <r>
          <rPr>
            <sz val="9"/>
            <color indexed="81"/>
            <rFont val="Tahoma"/>
            <family val="2"/>
          </rPr>
          <t xml:space="preserve">
Loan: CHF510m
Bank: CHF14m
Policy: CHF7m</t>
        </r>
      </text>
    </comment>
    <comment ref="U149" authorId="9" shapeId="0" xr:uid="{FA92FE25-34D7-413D-A2AF-41AA6F1F4877}">
      <text>
        <r>
          <rPr>
            <b/>
            <sz val="9"/>
            <color indexed="81"/>
            <rFont val="Tahoma"/>
            <family val="2"/>
          </rPr>
          <t>Chris Power:</t>
        </r>
        <r>
          <rPr>
            <sz val="9"/>
            <color indexed="81"/>
            <rFont val="Tahoma"/>
            <family val="2"/>
          </rPr>
          <t xml:space="preserve">
Loan: USD230m
Bank: USD34.5m
Policy: USD11.5m</t>
        </r>
      </text>
    </comment>
    <comment ref="U150" authorId="9" shapeId="0" xr:uid="{2A796FD0-A1F4-45BE-8253-32A7EF4F99A4}">
      <text>
        <r>
          <rPr>
            <b/>
            <sz val="9"/>
            <color indexed="81"/>
            <rFont val="Tahoma"/>
            <family val="2"/>
          </rPr>
          <t>Chris Power:</t>
        </r>
        <r>
          <rPr>
            <sz val="9"/>
            <color indexed="81"/>
            <rFont val="Tahoma"/>
            <family val="2"/>
          </rPr>
          <t xml:space="preserve">
Loan: EUR1.5b
Bank: EUR137.5m
Policy: EUR10m</t>
        </r>
      </text>
    </comment>
    <comment ref="U151" authorId="9" shapeId="0" xr:uid="{A676CD4E-DFF0-4EC1-9283-077502BE315A}">
      <text>
        <r>
          <rPr>
            <b/>
            <sz val="9"/>
            <color indexed="81"/>
            <rFont val="Tahoma"/>
            <family val="2"/>
          </rPr>
          <t>Chris Power:</t>
        </r>
        <r>
          <rPr>
            <sz val="9"/>
            <color indexed="81"/>
            <rFont val="Tahoma"/>
            <family val="2"/>
          </rPr>
          <t xml:space="preserve">
Loan: AUD192.5m
Bank: AUD58.5m
Policy: AUD15m</t>
        </r>
      </text>
    </comment>
    <comment ref="U152" authorId="10" shapeId="0" xr:uid="{CD2917A2-2A5D-4A22-8F9F-EA5652DA0BA0}">
      <text>
        <r>
          <rPr>
            <b/>
            <sz val="9"/>
            <color indexed="81"/>
            <rFont val="Tahoma"/>
            <family val="2"/>
          </rPr>
          <t>Joseph Day:</t>
        </r>
        <r>
          <rPr>
            <sz val="9"/>
            <color indexed="81"/>
            <rFont val="Tahoma"/>
            <family val="2"/>
          </rPr>
          <t xml:space="preserve">
Loan: GBP 950m 
Bank: GBP 237.5m
Policy: GBP15m</t>
        </r>
      </text>
    </comment>
    <comment ref="U153" authorId="10" shapeId="0" xr:uid="{E5A78150-0C33-4FA0-B64A-3459DE1B608E}">
      <text>
        <r>
          <rPr>
            <b/>
            <sz val="9"/>
            <color indexed="81"/>
            <rFont val="Tahoma"/>
            <family val="2"/>
          </rPr>
          <t>Joseph Day:</t>
        </r>
        <r>
          <rPr>
            <sz val="9"/>
            <color indexed="81"/>
            <rFont val="Tahoma"/>
            <family val="2"/>
          </rPr>
          <t xml:space="preserve">
Loan: EUR53.5m
Bank: EUR53.5m
Policy: EUR20m</t>
        </r>
      </text>
    </comment>
    <comment ref="U154" authorId="10" shapeId="0" xr:uid="{6D90486D-43FB-4F5E-B947-F6EA58860530}">
      <text>
        <r>
          <rPr>
            <b/>
            <sz val="9"/>
            <color indexed="81"/>
            <rFont val="Tahoma"/>
            <family val="2"/>
          </rPr>
          <t>Joseph Day:</t>
        </r>
        <r>
          <rPr>
            <sz val="9"/>
            <color indexed="81"/>
            <rFont val="Tahoma"/>
            <family val="2"/>
          </rPr>
          <t xml:space="preserve">
Loan: AUD 210.1m
Bank: AUD 73.3m
Policy: AUD 7.55m</t>
        </r>
      </text>
    </comment>
    <comment ref="U155" authorId="10" shapeId="0" xr:uid="{29E23483-FF1D-4977-9192-B5BA80BF5201}">
      <text>
        <r>
          <rPr>
            <b/>
            <sz val="9"/>
            <color indexed="81"/>
            <rFont val="Tahoma"/>
            <family val="2"/>
          </rPr>
          <t>Joseph Day:</t>
        </r>
        <r>
          <rPr>
            <sz val="9"/>
            <color indexed="81"/>
            <rFont val="Tahoma"/>
            <family val="2"/>
          </rPr>
          <t xml:space="preserve">
Loan: USD 3.0b
Bank: USD 200m
Policy: USD 30m</t>
        </r>
      </text>
    </comment>
    <comment ref="U156" authorId="10" shapeId="0" xr:uid="{389EEA14-6640-45FB-9858-7C6279E5240F}">
      <text>
        <r>
          <rPr>
            <b/>
            <sz val="9"/>
            <color indexed="81"/>
            <rFont val="Tahoma"/>
            <family val="2"/>
          </rPr>
          <t>Joseph Day:</t>
        </r>
        <r>
          <rPr>
            <sz val="9"/>
            <color indexed="81"/>
            <rFont val="Tahoma"/>
            <family val="2"/>
          </rPr>
          <t xml:space="preserve">
Loan: EUR 100.17m
Bank: EUR 100.17m
Policy: EUR 13m</t>
        </r>
      </text>
    </comment>
    <comment ref="U157" authorId="10" shapeId="0" xr:uid="{1CDCBEEA-B5B1-49ED-B1FE-CCE9D7700B43}">
      <text>
        <r>
          <rPr>
            <b/>
            <sz val="9"/>
            <color indexed="81"/>
            <rFont val="Tahoma"/>
            <family val="2"/>
          </rPr>
          <t>Joseph Day:</t>
        </r>
        <r>
          <rPr>
            <sz val="9"/>
            <color indexed="81"/>
            <rFont val="Tahoma"/>
            <family val="2"/>
          </rPr>
          <t xml:space="preserve">
Loan: EUR 902m
Bank: EUR 20m
Policy: EUR 10.5m</t>
        </r>
      </text>
    </comment>
    <comment ref="U158" authorId="10" shapeId="0" xr:uid="{B9B4C95D-ADB4-4398-BAF1-2FED278EBC5E}">
      <text>
        <r>
          <rPr>
            <b/>
            <sz val="9"/>
            <color indexed="81"/>
            <rFont val="Tahoma"/>
            <family val="2"/>
          </rPr>
          <t>Joseph Day:</t>
        </r>
        <r>
          <rPr>
            <sz val="9"/>
            <color indexed="81"/>
            <rFont val="Tahoma"/>
            <family val="2"/>
          </rPr>
          <t xml:space="preserve">
Loan: EUR 7.1b
Bank: EUR 710m
Policy: EUR 10m</t>
        </r>
      </text>
    </comment>
    <comment ref="U159" authorId="8" shapeId="0" xr:uid="{BF2793BC-AFD7-46CD-B753-2A1A43A7BFAD}">
      <text>
        <r>
          <rPr>
            <b/>
            <sz val="9"/>
            <color indexed="81"/>
            <rFont val="Tahoma"/>
            <family val="2"/>
          </rPr>
          <t>Nelly Nguyen:</t>
        </r>
        <r>
          <rPr>
            <sz val="9"/>
            <color indexed="81"/>
            <rFont val="Tahoma"/>
            <family val="2"/>
          </rPr>
          <t xml:space="preserve">
Loan Limit :US$ 120m
Bank Limit:US$ 30m
Poicy Limit: US$ 15m</t>
        </r>
      </text>
    </comment>
    <comment ref="U160" authorId="8" shapeId="0" xr:uid="{77FA409C-6937-4EC5-AC6E-0EF05F22AACF}">
      <text>
        <r>
          <rPr>
            <b/>
            <sz val="9"/>
            <color indexed="81"/>
            <rFont val="Tahoma"/>
            <family val="2"/>
          </rPr>
          <t>Nelly Nguyen:</t>
        </r>
        <r>
          <rPr>
            <sz val="9"/>
            <color indexed="81"/>
            <rFont val="Tahoma"/>
            <family val="2"/>
          </rPr>
          <t xml:space="preserve">
Loan: A$585m
Bank: A$100m
Policy: A$20m</t>
        </r>
      </text>
    </comment>
    <comment ref="U161" authorId="8" shapeId="0" xr:uid="{1AFDC7DD-0378-48EA-A615-8F87945270CC}">
      <text>
        <r>
          <rPr>
            <b/>
            <sz val="9"/>
            <color indexed="81"/>
            <rFont val="Tahoma"/>
            <family val="2"/>
          </rPr>
          <t>Nelly Nguyen:</t>
        </r>
        <r>
          <rPr>
            <sz val="9"/>
            <color indexed="81"/>
            <rFont val="Tahoma"/>
            <family val="2"/>
          </rPr>
          <t xml:space="preserve">
Loan: NZD 230m
Bank: NZD 107.5m
Policy: NZD 18.75m</t>
        </r>
      </text>
    </comment>
    <comment ref="U162" authorId="8" shapeId="0" xr:uid="{70D77230-CC8A-47FE-8470-F6959CCFB3CA}">
      <text>
        <r>
          <rPr>
            <b/>
            <sz val="9"/>
            <color indexed="81"/>
            <rFont val="Tahoma"/>
            <family val="2"/>
          </rPr>
          <t>Nelly Nguyen:</t>
        </r>
        <r>
          <rPr>
            <sz val="9"/>
            <color indexed="81"/>
            <rFont val="Tahoma"/>
            <family val="2"/>
          </rPr>
          <t xml:space="preserve">
Loan: NZD 230m
Bank: NZD 50m
Policy: NZD 10m
</t>
        </r>
      </text>
    </comment>
    <comment ref="U163" authorId="8" shapeId="0" xr:uid="{691EB702-4667-406B-837E-3FE2E9B22EC4}">
      <text>
        <r>
          <rPr>
            <b/>
            <sz val="9"/>
            <color indexed="81"/>
            <rFont val="Tahoma"/>
            <family val="2"/>
          </rPr>
          <t>Nelly Nguyen:</t>
        </r>
        <r>
          <rPr>
            <sz val="9"/>
            <color indexed="81"/>
            <rFont val="Tahoma"/>
            <family val="2"/>
          </rPr>
          <t xml:space="preserve">
Bank US$300m
Loan: US$ 20m
Policy: US$10m</t>
        </r>
      </text>
    </comment>
    <comment ref="U164" authorId="8" shapeId="0" xr:uid="{3F51B31B-E887-4741-B816-4B1E83E2D301}">
      <text>
        <r>
          <rPr>
            <b/>
            <sz val="9"/>
            <color indexed="81"/>
            <rFont val="Tahoma"/>
            <family val="2"/>
          </rPr>
          <t>Nelly Nguyen:</t>
        </r>
        <r>
          <rPr>
            <sz val="9"/>
            <color indexed="81"/>
            <rFont val="Tahoma"/>
            <family val="2"/>
          </rPr>
          <t xml:space="preserve">
Loan: EUR260m
Bank: EUR220m
Policy: EUR13m</t>
        </r>
      </text>
    </comment>
    <comment ref="U165" authorId="8" shapeId="0" xr:uid="{20756719-E7AE-4021-8E96-CCCB461BC741}">
      <text>
        <r>
          <rPr>
            <b/>
            <sz val="9"/>
            <color indexed="81"/>
            <rFont val="Tahoma"/>
            <family val="2"/>
          </rPr>
          <t>Nelly Nguyen:</t>
        </r>
        <r>
          <rPr>
            <sz val="9"/>
            <color indexed="81"/>
            <rFont val="Tahoma"/>
            <family val="2"/>
          </rPr>
          <t xml:space="preserve">
Loan: AU$240m
Bank: AU$45m
Policy: AU$ 4.99m</t>
        </r>
      </text>
    </comment>
    <comment ref="U166" authorId="8" shapeId="0" xr:uid="{1F54A878-84C8-455A-A724-D11F8D8500FD}">
      <text>
        <r>
          <rPr>
            <b/>
            <sz val="9"/>
            <color indexed="81"/>
            <rFont val="Tahoma"/>
            <family val="2"/>
          </rPr>
          <t xml:space="preserve">Nelly Nguyen:
</t>
        </r>
        <r>
          <rPr>
            <sz val="9"/>
            <color indexed="81"/>
            <rFont val="Tahoma"/>
            <family val="2"/>
          </rPr>
          <t>Loan: EUR198.7m
Bank: EUR100m
Policy: EUR7.5m</t>
        </r>
      </text>
    </comment>
    <comment ref="U167" authorId="8" shapeId="0" xr:uid="{F7CBA296-BE1E-4362-89C9-61D25A02C11B}">
      <text>
        <r>
          <rPr>
            <b/>
            <sz val="9"/>
            <color indexed="81"/>
            <rFont val="Tahoma"/>
            <family val="2"/>
          </rPr>
          <t>Nelly Nguyen:</t>
        </r>
        <r>
          <rPr>
            <sz val="9"/>
            <color indexed="81"/>
            <rFont val="Tahoma"/>
            <family val="2"/>
          </rPr>
          <t xml:space="preserve">
Loan: EUR364.3m
Bank: EUR100m
Policy: EUR7.5m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tc={A7591A82-D2A8-4AE0-8337-5E29A1DDE89B}</author>
    <author>Jemma Sargeant</author>
    <author>Samuel Atkinson</author>
    <author>Ann Prosser</author>
    <author>Nelly Nguyen</author>
    <author>Chris Power</author>
    <author>Joseph Day</author>
  </authors>
  <commentList>
    <comment ref="AF2" authorId="0" shapeId="0" xr:uid="{994B8CCE-428A-4FC6-9F01-C709BB651875}">
      <text>
        <r>
          <rPr>
            <b/>
            <sz val="9"/>
            <color indexed="81"/>
            <rFont val="Tahoma"/>
            <family val="2"/>
          </rPr>
          <t>Lea Krstevska:</t>
        </r>
        <r>
          <rPr>
            <sz val="9"/>
            <color indexed="81"/>
            <rFont val="Tahoma"/>
            <family val="2"/>
          </rPr>
          <t xml:space="preserve">
AUD 20m-30m
USD 15m - 25m
EUR 15m - 22m</t>
        </r>
      </text>
    </comment>
    <comment ref="U4" authorId="1" shapeId="0" xr:uid="{040DA006-A092-402B-82BE-098273966870}">
      <text>
        <r>
          <rPr>
            <b/>
            <sz val="8"/>
            <color indexed="81"/>
            <rFont val="Tahoma"/>
            <family val="2"/>
          </rPr>
          <t>Marc Nicholls:</t>
        </r>
        <r>
          <rPr>
            <sz val="8"/>
            <color indexed="81"/>
            <rFont val="Tahoma"/>
            <family val="2"/>
          </rPr>
          <t xml:space="preserve">
ANZ $50m, Syndicate $225m
Nelly: ANZ 35.9 as at Sep 22</t>
        </r>
      </text>
    </comment>
    <comment ref="A5" authorId="2" shapeId="0" xr:uid="{6AA415A9-B064-40FD-B3B8-328695C000FF}">
      <text>
        <r>
          <rPr>
            <sz val="9"/>
            <color indexed="81"/>
            <rFont val="Tahoma"/>
            <family val="2"/>
          </rPr>
          <t>Note, in run off</t>
        </r>
      </text>
    </comment>
    <comment ref="AJ5" authorId="2" shapeId="0" xr:uid="{4D3466C1-3AF1-4B8E-8151-3415691B54E4}">
      <text>
        <r>
          <rPr>
            <b/>
            <sz val="9"/>
            <color indexed="81"/>
            <rFont val="Tahoma"/>
            <family val="2"/>
          </rPr>
          <t>Facility is in run off</t>
        </r>
      </text>
    </comment>
    <comment ref="U6" authorId="2" shapeId="0" xr:uid="{DAC22FB7-9F39-41C4-8FB2-6CA85E9C9939}">
      <text>
        <r>
          <rPr>
            <b/>
            <sz val="8"/>
            <color indexed="81"/>
            <rFont val="Tahoma"/>
            <family val="2"/>
          </rPr>
          <t>Loan Limit: 100m
Bank Limit: 83.4m
Policy Limit: 16.680m</t>
        </r>
      </text>
    </comment>
    <comment ref="U7" authorId="2" shapeId="0" xr:uid="{D4178185-63F3-448E-9768-B371FD5B29C3}">
      <text>
        <r>
          <rPr>
            <b/>
            <sz val="9"/>
            <color indexed="81"/>
            <rFont val="Tahoma"/>
            <family val="2"/>
          </rPr>
          <t>supports DB INR6b participation</t>
        </r>
      </text>
    </comment>
    <comment ref="U8" authorId="1" shapeId="0" xr:uid="{0193ACE5-C1D6-4516-A82D-5C89E77B6E1B}">
      <text>
        <r>
          <rPr>
            <b/>
            <sz val="9"/>
            <color indexed="81"/>
            <rFont val="Tahoma"/>
            <family val="2"/>
          </rPr>
          <t>Marc Nicholls:</t>
        </r>
        <r>
          <rPr>
            <sz val="9"/>
            <color indexed="81"/>
            <rFont val="Tahoma"/>
            <family val="2"/>
          </rPr>
          <t xml:space="preserve">
supports ING in its EUR175m participation in Eur625m faciilty</t>
        </r>
      </text>
    </comment>
    <comment ref="U9" authorId="2" shapeId="0" xr:uid="{1DF7F540-69C1-4CB9-97B8-0E3E9BA00FC6}">
      <text>
        <r>
          <rPr>
            <sz val="8"/>
            <color indexed="81"/>
            <rFont val="Tahoma"/>
            <family val="2"/>
          </rPr>
          <t>US1.024b, StanChart US131.75m</t>
        </r>
      </text>
    </comment>
    <comment ref="U11" authorId="3" shapeId="0" xr:uid="{79F73498-736F-4843-9060-B285DA499CE2}">
      <text>
        <r>
          <rPr>
            <sz val="9"/>
            <color indexed="81"/>
            <rFont val="Tahoma"/>
            <family val="2"/>
          </rPr>
          <t>CEIP support to SG (Paris Branch)  in its US$120m participation in a US$790m committed senior secured syndicated pooled commercial aircraft term loan financing facility</t>
        </r>
      </text>
    </comment>
    <comment ref="U16" authorId="2" shapeId="0" xr:uid="{4B0075CF-535E-4860-84E6-6B2071301D17}">
      <text>
        <r>
          <rPr>
            <sz val="8"/>
            <color indexed="81"/>
            <rFont val="Tahoma"/>
            <family val="2"/>
          </rPr>
          <t>US$500m, Socgen US$75m</t>
        </r>
      </text>
    </comment>
    <comment ref="U19" authorId="2" shapeId="0" xr:uid="{A68CD959-C5C5-4F8B-AB2B-A9C15E63C61B}">
      <text>
        <r>
          <rPr>
            <sz val="8"/>
            <color indexed="81"/>
            <rFont val="Tahoma"/>
            <family val="2"/>
          </rPr>
          <t>US$1b, ANZ London US$107m</t>
        </r>
      </text>
    </comment>
    <comment ref="U22" authorId="2" shapeId="0" xr:uid="{1FFBBA58-BE8E-40A4-B601-AFF804E0E212}">
      <text>
        <r>
          <rPr>
            <sz val="8"/>
            <color indexed="81"/>
            <rFont val="Tahoma"/>
            <family val="2"/>
          </rPr>
          <t>US290m, SMBC US$50m</t>
        </r>
      </text>
    </comment>
    <comment ref="AJ22" authorId="4" shapeId="0" xr:uid="{A7591A82-D2A8-4AE0-8337-5E29A1DDE89B}">
      <text>
        <t>[Threaded comment]
Your version of Excel allows you to read this threaded comment; however, any edits to it will get removed if the file is opened in a newer version of Excel. Learn more: https://go.microsoft.com/fwlink/?linkid=870924
Comment:
    GW has confirmed we are awaiting extension (Sep 22)</t>
      </text>
    </comment>
    <comment ref="U23" authorId="2" shapeId="0" xr:uid="{B84CF54E-7046-487D-BEE3-E39CC6AA95EF}">
      <text>
        <r>
          <rPr>
            <b/>
            <sz val="9"/>
            <color indexed="81"/>
            <rFont val="Tahoma"/>
            <family val="2"/>
          </rPr>
          <t>ING participation of EUR150m of EUR650m facility</t>
        </r>
      </text>
    </comment>
    <comment ref="U25" authorId="2" shapeId="0" xr:uid="{76C8EA12-69B6-40CB-A0E9-85F45D885450}">
      <text>
        <r>
          <rPr>
            <b/>
            <sz val="9"/>
            <color indexed="81"/>
            <rFont val="Tahoma"/>
            <family val="2"/>
          </rPr>
          <t>DB participation of $65m in $180m senior secured loan only, $10m revolver and $10m capex facility</t>
        </r>
      </text>
    </comment>
    <comment ref="U26" authorId="1" shapeId="0" xr:uid="{21B14D88-6D05-4A57-A520-95B9AE148948}">
      <text>
        <r>
          <rPr>
            <b/>
            <sz val="9"/>
            <color indexed="81"/>
            <rFont val="Tahoma"/>
            <family val="2"/>
          </rPr>
          <t>Marc Nicholls:</t>
        </r>
        <r>
          <rPr>
            <sz val="9"/>
            <color indexed="81"/>
            <rFont val="Tahoma"/>
            <family val="2"/>
          </rPr>
          <t xml:space="preserve">
ING $137m of $137m</t>
        </r>
      </text>
    </comment>
    <comment ref="U27" authorId="1" shapeId="0" xr:uid="{90F5B37D-D943-4FAC-B6B9-052E8B075528}">
      <text>
        <r>
          <rPr>
            <b/>
            <sz val="9"/>
            <color indexed="81"/>
            <rFont val="Tahoma"/>
            <family val="2"/>
          </rPr>
          <t>Marc Nicholls:</t>
        </r>
        <r>
          <rPr>
            <sz val="9"/>
            <color indexed="81"/>
            <rFont val="Tahoma"/>
            <family val="2"/>
          </rPr>
          <t xml:space="preserve">
BNPP $30 of $80m</t>
        </r>
      </text>
    </comment>
    <comment ref="U28" authorId="5" shapeId="0" xr:uid="{8E3DE1A3-DDE4-4552-A2B1-84DF677D5B14}">
      <text>
        <r>
          <rPr>
            <b/>
            <sz val="9"/>
            <color indexed="81"/>
            <rFont val="Tahoma"/>
            <family val="2"/>
          </rPr>
          <t>Jemma Sargeant:</t>
        </r>
        <r>
          <rPr>
            <sz val="9"/>
            <color indexed="81"/>
            <rFont val="Tahoma"/>
            <family val="2"/>
          </rPr>
          <t xml:space="preserve">
ANZ US$96.8mil in US$193.6mil</t>
        </r>
      </text>
    </comment>
    <comment ref="A29" authorId="2" shapeId="0" xr:uid="{E02F5137-F308-484C-B257-686CC4037843}">
      <text>
        <r>
          <rPr>
            <b/>
            <sz val="9"/>
            <color indexed="81"/>
            <rFont val="Tahoma"/>
            <family val="2"/>
          </rPr>
          <t>Barings (Head Office)</t>
        </r>
      </text>
    </comment>
    <comment ref="U29" authorId="5" shapeId="0" xr:uid="{7568CD10-D546-40C4-AFA4-CA4EFE2E1EEF}">
      <text>
        <r>
          <rPr>
            <b/>
            <sz val="9"/>
            <color indexed="81"/>
            <rFont val="Tahoma"/>
            <family val="2"/>
          </rPr>
          <t>Jemma Sargeant:</t>
        </r>
        <r>
          <rPr>
            <sz val="9"/>
            <color indexed="81"/>
            <rFont val="Tahoma"/>
            <family val="2"/>
          </rPr>
          <t xml:space="preserve">
ING EUR 16.055mil</t>
        </r>
      </text>
    </comment>
    <comment ref="U30" authorId="5" shapeId="0" xr:uid="{2D800086-6ACF-40F4-8DFE-B0FB8B5EA0E0}">
      <text>
        <r>
          <rPr>
            <b/>
            <sz val="9"/>
            <color indexed="81"/>
            <rFont val="Tahoma"/>
            <family val="2"/>
          </rPr>
          <t>Jemma Sargeant:</t>
        </r>
        <r>
          <rPr>
            <sz val="9"/>
            <color indexed="81"/>
            <rFont val="Tahoma"/>
            <family val="2"/>
          </rPr>
          <t xml:space="preserve">
US$105m in US$1.3b facility</t>
        </r>
      </text>
    </comment>
    <comment ref="U31" authorId="5" shapeId="0" xr:uid="{97B377C4-F3D0-4458-9191-A2620B379D4F}">
      <text>
        <r>
          <rPr>
            <b/>
            <sz val="9"/>
            <color indexed="81"/>
            <rFont val="Tahoma"/>
            <family val="2"/>
          </rPr>
          <t>Jemma Sargeant:</t>
        </r>
        <r>
          <rPr>
            <sz val="9"/>
            <color indexed="81"/>
            <rFont val="Tahoma"/>
            <family val="2"/>
          </rPr>
          <t xml:space="preserve">
US$75m in US$200m</t>
        </r>
      </text>
    </comment>
    <comment ref="U32" authorId="5" shapeId="0" xr:uid="{1386B93B-CEA0-432B-9DE5-96BBAEC9829F}">
      <text>
        <r>
          <rPr>
            <b/>
            <sz val="9"/>
            <color indexed="81"/>
            <rFont val="Tahoma"/>
            <family val="2"/>
          </rPr>
          <t>Jemma Sargeant:</t>
        </r>
        <r>
          <rPr>
            <sz val="9"/>
            <color indexed="81"/>
            <rFont val="Tahoma"/>
            <family val="2"/>
          </rPr>
          <t xml:space="preserve">
US$36m facility
</t>
        </r>
      </text>
    </comment>
    <comment ref="U33" authorId="5" shapeId="0" xr:uid="{CD032425-84D6-480F-AC6F-A439AA8FE850}">
      <text>
        <r>
          <rPr>
            <b/>
            <sz val="9"/>
            <color indexed="81"/>
            <rFont val="Tahoma"/>
            <family val="2"/>
          </rPr>
          <t>Jemma Sargeant:</t>
        </r>
        <r>
          <rPr>
            <sz val="9"/>
            <color indexed="81"/>
            <rFont val="Tahoma"/>
            <family val="2"/>
          </rPr>
          <t xml:space="preserve">
US$150m in US$300m facility</t>
        </r>
      </text>
    </comment>
    <comment ref="U34" authorId="5" shapeId="0" xr:uid="{30FCA42F-5613-4E40-98DC-7327F0451AEC}">
      <text>
        <r>
          <rPr>
            <b/>
            <sz val="9"/>
            <color indexed="81"/>
            <rFont val="Tahoma"/>
            <family val="2"/>
          </rPr>
          <t xml:space="preserve">Loan = us$350
Bank = us$100
</t>
        </r>
        <r>
          <rPr>
            <sz val="9"/>
            <color indexed="81"/>
            <rFont val="Tahoma"/>
            <family val="2"/>
          </rPr>
          <t xml:space="preserve">
</t>
        </r>
      </text>
    </comment>
    <comment ref="U35" authorId="5" shapeId="0" xr:uid="{21542B6D-C3D1-4F77-8E2D-67B25426F713}">
      <text>
        <r>
          <rPr>
            <b/>
            <sz val="9"/>
            <color indexed="81"/>
            <rFont val="Tahoma"/>
            <family val="2"/>
          </rPr>
          <t xml:space="preserve">Jemma Sargeant
SGD100M in SGD427m
</t>
        </r>
        <r>
          <rPr>
            <sz val="9"/>
            <color indexed="81"/>
            <rFont val="Tahoma"/>
            <family val="2"/>
          </rPr>
          <t xml:space="preserve">
</t>
        </r>
      </text>
    </comment>
    <comment ref="U36" authorId="6" shapeId="0" xr:uid="{1247FAA8-2C61-4AF1-BDE8-A47082BD16C5}">
      <text>
        <r>
          <rPr>
            <b/>
            <sz val="9"/>
            <color indexed="81"/>
            <rFont val="Tahoma"/>
            <family val="2"/>
          </rPr>
          <t>Samuel Atkinson:</t>
        </r>
        <r>
          <rPr>
            <sz val="9"/>
            <color indexed="81"/>
            <rFont val="Tahoma"/>
            <family val="2"/>
          </rPr>
          <t xml:space="preserve">
Bank limit: AUD 75m 
Facility limit: AUD 750m</t>
        </r>
      </text>
    </comment>
    <comment ref="U37" authorId="5" shapeId="0" xr:uid="{10463DB9-C63E-4283-B1D4-EE298457DA0F}">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U38" authorId="6" shapeId="0" xr:uid="{C1E1D4C3-EB4B-4841-9631-96E6DFBFCE61}">
      <text>
        <r>
          <rPr>
            <b/>
            <sz val="9"/>
            <color indexed="81"/>
            <rFont val="Tahoma"/>
            <family val="2"/>
          </rPr>
          <t>Samuel Atkinson:
Facility Limit: EUR 97.2m
Bank Limit: 48.6
Policy Limit: 15</t>
        </r>
      </text>
    </comment>
    <comment ref="U39" authorId="6" shapeId="0" xr:uid="{8B289E68-0C0F-4EF6-B80E-848C3146405C}">
      <text>
        <r>
          <rPr>
            <b/>
            <sz val="9"/>
            <color indexed="81"/>
            <rFont val="Tahoma"/>
            <family val="2"/>
          </rPr>
          <t>Samuel Atkinson:</t>
        </r>
        <r>
          <rPr>
            <sz val="9"/>
            <color indexed="81"/>
            <rFont val="Tahoma"/>
            <family val="2"/>
          </rPr>
          <t xml:space="preserve">
1.75b US term loan
175b US ANZ commitment
</t>
        </r>
      </text>
    </comment>
    <comment ref="U40" authorId="6" shapeId="0" xr:uid="{2FD3BADA-0DE8-44BA-8B3C-1FEA09271F42}">
      <text>
        <r>
          <rPr>
            <b/>
            <sz val="9"/>
            <color indexed="81"/>
            <rFont val="Tahoma"/>
            <family val="2"/>
          </rPr>
          <t>Samuel Atkinson:</t>
        </r>
        <r>
          <rPr>
            <sz val="9"/>
            <color indexed="81"/>
            <rFont val="Tahoma"/>
            <family val="2"/>
          </rPr>
          <t xml:space="preserve">
Bank: EUR 120m
Loan: EUR 500m</t>
        </r>
      </text>
    </comment>
    <comment ref="N41" authorId="6" shapeId="0" xr:uid="{774F4EA9-391A-45DB-8C57-84C17E41619B}">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U41" authorId="6" shapeId="0" xr:uid="{F35CDD24-1FB4-46E3-8256-5800676A2FE5}">
      <text>
        <r>
          <rPr>
            <b/>
            <sz val="9"/>
            <color indexed="81"/>
            <rFont val="Tahoma"/>
            <family val="2"/>
          </rPr>
          <t>Samuel Atkinson:</t>
        </r>
        <r>
          <rPr>
            <sz val="9"/>
            <color indexed="81"/>
            <rFont val="Tahoma"/>
            <family val="2"/>
          </rPr>
          <t xml:space="preserve">
Loan Limit:US$385.9m
Bank Limit: US$30m
Policy: US$10m</t>
        </r>
      </text>
    </comment>
    <comment ref="U42" authorId="6" shapeId="0" xr:uid="{1523F0B2-F28A-4996-9C52-62E35BD97917}">
      <text>
        <r>
          <rPr>
            <b/>
            <sz val="9"/>
            <color indexed="81"/>
            <rFont val="Tahoma"/>
            <family val="2"/>
          </rPr>
          <t>Samuel Atkinson:</t>
        </r>
        <r>
          <rPr>
            <sz val="9"/>
            <color indexed="81"/>
            <rFont val="Tahoma"/>
            <family val="2"/>
          </rPr>
          <t xml:space="preserve">
Bank Limit = 114.4m 
Loan Limit = 1.5b</t>
        </r>
      </text>
    </comment>
    <comment ref="U43" authorId="6" shapeId="0" xr:uid="{F9C1C2B2-149B-46E1-95BE-240FD7949C85}">
      <text>
        <r>
          <rPr>
            <b/>
            <sz val="9"/>
            <color indexed="81"/>
            <rFont val="Tahoma"/>
            <family val="2"/>
          </rPr>
          <t>Samuel Atkinson:
RI: 15m
Bank: 50m
Loan: 545m</t>
        </r>
      </text>
    </comment>
    <comment ref="U44" authorId="7" shapeId="0" xr:uid="{ECA3A5B2-BF35-40C5-9D11-C25C7B5FD7D2}">
      <text>
        <r>
          <rPr>
            <b/>
            <sz val="9"/>
            <color indexed="81"/>
            <rFont val="Tahoma"/>
            <family val="2"/>
          </rPr>
          <t>Ann Prosser:</t>
        </r>
        <r>
          <rPr>
            <sz val="9"/>
            <color indexed="81"/>
            <rFont val="Tahoma"/>
            <family val="2"/>
          </rPr>
          <t xml:space="preserve">
Loan Limit: A$1b
Bank Limit: A$50m 
Policy Limit: A$10m
</t>
        </r>
      </text>
    </comment>
    <comment ref="U45" authorId="8" shapeId="0" xr:uid="{DE2198D3-A3F7-4AC2-BE74-2F96591729CB}">
      <text>
        <r>
          <rPr>
            <b/>
            <sz val="9"/>
            <color indexed="81"/>
            <rFont val="Tahoma"/>
            <family val="2"/>
          </rPr>
          <t>Nelly Nguyen:</t>
        </r>
        <r>
          <rPr>
            <sz val="9"/>
            <color indexed="81"/>
            <rFont val="Tahoma"/>
            <family val="2"/>
          </rPr>
          <t xml:space="preserve">
Loan: NZD 154.5m
Bank: NZD 62.5m
Limit: NZD 34.375m</t>
        </r>
      </text>
    </comment>
    <comment ref="U46" authorId="7" shapeId="0" xr:uid="{B5C08007-D224-4C99-8E41-20DBB258A28E}">
      <text>
        <r>
          <rPr>
            <b/>
            <sz val="9"/>
            <color indexed="81"/>
            <rFont val="Tahoma"/>
            <family val="2"/>
          </rPr>
          <t>Ann Prosser:</t>
        </r>
        <r>
          <rPr>
            <sz val="9"/>
            <color indexed="81"/>
            <rFont val="Tahoma"/>
            <family val="2"/>
          </rPr>
          <t xml:space="preserve">
Policy limit: USD $15m, Bank Limit: usd $ 30m</t>
        </r>
      </text>
    </comment>
    <comment ref="U47" authorId="6" shapeId="0" xr:uid="{1189E517-ACEE-443E-8E61-0D3B681B526F}">
      <text>
        <r>
          <rPr>
            <b/>
            <sz val="9"/>
            <color indexed="81"/>
            <rFont val="Tahoma"/>
            <family val="2"/>
          </rPr>
          <t>Samuel Atkinson:</t>
        </r>
        <r>
          <rPr>
            <sz val="9"/>
            <color indexed="81"/>
            <rFont val="Tahoma"/>
            <family val="2"/>
          </rPr>
          <t xml:space="preserve">
Bank Limit = approx US$26.67m
Loan Limit = Approx US$300m</t>
        </r>
      </text>
    </comment>
    <comment ref="U48" authorId="6" shapeId="0" xr:uid="{21853CEB-738D-431B-9E48-CFDC62B2F81C}">
      <text>
        <r>
          <rPr>
            <b/>
            <sz val="9"/>
            <color indexed="81"/>
            <rFont val="Tahoma"/>
            <family val="2"/>
          </rPr>
          <t>Samuel Atkinson:</t>
        </r>
        <r>
          <rPr>
            <sz val="9"/>
            <color indexed="81"/>
            <rFont val="Tahoma"/>
            <family val="2"/>
          </rPr>
          <t xml:space="preserve">
Bank Limit: US$42.033m
Loan  Limit: US$126.1m</t>
        </r>
      </text>
    </comment>
    <comment ref="U49" authorId="6" shapeId="0" xr:uid="{0FF7545C-C77F-443A-95ED-B6E9CDBFDA42}">
      <text>
        <r>
          <rPr>
            <b/>
            <sz val="9"/>
            <color indexed="81"/>
            <rFont val="Tahoma"/>
            <family val="2"/>
          </rPr>
          <t>Samuel Atkinson:</t>
        </r>
        <r>
          <rPr>
            <sz val="9"/>
            <color indexed="81"/>
            <rFont val="Tahoma"/>
            <family val="2"/>
          </rPr>
          <t xml:space="preserve">
Bank Limit: US$10
Loan Limit: US$730m 
</t>
        </r>
      </text>
    </comment>
    <comment ref="U50" authorId="7" shapeId="0" xr:uid="{082AA0A9-B097-40C6-8DEF-6A29E433D8C0}">
      <text>
        <r>
          <rPr>
            <b/>
            <sz val="9"/>
            <color indexed="81"/>
            <rFont val="Tahoma"/>
            <family val="2"/>
          </rPr>
          <t>Ann Prosser:</t>
        </r>
        <r>
          <rPr>
            <sz val="9"/>
            <color indexed="81"/>
            <rFont val="Tahoma"/>
            <family val="2"/>
          </rPr>
          <t xml:space="preserve">
Loan Limit: GBP 700m
Bank Limit: GBP 80m 
Policy Limit: GBP 10m</t>
        </r>
      </text>
    </comment>
    <comment ref="U51" authorId="7" shapeId="0" xr:uid="{F8F4EE7D-3E09-4FFD-9BE0-58DF8082BFA3}">
      <text>
        <r>
          <rPr>
            <b/>
            <sz val="9"/>
            <color indexed="81"/>
            <rFont val="Tahoma"/>
            <family val="2"/>
          </rPr>
          <t>Ann Prosser:</t>
        </r>
        <r>
          <rPr>
            <sz val="9"/>
            <color indexed="81"/>
            <rFont val="Tahoma"/>
            <family val="2"/>
          </rPr>
          <t xml:space="preserve">
Loan Limit: US$185m
Bank Limit: US$35m 
Policy Limit: US$7m
</t>
        </r>
      </text>
    </comment>
    <comment ref="U52" authorId="7" shapeId="0" xr:uid="{E6AFD051-754B-4C14-AFA2-863252F0E363}">
      <text>
        <r>
          <rPr>
            <b/>
            <sz val="9"/>
            <color indexed="81"/>
            <rFont val="Tahoma"/>
            <family val="2"/>
          </rPr>
          <t>Ann Prosser:</t>
        </r>
        <r>
          <rPr>
            <sz val="9"/>
            <color indexed="81"/>
            <rFont val="Tahoma"/>
            <family val="2"/>
          </rPr>
          <t xml:space="preserve">
Loan Limit: US$64.1m
Bank Limit: US$53.4m 
Policy Limit: US$20m
</t>
        </r>
      </text>
    </comment>
    <comment ref="U53" authorId="7" shapeId="0" xr:uid="{48628ADD-F11D-4D9F-8A0D-22E72AD9D6F6}">
      <text>
        <r>
          <rPr>
            <b/>
            <sz val="9"/>
            <color indexed="81"/>
            <rFont val="Tahoma"/>
            <family val="2"/>
          </rPr>
          <t>Ann Prosser:</t>
        </r>
        <r>
          <rPr>
            <sz val="9"/>
            <color indexed="81"/>
            <rFont val="Tahoma"/>
            <family val="2"/>
          </rPr>
          <t xml:space="preserve">
Loan Limit: ~US$450m
Bank Limit: SGD 51.7m 
Policy Limit: SGD 14.1m
</t>
        </r>
      </text>
    </comment>
    <comment ref="U54" authorId="7" shapeId="0" xr:uid="{A8E825DA-EFCA-4941-990A-1854025452A7}">
      <text>
        <r>
          <rPr>
            <b/>
            <sz val="9"/>
            <color indexed="81"/>
            <rFont val="Tahoma"/>
            <family val="2"/>
          </rPr>
          <t>Ann Prosser:</t>
        </r>
        <r>
          <rPr>
            <sz val="9"/>
            <color indexed="81"/>
            <rFont val="Tahoma"/>
            <family val="2"/>
          </rPr>
          <t xml:space="preserve">
Loan Limit A$1.6b
Bank Limit  A$60m
Policy Limit A$30m</t>
        </r>
      </text>
    </comment>
    <comment ref="U55" authorId="7" shapeId="0" xr:uid="{B04C9BCB-A11B-4A8B-9C0F-2EC93DDDD5F3}">
      <text>
        <r>
          <rPr>
            <b/>
            <sz val="9"/>
            <color indexed="81"/>
            <rFont val="Tahoma"/>
            <family val="2"/>
          </rPr>
          <t>Ann Prosser:</t>
        </r>
        <r>
          <rPr>
            <sz val="9"/>
            <color indexed="81"/>
            <rFont val="Tahoma"/>
            <family val="2"/>
          </rPr>
          <t xml:space="preserve">
"Loan Limit: A$1.04bn
Bank Limit: A$50m 
Policy Limit: A$25m"
</t>
        </r>
      </text>
    </comment>
    <comment ref="U56" authorId="7" shapeId="0" xr:uid="{BAF85A85-C655-4BBB-9F6B-9D2FB5A81711}">
      <text>
        <r>
          <rPr>
            <b/>
            <sz val="9"/>
            <color indexed="81"/>
            <rFont val="Tahoma"/>
            <family val="2"/>
          </rPr>
          <t>Ann Prosser:</t>
        </r>
        <r>
          <rPr>
            <sz val="9"/>
            <color indexed="81"/>
            <rFont val="Tahoma"/>
            <family val="2"/>
          </rPr>
          <t xml:space="preserve">
Loan Limit: US$3bn
Bank Limit: US$150m 
Policy Limit: US$7.5</t>
        </r>
      </text>
    </comment>
    <comment ref="U57" authorId="7" shapeId="0" xr:uid="{EF1BC22B-5D51-4AD2-8C09-16BADDFC5F23}">
      <text>
        <r>
          <rPr>
            <b/>
            <sz val="9"/>
            <color indexed="81"/>
            <rFont val="Tahoma"/>
            <family val="2"/>
          </rPr>
          <t>Ann Prosser:</t>
        </r>
        <r>
          <rPr>
            <sz val="9"/>
            <color indexed="81"/>
            <rFont val="Tahoma"/>
            <family val="2"/>
          </rPr>
          <t xml:space="preserve">
"Loan Limit: US$46.9m
Bank Limit: US$46.9m 
Policy Limit: US$20m"
</t>
        </r>
      </text>
    </comment>
    <comment ref="U58" authorId="7" shapeId="0" xr:uid="{72A2C1A0-E672-463C-A92A-8512BDF1282B}">
      <text>
        <r>
          <rPr>
            <b/>
            <sz val="9"/>
            <color indexed="81"/>
            <rFont val="Tahoma"/>
            <family val="2"/>
          </rPr>
          <t>Ann Prosser:</t>
        </r>
        <r>
          <rPr>
            <sz val="9"/>
            <color indexed="81"/>
            <rFont val="Tahoma"/>
            <family val="2"/>
          </rPr>
          <t xml:space="preserve">
Loan Limit: €57m
Bank Limit: €53m
Policy Limit: €12.5m
</t>
        </r>
      </text>
    </comment>
    <comment ref="U59" authorId="7" shapeId="0" xr:uid="{04D93CC6-80DC-4BD9-BF68-A66ACFA330F3}">
      <text>
        <r>
          <rPr>
            <b/>
            <sz val="9"/>
            <color indexed="81"/>
            <rFont val="Tahoma"/>
            <family val="2"/>
          </rPr>
          <t>Ann Prosser:</t>
        </r>
        <r>
          <rPr>
            <sz val="9"/>
            <color indexed="81"/>
            <rFont val="Tahoma"/>
            <family val="2"/>
          </rPr>
          <t xml:space="preserve">
Loan Limit: EUR300m
Bank Limit: EUR65m 
Policy Limit: EUR20m
</t>
        </r>
      </text>
    </comment>
    <comment ref="U60" authorId="0" shapeId="0" xr:uid="{6B5B672A-BCD2-46B2-BCD2-9D777ADE2CA0}">
      <text>
        <r>
          <rPr>
            <b/>
            <sz val="9"/>
            <color indexed="81"/>
            <rFont val="Tahoma"/>
            <family val="2"/>
          </rPr>
          <t>Lea Krstevska:</t>
        </r>
        <r>
          <rPr>
            <sz val="9"/>
            <color indexed="81"/>
            <rFont val="Tahoma"/>
            <family val="2"/>
          </rPr>
          <t xml:space="preserve">
Loan Limit: US$5bn
Bank Limit: US$350m
Policy Limit: US$20m</t>
        </r>
      </text>
    </comment>
    <comment ref="U61" authorId="0" shapeId="0" xr:uid="{86CB8C89-79FA-4908-B85F-E346A44CB6C9}">
      <text>
        <r>
          <rPr>
            <b/>
            <sz val="9"/>
            <color indexed="81"/>
            <rFont val="Tahoma"/>
            <family val="2"/>
          </rPr>
          <t>Lea Krstevska:</t>
        </r>
        <r>
          <rPr>
            <sz val="9"/>
            <color indexed="81"/>
            <rFont val="Tahoma"/>
            <family val="2"/>
          </rPr>
          <t xml:space="preserve">
Loan Limit: US$886m
Bank Limit: US$58m 
Policy Limit: US$10m</t>
        </r>
      </text>
    </comment>
    <comment ref="U62" authorId="7" shapeId="0" xr:uid="{2F885F8B-880A-4EA9-910F-5A2CA7AA956E}">
      <text>
        <r>
          <rPr>
            <b/>
            <sz val="9"/>
            <color indexed="81"/>
            <rFont val="Tahoma"/>
            <family val="2"/>
          </rPr>
          <t>Ann Prosser:</t>
        </r>
        <r>
          <rPr>
            <sz val="9"/>
            <color indexed="81"/>
            <rFont val="Tahoma"/>
            <family val="2"/>
          </rPr>
          <t xml:space="preserve">
Loan Limit: A$5,250m
Bank Limit: A$488m 
Policy Limit: A$15m
</t>
        </r>
      </text>
    </comment>
    <comment ref="U63" authorId="0" shapeId="0" xr:uid="{65EC1064-EE59-49E1-A660-4C2624813ADF}">
      <text>
        <r>
          <rPr>
            <b/>
            <sz val="9"/>
            <color indexed="81"/>
            <rFont val="Tahoma"/>
            <family val="2"/>
          </rPr>
          <t>Lea Krstevska:</t>
        </r>
        <r>
          <rPr>
            <sz val="9"/>
            <color indexed="81"/>
            <rFont val="Tahoma"/>
            <family val="2"/>
          </rPr>
          <t xml:space="preserve">
Loan Limit: US$300m
Bank Limit: US$100m 
Policy Limit: US$10m</t>
        </r>
      </text>
    </comment>
    <comment ref="U64" authorId="0" shapeId="0" xr:uid="{AE0AB713-13CF-4810-A75D-9DBC6BADF97E}">
      <text>
        <r>
          <rPr>
            <b/>
            <sz val="9"/>
            <color indexed="81"/>
            <rFont val="Tahoma"/>
            <family val="2"/>
          </rPr>
          <t>Lea Krstevska:</t>
        </r>
        <r>
          <rPr>
            <sz val="9"/>
            <color indexed="81"/>
            <rFont val="Tahoma"/>
            <family val="2"/>
          </rPr>
          <t xml:space="preserve">
Loan Limit: A$256.3m
Bank Limit: A$256.3m 
Policy Limit: A$25m</t>
        </r>
      </text>
    </comment>
    <comment ref="U65" authorId="0" shapeId="0" xr:uid="{12CE24C5-B97F-47AE-9391-90491036677D}">
      <text>
        <r>
          <rPr>
            <b/>
            <sz val="9"/>
            <color indexed="81"/>
            <rFont val="Tahoma"/>
            <family val="2"/>
          </rPr>
          <t>Lea Krstevska:</t>
        </r>
        <r>
          <rPr>
            <sz val="9"/>
            <color indexed="81"/>
            <rFont val="Tahoma"/>
            <family val="2"/>
          </rPr>
          <t xml:space="preserve">
Loan Limit: NOK 1.5b
Bank Limit: NOK 990m 
Policy Limit: NOK 158m</t>
        </r>
      </text>
    </comment>
    <comment ref="U66" authorId="7" shapeId="0" xr:uid="{8BBBF558-1A31-47B5-B122-5F96A99477EC}">
      <text>
        <r>
          <rPr>
            <b/>
            <sz val="9"/>
            <color indexed="81"/>
            <rFont val="Tahoma"/>
            <family val="2"/>
          </rPr>
          <t>Ann Prosser:</t>
        </r>
        <r>
          <rPr>
            <sz val="9"/>
            <color indexed="81"/>
            <rFont val="Tahoma"/>
            <family val="2"/>
          </rPr>
          <t xml:space="preserve">
Loan Limit: A$129.6m
Bank Limit: A$93m 
Policy Limit: A$25m
</t>
        </r>
      </text>
    </comment>
    <comment ref="V66" authorId="8" shapeId="0" xr:uid="{22E6188A-DF1E-4D76-B4B3-93EA8195166C}">
      <text>
        <r>
          <rPr>
            <b/>
            <sz val="9"/>
            <color indexed="81"/>
            <rFont val="Tahoma"/>
            <family val="2"/>
          </rPr>
          <t>Nelly Nguyen:</t>
        </r>
        <r>
          <rPr>
            <sz val="9"/>
            <color indexed="81"/>
            <rFont val="Tahoma"/>
            <family val="2"/>
          </rPr>
          <t xml:space="preserve">
WB is 76,262.16, but the additional adj is 10K to be 1,052,741.43 as at Nov-end 22</t>
        </r>
      </text>
    </comment>
    <comment ref="U67" authorId="0" shapeId="0" xr:uid="{DC6D604D-78B8-485B-A5E6-F72CD6398BA7}">
      <text>
        <r>
          <rPr>
            <b/>
            <sz val="9"/>
            <color indexed="81"/>
            <rFont val="Tahoma"/>
            <family val="2"/>
          </rPr>
          <t>Lea Krstevska:</t>
        </r>
        <r>
          <rPr>
            <sz val="9"/>
            <color indexed="81"/>
            <rFont val="Tahoma"/>
            <family val="2"/>
          </rPr>
          <t xml:space="preserve">
Loan Limit: EUR 1.4b
Bank Limit: EUR 212m 
Policy Limit: EUR 15m</t>
        </r>
      </text>
    </comment>
    <comment ref="U68" authorId="0" shapeId="0" xr:uid="{CB85AA60-C5E5-4602-BB3B-63729503A8BF}">
      <text>
        <r>
          <rPr>
            <b/>
            <sz val="9"/>
            <color indexed="81"/>
            <rFont val="Tahoma"/>
            <family val="2"/>
          </rPr>
          <t>Lea Krstevska:</t>
        </r>
        <r>
          <rPr>
            <sz val="9"/>
            <color indexed="81"/>
            <rFont val="Tahoma"/>
            <family val="2"/>
          </rPr>
          <t xml:space="preserve">
Loan Limit: US$75m
Bank Limit: US$75m 
Policy Limit: US$20m</t>
        </r>
      </text>
    </comment>
    <comment ref="U69" authorId="0" shapeId="0" xr:uid="{27CBA482-E249-4E8D-876A-700FDD2EF79D}">
      <text>
        <r>
          <rPr>
            <b/>
            <sz val="9"/>
            <color indexed="81"/>
            <rFont val="Tahoma"/>
            <family val="2"/>
          </rPr>
          <t>Lea Krstevska:</t>
        </r>
        <r>
          <rPr>
            <sz val="9"/>
            <color indexed="81"/>
            <rFont val="Tahoma"/>
            <family val="2"/>
          </rPr>
          <t xml:space="preserve">
Loan Limit: EUR 20m
Bank Limit: EUR 20m 
Policy Limit: EUR 3m</t>
        </r>
      </text>
    </comment>
    <comment ref="U70" authorId="0" shapeId="0" xr:uid="{EBD77705-796D-4701-911E-B73281871B73}">
      <text>
        <r>
          <rPr>
            <b/>
            <sz val="9"/>
            <color indexed="81"/>
            <rFont val="Tahoma"/>
            <family val="2"/>
          </rPr>
          <t>Lea Krstevska:</t>
        </r>
        <r>
          <rPr>
            <sz val="9"/>
            <color indexed="81"/>
            <rFont val="Tahoma"/>
            <family val="2"/>
          </rPr>
          <t xml:space="preserve">
Loan: JPY12bn
Bank: JPY7bn
Policy: JPY 2.6bn</t>
        </r>
      </text>
    </comment>
    <comment ref="U71" authorId="0" shapeId="0" xr:uid="{81E0AD80-D42C-433F-8B69-EE1FD3CE28B7}">
      <text>
        <r>
          <rPr>
            <b/>
            <sz val="9"/>
            <color indexed="81"/>
            <rFont val="Tahoma"/>
            <family val="2"/>
          </rPr>
          <t>Lea Krstevska:</t>
        </r>
        <r>
          <rPr>
            <sz val="9"/>
            <color indexed="81"/>
            <rFont val="Tahoma"/>
            <family val="2"/>
          </rPr>
          <t xml:space="preserve">
Loan Limit £400m
Bank Limit £90m
Policy Limit  £5m</t>
        </r>
      </text>
    </comment>
    <comment ref="U72" authorId="0" shapeId="0" xr:uid="{CC5DDE1E-2793-4E65-8E99-35CAFB5988E9}">
      <text>
        <r>
          <rPr>
            <b/>
            <sz val="9"/>
            <color indexed="81"/>
            <rFont val="Tahoma"/>
            <family val="2"/>
          </rPr>
          <t>Lea Krstevska:</t>
        </r>
        <r>
          <rPr>
            <sz val="9"/>
            <color indexed="81"/>
            <rFont val="Tahoma"/>
            <family val="2"/>
          </rPr>
          <t xml:space="preserve">
Loan Limit: A$319m
Bank Limit: A$319m 
Policy Limit: A$30m</t>
        </r>
      </text>
    </comment>
    <comment ref="U73" authorId="6" shapeId="0" xr:uid="{FE7311BD-004F-46CD-A3F5-00283EE3D289}">
      <text>
        <r>
          <rPr>
            <b/>
            <sz val="9"/>
            <color indexed="81"/>
            <rFont val="Tahoma"/>
            <family val="2"/>
          </rPr>
          <t>Samuel Atkinson:EUR 25m Bank Limit 
EUR 25m Loan Limit</t>
        </r>
      </text>
    </comment>
    <comment ref="U74" authorId="6" shapeId="0" xr:uid="{7D30065F-DF69-4332-A0EA-8C3FA94FABF4}">
      <text>
        <r>
          <rPr>
            <b/>
            <sz val="9"/>
            <color indexed="81"/>
            <rFont val="Tahoma"/>
            <family val="2"/>
          </rPr>
          <t>Samuel Atkinson:</t>
        </r>
        <r>
          <rPr>
            <sz val="9"/>
            <color indexed="81"/>
            <rFont val="Tahoma"/>
            <family val="2"/>
          </rPr>
          <t xml:space="preserve">
Bank Limit: EUR 105m
Loan Limit: EUR 330m</t>
        </r>
      </text>
    </comment>
    <comment ref="U75" authorId="6" shapeId="0" xr:uid="{C4622FA8-2A3F-46A2-9590-59D8117C7A16}">
      <text>
        <r>
          <rPr>
            <b/>
            <sz val="9"/>
            <color indexed="81"/>
            <rFont val="Tahoma"/>
            <family val="2"/>
          </rPr>
          <t>Samuel Atkinson
US$61m Bank Limit
US$575m Loan Limit</t>
        </r>
      </text>
    </comment>
    <comment ref="U76" authorId="7" shapeId="0" xr:uid="{D8253200-19BB-40D6-9D15-7AECCC07507B}">
      <text>
        <r>
          <rPr>
            <b/>
            <sz val="9"/>
            <color indexed="81"/>
            <rFont val="Tahoma"/>
            <family val="2"/>
          </rPr>
          <t>Ann Prosser:</t>
        </r>
        <r>
          <rPr>
            <sz val="9"/>
            <color indexed="81"/>
            <rFont val="Tahoma"/>
            <family val="2"/>
          </rPr>
          <t xml:space="preserve">
Loan Limit: US$1.3bn
Bank Limit: US$95m
Policy Limit: US$5m
</t>
        </r>
      </text>
    </comment>
    <comment ref="U77" authorId="2" shapeId="0" xr:uid="{7C67778A-BB32-4AE6-9B6A-C7E25088CF33}">
      <text>
        <r>
          <rPr>
            <sz val="8"/>
            <color indexed="81"/>
            <rFont val="Tahoma"/>
            <family val="2"/>
          </rPr>
          <t>US$397.5m , ING US$50m</t>
        </r>
      </text>
    </comment>
    <comment ref="U78" authorId="0" shapeId="0" xr:uid="{4484938F-0E85-4125-B5DF-89123C0F5601}">
      <text>
        <r>
          <rPr>
            <b/>
            <sz val="9"/>
            <color indexed="81"/>
            <rFont val="Tahoma"/>
            <family val="2"/>
          </rPr>
          <t>Lea Krstevska:</t>
        </r>
        <r>
          <rPr>
            <sz val="9"/>
            <color indexed="81"/>
            <rFont val="Tahoma"/>
            <family val="2"/>
          </rPr>
          <t xml:space="preserve">
Loan: US$340m
Bank: US$80m
Policy: US$15m</t>
        </r>
      </text>
    </comment>
    <comment ref="U79" authorId="0" shapeId="0" xr:uid="{E838317C-B083-41A8-B425-1391A2693363}">
      <text>
        <r>
          <rPr>
            <b/>
            <sz val="9"/>
            <color indexed="81"/>
            <rFont val="Tahoma"/>
            <family val="2"/>
          </rPr>
          <t>Lea Krstevska:</t>
        </r>
        <r>
          <rPr>
            <sz val="9"/>
            <color indexed="81"/>
            <rFont val="Tahoma"/>
            <family val="2"/>
          </rPr>
          <t xml:space="preserve">
Loan: US$125m
Bank: US$9.375m
Policy: US$7.5m</t>
        </r>
      </text>
    </comment>
    <comment ref="U80" authorId="0" shapeId="0" xr:uid="{D4E69C3D-C3A8-49FD-B4E3-F268C03FC7D5}">
      <text>
        <r>
          <rPr>
            <b/>
            <sz val="9"/>
            <color indexed="81"/>
            <rFont val="Tahoma"/>
            <family val="2"/>
          </rPr>
          <t>Lea Krstevska:</t>
        </r>
        <r>
          <rPr>
            <sz val="9"/>
            <color indexed="81"/>
            <rFont val="Tahoma"/>
            <family val="2"/>
          </rPr>
          <t xml:space="preserve">
Loan: US$265m
Bank: US$30m
Policy: US$15m</t>
        </r>
      </text>
    </comment>
    <comment ref="U81" authorId="0" shapeId="0" xr:uid="{D35D8389-1C77-42E5-8367-C19E606C4614}">
      <text>
        <r>
          <rPr>
            <b/>
            <sz val="9"/>
            <color indexed="81"/>
            <rFont val="Tahoma"/>
            <family val="2"/>
          </rPr>
          <t>Lea Krstevska:</t>
        </r>
        <r>
          <rPr>
            <sz val="9"/>
            <color indexed="81"/>
            <rFont val="Tahoma"/>
            <family val="2"/>
          </rPr>
          <t xml:space="preserve">
Loan: US$400m
Bank: US$45m
Policy: US$15m</t>
        </r>
      </text>
    </comment>
    <comment ref="U82" authorId="0" shapeId="0" xr:uid="{220AE7A6-37D0-4FDE-8ABC-EDEF40C3E5B6}">
      <text>
        <r>
          <rPr>
            <b/>
            <sz val="9"/>
            <color indexed="81"/>
            <rFont val="Tahoma"/>
            <family val="2"/>
          </rPr>
          <t>Lea Krstevska:</t>
        </r>
        <r>
          <rPr>
            <sz val="9"/>
            <color indexed="81"/>
            <rFont val="Tahoma"/>
            <family val="2"/>
          </rPr>
          <t xml:space="preserve">
Loan: EUR620m
Bank: EUR100m
Policy: EUR15m</t>
        </r>
      </text>
    </comment>
    <comment ref="U83" authorId="0" shapeId="0" xr:uid="{B4D41146-C31B-4A79-97DF-402BC06D3F71}">
      <text>
        <r>
          <rPr>
            <b/>
            <sz val="9"/>
            <color indexed="81"/>
            <rFont val="Tahoma"/>
            <family val="2"/>
          </rPr>
          <t>Lea Krstevska:</t>
        </r>
        <r>
          <rPr>
            <sz val="9"/>
            <color indexed="81"/>
            <rFont val="Tahoma"/>
            <family val="2"/>
          </rPr>
          <t xml:space="preserve">
Loan: US$69.8m
Bank: US$69.8m
Policy: US$15m</t>
        </r>
      </text>
    </comment>
    <comment ref="U84" authorId="0" shapeId="0" xr:uid="{8882E167-F2A2-42FF-B710-D24B5B02D82F}">
      <text>
        <r>
          <rPr>
            <b/>
            <sz val="9"/>
            <color indexed="81"/>
            <rFont val="Tahoma"/>
            <family val="2"/>
          </rPr>
          <t>Lea Krstevska:</t>
        </r>
        <r>
          <rPr>
            <sz val="9"/>
            <color indexed="81"/>
            <rFont val="Tahoma"/>
            <family val="2"/>
          </rPr>
          <t xml:space="preserve">
Loan: US$300m
Bank: US$30m
Policy: US$15m</t>
        </r>
      </text>
    </comment>
    <comment ref="U85" authorId="0" shapeId="0" xr:uid="{A7DA1C63-0CCF-4824-831A-62D4BD3A486C}">
      <text>
        <r>
          <rPr>
            <b/>
            <sz val="9"/>
            <color indexed="81"/>
            <rFont val="Tahoma"/>
            <family val="2"/>
          </rPr>
          <t>Lea Krstevska:</t>
        </r>
        <r>
          <rPr>
            <sz val="9"/>
            <color indexed="81"/>
            <rFont val="Tahoma"/>
            <family val="2"/>
          </rPr>
          <t xml:space="preserve">
Loan: EUR1.03bn
Bank: EUR185.6m
Policy: EUR22m</t>
        </r>
      </text>
    </comment>
    <comment ref="U86" authorId="0" shapeId="0" xr:uid="{2655FEF6-971F-442C-AB3A-47513A434038}">
      <text>
        <r>
          <rPr>
            <b/>
            <sz val="9"/>
            <color indexed="81"/>
            <rFont val="Tahoma"/>
            <family val="2"/>
          </rPr>
          <t>Lea Krstevska:</t>
        </r>
        <r>
          <rPr>
            <sz val="9"/>
            <color indexed="81"/>
            <rFont val="Tahoma"/>
            <family val="2"/>
          </rPr>
          <t xml:space="preserve">
Loan: EUR375m
Bank: EUR50m
Policy: EUR10m</t>
        </r>
      </text>
    </comment>
    <comment ref="U87" authorId="0" shapeId="0" xr:uid="{2E731742-58C9-450D-A505-803F346FDD2D}">
      <text>
        <r>
          <rPr>
            <b/>
            <sz val="9"/>
            <color indexed="81"/>
            <rFont val="Tahoma"/>
            <family val="2"/>
          </rPr>
          <t>Lea Krstevska:</t>
        </r>
        <r>
          <rPr>
            <sz val="9"/>
            <color indexed="81"/>
            <rFont val="Tahoma"/>
            <family val="2"/>
          </rPr>
          <t xml:space="preserve">
Loan Limit: US$1.05bn
Bank Limit: US$125m
Policy Limit: US$15m</t>
        </r>
      </text>
    </comment>
    <comment ref="U88" authorId="0" shapeId="0" xr:uid="{E60C2473-A963-41C4-BF61-FD589A15F525}">
      <text>
        <r>
          <rPr>
            <b/>
            <sz val="9"/>
            <color indexed="81"/>
            <rFont val="Tahoma"/>
            <family val="2"/>
          </rPr>
          <t>Lea Krstevska:</t>
        </r>
        <r>
          <rPr>
            <sz val="9"/>
            <color indexed="81"/>
            <rFont val="Tahoma"/>
            <family val="2"/>
          </rPr>
          <t xml:space="preserve">
Loan Limit: JPY 22.117bn
Bank Limit: JPY 10bn
Policy Limit: JPY 986.8m</t>
        </r>
      </text>
    </comment>
    <comment ref="U89" authorId="0" shapeId="0" xr:uid="{424B8638-E348-4360-B3AF-3F7ED25BFEE1}">
      <text>
        <r>
          <rPr>
            <b/>
            <sz val="9"/>
            <color indexed="81"/>
            <rFont val="Tahoma"/>
            <family val="2"/>
          </rPr>
          <t>Lea Krstevska:</t>
        </r>
        <r>
          <rPr>
            <sz val="9"/>
            <color indexed="81"/>
            <rFont val="Tahoma"/>
            <family val="2"/>
          </rPr>
          <t xml:space="preserve">
Loan Limit: US$327m
Bank Llimit: US$20m
Policy Limit: US$10m</t>
        </r>
      </text>
    </comment>
    <comment ref="U90" authorId="0" shapeId="0" xr:uid="{3AB1C289-BD09-43C8-B240-B6A54EE7003A}">
      <text>
        <r>
          <rPr>
            <b/>
            <sz val="9"/>
            <color indexed="81"/>
            <rFont val="Tahoma"/>
            <family val="2"/>
          </rPr>
          <t>Lea Krstevska:</t>
        </r>
        <r>
          <rPr>
            <sz val="9"/>
            <color indexed="81"/>
            <rFont val="Tahoma"/>
            <family val="2"/>
          </rPr>
          <t xml:space="preserve">
Loan Limit: US$818m
Bank Limit: US$40m
Policy Limit: US$20m</t>
        </r>
      </text>
    </comment>
    <comment ref="U91" authorId="0" shapeId="0" xr:uid="{B9ACE27B-F81B-44D5-B45E-934722F7317F}">
      <text>
        <r>
          <rPr>
            <b/>
            <sz val="9"/>
            <color indexed="81"/>
            <rFont val="Tahoma"/>
            <family val="2"/>
          </rPr>
          <t>Lea Krstevska:</t>
        </r>
        <r>
          <rPr>
            <sz val="9"/>
            <color indexed="81"/>
            <rFont val="Tahoma"/>
            <family val="2"/>
          </rPr>
          <t xml:space="preserve">
Loan Limit: US$450m
Bank Limit: US$15m
Policy Limit: US$7.5m</t>
        </r>
      </text>
    </comment>
    <comment ref="U92" authorId="0" shapeId="0" xr:uid="{AB7EDA8D-4148-4658-B3BD-1114FAFE1F4E}">
      <text>
        <r>
          <rPr>
            <b/>
            <sz val="9"/>
            <color indexed="81"/>
            <rFont val="Tahoma"/>
            <family val="2"/>
          </rPr>
          <t>Lea Krstevska:</t>
        </r>
        <r>
          <rPr>
            <sz val="9"/>
            <color indexed="81"/>
            <rFont val="Tahoma"/>
            <family val="2"/>
          </rPr>
          <t xml:space="preserve">
Loan Limit: CAD$355m
Bank Limit: CAD$30m
Policu Limit: CAD$15m</t>
        </r>
      </text>
    </comment>
    <comment ref="U93" authorId="0" shapeId="0" xr:uid="{D2F36266-1EB3-4ED9-9801-63C83929A285}">
      <text>
        <r>
          <rPr>
            <b/>
            <sz val="9"/>
            <color indexed="81"/>
            <rFont val="Tahoma"/>
            <family val="2"/>
          </rPr>
          <t>Lea Krstevska:</t>
        </r>
        <r>
          <rPr>
            <sz val="9"/>
            <color indexed="81"/>
            <rFont val="Tahoma"/>
            <family val="2"/>
          </rPr>
          <t xml:space="preserve">
Loan Limit: US$327m
Bank Llimit: US$13.8m
Policy Limit: US$6.9m</t>
        </r>
      </text>
    </comment>
    <comment ref="U94" authorId="0" shapeId="0" xr:uid="{6A4CC99A-D045-4B13-BC4E-60DB5F60D316}">
      <text>
        <r>
          <rPr>
            <b/>
            <sz val="9"/>
            <color indexed="81"/>
            <rFont val="Tahoma"/>
            <family val="2"/>
          </rPr>
          <t>Lea Krstevska:</t>
        </r>
        <r>
          <rPr>
            <sz val="9"/>
            <color indexed="81"/>
            <rFont val="Tahoma"/>
            <family val="2"/>
          </rPr>
          <t xml:space="preserve">
Loan Limit: USD$103m
Bank Limit: USD$103m
Policy Limit: USD$15m</t>
        </r>
      </text>
    </comment>
    <comment ref="U95" authorId="0" shapeId="0" xr:uid="{5EF7C7F4-0B33-4821-815A-3BB1E907DCA3}">
      <text>
        <r>
          <rPr>
            <b/>
            <sz val="9"/>
            <color indexed="81"/>
            <rFont val="Tahoma"/>
            <family val="2"/>
          </rPr>
          <t>Lea Krstevska:</t>
        </r>
        <r>
          <rPr>
            <sz val="9"/>
            <color indexed="81"/>
            <rFont val="Tahoma"/>
            <family val="2"/>
          </rPr>
          <t xml:space="preserve">
Loan Limit: A$72.688m
Bank Limit: A$72.688m
Policy Limit: A$15m+10m</t>
        </r>
      </text>
    </comment>
    <comment ref="U96" authorId="0" shapeId="0" xr:uid="{1D5F0B35-79CF-486D-873F-99806F38775B}">
      <text>
        <r>
          <rPr>
            <b/>
            <sz val="9"/>
            <color indexed="81"/>
            <rFont val="Tahoma"/>
            <family val="2"/>
          </rPr>
          <t>Lea Krstevska:</t>
        </r>
        <r>
          <rPr>
            <sz val="9"/>
            <color indexed="81"/>
            <rFont val="Tahoma"/>
            <family val="2"/>
          </rPr>
          <t xml:space="preserve">
Loan Limit: USD$988m
Bank Limit: USD$74.3m
Policy Limit: USD$20m</t>
        </r>
      </text>
    </comment>
    <comment ref="U97" authorId="0" shapeId="0" xr:uid="{2FA19BD0-0A28-4A19-BCAE-ADFB5AFF990E}">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U98" authorId="0" shapeId="0" xr:uid="{C7FEB57F-4E87-4E76-9082-C773EA6DE636}">
      <text>
        <r>
          <rPr>
            <b/>
            <sz val="9"/>
            <color indexed="81"/>
            <rFont val="Tahoma"/>
            <family val="2"/>
          </rPr>
          <t>Lea Krstevska:</t>
        </r>
        <r>
          <rPr>
            <sz val="9"/>
            <color indexed="81"/>
            <rFont val="Tahoma"/>
            <family val="2"/>
          </rPr>
          <t xml:space="preserve">
Loan Limit: US$4.5bn
Bank Limit: US$285m
Policy Limit: US$10m</t>
        </r>
      </text>
    </comment>
    <comment ref="U99" authorId="0" shapeId="0" xr:uid="{DB78A11C-D057-41ED-BE92-7C8F932EF48D}">
      <text>
        <r>
          <rPr>
            <b/>
            <sz val="9"/>
            <color indexed="81"/>
            <rFont val="Tahoma"/>
            <family val="2"/>
          </rPr>
          <t>Lea Krstevska:</t>
        </r>
        <r>
          <rPr>
            <sz val="9"/>
            <color indexed="81"/>
            <rFont val="Tahoma"/>
            <family val="2"/>
          </rPr>
          <t xml:space="preserve">
Loan Limit: A$266M
Bank Limit: A$41.5m
Policy Limit: A$15m</t>
        </r>
      </text>
    </comment>
    <comment ref="U100" authorId="0" shapeId="0" xr:uid="{4768F230-9749-47E2-A08B-6AD0A7D0B0A0}">
      <text>
        <r>
          <rPr>
            <b/>
            <sz val="9"/>
            <color indexed="81"/>
            <rFont val="Tahoma"/>
            <family val="2"/>
          </rPr>
          <t>Lea Krstevska:</t>
        </r>
        <r>
          <rPr>
            <sz val="9"/>
            <color indexed="81"/>
            <rFont val="Tahoma"/>
            <family val="2"/>
          </rPr>
          <t xml:space="preserve">
Loan Limit: US$80m
Bank Limit: U$9.5m
Policy Limit: US$4.75m</t>
        </r>
      </text>
    </comment>
    <comment ref="U101" authorId="0" shapeId="0" xr:uid="{3C96050C-883A-4D6C-9438-1BCF400E97A5}">
      <text>
        <r>
          <rPr>
            <b/>
            <sz val="9"/>
            <color indexed="81"/>
            <rFont val="Tahoma"/>
            <family val="2"/>
          </rPr>
          <t>Lea Krstevska:</t>
        </r>
        <r>
          <rPr>
            <sz val="9"/>
            <color indexed="81"/>
            <rFont val="Tahoma"/>
            <family val="2"/>
          </rPr>
          <t xml:space="preserve">
Loan Limit: EUR350m
Bank Limit: EUR70m
Policy Limit: EUR6.25m</t>
        </r>
      </text>
    </comment>
    <comment ref="U102" authorId="0" shapeId="0" xr:uid="{F0420236-615B-4149-A471-0DBCC61C2605}">
      <text>
        <r>
          <rPr>
            <b/>
            <sz val="9"/>
            <color indexed="81"/>
            <rFont val="Tahoma"/>
            <family val="2"/>
          </rPr>
          <t>Lea Krstevska:</t>
        </r>
        <r>
          <rPr>
            <sz val="9"/>
            <color indexed="81"/>
            <rFont val="Tahoma"/>
            <family val="2"/>
          </rPr>
          <t xml:space="preserve">
Loan Limit: US$55m
Bank Limit: US$15.7m
Policy Limit: US$10m</t>
        </r>
      </text>
    </comment>
    <comment ref="U103" authorId="0" shapeId="0" xr:uid="{CACC30DC-2BD6-4F9B-A406-C0234C93F03E}">
      <text>
        <r>
          <rPr>
            <b/>
            <sz val="9"/>
            <color indexed="81"/>
            <rFont val="Tahoma"/>
            <family val="2"/>
          </rPr>
          <t>Lea Krstevska:</t>
        </r>
        <r>
          <rPr>
            <sz val="9"/>
            <color indexed="81"/>
            <rFont val="Tahoma"/>
            <family val="2"/>
          </rPr>
          <t xml:space="preserve">
Loan Limit: US$1bn
Bank Limit: US$45m
Policy Limit: US$15m</t>
        </r>
      </text>
    </comment>
    <comment ref="U104" authorId="0" shapeId="0" xr:uid="{C699837A-DCC2-42E3-8B63-57EEC2097796}">
      <text>
        <r>
          <rPr>
            <b/>
            <sz val="9"/>
            <color indexed="81"/>
            <rFont val="Tahoma"/>
            <family val="2"/>
          </rPr>
          <t>Lea Krstevska:</t>
        </r>
        <r>
          <rPr>
            <sz val="9"/>
            <color indexed="81"/>
            <rFont val="Tahoma"/>
            <family val="2"/>
          </rPr>
          <t xml:space="preserve">
Loan Limit: US$818m
Bank Limit: US$35m
Policy Limit: US$5m</t>
        </r>
      </text>
    </comment>
    <comment ref="U105" authorId="0" shapeId="0" xr:uid="{B0C061BA-A084-4BC7-8949-01E84251E282}">
      <text>
        <r>
          <rPr>
            <b/>
            <sz val="9"/>
            <color indexed="81"/>
            <rFont val="Tahoma"/>
            <family val="2"/>
          </rPr>
          <t>Lea Krstevska:</t>
        </r>
        <r>
          <rPr>
            <sz val="9"/>
            <color indexed="81"/>
            <rFont val="Tahoma"/>
            <family val="2"/>
          </rPr>
          <t xml:space="preserve">
Loan Limit: A$2.5bn
Bank Limit: A$155m
Policy Limit: A$20m</t>
        </r>
      </text>
    </comment>
    <comment ref="U106" authorId="0" shapeId="0" xr:uid="{F7C3819C-A788-491F-BF6D-C421379CBAA2}">
      <text>
        <r>
          <rPr>
            <b/>
            <sz val="9"/>
            <color indexed="81"/>
            <rFont val="Tahoma"/>
            <family val="2"/>
          </rPr>
          <t>Lea Krstevska:</t>
        </r>
        <r>
          <rPr>
            <sz val="9"/>
            <color indexed="81"/>
            <rFont val="Tahoma"/>
            <family val="2"/>
          </rPr>
          <t xml:space="preserve">
Loan Limit: A$116m
Bank Limit: A$24m
Policy Limit: A$12m</t>
        </r>
      </text>
    </comment>
    <comment ref="U107" authorId="0" shapeId="0" xr:uid="{D75E4421-9A30-46DF-8F7B-7AE194575A01}">
      <text>
        <r>
          <rPr>
            <b/>
            <sz val="9"/>
            <color indexed="81"/>
            <rFont val="Tahoma"/>
            <family val="2"/>
          </rPr>
          <t>Lea Krstevska:</t>
        </r>
        <r>
          <rPr>
            <sz val="9"/>
            <color indexed="81"/>
            <rFont val="Tahoma"/>
            <family val="2"/>
          </rPr>
          <t xml:space="preserve">
Loan Limit: US$1.2bn
Bank Limit: US$!50m
Policy Limit: US$7.5m</t>
        </r>
      </text>
    </comment>
    <comment ref="U108" authorId="0" shapeId="0" xr:uid="{C48895C4-14D0-4B10-9453-EA9E4EE332D3}">
      <text>
        <r>
          <rPr>
            <b/>
            <sz val="9"/>
            <color indexed="81"/>
            <rFont val="Tahoma"/>
            <family val="2"/>
          </rPr>
          <t>Lea Krstevska:</t>
        </r>
        <r>
          <rPr>
            <sz val="9"/>
            <color indexed="81"/>
            <rFont val="Tahoma"/>
            <family val="2"/>
          </rPr>
          <t xml:space="preserve">
Loan Limit: EUR 1bn
Bank Limit: EUR 35m
Policy Limit: EUR20m</t>
        </r>
      </text>
    </comment>
    <comment ref="U110" authorId="0" shapeId="0" xr:uid="{5CD02F9A-2A4B-4C39-AB65-86363EAC9C1B}">
      <text>
        <r>
          <rPr>
            <b/>
            <sz val="9"/>
            <color indexed="81"/>
            <rFont val="Tahoma"/>
            <family val="2"/>
          </rPr>
          <t>Lea Krstevska:</t>
        </r>
        <r>
          <rPr>
            <sz val="9"/>
            <color indexed="81"/>
            <rFont val="Tahoma"/>
            <family val="2"/>
          </rPr>
          <t xml:space="preserve">
Loan Limit: EUR 824m
Bank Limit: EUR 86m
Policy Limit: EUR 7.5m (SEK, NOK, DKK)
</t>
        </r>
        <r>
          <rPr>
            <b/>
            <sz val="9"/>
            <color indexed="81"/>
            <rFont val="Tahoma"/>
            <family val="2"/>
          </rPr>
          <t>Nelly Nguyen: NOT SURE if adding 86 with 254.7</t>
        </r>
        <r>
          <rPr>
            <sz val="9"/>
            <color indexed="81"/>
            <rFont val="Tahoma"/>
            <family val="2"/>
          </rPr>
          <t xml:space="preserve">
Loan: EUR2.7b
Bank: EUR254.7m
Policy: EUR12.5m</t>
        </r>
      </text>
    </comment>
    <comment ref="U111" authorId="0" shapeId="0" xr:uid="{34D4EF39-C3BD-40D6-95C6-75044979CC01}">
      <text>
        <r>
          <rPr>
            <b/>
            <sz val="9"/>
            <color indexed="81"/>
            <rFont val="Tahoma"/>
            <family val="2"/>
          </rPr>
          <t>Lea Krstevska:</t>
        </r>
        <r>
          <rPr>
            <sz val="9"/>
            <color indexed="81"/>
            <rFont val="Tahoma"/>
            <family val="2"/>
          </rPr>
          <t xml:space="preserve">
Loan Limit: US$1bn
Bank Limit: US$150m
Policy Limit: US$20m</t>
        </r>
      </text>
    </comment>
    <comment ref="U112" authorId="0" shapeId="0" xr:uid="{C7865C48-338E-496D-B8CA-2FC98B50228C}">
      <text>
        <r>
          <rPr>
            <b/>
            <sz val="9"/>
            <color indexed="81"/>
            <rFont val="Tahoma"/>
            <family val="2"/>
          </rPr>
          <t>Lea Krstevska:</t>
        </r>
        <r>
          <rPr>
            <sz val="9"/>
            <color indexed="81"/>
            <rFont val="Tahoma"/>
            <family val="2"/>
          </rPr>
          <t xml:space="preserve">
Loan Limit: US$570m
Bank Limit: US$16.6m
Policy Limit: US$10m</t>
        </r>
      </text>
    </comment>
    <comment ref="U113" authorId="0" shapeId="0" xr:uid="{8F661DC2-D4DD-4D2B-AE8D-4C2B875E5DDB}">
      <text>
        <r>
          <rPr>
            <b/>
            <sz val="9"/>
            <color indexed="81"/>
            <rFont val="Tahoma"/>
            <family val="2"/>
          </rPr>
          <t>Lea Krstevska:</t>
        </r>
        <r>
          <rPr>
            <sz val="9"/>
            <color indexed="81"/>
            <rFont val="Tahoma"/>
            <family val="2"/>
          </rPr>
          <t xml:space="preserve">
Loan Limit: US$657m + 5bn HKD
Bank limit: US$200m
Policy Limit: US$15m</t>
        </r>
      </text>
    </comment>
    <comment ref="U114" authorId="0" shapeId="0" xr:uid="{0065733C-B0DC-4C6E-9653-597B9A404E3C}">
      <text>
        <r>
          <rPr>
            <b/>
            <sz val="9"/>
            <color indexed="81"/>
            <rFont val="Tahoma"/>
            <family val="2"/>
          </rPr>
          <t>Lea Krstevska:</t>
        </r>
        <r>
          <rPr>
            <sz val="9"/>
            <color indexed="81"/>
            <rFont val="Tahoma"/>
            <family val="2"/>
          </rPr>
          <t xml:space="preserve">
Loan Limit: EUR159m
Bank Limit: EUR 40m
Policy Limit: EUR 10m</t>
        </r>
      </text>
    </comment>
    <comment ref="U115" authorId="0" shapeId="0" xr:uid="{69CA2CB8-52F7-4FE6-B1CB-04EE3C7A9CE0}">
      <text>
        <r>
          <rPr>
            <b/>
            <sz val="9"/>
            <color indexed="81"/>
            <rFont val="Tahoma"/>
            <family val="2"/>
          </rPr>
          <t>Lea Krstevska:</t>
        </r>
        <r>
          <rPr>
            <sz val="9"/>
            <color indexed="81"/>
            <rFont val="Tahoma"/>
            <family val="2"/>
          </rPr>
          <t xml:space="preserve">
Loan: EUR 120m
Bank: EUR 30m
Policy: EUR 10m</t>
        </r>
      </text>
    </comment>
    <comment ref="U116" authorId="0" shapeId="0" xr:uid="{FBE33C99-A824-4F7D-B517-EA27A2138511}">
      <text>
        <r>
          <rPr>
            <b/>
            <sz val="9"/>
            <color indexed="81"/>
            <rFont val="Tahoma"/>
            <family val="2"/>
          </rPr>
          <t>Lea Krstevska:</t>
        </r>
        <r>
          <rPr>
            <sz val="9"/>
            <color indexed="81"/>
            <rFont val="Tahoma"/>
            <family val="2"/>
          </rPr>
          <t xml:space="preserve">
Loan Limit: EUR 65m
Bank Limit: EUR 32.5m
Policy Limit: EUR 7.8m</t>
        </r>
      </text>
    </comment>
    <comment ref="U117" authorId="0" shapeId="0" xr:uid="{05DECE57-6D16-4759-AFAB-C9E7E742D7EF}">
      <text>
        <r>
          <rPr>
            <b/>
            <sz val="9"/>
            <color indexed="81"/>
            <rFont val="Tahoma"/>
            <family val="2"/>
          </rPr>
          <t>Lea Krstevska:</t>
        </r>
        <r>
          <rPr>
            <sz val="9"/>
            <color indexed="81"/>
            <rFont val="Tahoma"/>
            <family val="2"/>
          </rPr>
          <t xml:space="preserve">
Loan Limit: EUR60m
Bank Loan: EUR30m
Policy Limit: EUR7.2m
</t>
        </r>
      </text>
    </comment>
    <comment ref="U118" authorId="0" shapeId="0" xr:uid="{F626FC4C-767F-43E8-A775-D3B2D61E2300}">
      <text>
        <r>
          <rPr>
            <b/>
            <sz val="9"/>
            <color indexed="81"/>
            <rFont val="Tahoma"/>
            <family val="2"/>
          </rPr>
          <t>Lea Krstevska:</t>
        </r>
        <r>
          <rPr>
            <sz val="9"/>
            <color indexed="81"/>
            <rFont val="Tahoma"/>
            <family val="2"/>
          </rPr>
          <t xml:space="preserve">
Loan: US$100m
Bank: US$40m
Policy: US$20m</t>
        </r>
      </text>
    </comment>
    <comment ref="U119" authorId="0" shapeId="0" xr:uid="{9E23E8C9-3112-4CDA-961B-EEF50575E359}">
      <text>
        <r>
          <rPr>
            <b/>
            <sz val="9"/>
            <color indexed="81"/>
            <rFont val="Tahoma"/>
            <family val="2"/>
          </rPr>
          <t xml:space="preserve">Lea Krstevska:B
</t>
        </r>
        <r>
          <rPr>
            <sz val="9"/>
            <color indexed="81"/>
            <rFont val="Tahoma"/>
            <family val="2"/>
          </rPr>
          <t xml:space="preserve">Loan: NOK4.026bn
Bank: NOK311.5m
Policy: NOK156m
</t>
        </r>
      </text>
    </comment>
    <comment ref="U120" authorId="0" shapeId="0" xr:uid="{125A61E3-2CA2-43CA-A712-5FEFA886FE76}">
      <text>
        <r>
          <rPr>
            <b/>
            <sz val="9"/>
            <color indexed="81"/>
            <rFont val="Tahoma"/>
            <family val="2"/>
          </rPr>
          <t>Lea Krstevska:</t>
        </r>
        <r>
          <rPr>
            <sz val="9"/>
            <color indexed="81"/>
            <rFont val="Tahoma"/>
            <family val="2"/>
          </rPr>
          <t xml:space="preserve">
Loan: AUD 308m
Bank: AUD48m
Policy: AUD11.1m</t>
        </r>
      </text>
    </comment>
    <comment ref="U121" authorId="0" shapeId="0" xr:uid="{529A41BA-8719-42C0-9532-0529D0A3C879}">
      <text>
        <r>
          <rPr>
            <b/>
            <sz val="9"/>
            <color indexed="81"/>
            <rFont val="Tahoma"/>
            <family val="2"/>
          </rPr>
          <t>Lea Krstevska:</t>
        </r>
        <r>
          <rPr>
            <sz val="9"/>
            <color indexed="81"/>
            <rFont val="Tahoma"/>
            <family val="2"/>
          </rPr>
          <t xml:space="preserve">
Loan: A$600m
Bank: A$172.5m
Policy: A$20m</t>
        </r>
      </text>
    </comment>
    <comment ref="U122" authorId="0" shapeId="0" xr:uid="{3736F56A-849D-41EE-9460-F153C92A80B6}">
      <text>
        <r>
          <rPr>
            <b/>
            <sz val="9"/>
            <color indexed="81"/>
            <rFont val="Tahoma"/>
            <family val="2"/>
          </rPr>
          <t>Lea Krstevska:</t>
        </r>
        <r>
          <rPr>
            <sz val="9"/>
            <color indexed="81"/>
            <rFont val="Tahoma"/>
            <family val="2"/>
          </rPr>
          <t xml:space="preserve">
Loan: GBP155.4m
Bank: GBP40m
Policy: GBP10m</t>
        </r>
      </text>
    </comment>
    <comment ref="U123" authorId="0" shapeId="0" xr:uid="{5B8EB4CF-9748-46CE-8AB2-34B5F05CCCB8}">
      <text>
        <r>
          <rPr>
            <b/>
            <sz val="9"/>
            <color indexed="81"/>
            <rFont val="Tahoma"/>
            <family val="2"/>
          </rPr>
          <t>Lea Krstevska:</t>
        </r>
        <r>
          <rPr>
            <sz val="9"/>
            <color indexed="81"/>
            <rFont val="Tahoma"/>
            <family val="2"/>
          </rPr>
          <t xml:space="preserve">
Loan: USD277m
Bank: USD107m
Policy: USD7.5m</t>
        </r>
      </text>
    </comment>
    <comment ref="U124" authorId="0" shapeId="0" xr:uid="{CFC7A74D-5B2E-472B-97B6-7C3BD27D6565}">
      <text>
        <r>
          <rPr>
            <b/>
            <sz val="9"/>
            <color indexed="81"/>
            <rFont val="Tahoma"/>
            <family val="2"/>
          </rPr>
          <t>Lea Krstevska:</t>
        </r>
        <r>
          <rPr>
            <sz val="9"/>
            <color indexed="81"/>
            <rFont val="Tahoma"/>
            <family val="2"/>
          </rPr>
          <t xml:space="preserve">
Loan: EUR119.4m
Bank: EUR24m
Policy: EUR10m
BEFORE 19/9/22 DEBT IS EUR23880</t>
        </r>
      </text>
    </comment>
    <comment ref="U125" authorId="9" shapeId="0" xr:uid="{41CDCFAE-4C3C-43F9-AC65-8905FCF760F2}">
      <text>
        <r>
          <rPr>
            <b/>
            <sz val="9"/>
            <color indexed="81"/>
            <rFont val="Tahoma"/>
            <family val="2"/>
          </rPr>
          <t>Chris Power:</t>
        </r>
        <r>
          <rPr>
            <sz val="9"/>
            <color indexed="81"/>
            <rFont val="Tahoma"/>
            <family val="2"/>
          </rPr>
          <t xml:space="preserve">
Loan: USD957m
Bank: USD60m
Policy: USD20m</t>
        </r>
      </text>
    </comment>
    <comment ref="U126" authorId="9" shapeId="0" xr:uid="{E11C66CC-1E0E-472B-B604-CF8400DE75C2}">
      <text>
        <r>
          <rPr>
            <b/>
            <sz val="9"/>
            <color indexed="81"/>
            <rFont val="Tahoma"/>
            <family val="2"/>
          </rPr>
          <t>Chris Power:</t>
        </r>
        <r>
          <rPr>
            <sz val="9"/>
            <color indexed="81"/>
            <rFont val="Tahoma"/>
            <family val="2"/>
          </rPr>
          <t xml:space="preserve">
Loan: AUD465m
Bank: AUD88.1m
Policy: AUD10m</t>
        </r>
      </text>
    </comment>
    <comment ref="U127" authorId="9" shapeId="0" xr:uid="{DCD2E1CB-4370-40B4-AB6C-8FC317DAD267}">
      <text>
        <r>
          <rPr>
            <b/>
            <sz val="9"/>
            <color indexed="81"/>
            <rFont val="Tahoma"/>
            <family val="2"/>
          </rPr>
          <t>Chris Power:</t>
        </r>
        <r>
          <rPr>
            <sz val="9"/>
            <color indexed="81"/>
            <rFont val="Tahoma"/>
            <family val="2"/>
          </rPr>
          <t xml:space="preserve">
Loan: USD330m
Bank: USD20m
Policy: USD10m</t>
        </r>
      </text>
    </comment>
    <comment ref="U128" authorId="9" shapeId="0" xr:uid="{E7DF4F57-E849-4757-90C8-10A328D09C07}">
      <text>
        <r>
          <rPr>
            <b/>
            <sz val="9"/>
            <color indexed="81"/>
            <rFont val="Tahoma"/>
            <family val="2"/>
          </rPr>
          <t>Chris Power:</t>
        </r>
        <r>
          <rPr>
            <sz val="9"/>
            <color indexed="81"/>
            <rFont val="Tahoma"/>
            <family val="2"/>
          </rPr>
          <t xml:space="preserve">
Loan: AUD265.2m
Bank: AUD120m
Policy: AUD16m</t>
        </r>
      </text>
    </comment>
    <comment ref="U129" authorId="9" shapeId="0" xr:uid="{8DCE9EB7-3A57-4728-8A2D-5DE895C9741B}">
      <text>
        <r>
          <rPr>
            <b/>
            <sz val="9"/>
            <color indexed="81"/>
            <rFont val="Tahoma"/>
            <family val="2"/>
          </rPr>
          <t>Chris Power:</t>
        </r>
        <r>
          <rPr>
            <sz val="9"/>
            <color indexed="81"/>
            <rFont val="Tahoma"/>
            <family val="2"/>
          </rPr>
          <t xml:space="preserve">
Loan: USD330m
Bank: USD8.3m
Policy: USD5m</t>
        </r>
      </text>
    </comment>
    <comment ref="U130" authorId="9" shapeId="0" xr:uid="{1865DE14-382B-41C6-82F2-3873C1F32014}">
      <text>
        <r>
          <rPr>
            <b/>
            <sz val="9"/>
            <color indexed="81"/>
            <rFont val="Tahoma"/>
            <family val="2"/>
          </rPr>
          <t>Chris Power:</t>
        </r>
        <r>
          <rPr>
            <sz val="9"/>
            <color indexed="81"/>
            <rFont val="Tahoma"/>
            <family val="2"/>
          </rPr>
          <t xml:space="preserve">
Loan: USD350m
Bank: USD20m
Policy: USD10m</t>
        </r>
      </text>
    </comment>
    <comment ref="U131" authorId="9" shapeId="0" xr:uid="{9E44D0CE-9A64-43DC-93A9-26C1B01D17A8}">
      <text>
        <r>
          <rPr>
            <b/>
            <sz val="9"/>
            <color indexed="81"/>
            <rFont val="Tahoma"/>
            <family val="2"/>
          </rPr>
          <t>Chris Power:</t>
        </r>
        <r>
          <rPr>
            <sz val="9"/>
            <color indexed="81"/>
            <rFont val="Tahoma"/>
            <family val="2"/>
          </rPr>
          <t xml:space="preserve">
Loan: USD1.0b
Bank: USD25m
Policy: USD17.5m</t>
        </r>
      </text>
    </comment>
    <comment ref="U132" authorId="9" shapeId="0" xr:uid="{EAD81F72-5D73-4833-8919-CF1D6969FF49}">
      <text>
        <r>
          <rPr>
            <b/>
            <sz val="9"/>
            <color indexed="81"/>
            <rFont val="Tahoma"/>
            <family val="2"/>
          </rPr>
          <t>Chris Power:</t>
        </r>
        <r>
          <rPr>
            <sz val="9"/>
            <color indexed="81"/>
            <rFont val="Tahoma"/>
            <family val="2"/>
          </rPr>
          <t xml:space="preserve">
Loan: EUR100m
Bank: EUR50m
Policy: EUR10m</t>
        </r>
      </text>
    </comment>
    <comment ref="U133" authorId="9" shapeId="0" xr:uid="{8F329410-8ACE-449B-BC77-7451B3E2AB6B}">
      <text>
        <r>
          <rPr>
            <b/>
            <sz val="9"/>
            <color indexed="81"/>
            <rFont val="Tahoma"/>
            <family val="2"/>
          </rPr>
          <t>Chris Power:</t>
        </r>
        <r>
          <rPr>
            <sz val="9"/>
            <color indexed="81"/>
            <rFont val="Tahoma"/>
            <family val="2"/>
          </rPr>
          <t xml:space="preserve">
Loan: AUD115m
Bank: AUD51
Policy: AUD10m</t>
        </r>
      </text>
    </comment>
    <comment ref="U134" authorId="9" shapeId="0" xr:uid="{CE35935B-3CF0-41E5-8DF8-41D35550F567}">
      <text>
        <r>
          <rPr>
            <b/>
            <sz val="9"/>
            <color indexed="81"/>
            <rFont val="Tahoma"/>
            <family val="2"/>
          </rPr>
          <t>Chris Power:</t>
        </r>
        <r>
          <rPr>
            <sz val="9"/>
            <color indexed="81"/>
            <rFont val="Tahoma"/>
            <family val="2"/>
          </rPr>
          <t xml:space="preserve">
Loan: EUR2.7b
Bank: EUR100m
Policy: EUR20m</t>
        </r>
      </text>
    </comment>
    <comment ref="U135" authorId="9" shapeId="0" xr:uid="{B544EA65-C299-42C8-9B70-22787E2848BD}">
      <text>
        <r>
          <rPr>
            <b/>
            <sz val="9"/>
            <color indexed="81"/>
            <rFont val="Tahoma"/>
            <family val="2"/>
          </rPr>
          <t>Chris Power:</t>
        </r>
        <r>
          <rPr>
            <sz val="9"/>
            <color indexed="81"/>
            <rFont val="Tahoma"/>
            <family val="2"/>
          </rPr>
          <t xml:space="preserve">
Loan: USD750m
Bank: USD120m
Policy: USD15m</t>
        </r>
      </text>
    </comment>
    <comment ref="U136" authorId="9" shapeId="0" xr:uid="{1BD320ED-BF89-42D5-BF1B-4F74C99AF900}">
      <text>
        <r>
          <rPr>
            <b/>
            <sz val="9"/>
            <color indexed="81"/>
            <rFont val="Tahoma"/>
            <family val="2"/>
          </rPr>
          <t>Chris Power:</t>
        </r>
        <r>
          <rPr>
            <sz val="9"/>
            <color indexed="81"/>
            <rFont val="Tahoma"/>
            <family val="2"/>
          </rPr>
          <t xml:space="preserve">
Loan: USD70.5m
Bank: USD70.5m
Policy: USD10m</t>
        </r>
      </text>
    </comment>
    <comment ref="U137" authorId="9" shapeId="0" xr:uid="{3A33DD70-A052-459E-B54E-157153BD22ED}">
      <text>
        <r>
          <rPr>
            <b/>
            <sz val="9"/>
            <color indexed="81"/>
            <rFont val="Tahoma"/>
            <family val="2"/>
          </rPr>
          <t>Chris Power:</t>
        </r>
        <r>
          <rPr>
            <sz val="9"/>
            <color indexed="81"/>
            <rFont val="Tahoma"/>
            <family val="2"/>
          </rPr>
          <t xml:space="preserve">
Loan: CHF510m
Bank: CHF14m
Policy: CHF7m</t>
        </r>
      </text>
    </comment>
    <comment ref="U138" authorId="9" shapeId="0" xr:uid="{863E0A3E-0692-4161-9374-476E5D378ABC}">
      <text>
        <r>
          <rPr>
            <b/>
            <sz val="9"/>
            <color indexed="81"/>
            <rFont val="Tahoma"/>
            <family val="2"/>
          </rPr>
          <t>Chris Power:</t>
        </r>
        <r>
          <rPr>
            <sz val="9"/>
            <color indexed="81"/>
            <rFont val="Tahoma"/>
            <family val="2"/>
          </rPr>
          <t xml:space="preserve">
Loan: CHF510m
Bank: CHF14m
Policy: CHF7m</t>
        </r>
      </text>
    </comment>
    <comment ref="U139" authorId="9" shapeId="0" xr:uid="{7E5F46CE-803C-4A54-A2FF-89883A95E5A1}">
      <text>
        <r>
          <rPr>
            <b/>
            <sz val="9"/>
            <color indexed="81"/>
            <rFont val="Tahoma"/>
            <family val="2"/>
          </rPr>
          <t>Chris Power:</t>
        </r>
        <r>
          <rPr>
            <sz val="9"/>
            <color indexed="81"/>
            <rFont val="Tahoma"/>
            <family val="2"/>
          </rPr>
          <t xml:space="preserve">
Loan: USD230m
Bank: USD34.5m
Policy: USD11.5m</t>
        </r>
      </text>
    </comment>
    <comment ref="U140" authorId="9" shapeId="0" xr:uid="{DA86D0EC-07F2-47ED-827F-83A00EA4ABCA}">
      <text>
        <r>
          <rPr>
            <b/>
            <sz val="9"/>
            <color indexed="81"/>
            <rFont val="Tahoma"/>
            <family val="2"/>
          </rPr>
          <t>Chris Power:</t>
        </r>
        <r>
          <rPr>
            <sz val="9"/>
            <color indexed="81"/>
            <rFont val="Tahoma"/>
            <family val="2"/>
          </rPr>
          <t xml:space="preserve">
Loan: EUR1.5b
Bank: EUR137.5m
Policy: EUR10m</t>
        </r>
      </text>
    </comment>
    <comment ref="U141" authorId="9" shapeId="0" xr:uid="{89123942-F759-4FEA-A81C-D56617E83579}">
      <text>
        <r>
          <rPr>
            <b/>
            <sz val="9"/>
            <color indexed="81"/>
            <rFont val="Tahoma"/>
            <family val="2"/>
          </rPr>
          <t>Chris Power:</t>
        </r>
        <r>
          <rPr>
            <sz val="9"/>
            <color indexed="81"/>
            <rFont val="Tahoma"/>
            <family val="2"/>
          </rPr>
          <t xml:space="preserve">
Loan: AUD192.5m
Bank: AUD58.5m
Policy: AUD15m</t>
        </r>
      </text>
    </comment>
    <comment ref="U142" authorId="10" shapeId="0" xr:uid="{B77C8AFF-78CD-4827-AB42-19F91AD58A2A}">
      <text>
        <r>
          <rPr>
            <b/>
            <sz val="9"/>
            <color indexed="81"/>
            <rFont val="Tahoma"/>
            <family val="2"/>
          </rPr>
          <t>Joseph Day:</t>
        </r>
        <r>
          <rPr>
            <sz val="9"/>
            <color indexed="81"/>
            <rFont val="Tahoma"/>
            <family val="2"/>
          </rPr>
          <t xml:space="preserve">
Loan: GBP 950m 
Bank: GBP 237.5m
Policy: GBP15m</t>
        </r>
      </text>
    </comment>
    <comment ref="U143" authorId="10" shapeId="0" xr:uid="{0FCFB3F4-CD0F-4257-90E5-6073D8E6EC19}">
      <text>
        <r>
          <rPr>
            <b/>
            <sz val="9"/>
            <color indexed="81"/>
            <rFont val="Tahoma"/>
            <family val="2"/>
          </rPr>
          <t>Joseph Day:</t>
        </r>
        <r>
          <rPr>
            <sz val="9"/>
            <color indexed="81"/>
            <rFont val="Tahoma"/>
            <family val="2"/>
          </rPr>
          <t xml:space="preserve">
Loan: EUR53.5m
Bank: EUR53.5m
Policy: EUR20m</t>
        </r>
      </text>
    </comment>
    <comment ref="U144" authorId="10" shapeId="0" xr:uid="{8F13E203-BE18-4C8C-862B-9141D81D37BA}">
      <text>
        <r>
          <rPr>
            <b/>
            <sz val="9"/>
            <color indexed="81"/>
            <rFont val="Tahoma"/>
            <family val="2"/>
          </rPr>
          <t>Joseph Day:</t>
        </r>
        <r>
          <rPr>
            <sz val="9"/>
            <color indexed="81"/>
            <rFont val="Tahoma"/>
            <family val="2"/>
          </rPr>
          <t xml:space="preserve">
Loan: AUD 210.1m
Bank: AUD 73.3m
Policy: AUD 7.55m</t>
        </r>
      </text>
    </comment>
    <comment ref="U145" authorId="10" shapeId="0" xr:uid="{7FE63A3F-86FE-4D19-BE0F-D80237465C07}">
      <text>
        <r>
          <rPr>
            <b/>
            <sz val="9"/>
            <color indexed="81"/>
            <rFont val="Tahoma"/>
            <family val="2"/>
          </rPr>
          <t>Joseph Day:</t>
        </r>
        <r>
          <rPr>
            <sz val="9"/>
            <color indexed="81"/>
            <rFont val="Tahoma"/>
            <family val="2"/>
          </rPr>
          <t xml:space="preserve">
Loan: USD 3.0b
Bank: USD 200m
Policy: USD 30m</t>
        </r>
      </text>
    </comment>
    <comment ref="U146" authorId="10" shapeId="0" xr:uid="{5C8FFC15-9F92-497E-9CE4-1281B45AA07B}">
      <text>
        <r>
          <rPr>
            <b/>
            <sz val="9"/>
            <color indexed="81"/>
            <rFont val="Tahoma"/>
            <family val="2"/>
          </rPr>
          <t>Joseph Day:</t>
        </r>
        <r>
          <rPr>
            <sz val="9"/>
            <color indexed="81"/>
            <rFont val="Tahoma"/>
            <family val="2"/>
          </rPr>
          <t xml:space="preserve">
Loan: EUR 100.17m
Bank: EUR 100.17m
Policy: EUR 13m</t>
        </r>
      </text>
    </comment>
    <comment ref="U147" authorId="10" shapeId="0" xr:uid="{9600843B-A83E-4FD3-81A2-324ED1A57833}">
      <text>
        <r>
          <rPr>
            <b/>
            <sz val="9"/>
            <color indexed="81"/>
            <rFont val="Tahoma"/>
            <family val="2"/>
          </rPr>
          <t>Joseph Day:</t>
        </r>
        <r>
          <rPr>
            <sz val="9"/>
            <color indexed="81"/>
            <rFont val="Tahoma"/>
            <family val="2"/>
          </rPr>
          <t xml:space="preserve">
Loan: EUR 902m
Bank: EUR 20m
Policy: EUR 10.5m</t>
        </r>
      </text>
    </comment>
    <comment ref="U148" authorId="10" shapeId="0" xr:uid="{828BE1BA-B5B0-43FD-AD16-EEE56A17F375}">
      <text>
        <r>
          <rPr>
            <b/>
            <sz val="9"/>
            <color indexed="81"/>
            <rFont val="Tahoma"/>
            <family val="2"/>
          </rPr>
          <t>Joseph Day:</t>
        </r>
        <r>
          <rPr>
            <sz val="9"/>
            <color indexed="81"/>
            <rFont val="Tahoma"/>
            <family val="2"/>
          </rPr>
          <t xml:space="preserve">
Loan: EUR 7.1b
Bank: EUR 710m
Policy: EUR 10m</t>
        </r>
      </text>
    </comment>
    <comment ref="U149" authorId="8" shapeId="0" xr:uid="{438162F9-DE2E-431A-BC01-E4AF85DDDCFC}">
      <text>
        <r>
          <rPr>
            <b/>
            <sz val="9"/>
            <color indexed="81"/>
            <rFont val="Tahoma"/>
            <family val="2"/>
          </rPr>
          <t>Nelly Nguyen:</t>
        </r>
        <r>
          <rPr>
            <sz val="9"/>
            <color indexed="81"/>
            <rFont val="Tahoma"/>
            <family val="2"/>
          </rPr>
          <t xml:space="preserve">
Loan Limit :US$ 120m
Bank Limit:US$ 30m
Poicy Limit: US$ 15m</t>
        </r>
      </text>
    </comment>
    <comment ref="U150" authorId="8" shapeId="0" xr:uid="{7D25F8C6-32D9-4A4E-8786-F269F1266EF2}">
      <text>
        <r>
          <rPr>
            <b/>
            <sz val="9"/>
            <color indexed="81"/>
            <rFont val="Tahoma"/>
            <family val="2"/>
          </rPr>
          <t>Nelly Nguyen:</t>
        </r>
        <r>
          <rPr>
            <sz val="9"/>
            <color indexed="81"/>
            <rFont val="Tahoma"/>
            <family val="2"/>
          </rPr>
          <t xml:space="preserve">
Loan: A$585m
Bank: A$100m
Policy: A$20m</t>
        </r>
      </text>
    </comment>
    <comment ref="U151" authorId="8" shapeId="0" xr:uid="{040F7D39-F7AE-43ED-8C1F-785AF649F420}">
      <text>
        <r>
          <rPr>
            <b/>
            <sz val="9"/>
            <color indexed="81"/>
            <rFont val="Tahoma"/>
            <family val="2"/>
          </rPr>
          <t>Nelly Nguyen:</t>
        </r>
        <r>
          <rPr>
            <sz val="9"/>
            <color indexed="81"/>
            <rFont val="Tahoma"/>
            <family val="2"/>
          </rPr>
          <t xml:space="preserve">
Loan: NZD 230m
Bank: NZD 107.5m
Policy: NZD 18.75m</t>
        </r>
      </text>
    </comment>
    <comment ref="U152" authorId="8" shapeId="0" xr:uid="{38946659-5031-496E-9932-FD56D4738ABC}">
      <text>
        <r>
          <rPr>
            <b/>
            <sz val="9"/>
            <color indexed="81"/>
            <rFont val="Tahoma"/>
            <family val="2"/>
          </rPr>
          <t>Nelly Nguyen:</t>
        </r>
        <r>
          <rPr>
            <sz val="9"/>
            <color indexed="81"/>
            <rFont val="Tahoma"/>
            <family val="2"/>
          </rPr>
          <t xml:space="preserve">
Loan: NZD 230m
Bank: NZD 50m
Policy: NZD 10m
</t>
        </r>
      </text>
    </comment>
    <comment ref="U153" authorId="8" shapeId="0" xr:uid="{03AD6B40-6236-44B3-B370-B93EFD0B3BD1}">
      <text>
        <r>
          <rPr>
            <b/>
            <sz val="9"/>
            <color indexed="81"/>
            <rFont val="Tahoma"/>
            <family val="2"/>
          </rPr>
          <t>Nelly Nguyen:</t>
        </r>
        <r>
          <rPr>
            <sz val="9"/>
            <color indexed="81"/>
            <rFont val="Tahoma"/>
            <family val="2"/>
          </rPr>
          <t xml:space="preserve">
Bank US$300m
Loan: US$ 20m
Policy: US$10m</t>
        </r>
      </text>
    </comment>
    <comment ref="U154" authorId="8" shapeId="0" xr:uid="{5FCBB9B8-DFC7-4FF8-8D1E-170638F764A7}">
      <text>
        <r>
          <rPr>
            <b/>
            <sz val="9"/>
            <color indexed="81"/>
            <rFont val="Tahoma"/>
            <family val="2"/>
          </rPr>
          <t>Nelly Nguyen:</t>
        </r>
        <r>
          <rPr>
            <sz val="9"/>
            <color indexed="81"/>
            <rFont val="Tahoma"/>
            <family val="2"/>
          </rPr>
          <t xml:space="preserve">
Loan: EUR260m
Bank: EUR220m
Policy: EUR13m</t>
        </r>
      </text>
    </comment>
    <comment ref="U155" authorId="8" shapeId="0" xr:uid="{01E5C4D6-B1E4-4FFA-9411-9784DA192685}">
      <text>
        <r>
          <rPr>
            <b/>
            <sz val="9"/>
            <color indexed="81"/>
            <rFont val="Tahoma"/>
            <family val="2"/>
          </rPr>
          <t>Nelly Nguyen:</t>
        </r>
        <r>
          <rPr>
            <sz val="9"/>
            <color indexed="81"/>
            <rFont val="Tahoma"/>
            <family val="2"/>
          </rPr>
          <t xml:space="preserve">
Loan: AU$240m
Bank: AU$45m
Policy: AU$ 4.99m</t>
        </r>
      </text>
    </comment>
    <comment ref="U156" authorId="8" shapeId="0" xr:uid="{CEFAC52D-CD7E-4021-9528-0F6892C745AA}">
      <text>
        <r>
          <rPr>
            <b/>
            <sz val="9"/>
            <color indexed="81"/>
            <rFont val="Tahoma"/>
            <family val="2"/>
          </rPr>
          <t xml:space="preserve">Nelly Nguyen:
</t>
        </r>
        <r>
          <rPr>
            <sz val="9"/>
            <color indexed="81"/>
            <rFont val="Tahoma"/>
            <family val="2"/>
          </rPr>
          <t>Loan: EUR198.7m
Bank: EUR100m
Policy: EUR7.5m</t>
        </r>
      </text>
    </comment>
    <comment ref="U157" authorId="8" shapeId="0" xr:uid="{83A0317C-F30A-4804-8FC3-3F814C8E8710}">
      <text>
        <r>
          <rPr>
            <b/>
            <sz val="9"/>
            <color indexed="81"/>
            <rFont val="Tahoma"/>
            <family val="2"/>
          </rPr>
          <t>Nelly Nguyen:</t>
        </r>
        <r>
          <rPr>
            <sz val="9"/>
            <color indexed="81"/>
            <rFont val="Tahoma"/>
            <family val="2"/>
          </rPr>
          <t xml:space="preserve">
Loan: EUR364.3m
Bank: EUR100m
Policy: EUR7.5m</t>
        </r>
      </text>
    </comment>
    <comment ref="U158" authorId="8" shapeId="0" xr:uid="{AADE0C3A-D5C5-4704-8BE5-859449195669}">
      <text>
        <r>
          <rPr>
            <b/>
            <sz val="9"/>
            <color indexed="81"/>
            <rFont val="Tahoma"/>
            <family val="2"/>
          </rPr>
          <t>Nelly Nguyen:</t>
        </r>
        <r>
          <rPr>
            <sz val="9"/>
            <color indexed="81"/>
            <rFont val="Tahoma"/>
            <family val="2"/>
          </rPr>
          <t xml:space="preserve">
Loan: US$500m
Bank: US$ 30m
Policy: US$15m</t>
        </r>
      </text>
    </comment>
    <comment ref="U159" authorId="0" shapeId="0" xr:uid="{93CC8D51-C0B5-482D-A719-46FDA594B811}">
      <text>
        <r>
          <rPr>
            <b/>
            <sz val="9"/>
            <color indexed="81"/>
            <rFont val="Tahoma"/>
            <family val="2"/>
          </rPr>
          <t>Lea Krstevska:</t>
        </r>
        <r>
          <rPr>
            <sz val="9"/>
            <color indexed="81"/>
            <rFont val="Tahoma"/>
            <family val="2"/>
          </rPr>
          <t xml:space="preserve">
Loan Limit: EUR 30m
Bank Limit: EUR 30m 
Policy Limit: EUR 12m</t>
        </r>
      </text>
    </comment>
    <comment ref="U160" authorId="8" shapeId="0" xr:uid="{477AF22D-6E9A-44EB-8D67-0B6BF6022D89}">
      <text>
        <r>
          <rPr>
            <b/>
            <sz val="9"/>
            <color indexed="81"/>
            <rFont val="Tahoma"/>
            <family val="2"/>
          </rPr>
          <t>Nelly Nguyen:</t>
        </r>
        <r>
          <rPr>
            <sz val="9"/>
            <color indexed="81"/>
            <rFont val="Tahoma"/>
            <family val="2"/>
          </rPr>
          <t xml:space="preserve">
Loan Limit: A$300m
Bank Limit: A$71m
Policy Limit: A$12.5m</t>
        </r>
      </text>
    </comment>
    <comment ref="U161" authorId="8" shapeId="0" xr:uid="{875C6C86-C082-4BFD-B215-C8EE3EB37985}">
      <text>
        <r>
          <rPr>
            <b/>
            <sz val="9"/>
            <color indexed="81"/>
            <rFont val="Tahoma"/>
            <family val="2"/>
          </rPr>
          <t>Nelly Nguyen:</t>
        </r>
        <r>
          <rPr>
            <sz val="9"/>
            <color indexed="81"/>
            <rFont val="Tahoma"/>
            <family val="2"/>
          </rPr>
          <t xml:space="preserve">
Loan Limit: A$300m
Bank Limit: A$71m
Policy Limit: A$7.5m</t>
        </r>
      </text>
    </comment>
    <comment ref="U162" authorId="8" shapeId="0" xr:uid="{097F4ED3-6D29-4734-BB9C-34D08A91E02A}">
      <text>
        <r>
          <rPr>
            <b/>
            <sz val="9"/>
            <color indexed="81"/>
            <rFont val="Tahoma"/>
            <family val="2"/>
          </rPr>
          <t>Nelly Nguyen:</t>
        </r>
        <r>
          <rPr>
            <sz val="9"/>
            <color indexed="81"/>
            <rFont val="Tahoma"/>
            <family val="2"/>
          </rPr>
          <t xml:space="preserve">
Loan Limit: US$2b
Bank Limit: US$148.1m
Policy Limit: US$15m</t>
        </r>
      </text>
    </comment>
    <comment ref="U163" authorId="8" shapeId="0" xr:uid="{F5B220B6-113F-4F2E-B910-194B6B7558A8}">
      <text>
        <r>
          <rPr>
            <b/>
            <sz val="9"/>
            <color indexed="81"/>
            <rFont val="Tahoma"/>
            <family val="2"/>
          </rPr>
          <t>Nelly Nguyen:</t>
        </r>
        <r>
          <rPr>
            <sz val="9"/>
            <color indexed="81"/>
            <rFont val="Tahoma"/>
            <family val="2"/>
          </rPr>
          <t xml:space="preserve">
Loan: AU$240m
Bank: AU$15m
Policy: AU$ 7.45m</t>
        </r>
      </text>
    </comment>
    <comment ref="U164" authorId="8" shapeId="0" xr:uid="{309A0820-1FFC-46FD-80C4-B78B202C2BA2}">
      <text>
        <r>
          <rPr>
            <b/>
            <sz val="9"/>
            <color indexed="81"/>
            <rFont val="Tahoma"/>
            <family val="2"/>
          </rPr>
          <t>Nelly Nguyen:</t>
        </r>
        <r>
          <rPr>
            <sz val="9"/>
            <color indexed="81"/>
            <rFont val="Tahoma"/>
            <family val="2"/>
          </rPr>
          <t xml:space="preserve">
Loan: US$40m
Bank: US$15m
Policy: US$ 7.5m</t>
        </r>
      </text>
    </comment>
    <comment ref="Z164" authorId="8" shapeId="0" xr:uid="{A286D505-4D15-4269-891D-7B7B2FBFC8AD}">
      <text>
        <r>
          <rPr>
            <b/>
            <sz val="9"/>
            <color indexed="81"/>
            <rFont val="Tahoma"/>
            <family val="2"/>
          </rPr>
          <t>Nelly Nguyen:</t>
        </r>
        <r>
          <rPr>
            <sz val="9"/>
            <color indexed="81"/>
            <rFont val="Tahoma"/>
            <family val="2"/>
          </rPr>
          <t xml:space="preserve">
I asked RJ as it said utilization date and blank date in the agreement</t>
        </r>
      </text>
    </comment>
    <comment ref="U165" authorId="8" shapeId="0" xr:uid="{E806C016-A697-491D-8096-4BE1C401FD59}">
      <text>
        <r>
          <rPr>
            <b/>
            <sz val="9"/>
            <color indexed="81"/>
            <rFont val="Tahoma"/>
            <family val="2"/>
          </rPr>
          <t>Nelly Nguyen:</t>
        </r>
        <r>
          <rPr>
            <sz val="9"/>
            <color indexed="81"/>
            <rFont val="Tahoma"/>
            <family val="2"/>
          </rPr>
          <t xml:space="preserve">
Loan: AU$1.14b
Bank: AU$30m
Policy: AU$15m</t>
        </r>
      </text>
    </comment>
    <comment ref="U166" authorId="8" shapeId="0" xr:uid="{C6E95B25-AEAA-42A2-803B-C52F20A2C78E}">
      <text>
        <r>
          <rPr>
            <b/>
            <sz val="9"/>
            <color indexed="81"/>
            <rFont val="Tahoma"/>
            <family val="2"/>
          </rPr>
          <t>Nelly Nguyen:</t>
        </r>
        <r>
          <rPr>
            <sz val="9"/>
            <color indexed="81"/>
            <rFont val="Tahoma"/>
            <family val="2"/>
          </rPr>
          <t xml:space="preserve">
Loan: US$5.5b
Bank: US$139m
Policy: US$ 15m</t>
        </r>
      </text>
    </comment>
    <comment ref="U167" authorId="8" shapeId="0" xr:uid="{F914E3AB-0B8F-45EB-8C89-BC30BD0FEE22}">
      <text>
        <r>
          <rPr>
            <b/>
            <sz val="9"/>
            <color indexed="81"/>
            <rFont val="Tahoma"/>
            <family val="2"/>
          </rPr>
          <t>Nelly Nguyen:</t>
        </r>
        <r>
          <rPr>
            <sz val="9"/>
            <color indexed="81"/>
            <rFont val="Tahoma"/>
            <family val="2"/>
          </rPr>
          <t xml:space="preserve">
Loan: US$2.9b
Bank: US$200m
Policy: US$ 15m</t>
        </r>
      </text>
    </comment>
    <comment ref="U168" authorId="8" shapeId="0" xr:uid="{16B4D42B-826F-4C20-835A-3A30D8F22AE0}">
      <text>
        <r>
          <rPr>
            <b/>
            <sz val="9"/>
            <color indexed="81"/>
            <rFont val="Tahoma"/>
            <family val="2"/>
          </rPr>
          <t>Nelly Nguyen:</t>
        </r>
        <r>
          <rPr>
            <sz val="9"/>
            <color indexed="81"/>
            <rFont val="Tahoma"/>
            <family val="2"/>
          </rPr>
          <t xml:space="preserve">
Loan: NZD 905m
Bank: NZD 140.20m
Policy: NZD 30m
</t>
        </r>
      </text>
    </comment>
    <comment ref="U169" authorId="8" shapeId="0" xr:uid="{02C31315-A14A-46EC-B59A-DE8CDF039B10}">
      <text>
        <r>
          <rPr>
            <b/>
            <sz val="9"/>
            <color indexed="81"/>
            <rFont val="Tahoma"/>
            <family val="2"/>
          </rPr>
          <t>Nelly Nguyen:</t>
        </r>
        <r>
          <rPr>
            <sz val="9"/>
            <color indexed="81"/>
            <rFont val="Tahoma"/>
            <family val="2"/>
          </rPr>
          <t xml:space="preserve">
Loan: US$750m
Bank: US$100m
Policy: US$ 10m</t>
        </r>
      </text>
    </comment>
    <comment ref="U170" authorId="8" shapeId="0" xr:uid="{D753CEB9-9A00-437C-B8B8-B4F6E94F0605}">
      <text>
        <r>
          <rPr>
            <b/>
            <sz val="9"/>
            <color indexed="81"/>
            <rFont val="Tahoma"/>
            <family val="2"/>
          </rPr>
          <t xml:space="preserve">Nelly Nguyen
</t>
        </r>
        <r>
          <rPr>
            <sz val="9"/>
            <color indexed="81"/>
            <rFont val="Tahoma"/>
            <family val="2"/>
          </rPr>
          <t>Loan: AU$290m
Bank: AU$60m
Policy: AU$30m</t>
        </r>
      </text>
    </comment>
    <comment ref="U171" authorId="8" shapeId="0" xr:uid="{A6A1C138-07DB-43A8-A62D-3779F6F42BC4}">
      <text>
        <r>
          <rPr>
            <b/>
            <sz val="9"/>
            <color indexed="81"/>
            <rFont val="Tahoma"/>
            <family val="2"/>
          </rPr>
          <t xml:space="preserve">Nelly Nguyen
</t>
        </r>
        <r>
          <rPr>
            <sz val="9"/>
            <color indexed="81"/>
            <rFont val="Tahoma"/>
            <family val="2"/>
          </rPr>
          <t>Loan: US$7b
Bank: US$199.812m
Policy: US$20m</t>
        </r>
      </text>
    </comment>
    <comment ref="U172" authorId="8" shapeId="0" xr:uid="{0C0D0698-410C-4F2F-9CE1-D5A5622C6F77}">
      <text>
        <r>
          <rPr>
            <b/>
            <sz val="9"/>
            <color indexed="81"/>
            <rFont val="Tahoma"/>
            <family val="2"/>
          </rPr>
          <t>Nelly Nguyen:</t>
        </r>
        <r>
          <rPr>
            <sz val="9"/>
            <color indexed="81"/>
            <rFont val="Tahoma"/>
            <family val="2"/>
          </rPr>
          <t xml:space="preserve">
Loan: EUR2,012m + GBP2,067m</t>
        </r>
        <r>
          <rPr>
            <b/>
            <sz val="9"/>
            <color indexed="81"/>
            <rFont val="Tahoma"/>
            <family val="2"/>
          </rPr>
          <t xml:space="preserve">
</t>
        </r>
        <r>
          <rPr>
            <sz val="9"/>
            <color indexed="81"/>
            <rFont val="Tahoma"/>
            <family val="2"/>
          </rPr>
          <t>Bank: EUR 23,215m GBP10,301m
Policy: EUR 8.5m + GBP2m</t>
        </r>
      </text>
    </comment>
    <comment ref="U173" authorId="8" shapeId="0" xr:uid="{079E57FA-F9B0-4088-8DCA-5BC72AC8EF5F}">
      <text>
        <r>
          <rPr>
            <b/>
            <sz val="9"/>
            <color indexed="81"/>
            <rFont val="Tahoma"/>
            <family val="2"/>
          </rPr>
          <t>Nelly Nguyen:</t>
        </r>
        <r>
          <rPr>
            <sz val="9"/>
            <color indexed="81"/>
            <rFont val="Tahoma"/>
            <family val="2"/>
          </rPr>
          <t xml:space="preserve">
Loan: EUR560m
Bank: EUR 151.35m
Policy: EUR7m</t>
        </r>
      </text>
    </comment>
    <comment ref="U174" authorId="8" shapeId="0" xr:uid="{04705D87-973C-4750-9089-F2EB9DA0E3FF}">
      <text>
        <r>
          <rPr>
            <b/>
            <sz val="9"/>
            <color indexed="81"/>
            <rFont val="Tahoma"/>
            <family val="2"/>
          </rPr>
          <t>Nelly Nguyen:</t>
        </r>
        <r>
          <rPr>
            <sz val="9"/>
            <color indexed="81"/>
            <rFont val="Tahoma"/>
            <family val="2"/>
          </rPr>
          <t xml:space="preserve">
Loan: US$3..86b
Bank: US$510.046m
Policy: US$157m</t>
        </r>
      </text>
    </comment>
    <comment ref="U175" authorId="8" shapeId="0" xr:uid="{B03D4C8E-E99A-473E-B2BA-5177B7DC38F6}">
      <text>
        <r>
          <rPr>
            <b/>
            <sz val="9"/>
            <color indexed="81"/>
            <rFont val="Tahoma"/>
            <family val="2"/>
          </rPr>
          <t>Nelly Nguyen:</t>
        </r>
        <r>
          <rPr>
            <sz val="9"/>
            <color indexed="81"/>
            <rFont val="Tahoma"/>
            <family val="2"/>
          </rPr>
          <t xml:space="preserve">
Loan: US$189m
Bank: US$60m
Policy: US$30m</t>
        </r>
      </text>
    </comment>
    <comment ref="U176" authorId="8" shapeId="0" xr:uid="{53CAEF72-F944-4FBE-9599-3D433411ED0B}">
      <text>
        <r>
          <rPr>
            <b/>
            <sz val="9"/>
            <color indexed="81"/>
            <rFont val="Tahoma"/>
            <family val="2"/>
          </rPr>
          <t>Nelly Nguyen:</t>
        </r>
        <r>
          <rPr>
            <sz val="9"/>
            <color indexed="81"/>
            <rFont val="Tahoma"/>
            <family val="2"/>
          </rPr>
          <t xml:space="preserve">
Loan: EUR139.19m
Bank: EUR40m
Policy: EUR20m</t>
        </r>
      </text>
    </comment>
    <comment ref="U177" authorId="8" shapeId="0" xr:uid="{1B4FE479-C7E1-4D83-8592-7AC57A2385A5}">
      <text>
        <r>
          <rPr>
            <b/>
            <sz val="9"/>
            <color indexed="81"/>
            <rFont val="Tahoma"/>
            <family val="2"/>
          </rPr>
          <t>Nelly Nguyen:</t>
        </r>
        <r>
          <rPr>
            <sz val="9"/>
            <color indexed="81"/>
            <rFont val="Tahoma"/>
            <family val="2"/>
          </rPr>
          <t xml:space="preserve">
Loan: US$1325b
Bank: US$30m
Policy: US$15m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tc={6700DA4A-8D06-4C9B-BBB1-F9F6D0EB7C0D}</author>
    <author>Nelly Nguyen</author>
    <author>Jemma Sargeant</author>
    <author>Samuel Atkinson</author>
    <author>Ann Prosser</author>
    <author>Chris Power</author>
    <author>Joseph Day</author>
  </authors>
  <commentList>
    <comment ref="AG2" authorId="0" shapeId="0" xr:uid="{3362B3FF-C74C-45B7-B74B-8826B93F40BC}">
      <text>
        <r>
          <rPr>
            <b/>
            <sz val="9"/>
            <color indexed="81"/>
            <rFont val="Tahoma"/>
            <family val="2"/>
          </rPr>
          <t>Lea Krstevska:</t>
        </r>
        <r>
          <rPr>
            <sz val="9"/>
            <color indexed="81"/>
            <rFont val="Tahoma"/>
            <family val="2"/>
          </rPr>
          <t xml:space="preserve">
AUD 20m-30m
USD 15m - 25m
EUR 15m - 22m</t>
        </r>
      </text>
    </comment>
    <comment ref="V4" authorId="1" shapeId="0" xr:uid="{03F200F2-9050-458F-B8E9-C5F69D1B1E27}">
      <text>
        <r>
          <rPr>
            <b/>
            <sz val="8"/>
            <color indexed="81"/>
            <rFont val="Tahoma"/>
            <family val="2"/>
          </rPr>
          <t>Marc Nicholls:</t>
        </r>
        <r>
          <rPr>
            <sz val="8"/>
            <color indexed="81"/>
            <rFont val="Tahoma"/>
            <family val="2"/>
          </rPr>
          <t xml:space="preserve">
ANZ $50m, Syndicate $225m
Nelly: ANZ 35.9 as at Sep 22</t>
        </r>
      </text>
    </comment>
    <comment ref="V5" authorId="2" shapeId="0" xr:uid="{2966BA8A-C0D5-4491-ACB4-2C1959BD780C}">
      <text>
        <r>
          <rPr>
            <b/>
            <sz val="8"/>
            <color indexed="81"/>
            <rFont val="Tahoma"/>
            <family val="2"/>
          </rPr>
          <t>Loan Limit: 100m
Bank Limit: 83.4m
Policy Limit: 16.680m</t>
        </r>
      </text>
    </comment>
    <comment ref="V6" authorId="2" shapeId="0" xr:uid="{46C652CD-EE60-46D4-9C6A-46A5FACD4482}">
      <text>
        <r>
          <rPr>
            <b/>
            <sz val="9"/>
            <color indexed="81"/>
            <rFont val="Tahoma"/>
            <family val="2"/>
          </rPr>
          <t>supports DB INR6b participation</t>
        </r>
      </text>
    </comment>
    <comment ref="V7" authorId="1" shapeId="0" xr:uid="{A9DF2043-D036-4F07-9F6B-96824AA9CD0D}">
      <text>
        <r>
          <rPr>
            <b/>
            <sz val="9"/>
            <color indexed="81"/>
            <rFont val="Tahoma"/>
            <family val="2"/>
          </rPr>
          <t>Marc Nicholls:</t>
        </r>
        <r>
          <rPr>
            <sz val="9"/>
            <color indexed="81"/>
            <rFont val="Tahoma"/>
            <family val="2"/>
          </rPr>
          <t xml:space="preserve">
supports ING in its EUR175m participation in Eur625m faciilty</t>
        </r>
      </text>
    </comment>
    <comment ref="V8" authorId="2" shapeId="0" xr:uid="{EFAC0511-7B57-475B-9D9C-09CB6889F89B}">
      <text>
        <r>
          <rPr>
            <sz val="8"/>
            <color indexed="81"/>
            <rFont val="Tahoma"/>
            <family val="2"/>
          </rPr>
          <t>US1.024b, StanChart US131.75m</t>
        </r>
      </text>
    </comment>
    <comment ref="V10" authorId="3" shapeId="0" xr:uid="{42E6B6F5-8D7D-4321-A3E6-287EFBBBB10F}">
      <text>
        <r>
          <rPr>
            <sz val="9"/>
            <color indexed="81"/>
            <rFont val="Tahoma"/>
            <family val="2"/>
          </rPr>
          <t>CEIP support to SG (Paris Branch)  in its US$120m participation in a US$790m committed senior secured syndicated pooled commercial aircraft term loan financing facility</t>
        </r>
      </text>
    </comment>
    <comment ref="V17" authorId="2" shapeId="0" xr:uid="{DDE669CD-1648-4254-ADAE-84A4462CDFC5}">
      <text>
        <r>
          <rPr>
            <sz val="8"/>
            <color indexed="81"/>
            <rFont val="Tahoma"/>
            <family val="2"/>
          </rPr>
          <t>US$1b, ANZ London US$107m</t>
        </r>
      </text>
    </comment>
    <comment ref="V20" authorId="2" shapeId="0" xr:uid="{6D2F069F-ED03-4E23-A926-0671D1A86B8A}">
      <text>
        <r>
          <rPr>
            <sz val="8"/>
            <color indexed="81"/>
            <rFont val="Tahoma"/>
            <family val="2"/>
          </rPr>
          <t>US290m, SMBC US$50m</t>
        </r>
      </text>
    </comment>
    <comment ref="AK20" authorId="4" shapeId="0" xr:uid="{6700DA4A-8D06-4C9B-BBB1-F9F6D0EB7C0D}">
      <text>
        <t>[Threaded comment]
Your version of Excel allows you to read this threaded comment; however, any edits to it will get removed if the file is opened in a newer version of Excel. Learn more: https://go.microsoft.com/fwlink/?linkid=870924
Comment:
    GW has confirmed we are awaiting extension (Sep 22)</t>
      </text>
    </comment>
    <comment ref="V21" authorId="2" shapeId="0" xr:uid="{E6BD0F39-2273-429A-8E27-3B77A5A2B06E}">
      <text>
        <r>
          <rPr>
            <b/>
            <sz val="9"/>
            <color indexed="81"/>
            <rFont val="Tahoma"/>
            <family val="2"/>
          </rPr>
          <t>ING participation of EUR150m of EUR650m facility</t>
        </r>
      </text>
    </comment>
    <comment ref="V23" authorId="2" shapeId="0" xr:uid="{A11E50C8-6034-4367-B981-86701F58C748}">
      <text>
        <r>
          <rPr>
            <b/>
            <sz val="9"/>
            <color indexed="81"/>
            <rFont val="Tahoma"/>
            <family val="2"/>
          </rPr>
          <t>DB participation of $65m in $180m senior secured loan only, $10m revolver and $10m capex facility</t>
        </r>
      </text>
    </comment>
    <comment ref="V24" authorId="1" shapeId="0" xr:uid="{C9FBC383-E9D9-435C-A6EC-224802C9024C}">
      <text>
        <r>
          <rPr>
            <b/>
            <sz val="9"/>
            <color indexed="81"/>
            <rFont val="Tahoma"/>
            <family val="2"/>
          </rPr>
          <t>Marc Nicholls:</t>
        </r>
        <r>
          <rPr>
            <sz val="9"/>
            <color indexed="81"/>
            <rFont val="Tahoma"/>
            <family val="2"/>
          </rPr>
          <t xml:space="preserve">
ING $137m of $137m</t>
        </r>
      </text>
    </comment>
    <comment ref="T25" authorId="5" shapeId="0" xr:uid="{E3D8E5AF-589A-4DDF-BACF-EBE233E28BC5}">
      <text>
        <r>
          <rPr>
            <b/>
            <sz val="9"/>
            <color indexed="81"/>
            <rFont val="Tahoma"/>
            <family val="2"/>
          </rPr>
          <t>Nelly Nguyen:</t>
        </r>
        <r>
          <rPr>
            <sz val="9"/>
            <color indexed="81"/>
            <rFont val="Tahoma"/>
            <family val="2"/>
          </rPr>
          <t xml:space="preserve">
USD 5.1926</t>
        </r>
      </text>
    </comment>
    <comment ref="V25" authorId="1" shapeId="0" xr:uid="{A8FA5908-1A25-4C7F-8B02-3B8582357F11}">
      <text>
        <r>
          <rPr>
            <b/>
            <sz val="9"/>
            <color indexed="81"/>
            <rFont val="Tahoma"/>
            <family val="2"/>
          </rPr>
          <t>Marc Nicholls:</t>
        </r>
        <r>
          <rPr>
            <sz val="9"/>
            <color indexed="81"/>
            <rFont val="Tahoma"/>
            <family val="2"/>
          </rPr>
          <t xml:space="preserve">
BNPP $30 of $80m</t>
        </r>
      </text>
    </comment>
    <comment ref="V26" authorId="6" shapeId="0" xr:uid="{459CCB16-E9F8-4D8E-A2D3-E9E916B0B763}">
      <text>
        <r>
          <rPr>
            <b/>
            <sz val="9"/>
            <color indexed="81"/>
            <rFont val="Tahoma"/>
            <family val="2"/>
          </rPr>
          <t>Jemma Sargeant:</t>
        </r>
        <r>
          <rPr>
            <sz val="9"/>
            <color indexed="81"/>
            <rFont val="Tahoma"/>
            <family val="2"/>
          </rPr>
          <t xml:space="preserve">
ANZ US$96.8mil in US$193.6mil</t>
        </r>
      </text>
    </comment>
    <comment ref="A27" authorId="2" shapeId="0" xr:uid="{9EA99C50-64D6-4B3E-9EA1-F8C4A31A5F3B}">
      <text>
        <r>
          <rPr>
            <b/>
            <sz val="9"/>
            <color indexed="81"/>
            <rFont val="Tahoma"/>
            <family val="2"/>
          </rPr>
          <t>Barings (Head Office)</t>
        </r>
      </text>
    </comment>
    <comment ref="V27" authorId="6" shapeId="0" xr:uid="{55B39A74-2724-4E25-B6B5-DB457C18D013}">
      <text>
        <r>
          <rPr>
            <b/>
            <sz val="9"/>
            <color indexed="81"/>
            <rFont val="Tahoma"/>
            <family val="2"/>
          </rPr>
          <t>Jemma Sargeant:</t>
        </r>
        <r>
          <rPr>
            <sz val="9"/>
            <color indexed="81"/>
            <rFont val="Tahoma"/>
            <family val="2"/>
          </rPr>
          <t xml:space="preserve">
ING EUR 16.055mil</t>
        </r>
      </text>
    </comment>
    <comment ref="V28" authorId="6" shapeId="0" xr:uid="{85DE3776-CD26-4E1F-A026-E660328ABAFD}">
      <text>
        <r>
          <rPr>
            <b/>
            <sz val="9"/>
            <color indexed="81"/>
            <rFont val="Tahoma"/>
            <family val="2"/>
          </rPr>
          <t>Jemma Sargeant:</t>
        </r>
        <r>
          <rPr>
            <sz val="9"/>
            <color indexed="81"/>
            <rFont val="Tahoma"/>
            <family val="2"/>
          </rPr>
          <t xml:space="preserve">
US$105m in US$1.3b facility</t>
        </r>
      </text>
    </comment>
    <comment ref="V29" authorId="6" shapeId="0" xr:uid="{09522F4B-0ABE-4C78-83C6-71522F2C97FD}">
      <text>
        <r>
          <rPr>
            <b/>
            <sz val="9"/>
            <color indexed="81"/>
            <rFont val="Tahoma"/>
            <family val="2"/>
          </rPr>
          <t>Jemma Sargeant:</t>
        </r>
        <r>
          <rPr>
            <sz val="9"/>
            <color indexed="81"/>
            <rFont val="Tahoma"/>
            <family val="2"/>
          </rPr>
          <t xml:space="preserve">
US$75m in US$200m</t>
        </r>
      </text>
    </comment>
    <comment ref="V30" authorId="6" shapeId="0" xr:uid="{37CC2144-60EE-4E72-B620-3A292E57984A}">
      <text>
        <r>
          <rPr>
            <b/>
            <sz val="9"/>
            <color indexed="81"/>
            <rFont val="Tahoma"/>
            <family val="2"/>
          </rPr>
          <t>Jemma Sargeant:</t>
        </r>
        <r>
          <rPr>
            <sz val="9"/>
            <color indexed="81"/>
            <rFont val="Tahoma"/>
            <family val="2"/>
          </rPr>
          <t xml:space="preserve">
US$36m facility
</t>
        </r>
      </text>
    </comment>
    <comment ref="V31" authorId="6" shapeId="0" xr:uid="{89D4D2D3-CE85-4F06-A64C-4F8BAE528321}">
      <text>
        <r>
          <rPr>
            <b/>
            <sz val="9"/>
            <color indexed="81"/>
            <rFont val="Tahoma"/>
            <family val="2"/>
          </rPr>
          <t>Jemma Sargeant:</t>
        </r>
        <r>
          <rPr>
            <sz val="9"/>
            <color indexed="81"/>
            <rFont val="Tahoma"/>
            <family val="2"/>
          </rPr>
          <t xml:space="preserve">
US$150m in US$300m facility</t>
        </r>
      </text>
    </comment>
    <comment ref="V32" authorId="6" shapeId="0" xr:uid="{5156CF72-6D8E-4DE2-BE91-09C0EBD9E820}">
      <text>
        <r>
          <rPr>
            <b/>
            <sz val="9"/>
            <color indexed="81"/>
            <rFont val="Tahoma"/>
            <family val="2"/>
          </rPr>
          <t xml:space="preserve">Loan = us$350
Bank = us$100
</t>
        </r>
        <r>
          <rPr>
            <sz val="9"/>
            <color indexed="81"/>
            <rFont val="Tahoma"/>
            <family val="2"/>
          </rPr>
          <t xml:space="preserve">
</t>
        </r>
      </text>
    </comment>
    <comment ref="V33" authorId="6" shapeId="0" xr:uid="{470446B8-728C-437F-91A1-D8B537B1A062}">
      <text>
        <r>
          <rPr>
            <b/>
            <sz val="9"/>
            <color indexed="81"/>
            <rFont val="Tahoma"/>
            <family val="2"/>
          </rPr>
          <t xml:space="preserve">Jemma Sargeant
SGD100M in SGD427m
</t>
        </r>
        <r>
          <rPr>
            <sz val="9"/>
            <color indexed="81"/>
            <rFont val="Tahoma"/>
            <family val="2"/>
          </rPr>
          <t xml:space="preserve">
</t>
        </r>
      </text>
    </comment>
    <comment ref="V34" authorId="7" shapeId="0" xr:uid="{30032B71-9ECC-4F7D-A534-F894B8805CAE}">
      <text>
        <r>
          <rPr>
            <b/>
            <sz val="9"/>
            <color indexed="81"/>
            <rFont val="Tahoma"/>
            <family val="2"/>
          </rPr>
          <t>Samuel Atkinson:</t>
        </r>
        <r>
          <rPr>
            <sz val="9"/>
            <color indexed="81"/>
            <rFont val="Tahoma"/>
            <family val="2"/>
          </rPr>
          <t xml:space="preserve">
Bank limit: AUD 75m 
Facility limit: AUD 750m</t>
        </r>
      </text>
    </comment>
    <comment ref="V35" authorId="6" shapeId="0" xr:uid="{816C039E-1B15-4A1A-BA70-9CDB18B61B22}">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V36" authorId="7" shapeId="0" xr:uid="{456495C1-E965-4FDD-B4B5-B0D46B1A4502}">
      <text>
        <r>
          <rPr>
            <b/>
            <sz val="9"/>
            <color indexed="81"/>
            <rFont val="Tahoma"/>
            <family val="2"/>
          </rPr>
          <t>Samuel Atkinson:
Facility Limit: EUR 97.2m
Bank Limit: 48.6
Policy Limit: 15</t>
        </r>
      </text>
    </comment>
    <comment ref="V37" authorId="7" shapeId="0" xr:uid="{00D3DAEE-54A6-4A27-B04F-931696806A36}">
      <text>
        <r>
          <rPr>
            <b/>
            <sz val="9"/>
            <color indexed="81"/>
            <rFont val="Tahoma"/>
            <family val="2"/>
          </rPr>
          <t>Samuel Atkinson:</t>
        </r>
        <r>
          <rPr>
            <sz val="9"/>
            <color indexed="81"/>
            <rFont val="Tahoma"/>
            <family val="2"/>
          </rPr>
          <t xml:space="preserve">
1.75b US term loan
175b US ANZ commitment
</t>
        </r>
      </text>
    </comment>
    <comment ref="V38" authorId="7" shapeId="0" xr:uid="{227099DB-D67C-4CA6-A05B-7BE8C7542566}">
      <text>
        <r>
          <rPr>
            <b/>
            <sz val="9"/>
            <color indexed="81"/>
            <rFont val="Tahoma"/>
            <family val="2"/>
          </rPr>
          <t>Samuel Atkinson:</t>
        </r>
        <r>
          <rPr>
            <sz val="9"/>
            <color indexed="81"/>
            <rFont val="Tahoma"/>
            <family val="2"/>
          </rPr>
          <t xml:space="preserve">
Bank: EUR 120m
Loan: EUR 500m</t>
        </r>
      </text>
    </comment>
    <comment ref="O39" authorId="7" shapeId="0" xr:uid="{8A32048F-C83A-46C7-8923-4F18749F2A60}">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V39" authorId="7" shapeId="0" xr:uid="{8DCFD009-B7C4-40B2-A154-D19C818477F6}">
      <text>
        <r>
          <rPr>
            <b/>
            <sz val="9"/>
            <color indexed="81"/>
            <rFont val="Tahoma"/>
            <family val="2"/>
          </rPr>
          <t>Samuel Atkinson:</t>
        </r>
        <r>
          <rPr>
            <sz val="9"/>
            <color indexed="81"/>
            <rFont val="Tahoma"/>
            <family val="2"/>
          </rPr>
          <t xml:space="preserve">
Loan Limit:US$385.9m
Bank Limit: US$30m
Policy: US$10m</t>
        </r>
      </text>
    </comment>
    <comment ref="V40" authorId="7" shapeId="0" xr:uid="{2D16D3BD-34D2-41A4-AA4F-34C20695044C}">
      <text>
        <r>
          <rPr>
            <b/>
            <sz val="9"/>
            <color indexed="81"/>
            <rFont val="Tahoma"/>
            <family val="2"/>
          </rPr>
          <t>Samuel Atkinson:</t>
        </r>
        <r>
          <rPr>
            <sz val="9"/>
            <color indexed="81"/>
            <rFont val="Tahoma"/>
            <family val="2"/>
          </rPr>
          <t xml:space="preserve">
Bank Limit = 114.4m 
Loan Limit = 1.5b</t>
        </r>
      </text>
    </comment>
    <comment ref="V41" authorId="7" shapeId="0" xr:uid="{FD96764E-E601-48A2-ACF4-1525BE6E08DD}">
      <text>
        <r>
          <rPr>
            <b/>
            <sz val="9"/>
            <color indexed="81"/>
            <rFont val="Tahoma"/>
            <family val="2"/>
          </rPr>
          <t>Samuel Atkinson:
RI: 15m
Bank: 50m
Loan: 545m</t>
        </r>
      </text>
    </comment>
    <comment ref="V42" authorId="8" shapeId="0" xr:uid="{34F68B18-6753-4E67-9E5E-B8D7C4B609D6}">
      <text>
        <r>
          <rPr>
            <b/>
            <sz val="9"/>
            <color indexed="81"/>
            <rFont val="Tahoma"/>
            <family val="2"/>
          </rPr>
          <t>Ann Prosser:</t>
        </r>
        <r>
          <rPr>
            <sz val="9"/>
            <color indexed="81"/>
            <rFont val="Tahoma"/>
            <family val="2"/>
          </rPr>
          <t xml:space="preserve">
Loan Limit: A$1b
Bank Limit: A$50m 
Policy Limit: A$10m
</t>
        </r>
      </text>
    </comment>
    <comment ref="V43" authorId="5" shapeId="0" xr:uid="{190DB5BA-FFEA-449D-A7A9-A714B53F5558}">
      <text>
        <r>
          <rPr>
            <b/>
            <sz val="9"/>
            <color indexed="81"/>
            <rFont val="Tahoma"/>
            <family val="2"/>
          </rPr>
          <t>Nelly Nguyen:</t>
        </r>
        <r>
          <rPr>
            <sz val="9"/>
            <color indexed="81"/>
            <rFont val="Tahoma"/>
            <family val="2"/>
          </rPr>
          <t xml:space="preserve">
Loan: NZD 154.5m
Bank: NZD 62.5m
Limit: NZD 34.375m</t>
        </r>
      </text>
    </comment>
    <comment ref="V44" authorId="8" shapeId="0" xr:uid="{DA278DC8-423B-4877-81C3-51AA3DDE8167}">
      <text>
        <r>
          <rPr>
            <b/>
            <sz val="9"/>
            <color indexed="81"/>
            <rFont val="Tahoma"/>
            <family val="2"/>
          </rPr>
          <t>Ann Prosser:</t>
        </r>
        <r>
          <rPr>
            <sz val="9"/>
            <color indexed="81"/>
            <rFont val="Tahoma"/>
            <family val="2"/>
          </rPr>
          <t xml:space="preserve">
Policy limit: USD $15m, Bank Limit: usd $ 30m</t>
        </r>
      </text>
    </comment>
    <comment ref="V45" authorId="7" shapeId="0" xr:uid="{C934D525-C4E6-43EF-B3AA-E136F92F0740}">
      <text>
        <r>
          <rPr>
            <b/>
            <sz val="9"/>
            <color indexed="81"/>
            <rFont val="Tahoma"/>
            <family val="2"/>
          </rPr>
          <t>Samuel Atkinson:</t>
        </r>
        <r>
          <rPr>
            <sz val="9"/>
            <color indexed="81"/>
            <rFont val="Tahoma"/>
            <family val="2"/>
          </rPr>
          <t xml:space="preserve">
Bank Limit: US$42.033m
Loan  Limit: US$126.1m</t>
        </r>
      </text>
    </comment>
    <comment ref="V46" authorId="7" shapeId="0" xr:uid="{84AEAE53-8A11-439E-9A04-AB8BE594D506}">
      <text>
        <r>
          <rPr>
            <b/>
            <sz val="9"/>
            <color indexed="81"/>
            <rFont val="Tahoma"/>
            <family val="2"/>
          </rPr>
          <t>Samuel Atkinson:</t>
        </r>
        <r>
          <rPr>
            <sz val="9"/>
            <color indexed="81"/>
            <rFont val="Tahoma"/>
            <family val="2"/>
          </rPr>
          <t xml:space="preserve">
Bank Limit: US$10
Loan Limit: US$730m 
</t>
        </r>
      </text>
    </comment>
    <comment ref="V47" authorId="8" shapeId="0" xr:uid="{689A21AA-E07A-42F3-9CDE-248891684094}">
      <text>
        <r>
          <rPr>
            <b/>
            <sz val="9"/>
            <color indexed="81"/>
            <rFont val="Tahoma"/>
            <family val="2"/>
          </rPr>
          <t>Ann Prosser:</t>
        </r>
        <r>
          <rPr>
            <sz val="9"/>
            <color indexed="81"/>
            <rFont val="Tahoma"/>
            <family val="2"/>
          </rPr>
          <t xml:space="preserve">
Loan Limit: GBP 700m
Bank Limit: GBP 80m 
Policy Limit: GBP 10m</t>
        </r>
      </text>
    </comment>
    <comment ref="V48" authorId="8" shapeId="0" xr:uid="{9790E703-933F-4FFD-9032-8332C9F28DED}">
      <text>
        <r>
          <rPr>
            <b/>
            <sz val="9"/>
            <color indexed="81"/>
            <rFont val="Tahoma"/>
            <family val="2"/>
          </rPr>
          <t>Ann Prosser:</t>
        </r>
        <r>
          <rPr>
            <sz val="9"/>
            <color indexed="81"/>
            <rFont val="Tahoma"/>
            <family val="2"/>
          </rPr>
          <t xml:space="preserve">
Loan Limit: US$185m
Bank Limit: US$35m 
Policy Limit: US$7m
</t>
        </r>
      </text>
    </comment>
    <comment ref="V49" authorId="8" shapeId="0" xr:uid="{64683CDB-AF99-4537-BF76-B175BDC27EB2}">
      <text>
        <r>
          <rPr>
            <b/>
            <sz val="9"/>
            <color indexed="81"/>
            <rFont val="Tahoma"/>
            <family val="2"/>
          </rPr>
          <t>Ann Prosser:</t>
        </r>
        <r>
          <rPr>
            <sz val="9"/>
            <color indexed="81"/>
            <rFont val="Tahoma"/>
            <family val="2"/>
          </rPr>
          <t xml:space="preserve">
Loan Limit: US$64.1m
Bank Limit: US$53.4m 
Policy Limit: US$20m
</t>
        </r>
      </text>
    </comment>
    <comment ref="V50" authorId="8" shapeId="0" xr:uid="{DEB0669B-26C9-4AF4-BE46-08324572F45A}">
      <text>
        <r>
          <rPr>
            <b/>
            <sz val="9"/>
            <color indexed="81"/>
            <rFont val="Tahoma"/>
            <family val="2"/>
          </rPr>
          <t>Ann Prosser:</t>
        </r>
        <r>
          <rPr>
            <sz val="9"/>
            <color indexed="81"/>
            <rFont val="Tahoma"/>
            <family val="2"/>
          </rPr>
          <t xml:space="preserve">
Loan Limit: ~US$450m
Bank Limit: SGD 51.7m 
Policy Limit: SGD 14.1m
</t>
        </r>
      </text>
    </comment>
    <comment ref="V51" authorId="8" shapeId="0" xr:uid="{46F004B0-7D71-41FF-867B-74AFE281EE4E}">
      <text>
        <r>
          <rPr>
            <b/>
            <sz val="9"/>
            <color indexed="81"/>
            <rFont val="Tahoma"/>
            <family val="2"/>
          </rPr>
          <t>Ann Prosser:</t>
        </r>
        <r>
          <rPr>
            <sz val="9"/>
            <color indexed="81"/>
            <rFont val="Tahoma"/>
            <family val="2"/>
          </rPr>
          <t xml:space="preserve">
Loan Limit A$1.6b
Bank Limit  A$60m
Policy Limit A$30m</t>
        </r>
      </text>
    </comment>
    <comment ref="V52" authorId="8" shapeId="0" xr:uid="{4AD4A90B-F1D5-4F6C-86E4-DFF47EC06A7C}">
      <text>
        <r>
          <rPr>
            <b/>
            <sz val="9"/>
            <color indexed="81"/>
            <rFont val="Tahoma"/>
            <family val="2"/>
          </rPr>
          <t>Ann Prosser:</t>
        </r>
        <r>
          <rPr>
            <sz val="9"/>
            <color indexed="81"/>
            <rFont val="Tahoma"/>
            <family val="2"/>
          </rPr>
          <t xml:space="preserve">
"Loan Limit: A$1.04bn
Bank Limit: A$50m 
Policy Limit: A$25m"
</t>
        </r>
      </text>
    </comment>
    <comment ref="V53" authorId="8" shapeId="0" xr:uid="{A3F13633-2560-4AD8-87D3-66D794921C30}">
      <text>
        <r>
          <rPr>
            <b/>
            <sz val="9"/>
            <color indexed="81"/>
            <rFont val="Tahoma"/>
            <family val="2"/>
          </rPr>
          <t>Ann Prosser:</t>
        </r>
        <r>
          <rPr>
            <sz val="9"/>
            <color indexed="81"/>
            <rFont val="Tahoma"/>
            <family val="2"/>
          </rPr>
          <t xml:space="preserve">
Loan Limit: US$3bn
Bank Limit: US$150m 
Policy Limit: US$7.5</t>
        </r>
      </text>
    </comment>
    <comment ref="V54" authorId="8" shapeId="0" xr:uid="{3B24F7FD-C671-49DE-8777-E088C350A6CE}">
      <text>
        <r>
          <rPr>
            <b/>
            <sz val="9"/>
            <color indexed="81"/>
            <rFont val="Tahoma"/>
            <family val="2"/>
          </rPr>
          <t>Ann Prosser:</t>
        </r>
        <r>
          <rPr>
            <sz val="9"/>
            <color indexed="81"/>
            <rFont val="Tahoma"/>
            <family val="2"/>
          </rPr>
          <t xml:space="preserve">
"Loan Limit: US$46.9m
Bank Limit: US$46.9m 
Policy Limit: US$20m"
</t>
        </r>
      </text>
    </comment>
    <comment ref="V55" authorId="8" shapeId="0" xr:uid="{4C15C209-838C-4499-B34E-A098361CF130}">
      <text>
        <r>
          <rPr>
            <b/>
            <sz val="9"/>
            <color indexed="81"/>
            <rFont val="Tahoma"/>
            <family val="2"/>
          </rPr>
          <t>Ann Prosser:</t>
        </r>
        <r>
          <rPr>
            <sz val="9"/>
            <color indexed="81"/>
            <rFont val="Tahoma"/>
            <family val="2"/>
          </rPr>
          <t xml:space="preserve">
Loan Limit: €57m
Bank Limit: €53m
Policy Limit: €12.5m
</t>
        </r>
      </text>
    </comment>
    <comment ref="V56" authorId="8" shapeId="0" xr:uid="{2BAC62C7-3722-4374-B244-6BAD91E082BE}">
      <text>
        <r>
          <rPr>
            <b/>
            <sz val="9"/>
            <color indexed="81"/>
            <rFont val="Tahoma"/>
            <family val="2"/>
          </rPr>
          <t>Ann Prosser:</t>
        </r>
        <r>
          <rPr>
            <sz val="9"/>
            <color indexed="81"/>
            <rFont val="Tahoma"/>
            <family val="2"/>
          </rPr>
          <t xml:space="preserve">
Loan Limit: EUR300m
Bank Limit: EUR65m 
Policy Limit: EUR20m
</t>
        </r>
      </text>
    </comment>
    <comment ref="V57" authorId="0" shapeId="0" xr:uid="{E5D43A17-21AF-49D6-AD93-CECB1942221C}">
      <text>
        <r>
          <rPr>
            <b/>
            <sz val="9"/>
            <color indexed="81"/>
            <rFont val="Tahoma"/>
            <family val="2"/>
          </rPr>
          <t>Lea Krstevska:</t>
        </r>
        <r>
          <rPr>
            <sz val="9"/>
            <color indexed="81"/>
            <rFont val="Tahoma"/>
            <family val="2"/>
          </rPr>
          <t xml:space="preserve">
Loan Limit: US$5bn
Bank Limit: US$350m
Policy Limit: US$20m</t>
        </r>
      </text>
    </comment>
    <comment ref="V58" authorId="0" shapeId="0" xr:uid="{C9DB3D98-745D-4006-A83B-49CCE7F946B3}">
      <text>
        <r>
          <rPr>
            <b/>
            <sz val="9"/>
            <color indexed="81"/>
            <rFont val="Tahoma"/>
            <family val="2"/>
          </rPr>
          <t>Lea Krstevska:</t>
        </r>
        <r>
          <rPr>
            <sz val="9"/>
            <color indexed="81"/>
            <rFont val="Tahoma"/>
            <family val="2"/>
          </rPr>
          <t xml:space="preserve">
Loan Limit: US$886m
Bank Limit: US$58m 
Policy Limit: US$10m</t>
        </r>
      </text>
    </comment>
    <comment ref="V59" authorId="8" shapeId="0" xr:uid="{17519DAD-C7D2-438F-8A3F-87F394813CA5}">
      <text>
        <r>
          <rPr>
            <b/>
            <sz val="9"/>
            <color indexed="81"/>
            <rFont val="Tahoma"/>
            <family val="2"/>
          </rPr>
          <t>Ann Prosser:</t>
        </r>
        <r>
          <rPr>
            <sz val="9"/>
            <color indexed="81"/>
            <rFont val="Tahoma"/>
            <family val="2"/>
          </rPr>
          <t xml:space="preserve">
Loan Limit: A$5,250m
Bank Limit: A$488m 
Policy Limit: A$15m
</t>
        </r>
      </text>
    </comment>
    <comment ref="V60" authorId="0" shapeId="0" xr:uid="{0A7C4115-CC43-4A21-AAEC-52AB04117FDE}">
      <text>
        <r>
          <rPr>
            <b/>
            <sz val="9"/>
            <color indexed="81"/>
            <rFont val="Tahoma"/>
            <family val="2"/>
          </rPr>
          <t>Lea Krstevska:</t>
        </r>
        <r>
          <rPr>
            <sz val="9"/>
            <color indexed="81"/>
            <rFont val="Tahoma"/>
            <family val="2"/>
          </rPr>
          <t xml:space="preserve">
Loan Limit: US$300m
Bank Limit: US$100m 
Policy Limit: US$10m</t>
        </r>
      </text>
    </comment>
    <comment ref="V61" authorId="0" shapeId="0" xr:uid="{0DB90F0A-FE61-4570-B38F-1F0AEA6EBF40}">
      <text>
        <r>
          <rPr>
            <b/>
            <sz val="9"/>
            <color indexed="81"/>
            <rFont val="Tahoma"/>
            <family val="2"/>
          </rPr>
          <t>Lea Krstevska:</t>
        </r>
        <r>
          <rPr>
            <sz val="9"/>
            <color indexed="81"/>
            <rFont val="Tahoma"/>
            <family val="2"/>
          </rPr>
          <t xml:space="preserve">
Loan Limit: A$256.3m
Bank Limit: A$256.3m 
Policy Limit: A$25m</t>
        </r>
      </text>
    </comment>
    <comment ref="V62" authorId="0" shapeId="0" xr:uid="{5E37E4CA-896C-409D-9995-3869B14F75D2}">
      <text>
        <r>
          <rPr>
            <b/>
            <sz val="9"/>
            <color indexed="81"/>
            <rFont val="Tahoma"/>
            <family val="2"/>
          </rPr>
          <t>Lea Krstevska:</t>
        </r>
        <r>
          <rPr>
            <sz val="9"/>
            <color indexed="81"/>
            <rFont val="Tahoma"/>
            <family val="2"/>
          </rPr>
          <t xml:space="preserve">
Loan Limit: NOK 1.5b
Bank Limit: NOK 990m 
Policy Limit: NOK 158m</t>
        </r>
      </text>
    </comment>
    <comment ref="V63" authorId="8" shapeId="0" xr:uid="{BE1BDD0D-27E1-4785-B93B-21F572F682CB}">
      <text>
        <r>
          <rPr>
            <b/>
            <sz val="9"/>
            <color indexed="81"/>
            <rFont val="Tahoma"/>
            <family val="2"/>
          </rPr>
          <t>Ann Prosser:</t>
        </r>
        <r>
          <rPr>
            <sz val="9"/>
            <color indexed="81"/>
            <rFont val="Tahoma"/>
            <family val="2"/>
          </rPr>
          <t xml:space="preserve">
Loan Limit: A$129.6m
Bank Limit: A$93m 
Policy Limit: A$25m
</t>
        </r>
      </text>
    </comment>
    <comment ref="W63" authorId="5" shapeId="0" xr:uid="{4DC09277-4ED9-45EE-857B-ED8F1C9B5F05}">
      <text>
        <r>
          <rPr>
            <b/>
            <sz val="9"/>
            <color indexed="81"/>
            <rFont val="Tahoma"/>
            <family val="2"/>
          </rPr>
          <t>Nelly Nguyen:</t>
        </r>
        <r>
          <rPr>
            <sz val="9"/>
            <color indexed="81"/>
            <rFont val="Tahoma"/>
            <family val="2"/>
          </rPr>
          <t xml:space="preserve">
WB is 76,262.16, but the additional adj is 10K to be 1,052,741.43 as at Nov-end 22</t>
        </r>
      </text>
    </comment>
    <comment ref="V64" authorId="0" shapeId="0" xr:uid="{9604ECD3-08D6-4BEB-88B1-50FB89EB6997}">
      <text>
        <r>
          <rPr>
            <b/>
            <sz val="9"/>
            <color indexed="81"/>
            <rFont val="Tahoma"/>
            <family val="2"/>
          </rPr>
          <t>Lea Krstevska:</t>
        </r>
        <r>
          <rPr>
            <sz val="9"/>
            <color indexed="81"/>
            <rFont val="Tahoma"/>
            <family val="2"/>
          </rPr>
          <t xml:space="preserve">
Loan Limit: EUR 1.4b
Bank Limit: EUR 212m 
Policy Limit: EUR 15m</t>
        </r>
      </text>
    </comment>
    <comment ref="V65" authorId="0" shapeId="0" xr:uid="{F0D1BEB1-47CC-4D2C-BCBC-23C18CF564D5}">
      <text>
        <r>
          <rPr>
            <b/>
            <sz val="9"/>
            <color indexed="81"/>
            <rFont val="Tahoma"/>
            <family val="2"/>
          </rPr>
          <t>Lea Krstevska:</t>
        </r>
        <r>
          <rPr>
            <sz val="9"/>
            <color indexed="81"/>
            <rFont val="Tahoma"/>
            <family val="2"/>
          </rPr>
          <t xml:space="preserve">
Loan Limit: US$75m
Bank Limit: US$75m 
Policy Limit: US$20m</t>
        </r>
      </text>
    </comment>
    <comment ref="V66" authorId="0" shapeId="0" xr:uid="{FEB17408-3E16-4B17-924A-186A32D1E609}">
      <text>
        <r>
          <rPr>
            <b/>
            <sz val="9"/>
            <color indexed="81"/>
            <rFont val="Tahoma"/>
            <family val="2"/>
          </rPr>
          <t>Lea Krstevska:</t>
        </r>
        <r>
          <rPr>
            <sz val="9"/>
            <color indexed="81"/>
            <rFont val="Tahoma"/>
            <family val="2"/>
          </rPr>
          <t xml:space="preserve">
Loan Limit: EUR 20m
Bank Limit: EUR 20m 
Policy Limit: EUR 3m</t>
        </r>
      </text>
    </comment>
    <comment ref="V67" authorId="0" shapeId="0" xr:uid="{148BDE13-517B-4D9E-BBF6-B529CB7F8F47}">
      <text>
        <r>
          <rPr>
            <b/>
            <sz val="9"/>
            <color indexed="81"/>
            <rFont val="Tahoma"/>
            <family val="2"/>
          </rPr>
          <t>Lea Krstevska:</t>
        </r>
        <r>
          <rPr>
            <sz val="9"/>
            <color indexed="81"/>
            <rFont val="Tahoma"/>
            <family val="2"/>
          </rPr>
          <t xml:space="preserve">
Loan: JPY12bn
Bank: JPY7bn
Policy: JPY 2.6bn</t>
        </r>
      </text>
    </comment>
    <comment ref="V68" authorId="0" shapeId="0" xr:uid="{1D49B6F4-A427-4ED6-8196-114285CB7FA2}">
      <text>
        <r>
          <rPr>
            <b/>
            <sz val="9"/>
            <color indexed="81"/>
            <rFont val="Tahoma"/>
            <family val="2"/>
          </rPr>
          <t>Lea Krstevska:</t>
        </r>
        <r>
          <rPr>
            <sz val="9"/>
            <color indexed="81"/>
            <rFont val="Tahoma"/>
            <family val="2"/>
          </rPr>
          <t xml:space="preserve">
Loan Limit £400m
Bank Limit £90m
Policy Limit  £5m</t>
        </r>
      </text>
    </comment>
    <comment ref="V69" authorId="0" shapeId="0" xr:uid="{B90A1A7F-0E1F-44BA-8AA7-38B1F3E1B006}">
      <text>
        <r>
          <rPr>
            <b/>
            <sz val="9"/>
            <color indexed="81"/>
            <rFont val="Tahoma"/>
            <family val="2"/>
          </rPr>
          <t>Lea Krstevska:</t>
        </r>
        <r>
          <rPr>
            <sz val="9"/>
            <color indexed="81"/>
            <rFont val="Tahoma"/>
            <family val="2"/>
          </rPr>
          <t xml:space="preserve">
Loan Limit: A$319m
Bank Limit: A$319m 
Policy Limit: A$30m</t>
        </r>
      </text>
    </comment>
    <comment ref="V70" authorId="7" shapeId="0" xr:uid="{82D1588C-CB9D-4450-879D-C7D53C578694}">
      <text>
        <r>
          <rPr>
            <b/>
            <sz val="9"/>
            <color indexed="81"/>
            <rFont val="Tahoma"/>
            <family val="2"/>
          </rPr>
          <t>Samuel Atkinson:EUR 25m Bank Limit 
EUR 25m Loan Limit</t>
        </r>
      </text>
    </comment>
    <comment ref="V71" authorId="7" shapeId="0" xr:uid="{F2788D55-A4D2-496E-9C50-E2C22EC96770}">
      <text>
        <r>
          <rPr>
            <b/>
            <sz val="9"/>
            <color indexed="81"/>
            <rFont val="Tahoma"/>
            <family val="2"/>
          </rPr>
          <t>Samuel Atkinson:</t>
        </r>
        <r>
          <rPr>
            <sz val="9"/>
            <color indexed="81"/>
            <rFont val="Tahoma"/>
            <family val="2"/>
          </rPr>
          <t xml:space="preserve">
Bank Limit: EUR 105m
Loan Limit: EUR 330m</t>
        </r>
      </text>
    </comment>
    <comment ref="V72" authorId="7" shapeId="0" xr:uid="{148A6562-4910-491B-AAF4-10480534D79A}">
      <text>
        <r>
          <rPr>
            <b/>
            <sz val="9"/>
            <color indexed="81"/>
            <rFont val="Tahoma"/>
            <family val="2"/>
          </rPr>
          <t>Samuel Atkinson
US$61m Bank Limit
US$575m Loan Limit</t>
        </r>
      </text>
    </comment>
    <comment ref="V73" authorId="8" shapeId="0" xr:uid="{4A62BFC0-F2BC-4D7C-839E-3E2477C61A42}">
      <text>
        <r>
          <rPr>
            <b/>
            <sz val="9"/>
            <color indexed="81"/>
            <rFont val="Tahoma"/>
            <family val="2"/>
          </rPr>
          <t>Ann Prosser:</t>
        </r>
        <r>
          <rPr>
            <sz val="9"/>
            <color indexed="81"/>
            <rFont val="Tahoma"/>
            <family val="2"/>
          </rPr>
          <t xml:space="preserve">
Loan Limit: US$1.3bn
Bank Limit: US$95m
Policy Limit: US$5m
</t>
        </r>
      </text>
    </comment>
    <comment ref="V74" authorId="2" shapeId="0" xr:uid="{41D1C57A-7421-4CFF-9E5E-3133D676E306}">
      <text>
        <r>
          <rPr>
            <sz val="8"/>
            <color indexed="81"/>
            <rFont val="Tahoma"/>
            <family val="2"/>
          </rPr>
          <t>US$397.5m , ING US$50m</t>
        </r>
      </text>
    </comment>
    <comment ref="V75" authorId="0" shapeId="0" xr:uid="{0C082B6F-EE5F-4F9B-9630-01C1E10B2C76}">
      <text>
        <r>
          <rPr>
            <b/>
            <sz val="9"/>
            <color indexed="81"/>
            <rFont val="Tahoma"/>
            <family val="2"/>
          </rPr>
          <t>Lea Krstevska:</t>
        </r>
        <r>
          <rPr>
            <sz val="9"/>
            <color indexed="81"/>
            <rFont val="Tahoma"/>
            <family val="2"/>
          </rPr>
          <t xml:space="preserve">
Loan: US$340m
Bank: US$80m
Policy: US$15m</t>
        </r>
      </text>
    </comment>
    <comment ref="V76" authorId="0" shapeId="0" xr:uid="{B9B63EEB-3B4A-4C4F-A981-D9095A8DBAA7}">
      <text>
        <r>
          <rPr>
            <b/>
            <sz val="9"/>
            <color indexed="81"/>
            <rFont val="Tahoma"/>
            <family val="2"/>
          </rPr>
          <t>Lea Krstevska:</t>
        </r>
        <r>
          <rPr>
            <sz val="9"/>
            <color indexed="81"/>
            <rFont val="Tahoma"/>
            <family val="2"/>
          </rPr>
          <t xml:space="preserve">
Loan: US$125m
Bank: US$9.375m
Policy: US$7.5m</t>
        </r>
      </text>
    </comment>
    <comment ref="V77" authorId="0" shapeId="0" xr:uid="{23DDC8DF-B2C3-4467-AAEA-52CD189DE137}">
      <text>
        <r>
          <rPr>
            <b/>
            <sz val="9"/>
            <color indexed="81"/>
            <rFont val="Tahoma"/>
            <family val="2"/>
          </rPr>
          <t>Lea Krstevska:</t>
        </r>
        <r>
          <rPr>
            <sz val="9"/>
            <color indexed="81"/>
            <rFont val="Tahoma"/>
            <family val="2"/>
          </rPr>
          <t xml:space="preserve">
Loan: US$265m
Bank: US$30m
Policy: US$15m</t>
        </r>
      </text>
    </comment>
    <comment ref="V78" authorId="0" shapeId="0" xr:uid="{66985824-67BD-4EFD-9288-53CA1CA5CF8D}">
      <text>
        <r>
          <rPr>
            <b/>
            <sz val="9"/>
            <color indexed="81"/>
            <rFont val="Tahoma"/>
            <family val="2"/>
          </rPr>
          <t>Lea Krstevska:</t>
        </r>
        <r>
          <rPr>
            <sz val="9"/>
            <color indexed="81"/>
            <rFont val="Tahoma"/>
            <family val="2"/>
          </rPr>
          <t xml:space="preserve">
Loan: US$400m
Bank: US$45m
Policy: US$15m</t>
        </r>
      </text>
    </comment>
    <comment ref="V79" authorId="0" shapeId="0" xr:uid="{BE9F6575-BBFA-4FAE-91D4-722FBC54134D}">
      <text>
        <r>
          <rPr>
            <b/>
            <sz val="9"/>
            <color indexed="81"/>
            <rFont val="Tahoma"/>
            <family val="2"/>
          </rPr>
          <t>Lea Krstevska:</t>
        </r>
        <r>
          <rPr>
            <sz val="9"/>
            <color indexed="81"/>
            <rFont val="Tahoma"/>
            <family val="2"/>
          </rPr>
          <t xml:space="preserve">
Loan: EUR620m
Bank: EUR100m
Policy: EUR15m</t>
        </r>
      </text>
    </comment>
    <comment ref="V80" authorId="0" shapeId="0" xr:uid="{8BA46788-CA28-4651-907F-82E8BA3DCA2A}">
      <text>
        <r>
          <rPr>
            <b/>
            <sz val="9"/>
            <color indexed="81"/>
            <rFont val="Tahoma"/>
            <family val="2"/>
          </rPr>
          <t>Lea Krstevska:</t>
        </r>
        <r>
          <rPr>
            <sz val="9"/>
            <color indexed="81"/>
            <rFont val="Tahoma"/>
            <family val="2"/>
          </rPr>
          <t xml:space="preserve">
Loan: US$69.8m
Bank: US$69.8m
Policy: US$15m</t>
        </r>
      </text>
    </comment>
    <comment ref="V81" authorId="0" shapeId="0" xr:uid="{861FDC2E-3728-4303-8368-61C69B5E8B7A}">
      <text>
        <r>
          <rPr>
            <b/>
            <sz val="9"/>
            <color indexed="81"/>
            <rFont val="Tahoma"/>
            <family val="2"/>
          </rPr>
          <t>Lea Krstevska:</t>
        </r>
        <r>
          <rPr>
            <sz val="9"/>
            <color indexed="81"/>
            <rFont val="Tahoma"/>
            <family val="2"/>
          </rPr>
          <t xml:space="preserve">
Loan: US$300m
Bank: US$30m
Policy: US$15m</t>
        </r>
      </text>
    </comment>
    <comment ref="V82" authorId="0" shapeId="0" xr:uid="{5F8BDBC4-FF4E-4909-9998-17B7C40ABC85}">
      <text>
        <r>
          <rPr>
            <b/>
            <sz val="9"/>
            <color indexed="81"/>
            <rFont val="Tahoma"/>
            <family val="2"/>
          </rPr>
          <t>Lea Krstevska:</t>
        </r>
        <r>
          <rPr>
            <sz val="9"/>
            <color indexed="81"/>
            <rFont val="Tahoma"/>
            <family val="2"/>
          </rPr>
          <t xml:space="preserve">
Loan: EUR1.03bn
Bank: EUR185.6m
Policy: EUR22m</t>
        </r>
      </text>
    </comment>
    <comment ref="V83" authorId="0" shapeId="0" xr:uid="{860537CC-4D98-478D-AEEE-C27F5AB65AD3}">
      <text>
        <r>
          <rPr>
            <b/>
            <sz val="9"/>
            <color indexed="81"/>
            <rFont val="Tahoma"/>
            <family val="2"/>
          </rPr>
          <t>Lea Krstevska:</t>
        </r>
        <r>
          <rPr>
            <sz val="9"/>
            <color indexed="81"/>
            <rFont val="Tahoma"/>
            <family val="2"/>
          </rPr>
          <t xml:space="preserve">
Loan: EUR375m
Bank: EUR50m
Policy: EUR10m</t>
        </r>
      </text>
    </comment>
    <comment ref="V84" authorId="0" shapeId="0" xr:uid="{FCAA2AAB-CFF9-456E-933D-912234ADA284}">
      <text>
        <r>
          <rPr>
            <b/>
            <sz val="9"/>
            <color indexed="81"/>
            <rFont val="Tahoma"/>
            <family val="2"/>
          </rPr>
          <t>Lea Krstevska:</t>
        </r>
        <r>
          <rPr>
            <sz val="9"/>
            <color indexed="81"/>
            <rFont val="Tahoma"/>
            <family val="2"/>
          </rPr>
          <t xml:space="preserve">
Loan Limit: US$1.05bn
Bank Limit: US$125m
Policy Limit: US$15m</t>
        </r>
      </text>
    </comment>
    <comment ref="V85" authorId="0" shapeId="0" xr:uid="{BD7A2645-BDC3-448A-868D-6AA40CF67DC4}">
      <text>
        <r>
          <rPr>
            <b/>
            <sz val="9"/>
            <color indexed="81"/>
            <rFont val="Tahoma"/>
            <family val="2"/>
          </rPr>
          <t>Lea Krstevska:</t>
        </r>
        <r>
          <rPr>
            <sz val="9"/>
            <color indexed="81"/>
            <rFont val="Tahoma"/>
            <family val="2"/>
          </rPr>
          <t xml:space="preserve">
Loan Limit: JPY 22.117bn
Bank Limit: JPY 10bn
Policy Limit: JPY 986.8m</t>
        </r>
      </text>
    </comment>
    <comment ref="V86" authorId="0" shapeId="0" xr:uid="{83BC4DC6-D25F-4837-877E-F30A6A4ECEEC}">
      <text>
        <r>
          <rPr>
            <b/>
            <sz val="9"/>
            <color indexed="81"/>
            <rFont val="Tahoma"/>
            <family val="2"/>
          </rPr>
          <t>Lea Krstevska:</t>
        </r>
        <r>
          <rPr>
            <sz val="9"/>
            <color indexed="81"/>
            <rFont val="Tahoma"/>
            <family val="2"/>
          </rPr>
          <t xml:space="preserve">
Loan Limit: US$327m
Bank Llimit: US$20m
Policy Limit: US$10m</t>
        </r>
      </text>
    </comment>
    <comment ref="V87" authorId="0" shapeId="0" xr:uid="{39F8DFC0-C9D4-4516-A3A9-E2A5F6DF92CD}">
      <text>
        <r>
          <rPr>
            <b/>
            <sz val="9"/>
            <color indexed="81"/>
            <rFont val="Tahoma"/>
            <family val="2"/>
          </rPr>
          <t>Lea Krstevska:</t>
        </r>
        <r>
          <rPr>
            <sz val="9"/>
            <color indexed="81"/>
            <rFont val="Tahoma"/>
            <family val="2"/>
          </rPr>
          <t xml:space="preserve">
Loan Limit: US$818m
Bank Limit: US$40m
Policy Limit: US$20m</t>
        </r>
      </text>
    </comment>
    <comment ref="V88" authorId="0" shapeId="0" xr:uid="{638D70B7-9DB0-45B7-9006-806017BB09C8}">
      <text>
        <r>
          <rPr>
            <b/>
            <sz val="9"/>
            <color indexed="81"/>
            <rFont val="Tahoma"/>
            <family val="2"/>
          </rPr>
          <t>Lea Krstevska:</t>
        </r>
        <r>
          <rPr>
            <sz val="9"/>
            <color indexed="81"/>
            <rFont val="Tahoma"/>
            <family val="2"/>
          </rPr>
          <t xml:space="preserve">
Loan Limit: US$450m
Bank Limit: US$15m
Policy Limit: US$7.5m</t>
        </r>
      </text>
    </comment>
    <comment ref="V89" authorId="0" shapeId="0" xr:uid="{AE27B0DE-666F-40B3-B7A0-532253FD1703}">
      <text>
        <r>
          <rPr>
            <b/>
            <sz val="9"/>
            <color indexed="81"/>
            <rFont val="Tahoma"/>
            <family val="2"/>
          </rPr>
          <t>Lea Krstevska:</t>
        </r>
        <r>
          <rPr>
            <sz val="9"/>
            <color indexed="81"/>
            <rFont val="Tahoma"/>
            <family val="2"/>
          </rPr>
          <t xml:space="preserve">
Loan Limit: CAD$355m+170m
Bank Limit: CAD$30m+22m
Policu Limit: CAD$15m+12m</t>
        </r>
      </text>
    </comment>
    <comment ref="V90" authorId="0" shapeId="0" xr:uid="{895733C5-7A09-4F3C-A5AA-4ADA90AFE718}">
      <text>
        <r>
          <rPr>
            <b/>
            <sz val="9"/>
            <color indexed="81"/>
            <rFont val="Tahoma"/>
            <family val="2"/>
          </rPr>
          <t>Lea Krstevska:</t>
        </r>
        <r>
          <rPr>
            <sz val="9"/>
            <color indexed="81"/>
            <rFont val="Tahoma"/>
            <family val="2"/>
          </rPr>
          <t xml:space="preserve">
Loan Limit: US$327m
Bank Llimit: US$13.8m
Policy Limit: US$6.9m</t>
        </r>
      </text>
    </comment>
    <comment ref="V91" authorId="0" shapeId="0" xr:uid="{35EDB179-6390-4BBA-A595-CC32B6B69102}">
      <text>
        <r>
          <rPr>
            <b/>
            <sz val="9"/>
            <color indexed="81"/>
            <rFont val="Tahoma"/>
            <family val="2"/>
          </rPr>
          <t>Lea Krstevska:</t>
        </r>
        <r>
          <rPr>
            <sz val="9"/>
            <color indexed="81"/>
            <rFont val="Tahoma"/>
            <family val="2"/>
          </rPr>
          <t xml:space="preserve">
Loan Limit: USD$103m
Bank Limit: USD$103m
Policy Limit: USD$15m</t>
        </r>
      </text>
    </comment>
    <comment ref="V92" authorId="0" shapeId="0" xr:uid="{F47DAD9D-9E67-47D5-9FBA-0502E5D0CFA9}">
      <text>
        <r>
          <rPr>
            <b/>
            <sz val="9"/>
            <color indexed="81"/>
            <rFont val="Tahoma"/>
            <family val="2"/>
          </rPr>
          <t>Lea Krstevska:</t>
        </r>
        <r>
          <rPr>
            <sz val="9"/>
            <color indexed="81"/>
            <rFont val="Tahoma"/>
            <family val="2"/>
          </rPr>
          <t xml:space="preserve">
Loan Limit: A$72.688m
Bank Limit: A$72.688m
Policy Limit: A$15m+10m</t>
        </r>
      </text>
    </comment>
    <comment ref="V93" authorId="0" shapeId="0" xr:uid="{975EECF5-A097-43AC-9018-D25F0DFD5309}">
      <text>
        <r>
          <rPr>
            <b/>
            <sz val="9"/>
            <color indexed="81"/>
            <rFont val="Tahoma"/>
            <family val="2"/>
          </rPr>
          <t>Lea Krstevska:</t>
        </r>
        <r>
          <rPr>
            <sz val="9"/>
            <color indexed="81"/>
            <rFont val="Tahoma"/>
            <family val="2"/>
          </rPr>
          <t xml:space="preserve">
Loan Limit: USD$988m
Bank Limit: USD$74.3m
Policy Limit: USD$20m</t>
        </r>
      </text>
    </comment>
    <comment ref="V94" authorId="0" shapeId="0" xr:uid="{F24D06DB-61F5-40BB-83EA-0352D225097E}">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V95" authorId="0" shapeId="0" xr:uid="{2414A8A8-834C-46B6-A2D2-C44827D377F2}">
      <text>
        <r>
          <rPr>
            <b/>
            <sz val="9"/>
            <color indexed="81"/>
            <rFont val="Tahoma"/>
            <family val="2"/>
          </rPr>
          <t>Lea Krstevska:</t>
        </r>
        <r>
          <rPr>
            <sz val="9"/>
            <color indexed="81"/>
            <rFont val="Tahoma"/>
            <family val="2"/>
          </rPr>
          <t xml:space="preserve">
Loan Limit: US$4.5bn
Bank Limit: US$285m
Policy Limit: US$10m</t>
        </r>
      </text>
    </comment>
    <comment ref="V96" authorId="0" shapeId="0" xr:uid="{763470BD-EDB0-4DB9-B78A-01431A1C5BC8}">
      <text>
        <r>
          <rPr>
            <b/>
            <sz val="9"/>
            <color indexed="81"/>
            <rFont val="Tahoma"/>
            <family val="2"/>
          </rPr>
          <t>Lea Krstevska:</t>
        </r>
        <r>
          <rPr>
            <sz val="9"/>
            <color indexed="81"/>
            <rFont val="Tahoma"/>
            <family val="2"/>
          </rPr>
          <t xml:space="preserve">
Loan Limit: A$266M
Bank Limit: A$41.5m
Policy Limit: A$15m</t>
        </r>
      </text>
    </comment>
    <comment ref="V97" authorId="0" shapeId="0" xr:uid="{1351FF48-74F4-4797-9BFF-FF0A661B1647}">
      <text>
        <r>
          <rPr>
            <b/>
            <sz val="9"/>
            <color indexed="81"/>
            <rFont val="Tahoma"/>
            <family val="2"/>
          </rPr>
          <t>Lea Krstevska:</t>
        </r>
        <r>
          <rPr>
            <sz val="9"/>
            <color indexed="81"/>
            <rFont val="Tahoma"/>
            <family val="2"/>
          </rPr>
          <t xml:space="preserve">
Loan Limit: US$80m
Bank Limit: U$9.5m
Policy Limit: US$4.75m</t>
        </r>
      </text>
    </comment>
    <comment ref="V98" authorId="0" shapeId="0" xr:uid="{0EA69883-64E6-4AD2-95CF-AD96BFBD44B8}">
      <text>
        <r>
          <rPr>
            <b/>
            <sz val="9"/>
            <color indexed="81"/>
            <rFont val="Tahoma"/>
            <family val="2"/>
          </rPr>
          <t>Lea Krstevska:</t>
        </r>
        <r>
          <rPr>
            <sz val="9"/>
            <color indexed="81"/>
            <rFont val="Tahoma"/>
            <family val="2"/>
          </rPr>
          <t xml:space="preserve">
Loan Limit: EUR350m
Bank Limit: EUR70m
Policy Limit: EUR6.25m</t>
        </r>
      </text>
    </comment>
    <comment ref="V99" authorId="0" shapeId="0" xr:uid="{0962A753-AC64-49F7-B506-08B1EC0BA6BE}">
      <text>
        <r>
          <rPr>
            <b/>
            <sz val="9"/>
            <color indexed="81"/>
            <rFont val="Tahoma"/>
            <family val="2"/>
          </rPr>
          <t>Lea Krstevska:</t>
        </r>
        <r>
          <rPr>
            <sz val="9"/>
            <color indexed="81"/>
            <rFont val="Tahoma"/>
            <family val="2"/>
          </rPr>
          <t xml:space="preserve">
Loan Limit: US$55m
Bank Limit: US$15.7m
Policy Limit: US$10m</t>
        </r>
      </text>
    </comment>
    <comment ref="V100" authorId="0" shapeId="0" xr:uid="{66A64183-1F25-469C-99D6-32B319EF3729}">
      <text>
        <r>
          <rPr>
            <b/>
            <sz val="9"/>
            <color indexed="81"/>
            <rFont val="Tahoma"/>
            <family val="2"/>
          </rPr>
          <t>Lea Krstevska:</t>
        </r>
        <r>
          <rPr>
            <sz val="9"/>
            <color indexed="81"/>
            <rFont val="Tahoma"/>
            <family val="2"/>
          </rPr>
          <t xml:space="preserve">
Loan Limit: US$1bn
Bank Limit: US$45m
Policy Limit: US$15m</t>
        </r>
      </text>
    </comment>
    <comment ref="V101" authorId="0" shapeId="0" xr:uid="{B2846DBC-2CA3-4CE0-99F0-E2FA77DFADF0}">
      <text>
        <r>
          <rPr>
            <b/>
            <sz val="9"/>
            <color indexed="81"/>
            <rFont val="Tahoma"/>
            <family val="2"/>
          </rPr>
          <t>Lea Krstevska:</t>
        </r>
        <r>
          <rPr>
            <sz val="9"/>
            <color indexed="81"/>
            <rFont val="Tahoma"/>
            <family val="2"/>
          </rPr>
          <t xml:space="preserve">
Loan Limit: US$818m
Bank Limit: US$35m
Policy Limit: US$5m</t>
        </r>
      </text>
    </comment>
    <comment ref="V102" authorId="0" shapeId="0" xr:uid="{4D128345-D1C8-42E1-ADE7-F273841EDD8D}">
      <text>
        <r>
          <rPr>
            <b/>
            <sz val="9"/>
            <color indexed="81"/>
            <rFont val="Tahoma"/>
            <family val="2"/>
          </rPr>
          <t>Lea Krstevska:</t>
        </r>
        <r>
          <rPr>
            <sz val="9"/>
            <color indexed="81"/>
            <rFont val="Tahoma"/>
            <family val="2"/>
          </rPr>
          <t xml:space="preserve">
Loan Limit: A$2.5bn
Bank Limit: A$155m
Policy Limit: A$20m</t>
        </r>
      </text>
    </comment>
    <comment ref="V103" authorId="0" shapeId="0" xr:uid="{0E87D14E-44A6-4DD7-B351-0C6FA26E3F6A}">
      <text>
        <r>
          <rPr>
            <b/>
            <sz val="9"/>
            <color indexed="81"/>
            <rFont val="Tahoma"/>
            <family val="2"/>
          </rPr>
          <t>Lea Krstevska:</t>
        </r>
        <r>
          <rPr>
            <sz val="9"/>
            <color indexed="81"/>
            <rFont val="Tahoma"/>
            <family val="2"/>
          </rPr>
          <t xml:space="preserve">
Loan Limit: A$116m
Bank Limit: A$24m
Policy Limit: A$12m</t>
        </r>
      </text>
    </comment>
    <comment ref="V104" authorId="0" shapeId="0" xr:uid="{8DA59C50-D033-4C12-8EF0-F5FC3872BFCB}">
      <text>
        <r>
          <rPr>
            <b/>
            <sz val="9"/>
            <color indexed="81"/>
            <rFont val="Tahoma"/>
            <family val="2"/>
          </rPr>
          <t>Lea Krstevska:</t>
        </r>
        <r>
          <rPr>
            <sz val="9"/>
            <color indexed="81"/>
            <rFont val="Tahoma"/>
            <family val="2"/>
          </rPr>
          <t xml:space="preserve">
Loan Limit: US$1.2bn
Bank Limit: US$!50m
Policy Limit: US$7.5m</t>
        </r>
      </text>
    </comment>
    <comment ref="V105" authorId="0" shapeId="0" xr:uid="{E4F98105-23F4-4030-B23D-848BCCD83AD7}">
      <text>
        <r>
          <rPr>
            <b/>
            <sz val="9"/>
            <color indexed="81"/>
            <rFont val="Tahoma"/>
            <family val="2"/>
          </rPr>
          <t>Lea Krstevska:</t>
        </r>
        <r>
          <rPr>
            <sz val="9"/>
            <color indexed="81"/>
            <rFont val="Tahoma"/>
            <family val="2"/>
          </rPr>
          <t xml:space="preserve">
Loan Limit: EUR 1bn
Bank Limit: EUR 35m
Policy Limit: EUR20m</t>
        </r>
      </text>
    </comment>
    <comment ref="V107" authorId="0" shapeId="0" xr:uid="{9632EF28-E6F4-4401-896C-DA3C7CB37569}">
      <text>
        <r>
          <rPr>
            <b/>
            <sz val="9"/>
            <color indexed="81"/>
            <rFont val="Tahoma"/>
            <family val="2"/>
          </rPr>
          <t>Lea Krstevska:</t>
        </r>
        <r>
          <rPr>
            <sz val="9"/>
            <color indexed="81"/>
            <rFont val="Tahoma"/>
            <family val="2"/>
          </rPr>
          <t xml:space="preserve">
Loan Limit: EUR 824m
Bank Limit: EUR 86m
Policy Limit: EUR 7.5m (SEK, NOK, DKK)
</t>
        </r>
        <r>
          <rPr>
            <b/>
            <sz val="9"/>
            <color indexed="81"/>
            <rFont val="Tahoma"/>
            <family val="2"/>
          </rPr>
          <t>Nelly Nguyen: NOT SURE if adding 86 with 254.7</t>
        </r>
        <r>
          <rPr>
            <sz val="9"/>
            <color indexed="81"/>
            <rFont val="Tahoma"/>
            <family val="2"/>
          </rPr>
          <t xml:space="preserve">
Loan: EUR2.7b
Bank: EUR254.7m
Policy: EUR12.5m</t>
        </r>
      </text>
    </comment>
    <comment ref="V108" authorId="0" shapeId="0" xr:uid="{180BF49E-00DF-4740-A7CB-96EB0A1BC58E}">
      <text>
        <r>
          <rPr>
            <b/>
            <sz val="9"/>
            <color indexed="81"/>
            <rFont val="Tahoma"/>
            <family val="2"/>
          </rPr>
          <t>Lea Krstevska:</t>
        </r>
        <r>
          <rPr>
            <sz val="9"/>
            <color indexed="81"/>
            <rFont val="Tahoma"/>
            <family val="2"/>
          </rPr>
          <t xml:space="preserve">
Loan Limit: US$1bn
Bank Limit: US$150m
Policy Limit: US$20m</t>
        </r>
      </text>
    </comment>
    <comment ref="V109" authorId="0" shapeId="0" xr:uid="{E2D192A1-7407-4CCF-8DC2-802BBE908A6F}">
      <text>
        <r>
          <rPr>
            <b/>
            <sz val="9"/>
            <color indexed="81"/>
            <rFont val="Tahoma"/>
            <family val="2"/>
          </rPr>
          <t>Lea Krstevska:</t>
        </r>
        <r>
          <rPr>
            <sz val="9"/>
            <color indexed="81"/>
            <rFont val="Tahoma"/>
            <family val="2"/>
          </rPr>
          <t xml:space="preserve">
Loan Limit: US$570m
Bank Limit: US$16.6m
Policy Limit: US$10m</t>
        </r>
      </text>
    </comment>
    <comment ref="V110" authorId="0" shapeId="0" xr:uid="{CD6CDCB7-1F9C-4341-AF99-48D0D021FFEE}">
      <text>
        <r>
          <rPr>
            <b/>
            <sz val="9"/>
            <color indexed="81"/>
            <rFont val="Tahoma"/>
            <family val="2"/>
          </rPr>
          <t>Lea Krstevska:</t>
        </r>
        <r>
          <rPr>
            <sz val="9"/>
            <color indexed="81"/>
            <rFont val="Tahoma"/>
            <family val="2"/>
          </rPr>
          <t xml:space="preserve">
Loan Limit: US$657m + 5bn HKD
Bank limit: US$200m
Policy Limit: US$15m</t>
        </r>
      </text>
    </comment>
    <comment ref="V111" authorId="0" shapeId="0" xr:uid="{71039C99-DBE8-42E1-BD11-3ED3A07499F7}">
      <text>
        <r>
          <rPr>
            <b/>
            <sz val="9"/>
            <color indexed="81"/>
            <rFont val="Tahoma"/>
            <family val="2"/>
          </rPr>
          <t>Lea Krstevska:</t>
        </r>
        <r>
          <rPr>
            <sz val="9"/>
            <color indexed="81"/>
            <rFont val="Tahoma"/>
            <family val="2"/>
          </rPr>
          <t xml:space="preserve">
Loan Limit: EUR159m
Bank Limit: EUR 40m
Policy Limit: EUR 10m</t>
        </r>
      </text>
    </comment>
    <comment ref="V112" authorId="0" shapeId="0" xr:uid="{CD188445-2F34-4646-AFE1-D045B76E2BAA}">
      <text>
        <r>
          <rPr>
            <b/>
            <sz val="9"/>
            <color indexed="81"/>
            <rFont val="Tahoma"/>
            <family val="2"/>
          </rPr>
          <t>Lea Krstevska:</t>
        </r>
        <r>
          <rPr>
            <sz val="9"/>
            <color indexed="81"/>
            <rFont val="Tahoma"/>
            <family val="2"/>
          </rPr>
          <t xml:space="preserve">
Loan: EUR 120m
Bank: EUR 30m
Policy: EUR 10m</t>
        </r>
      </text>
    </comment>
    <comment ref="V113" authorId="0" shapeId="0" xr:uid="{82D41FFB-089E-4767-BB19-55D96798BB8B}">
      <text>
        <r>
          <rPr>
            <b/>
            <sz val="9"/>
            <color indexed="81"/>
            <rFont val="Tahoma"/>
            <family val="2"/>
          </rPr>
          <t>Lea Krstevska:</t>
        </r>
        <r>
          <rPr>
            <sz val="9"/>
            <color indexed="81"/>
            <rFont val="Tahoma"/>
            <family val="2"/>
          </rPr>
          <t xml:space="preserve">
Loan Limit: EUR 65m
Bank Limit: EUR 32.5m
Policy Limit: EUR 7.8m</t>
        </r>
      </text>
    </comment>
    <comment ref="V114" authorId="0" shapeId="0" xr:uid="{3794302A-2A67-49A9-8990-BBD42B85F834}">
      <text>
        <r>
          <rPr>
            <b/>
            <sz val="9"/>
            <color indexed="81"/>
            <rFont val="Tahoma"/>
            <family val="2"/>
          </rPr>
          <t>Lea Krstevska:</t>
        </r>
        <r>
          <rPr>
            <sz val="9"/>
            <color indexed="81"/>
            <rFont val="Tahoma"/>
            <family val="2"/>
          </rPr>
          <t xml:space="preserve">
Loan Limit: EUR60m
Bank Loan: EUR30m
Policy Limit: EUR7.2m
</t>
        </r>
      </text>
    </comment>
    <comment ref="V115" authorId="0" shapeId="0" xr:uid="{E1856FBD-65EE-4132-891C-862BAE58AD07}">
      <text>
        <r>
          <rPr>
            <b/>
            <sz val="9"/>
            <color indexed="81"/>
            <rFont val="Tahoma"/>
            <family val="2"/>
          </rPr>
          <t>Lea Krstevska:</t>
        </r>
        <r>
          <rPr>
            <sz val="9"/>
            <color indexed="81"/>
            <rFont val="Tahoma"/>
            <family val="2"/>
          </rPr>
          <t xml:space="preserve">
Loan: US$100m
Bank: US$40m
Policy: US$20m</t>
        </r>
      </text>
    </comment>
    <comment ref="V116" authorId="0" shapeId="0" xr:uid="{B735E0BC-49F7-4D63-BA56-80B0A6BCB628}">
      <text>
        <r>
          <rPr>
            <b/>
            <sz val="9"/>
            <color indexed="81"/>
            <rFont val="Tahoma"/>
            <family val="2"/>
          </rPr>
          <t xml:space="preserve">Lea Krstevska:B
</t>
        </r>
        <r>
          <rPr>
            <sz val="9"/>
            <color indexed="81"/>
            <rFont val="Tahoma"/>
            <family val="2"/>
          </rPr>
          <t xml:space="preserve">Loan: NOK4.026bn
Bank: NOK311.5m
Policy: NOK156m
</t>
        </r>
      </text>
    </comment>
    <comment ref="V117" authorId="0" shapeId="0" xr:uid="{9655AE9A-B13C-4034-A9B7-2AA577F837FA}">
      <text>
        <r>
          <rPr>
            <b/>
            <sz val="9"/>
            <color indexed="81"/>
            <rFont val="Tahoma"/>
            <family val="2"/>
          </rPr>
          <t>Lea Krstevska:</t>
        </r>
        <r>
          <rPr>
            <sz val="9"/>
            <color indexed="81"/>
            <rFont val="Tahoma"/>
            <family val="2"/>
          </rPr>
          <t xml:space="preserve">
Loan: AUD 308m
Bank: AUD48m
Policy: AUD11.1m</t>
        </r>
      </text>
    </comment>
    <comment ref="V118" authorId="0" shapeId="0" xr:uid="{C58BFA11-E697-48A3-9914-6F7B610E5181}">
      <text>
        <r>
          <rPr>
            <b/>
            <sz val="9"/>
            <color indexed="81"/>
            <rFont val="Tahoma"/>
            <family val="2"/>
          </rPr>
          <t>Lea Krstevska:</t>
        </r>
        <r>
          <rPr>
            <sz val="9"/>
            <color indexed="81"/>
            <rFont val="Tahoma"/>
            <family val="2"/>
          </rPr>
          <t xml:space="preserve">
Loan: A$600m
Bank: A$172.5m
Policy: A$20m</t>
        </r>
      </text>
    </comment>
    <comment ref="V119" authorId="0" shapeId="0" xr:uid="{1D823461-C571-4561-AC2A-918E164C60A2}">
      <text>
        <r>
          <rPr>
            <b/>
            <sz val="9"/>
            <color indexed="81"/>
            <rFont val="Tahoma"/>
            <family val="2"/>
          </rPr>
          <t>Lea Krstevska:</t>
        </r>
        <r>
          <rPr>
            <sz val="9"/>
            <color indexed="81"/>
            <rFont val="Tahoma"/>
            <family val="2"/>
          </rPr>
          <t xml:space="preserve">
Loan: GBP155.4m
Bank: GBP40m
Policy: GBP10m</t>
        </r>
      </text>
    </comment>
    <comment ref="V120" authorId="0" shapeId="0" xr:uid="{72F7F802-CB0B-4EB3-AB72-624851EE6404}">
      <text>
        <r>
          <rPr>
            <b/>
            <sz val="9"/>
            <color indexed="81"/>
            <rFont val="Tahoma"/>
            <family val="2"/>
          </rPr>
          <t>Lea Krstevska:</t>
        </r>
        <r>
          <rPr>
            <sz val="9"/>
            <color indexed="81"/>
            <rFont val="Tahoma"/>
            <family val="2"/>
          </rPr>
          <t xml:space="preserve">
Loan: USD277m
Bank: USD107m
Policy: USD7.5m</t>
        </r>
      </text>
    </comment>
    <comment ref="V121" authorId="0" shapeId="0" xr:uid="{334F805F-8948-45A8-8439-2B1E7ED28E2D}">
      <text>
        <r>
          <rPr>
            <b/>
            <sz val="9"/>
            <color indexed="81"/>
            <rFont val="Tahoma"/>
            <family val="2"/>
          </rPr>
          <t>Lea Krstevska:</t>
        </r>
        <r>
          <rPr>
            <sz val="9"/>
            <color indexed="81"/>
            <rFont val="Tahoma"/>
            <family val="2"/>
          </rPr>
          <t xml:space="preserve">
Loan: EUR119.4m
Bank: EUR24m
Policy: EUR10m
BEFORE 19/9/22 DEBT IS EUR23880</t>
        </r>
      </text>
    </comment>
    <comment ref="V122" authorId="9" shapeId="0" xr:uid="{506C8C2B-3AA4-49D6-B1A7-277620122472}">
      <text>
        <r>
          <rPr>
            <b/>
            <sz val="9"/>
            <color indexed="81"/>
            <rFont val="Tahoma"/>
            <family val="2"/>
          </rPr>
          <t>Chris Power:</t>
        </r>
        <r>
          <rPr>
            <sz val="9"/>
            <color indexed="81"/>
            <rFont val="Tahoma"/>
            <family val="2"/>
          </rPr>
          <t xml:space="preserve">
Loan: USD957m
Bank: USD60m
Policy: USD20m</t>
        </r>
      </text>
    </comment>
    <comment ref="V123" authorId="9" shapeId="0" xr:uid="{6B4E0567-3900-499C-8723-B3CB9E852D59}">
      <text>
        <r>
          <rPr>
            <b/>
            <sz val="9"/>
            <color indexed="81"/>
            <rFont val="Tahoma"/>
            <family val="2"/>
          </rPr>
          <t>Chris Power:</t>
        </r>
        <r>
          <rPr>
            <sz val="9"/>
            <color indexed="81"/>
            <rFont val="Tahoma"/>
            <family val="2"/>
          </rPr>
          <t xml:space="preserve">
Loan: AUD465m
Bank: AUD88.1m
Policy: AUD10m</t>
        </r>
      </text>
    </comment>
    <comment ref="V124" authorId="9" shapeId="0" xr:uid="{3DCB79A8-58D1-4BB1-A1D4-84AF08818D6B}">
      <text>
        <r>
          <rPr>
            <b/>
            <sz val="9"/>
            <color indexed="81"/>
            <rFont val="Tahoma"/>
            <family val="2"/>
          </rPr>
          <t>Chris Power:</t>
        </r>
        <r>
          <rPr>
            <sz val="9"/>
            <color indexed="81"/>
            <rFont val="Tahoma"/>
            <family val="2"/>
          </rPr>
          <t xml:space="preserve">
Loan: USD330m
Bank: USD20m
Policy: USD10m</t>
        </r>
      </text>
    </comment>
    <comment ref="V125" authorId="9" shapeId="0" xr:uid="{170B4DC6-302C-46E8-8404-1CAA38705E72}">
      <text>
        <r>
          <rPr>
            <b/>
            <sz val="9"/>
            <color indexed="81"/>
            <rFont val="Tahoma"/>
            <family val="2"/>
          </rPr>
          <t>Chris Power:</t>
        </r>
        <r>
          <rPr>
            <sz val="9"/>
            <color indexed="81"/>
            <rFont val="Tahoma"/>
            <family val="2"/>
          </rPr>
          <t xml:space="preserve">
Loan: AUD265.2m
Bank: AUD120m
Policy: AUD16m</t>
        </r>
      </text>
    </comment>
    <comment ref="V126" authorId="9" shapeId="0" xr:uid="{10930F1F-E80E-4E72-B4CF-3DFB2A71D3E7}">
      <text>
        <r>
          <rPr>
            <b/>
            <sz val="9"/>
            <color indexed="81"/>
            <rFont val="Tahoma"/>
            <family val="2"/>
          </rPr>
          <t>Chris Power:</t>
        </r>
        <r>
          <rPr>
            <sz val="9"/>
            <color indexed="81"/>
            <rFont val="Tahoma"/>
            <family val="2"/>
          </rPr>
          <t xml:space="preserve">
Loan: USD330m
Bank: USD8.3m
Policy: USD5m</t>
        </r>
      </text>
    </comment>
    <comment ref="V127" authorId="9" shapeId="0" xr:uid="{2B56425C-0BDC-4171-8396-7C3B24C2956F}">
      <text>
        <r>
          <rPr>
            <b/>
            <sz val="9"/>
            <color indexed="81"/>
            <rFont val="Tahoma"/>
            <family val="2"/>
          </rPr>
          <t>Chris Power:</t>
        </r>
        <r>
          <rPr>
            <sz val="9"/>
            <color indexed="81"/>
            <rFont val="Tahoma"/>
            <family val="2"/>
          </rPr>
          <t xml:space="preserve">
Loan: USD350m
Bank: USD20m
Policy: USD10m</t>
        </r>
      </text>
    </comment>
    <comment ref="V128" authorId="9" shapeId="0" xr:uid="{C2C4879C-20C7-4028-AAFD-92E1E5000DC1}">
      <text>
        <r>
          <rPr>
            <b/>
            <sz val="9"/>
            <color indexed="81"/>
            <rFont val="Tahoma"/>
            <family val="2"/>
          </rPr>
          <t>Chris Power:</t>
        </r>
        <r>
          <rPr>
            <sz val="9"/>
            <color indexed="81"/>
            <rFont val="Tahoma"/>
            <family val="2"/>
          </rPr>
          <t xml:space="preserve">
Loan: USD1.0b
Bank: USD25m
Policy: USD17.5m</t>
        </r>
      </text>
    </comment>
    <comment ref="V129" authorId="9" shapeId="0" xr:uid="{AB4DA49E-818C-421A-8758-B56E86AE8269}">
      <text>
        <r>
          <rPr>
            <b/>
            <sz val="9"/>
            <color indexed="81"/>
            <rFont val="Tahoma"/>
            <family val="2"/>
          </rPr>
          <t>Chris Power:</t>
        </r>
        <r>
          <rPr>
            <sz val="9"/>
            <color indexed="81"/>
            <rFont val="Tahoma"/>
            <family val="2"/>
          </rPr>
          <t xml:space="preserve">
Loan: EUR100m
Bank: EUR50m
Policy: EUR10m</t>
        </r>
      </text>
    </comment>
    <comment ref="V130" authorId="9" shapeId="0" xr:uid="{5D568746-2FEF-4B1E-A0A5-298E9D771E45}">
      <text>
        <r>
          <rPr>
            <b/>
            <sz val="9"/>
            <color indexed="81"/>
            <rFont val="Tahoma"/>
            <family val="2"/>
          </rPr>
          <t>Chris Power:</t>
        </r>
        <r>
          <rPr>
            <sz val="9"/>
            <color indexed="81"/>
            <rFont val="Tahoma"/>
            <family val="2"/>
          </rPr>
          <t xml:space="preserve">
Loan: AUD115m
Bank: AUD51
Policy: AUD10m</t>
        </r>
      </text>
    </comment>
    <comment ref="V131" authorId="9" shapeId="0" xr:uid="{E90507AC-DF0A-4559-BD50-EC8996A9A42C}">
      <text>
        <r>
          <rPr>
            <b/>
            <sz val="9"/>
            <color indexed="81"/>
            <rFont val="Tahoma"/>
            <family val="2"/>
          </rPr>
          <t>Chris Power:</t>
        </r>
        <r>
          <rPr>
            <sz val="9"/>
            <color indexed="81"/>
            <rFont val="Tahoma"/>
            <family val="2"/>
          </rPr>
          <t xml:space="preserve">
Loan: EUR2.7b
Bank: EUR100m
Policy: EUR20m</t>
        </r>
      </text>
    </comment>
    <comment ref="V132" authorId="9" shapeId="0" xr:uid="{2DDA87AF-F5F9-4C12-911A-3FD641096F89}">
      <text>
        <r>
          <rPr>
            <b/>
            <sz val="9"/>
            <color indexed="81"/>
            <rFont val="Tahoma"/>
            <family val="2"/>
          </rPr>
          <t>Chris Power:</t>
        </r>
        <r>
          <rPr>
            <sz val="9"/>
            <color indexed="81"/>
            <rFont val="Tahoma"/>
            <family val="2"/>
          </rPr>
          <t xml:space="preserve">
Loan: USD750m
Bank: USD120m
Policy: USD15m</t>
        </r>
      </text>
    </comment>
    <comment ref="V133" authorId="9" shapeId="0" xr:uid="{81905A21-1A36-4440-BAD2-D0F829637F2E}">
      <text>
        <r>
          <rPr>
            <b/>
            <sz val="9"/>
            <color indexed="81"/>
            <rFont val="Tahoma"/>
            <family val="2"/>
          </rPr>
          <t>Chris Power:</t>
        </r>
        <r>
          <rPr>
            <sz val="9"/>
            <color indexed="81"/>
            <rFont val="Tahoma"/>
            <family val="2"/>
          </rPr>
          <t xml:space="preserve">
Loan: USD70.5m
Bank: USD70.5m
Policy: USD10m</t>
        </r>
      </text>
    </comment>
    <comment ref="V134" authorId="9" shapeId="0" xr:uid="{E6D37874-9445-4F76-B39C-E9F108B3FED2}">
      <text>
        <r>
          <rPr>
            <b/>
            <sz val="9"/>
            <color indexed="81"/>
            <rFont val="Tahoma"/>
            <family val="2"/>
          </rPr>
          <t>Chris Power:</t>
        </r>
        <r>
          <rPr>
            <sz val="9"/>
            <color indexed="81"/>
            <rFont val="Tahoma"/>
            <family val="2"/>
          </rPr>
          <t xml:space="preserve">
Loan: CHF510m
Bank: CHF14m
Policy: CHF7m</t>
        </r>
      </text>
    </comment>
    <comment ref="V135" authorId="9" shapeId="0" xr:uid="{7BCD2206-8152-4D08-B4E1-A11FF63C1482}">
      <text>
        <r>
          <rPr>
            <b/>
            <sz val="9"/>
            <color indexed="81"/>
            <rFont val="Tahoma"/>
            <family val="2"/>
          </rPr>
          <t>Chris Power:</t>
        </r>
        <r>
          <rPr>
            <sz val="9"/>
            <color indexed="81"/>
            <rFont val="Tahoma"/>
            <family val="2"/>
          </rPr>
          <t xml:space="preserve">
Loan: CHF510m
Bank: CHF14m
Policy: CHF7m</t>
        </r>
      </text>
    </comment>
    <comment ref="V136" authorId="9" shapeId="0" xr:uid="{C18D0414-4810-4EB5-81BB-3CACC608B52B}">
      <text>
        <r>
          <rPr>
            <b/>
            <sz val="9"/>
            <color indexed="81"/>
            <rFont val="Tahoma"/>
            <family val="2"/>
          </rPr>
          <t>Chris Power:</t>
        </r>
        <r>
          <rPr>
            <sz val="9"/>
            <color indexed="81"/>
            <rFont val="Tahoma"/>
            <family val="2"/>
          </rPr>
          <t xml:space="preserve">
Loan: USD230m
Bank: USD34.5m
Policy: USD11.5m</t>
        </r>
      </text>
    </comment>
    <comment ref="V137" authorId="9" shapeId="0" xr:uid="{7A4CD93C-C2CA-4618-9416-DAAFA3E445D6}">
      <text>
        <r>
          <rPr>
            <b/>
            <sz val="9"/>
            <color indexed="81"/>
            <rFont val="Tahoma"/>
            <family val="2"/>
          </rPr>
          <t>Chris Power:</t>
        </r>
        <r>
          <rPr>
            <sz val="9"/>
            <color indexed="81"/>
            <rFont val="Tahoma"/>
            <family val="2"/>
          </rPr>
          <t xml:space="preserve">
Loan: EUR1.5b
Bank: EUR137.5m
Policy: EUR10m</t>
        </r>
      </text>
    </comment>
    <comment ref="V138" authorId="9" shapeId="0" xr:uid="{CB77F34C-33E6-4716-A21A-36B5CC6E70B1}">
      <text>
        <r>
          <rPr>
            <b/>
            <sz val="9"/>
            <color indexed="81"/>
            <rFont val="Tahoma"/>
            <family val="2"/>
          </rPr>
          <t>Chris Power:</t>
        </r>
        <r>
          <rPr>
            <sz val="9"/>
            <color indexed="81"/>
            <rFont val="Tahoma"/>
            <family val="2"/>
          </rPr>
          <t xml:space="preserve">
Loan: AUD192.5m
Bank: AUD58.5m
Policy: AUD15m</t>
        </r>
      </text>
    </comment>
    <comment ref="V139" authorId="10" shapeId="0" xr:uid="{7165791E-80F1-4888-8F31-A5BBD9F27B26}">
      <text>
        <r>
          <rPr>
            <b/>
            <sz val="9"/>
            <color indexed="81"/>
            <rFont val="Tahoma"/>
            <family val="2"/>
          </rPr>
          <t>Joseph Day:</t>
        </r>
        <r>
          <rPr>
            <sz val="9"/>
            <color indexed="81"/>
            <rFont val="Tahoma"/>
            <family val="2"/>
          </rPr>
          <t xml:space="preserve">
Loan: GBP 950m 
Bank: GBP 237.5m
Policy: GBP15m</t>
        </r>
      </text>
    </comment>
    <comment ref="V140" authorId="10" shapeId="0" xr:uid="{575FDBF0-0969-4059-B70B-FFB810047BB8}">
      <text>
        <r>
          <rPr>
            <b/>
            <sz val="9"/>
            <color indexed="81"/>
            <rFont val="Tahoma"/>
            <family val="2"/>
          </rPr>
          <t>Joseph Day:</t>
        </r>
        <r>
          <rPr>
            <sz val="9"/>
            <color indexed="81"/>
            <rFont val="Tahoma"/>
            <family val="2"/>
          </rPr>
          <t xml:space="preserve">
Loan: EUR53.5m
Bank: EUR53.5m
Policy: EUR20m</t>
        </r>
      </text>
    </comment>
    <comment ref="V141" authorId="10" shapeId="0" xr:uid="{E9F850F9-E57C-44DD-B440-D49C4EB7C28D}">
      <text>
        <r>
          <rPr>
            <b/>
            <sz val="9"/>
            <color indexed="81"/>
            <rFont val="Tahoma"/>
            <family val="2"/>
          </rPr>
          <t>Joseph Day:</t>
        </r>
        <r>
          <rPr>
            <sz val="9"/>
            <color indexed="81"/>
            <rFont val="Tahoma"/>
            <family val="2"/>
          </rPr>
          <t xml:space="preserve">
Loan: AUD 210.1m
Bank: AUD 73.3m
Policy: AUD 7.55m</t>
        </r>
      </text>
    </comment>
    <comment ref="V142" authorId="10" shapeId="0" xr:uid="{9F617EB3-01D8-4A9B-B6EC-C4A409D2CD90}">
      <text>
        <r>
          <rPr>
            <b/>
            <sz val="9"/>
            <color indexed="81"/>
            <rFont val="Tahoma"/>
            <family val="2"/>
          </rPr>
          <t>Joseph Day:</t>
        </r>
        <r>
          <rPr>
            <sz val="9"/>
            <color indexed="81"/>
            <rFont val="Tahoma"/>
            <family val="2"/>
          </rPr>
          <t xml:space="preserve">
Loan: USD 3.0b
Bank: USD 200m
Policy: USD 30m</t>
        </r>
      </text>
    </comment>
    <comment ref="V143" authorId="10" shapeId="0" xr:uid="{3C5E9F02-5F19-4B09-BDFF-635FD5942766}">
      <text>
        <r>
          <rPr>
            <b/>
            <sz val="9"/>
            <color indexed="81"/>
            <rFont val="Tahoma"/>
            <family val="2"/>
          </rPr>
          <t>Joseph Day:</t>
        </r>
        <r>
          <rPr>
            <sz val="9"/>
            <color indexed="81"/>
            <rFont val="Tahoma"/>
            <family val="2"/>
          </rPr>
          <t xml:space="preserve">
Loan: EUR 100.17m
Bank: EUR 100.17m
Policy: EUR 13m</t>
        </r>
      </text>
    </comment>
    <comment ref="V144" authorId="10" shapeId="0" xr:uid="{26A45227-0441-4ADC-B3B7-4C3EC563F5FB}">
      <text>
        <r>
          <rPr>
            <b/>
            <sz val="9"/>
            <color indexed="81"/>
            <rFont val="Tahoma"/>
            <family val="2"/>
          </rPr>
          <t>Joseph Day:</t>
        </r>
        <r>
          <rPr>
            <sz val="9"/>
            <color indexed="81"/>
            <rFont val="Tahoma"/>
            <family val="2"/>
          </rPr>
          <t xml:space="preserve">
Loan: EUR 902m
Bank: EUR 20m
Policy: EUR 10.5m</t>
        </r>
      </text>
    </comment>
    <comment ref="V145" authorId="10" shapeId="0" xr:uid="{13D86362-4CE1-4BB4-88FC-7A43DCF52B55}">
      <text>
        <r>
          <rPr>
            <b/>
            <sz val="9"/>
            <color indexed="81"/>
            <rFont val="Tahoma"/>
            <family val="2"/>
          </rPr>
          <t>Joseph Day:</t>
        </r>
        <r>
          <rPr>
            <sz val="9"/>
            <color indexed="81"/>
            <rFont val="Tahoma"/>
            <family val="2"/>
          </rPr>
          <t xml:space="preserve">
Loan: EUR 7.1b
Bank: EUR 710m
Policy: EUR 10m</t>
        </r>
      </text>
    </comment>
    <comment ref="V146" authorId="5" shapeId="0" xr:uid="{C0B6C4C9-15ED-44FB-BBEC-FD5200B6E90B}">
      <text>
        <r>
          <rPr>
            <b/>
            <sz val="9"/>
            <color indexed="81"/>
            <rFont val="Tahoma"/>
            <family val="2"/>
          </rPr>
          <t>Nelly Nguyen:</t>
        </r>
        <r>
          <rPr>
            <sz val="9"/>
            <color indexed="81"/>
            <rFont val="Tahoma"/>
            <family val="2"/>
          </rPr>
          <t xml:space="preserve">
Loan Limit :US$ 120m
Bank Limit:US$ 30m
Poicy Limit: US$ 15m</t>
        </r>
      </text>
    </comment>
    <comment ref="V147" authorId="5" shapeId="0" xr:uid="{9E299686-B4C8-41A2-8DA2-3760A4B40C78}">
      <text>
        <r>
          <rPr>
            <b/>
            <sz val="9"/>
            <color indexed="81"/>
            <rFont val="Tahoma"/>
            <family val="2"/>
          </rPr>
          <t>Nelly Nguyen:</t>
        </r>
        <r>
          <rPr>
            <sz val="9"/>
            <color indexed="81"/>
            <rFont val="Tahoma"/>
            <family val="2"/>
          </rPr>
          <t xml:space="preserve">
Loan: A$585m
Bank: A$100m
Policy: A$20m</t>
        </r>
      </text>
    </comment>
    <comment ref="V148" authorId="5" shapeId="0" xr:uid="{25613FE2-20B3-4254-86EC-97362D53057F}">
      <text>
        <r>
          <rPr>
            <b/>
            <sz val="9"/>
            <color indexed="81"/>
            <rFont val="Tahoma"/>
            <family val="2"/>
          </rPr>
          <t>Nelly Nguyen:</t>
        </r>
        <r>
          <rPr>
            <sz val="9"/>
            <color indexed="81"/>
            <rFont val="Tahoma"/>
            <family val="2"/>
          </rPr>
          <t xml:space="preserve">
Loan: NZD 230m
Bank: NZD 107.5m
Policy: NZD 18.75m</t>
        </r>
      </text>
    </comment>
    <comment ref="V149" authorId="5" shapeId="0" xr:uid="{60B26F24-93A9-4072-AE9B-2CA7A24A392D}">
      <text>
        <r>
          <rPr>
            <b/>
            <sz val="9"/>
            <color indexed="81"/>
            <rFont val="Tahoma"/>
            <family val="2"/>
          </rPr>
          <t>Nelly Nguyen:</t>
        </r>
        <r>
          <rPr>
            <sz val="9"/>
            <color indexed="81"/>
            <rFont val="Tahoma"/>
            <family val="2"/>
          </rPr>
          <t xml:space="preserve">
Loan: NZD 230m
Bank: NZD 50m
Policy: NZD 10m
</t>
        </r>
      </text>
    </comment>
    <comment ref="V150" authorId="5" shapeId="0" xr:uid="{E402F747-395D-4F1A-BF47-452F96116997}">
      <text>
        <r>
          <rPr>
            <b/>
            <sz val="9"/>
            <color indexed="81"/>
            <rFont val="Tahoma"/>
            <family val="2"/>
          </rPr>
          <t>Nelly Nguyen:</t>
        </r>
        <r>
          <rPr>
            <sz val="9"/>
            <color indexed="81"/>
            <rFont val="Tahoma"/>
            <family val="2"/>
          </rPr>
          <t xml:space="preserve">
Bank US$300m
Loan: US$ 20m
Policy: US$10m</t>
        </r>
      </text>
    </comment>
    <comment ref="V151" authorId="5" shapeId="0" xr:uid="{0538B539-D5FA-4654-BB4C-6409EBFFFB05}">
      <text>
        <r>
          <rPr>
            <b/>
            <sz val="9"/>
            <color indexed="81"/>
            <rFont val="Tahoma"/>
            <family val="2"/>
          </rPr>
          <t>Nelly Nguyen:</t>
        </r>
        <r>
          <rPr>
            <sz val="9"/>
            <color indexed="81"/>
            <rFont val="Tahoma"/>
            <family val="2"/>
          </rPr>
          <t xml:space="preserve">
Loan: EUR260m
Bank: EUR220m
Policy: EUR13m</t>
        </r>
      </text>
    </comment>
    <comment ref="V152" authorId="5" shapeId="0" xr:uid="{61C992C3-D664-4E26-B620-45B8B407AE44}">
      <text>
        <r>
          <rPr>
            <b/>
            <sz val="9"/>
            <color indexed="81"/>
            <rFont val="Tahoma"/>
            <family val="2"/>
          </rPr>
          <t>Nelly Nguyen:</t>
        </r>
        <r>
          <rPr>
            <sz val="9"/>
            <color indexed="81"/>
            <rFont val="Tahoma"/>
            <family val="2"/>
          </rPr>
          <t xml:space="preserve">
Loan: AU$240m
Bank: AU$45m
Policy: AU$ 4.99m</t>
        </r>
      </text>
    </comment>
    <comment ref="V153" authorId="5" shapeId="0" xr:uid="{3E874036-5237-4881-BFAF-CA811C20181B}">
      <text>
        <r>
          <rPr>
            <b/>
            <sz val="9"/>
            <color indexed="81"/>
            <rFont val="Tahoma"/>
            <family val="2"/>
          </rPr>
          <t xml:space="preserve">Nelly Nguyen:
</t>
        </r>
        <r>
          <rPr>
            <sz val="9"/>
            <color indexed="81"/>
            <rFont val="Tahoma"/>
            <family val="2"/>
          </rPr>
          <t>Loan: EUR198.7m
Bank: EUR100m
Policy: EUR7.5m</t>
        </r>
      </text>
    </comment>
    <comment ref="V154" authorId="5" shapeId="0" xr:uid="{C199C2DE-7BEB-4D5F-AA68-726DFAEDAC83}">
      <text>
        <r>
          <rPr>
            <b/>
            <sz val="9"/>
            <color indexed="81"/>
            <rFont val="Tahoma"/>
            <family val="2"/>
          </rPr>
          <t>Nelly Nguyen:</t>
        </r>
        <r>
          <rPr>
            <sz val="9"/>
            <color indexed="81"/>
            <rFont val="Tahoma"/>
            <family val="2"/>
          </rPr>
          <t xml:space="preserve">
Loan: EUR364.3m
Bank: EUR100m
Policy: EUR7.5m</t>
        </r>
      </text>
    </comment>
    <comment ref="V155" authorId="5" shapeId="0" xr:uid="{8E47899B-10CC-4CF7-9D72-7C72C2DAB9D0}">
      <text>
        <r>
          <rPr>
            <b/>
            <sz val="9"/>
            <color indexed="81"/>
            <rFont val="Tahoma"/>
            <family val="2"/>
          </rPr>
          <t>Nelly Nguyen:</t>
        </r>
        <r>
          <rPr>
            <sz val="9"/>
            <color indexed="81"/>
            <rFont val="Tahoma"/>
            <family val="2"/>
          </rPr>
          <t xml:space="preserve">
Loan: US$500m
Bank: US$ 30m
Policy: US$15m</t>
        </r>
      </text>
    </comment>
    <comment ref="V156" authorId="0" shapeId="0" xr:uid="{9ABCA4BA-4735-42C4-8BA6-47CA38C5E44D}">
      <text>
        <r>
          <rPr>
            <b/>
            <sz val="9"/>
            <color indexed="81"/>
            <rFont val="Tahoma"/>
            <family val="2"/>
          </rPr>
          <t>Lea Krstevska:</t>
        </r>
        <r>
          <rPr>
            <sz val="9"/>
            <color indexed="81"/>
            <rFont val="Tahoma"/>
            <family val="2"/>
          </rPr>
          <t xml:space="preserve">
Loan Limit: EUR 30m
Bank Limit: EUR 30m 
Policy Limit: EUR 12m</t>
        </r>
      </text>
    </comment>
    <comment ref="V157" authorId="5" shapeId="0" xr:uid="{B881A559-0D31-412F-9303-6D7BB046BCED}">
      <text>
        <r>
          <rPr>
            <b/>
            <sz val="9"/>
            <color indexed="81"/>
            <rFont val="Tahoma"/>
            <family val="2"/>
          </rPr>
          <t>Nelly Nguyen:</t>
        </r>
        <r>
          <rPr>
            <sz val="9"/>
            <color indexed="81"/>
            <rFont val="Tahoma"/>
            <family val="2"/>
          </rPr>
          <t xml:space="preserve">
Loan Limit: A$300m
Bank Limit: A$71m
Policy Limit: A$12.5m</t>
        </r>
      </text>
    </comment>
    <comment ref="V158" authorId="5" shapeId="0" xr:uid="{8C467C95-24A0-431D-9EA1-5897812261B0}">
      <text>
        <r>
          <rPr>
            <b/>
            <sz val="9"/>
            <color indexed="81"/>
            <rFont val="Tahoma"/>
            <family val="2"/>
          </rPr>
          <t>Nelly Nguyen:</t>
        </r>
        <r>
          <rPr>
            <sz val="9"/>
            <color indexed="81"/>
            <rFont val="Tahoma"/>
            <family val="2"/>
          </rPr>
          <t xml:space="preserve">
Loan Limit: A$300m
Bank Limit: A$71m
Policy Limit: A$7.5m</t>
        </r>
      </text>
    </comment>
    <comment ref="V159" authorId="5" shapeId="0" xr:uid="{5710BF8C-B3E9-44D5-9A12-CA78BD1A9DA1}">
      <text>
        <r>
          <rPr>
            <b/>
            <sz val="9"/>
            <color indexed="81"/>
            <rFont val="Tahoma"/>
            <family val="2"/>
          </rPr>
          <t>Nelly Nguyen:</t>
        </r>
        <r>
          <rPr>
            <sz val="9"/>
            <color indexed="81"/>
            <rFont val="Tahoma"/>
            <family val="2"/>
          </rPr>
          <t xml:space="preserve">
Loan Limit: US$2b
Bank Limit: US$148.1m
Policy Limit: US$15m</t>
        </r>
      </text>
    </comment>
    <comment ref="V160" authorId="5" shapeId="0" xr:uid="{ECE5DCCB-A04C-40CC-854C-69C150CABC74}">
      <text>
        <r>
          <rPr>
            <b/>
            <sz val="9"/>
            <color indexed="81"/>
            <rFont val="Tahoma"/>
            <family val="2"/>
          </rPr>
          <t>Nelly Nguyen:</t>
        </r>
        <r>
          <rPr>
            <sz val="9"/>
            <color indexed="81"/>
            <rFont val="Tahoma"/>
            <family val="2"/>
          </rPr>
          <t xml:space="preserve">
Loan: AU$240m
Bank: AU$15m
Policy: AU$ 7.45m</t>
        </r>
      </text>
    </comment>
    <comment ref="V161" authorId="5" shapeId="0" xr:uid="{550F5916-FBE8-4C7D-AEFC-76325E0356D6}">
      <text>
        <r>
          <rPr>
            <b/>
            <sz val="9"/>
            <color indexed="81"/>
            <rFont val="Tahoma"/>
            <family val="2"/>
          </rPr>
          <t>Nelly Nguyen:</t>
        </r>
        <r>
          <rPr>
            <sz val="9"/>
            <color indexed="81"/>
            <rFont val="Tahoma"/>
            <family val="2"/>
          </rPr>
          <t xml:space="preserve">
Loan: US$40m
Bank: US$15m
Policy: US$ 7.5m</t>
        </r>
      </text>
    </comment>
    <comment ref="AA161" authorId="5" shapeId="0" xr:uid="{84BE5624-62E9-45A2-B20A-BFA5F4821919}">
      <text>
        <r>
          <rPr>
            <b/>
            <sz val="9"/>
            <color indexed="81"/>
            <rFont val="Tahoma"/>
            <family val="2"/>
          </rPr>
          <t>Nelly Nguyen:</t>
        </r>
        <r>
          <rPr>
            <sz val="9"/>
            <color indexed="81"/>
            <rFont val="Tahoma"/>
            <family val="2"/>
          </rPr>
          <t xml:space="preserve">
I asked RJ as it said utilization date and blank date in the agreement</t>
        </r>
      </text>
    </comment>
    <comment ref="V162" authorId="5" shapeId="0" xr:uid="{192E71A2-624D-4D5A-AFE6-09DFFDCBB163}">
      <text>
        <r>
          <rPr>
            <b/>
            <sz val="9"/>
            <color indexed="81"/>
            <rFont val="Tahoma"/>
            <family val="2"/>
          </rPr>
          <t>Nelly Nguyen:</t>
        </r>
        <r>
          <rPr>
            <sz val="9"/>
            <color indexed="81"/>
            <rFont val="Tahoma"/>
            <family val="2"/>
          </rPr>
          <t xml:space="preserve">
Loan: AU$1.14b
Bank: AU$30m
Policy: AU$15m</t>
        </r>
      </text>
    </comment>
    <comment ref="V163" authorId="5" shapeId="0" xr:uid="{AA989D7C-6875-4AA8-8F32-6A35CA6FB7CE}">
      <text>
        <r>
          <rPr>
            <b/>
            <sz val="9"/>
            <color indexed="81"/>
            <rFont val="Tahoma"/>
            <family val="2"/>
          </rPr>
          <t>Nelly Nguyen:</t>
        </r>
        <r>
          <rPr>
            <sz val="9"/>
            <color indexed="81"/>
            <rFont val="Tahoma"/>
            <family val="2"/>
          </rPr>
          <t xml:space="preserve">
Loan: US$5.5b
Bank: US$139m
Policy: US$ 15m</t>
        </r>
      </text>
    </comment>
    <comment ref="V164" authorId="5" shapeId="0" xr:uid="{C116D930-B469-4014-897F-BA31A45D365B}">
      <text>
        <r>
          <rPr>
            <b/>
            <sz val="9"/>
            <color indexed="81"/>
            <rFont val="Tahoma"/>
            <family val="2"/>
          </rPr>
          <t>Nelly Nguyen:</t>
        </r>
        <r>
          <rPr>
            <sz val="9"/>
            <color indexed="81"/>
            <rFont val="Tahoma"/>
            <family val="2"/>
          </rPr>
          <t xml:space="preserve">
Loan: US$2.9b
Bank: US$200m
Policy: US$ 15m</t>
        </r>
      </text>
    </comment>
    <comment ref="V165" authorId="5" shapeId="0" xr:uid="{CAF1F82A-D8AC-49FA-832A-CCDBB35C5D2B}">
      <text>
        <r>
          <rPr>
            <b/>
            <sz val="9"/>
            <color indexed="81"/>
            <rFont val="Tahoma"/>
            <family val="2"/>
          </rPr>
          <t>Nelly Nguyen:</t>
        </r>
        <r>
          <rPr>
            <sz val="9"/>
            <color indexed="81"/>
            <rFont val="Tahoma"/>
            <family val="2"/>
          </rPr>
          <t xml:space="preserve">
Loan: NZD 905m
Bank: NZD 140.20m
Policy: NZD 30m
</t>
        </r>
      </text>
    </comment>
    <comment ref="V166" authorId="5" shapeId="0" xr:uid="{123745AF-998A-447E-8D0C-F75E9A7E0334}">
      <text>
        <r>
          <rPr>
            <b/>
            <sz val="9"/>
            <color indexed="81"/>
            <rFont val="Tahoma"/>
            <family val="2"/>
          </rPr>
          <t>Nelly Nguyen:</t>
        </r>
        <r>
          <rPr>
            <sz val="9"/>
            <color indexed="81"/>
            <rFont val="Tahoma"/>
            <family val="2"/>
          </rPr>
          <t xml:space="preserve">
Loan: US$750m
Bank: US$100m
Policy: US$ 10m</t>
        </r>
      </text>
    </comment>
    <comment ref="V167" authorId="5" shapeId="0" xr:uid="{D7AA6DEA-C044-4DD6-BA70-3DC00379B927}">
      <text>
        <r>
          <rPr>
            <b/>
            <sz val="9"/>
            <color indexed="81"/>
            <rFont val="Tahoma"/>
            <family val="2"/>
          </rPr>
          <t xml:space="preserve">Nelly Nguyen
</t>
        </r>
        <r>
          <rPr>
            <sz val="9"/>
            <color indexed="81"/>
            <rFont val="Tahoma"/>
            <family val="2"/>
          </rPr>
          <t>Loan: AU$290m
Bank: AU$60m
Policy: AU$30m</t>
        </r>
      </text>
    </comment>
    <comment ref="V168" authorId="5" shapeId="0" xr:uid="{90D83140-E105-4FB1-A312-F81C04A9E59E}">
      <text>
        <r>
          <rPr>
            <b/>
            <sz val="9"/>
            <color indexed="81"/>
            <rFont val="Tahoma"/>
            <family val="2"/>
          </rPr>
          <t xml:space="preserve">Nelly Nguyen
</t>
        </r>
        <r>
          <rPr>
            <sz val="9"/>
            <color indexed="81"/>
            <rFont val="Tahoma"/>
            <family val="2"/>
          </rPr>
          <t>Loan: US$7b
Bank: US$199.812m
Policy: US$20m</t>
        </r>
      </text>
    </comment>
    <comment ref="V169" authorId="5" shapeId="0" xr:uid="{D4070663-7AA2-4C6A-9F6A-8D782D3408B8}">
      <text>
        <r>
          <rPr>
            <b/>
            <sz val="9"/>
            <color indexed="81"/>
            <rFont val="Tahoma"/>
            <family val="2"/>
          </rPr>
          <t>Nelly Nguyen:</t>
        </r>
        <r>
          <rPr>
            <sz val="9"/>
            <color indexed="81"/>
            <rFont val="Tahoma"/>
            <family val="2"/>
          </rPr>
          <t xml:space="preserve">
Loan: EUR2,012m + GBP2,067m</t>
        </r>
        <r>
          <rPr>
            <b/>
            <sz val="9"/>
            <color indexed="81"/>
            <rFont val="Tahoma"/>
            <family val="2"/>
          </rPr>
          <t xml:space="preserve">
</t>
        </r>
        <r>
          <rPr>
            <sz val="9"/>
            <color indexed="81"/>
            <rFont val="Tahoma"/>
            <family val="2"/>
          </rPr>
          <t>Bank: EUR 23,215m GBP10,301m
Policy: EUR 8.5m + GBP2m</t>
        </r>
      </text>
    </comment>
    <comment ref="V170" authorId="5" shapeId="0" xr:uid="{DB603B37-007F-4B2B-AB33-8B4FDA12A219}">
      <text>
        <r>
          <rPr>
            <b/>
            <sz val="9"/>
            <color indexed="81"/>
            <rFont val="Tahoma"/>
            <family val="2"/>
          </rPr>
          <t>Nelly Nguyen:</t>
        </r>
        <r>
          <rPr>
            <sz val="9"/>
            <color indexed="81"/>
            <rFont val="Tahoma"/>
            <family val="2"/>
          </rPr>
          <t xml:space="preserve">
Loan: EUR560m
Bank: EUR 151.35m
Policy: EUR7m</t>
        </r>
      </text>
    </comment>
    <comment ref="V171" authorId="5" shapeId="0" xr:uid="{F70A1366-B585-4E9A-9F92-0A1411905D3D}">
      <text>
        <r>
          <rPr>
            <b/>
            <sz val="9"/>
            <color indexed="81"/>
            <rFont val="Tahoma"/>
            <family val="2"/>
          </rPr>
          <t>Nelly Nguyen:</t>
        </r>
        <r>
          <rPr>
            <sz val="9"/>
            <color indexed="81"/>
            <rFont val="Tahoma"/>
            <family val="2"/>
          </rPr>
          <t xml:space="preserve">
Loan: US$3..86b
Bank: US$510.046m
Policy: US$157m</t>
        </r>
      </text>
    </comment>
    <comment ref="V172" authorId="5" shapeId="0" xr:uid="{61A9153F-9841-4497-B2A7-5CE231F1431C}">
      <text>
        <r>
          <rPr>
            <b/>
            <sz val="9"/>
            <color indexed="81"/>
            <rFont val="Tahoma"/>
            <family val="2"/>
          </rPr>
          <t>Nelly Nguyen:</t>
        </r>
        <r>
          <rPr>
            <sz val="9"/>
            <color indexed="81"/>
            <rFont val="Tahoma"/>
            <family val="2"/>
          </rPr>
          <t xml:space="preserve">
Loan: US$189m
Bank: US$60m
Policy: US$30m</t>
        </r>
      </text>
    </comment>
    <comment ref="V173" authorId="5" shapeId="0" xr:uid="{4DDE3F02-13DB-4A8A-BD7C-437D519CAFE3}">
      <text>
        <r>
          <rPr>
            <b/>
            <sz val="9"/>
            <color indexed="81"/>
            <rFont val="Tahoma"/>
            <family val="2"/>
          </rPr>
          <t>Nelly Nguyen:</t>
        </r>
        <r>
          <rPr>
            <sz val="9"/>
            <color indexed="81"/>
            <rFont val="Tahoma"/>
            <family val="2"/>
          </rPr>
          <t xml:space="preserve">
Loan: EUR139.19m
Bank: EUR40m
Policy: EUR20m</t>
        </r>
      </text>
    </comment>
    <comment ref="V174" authorId="5" shapeId="0" xr:uid="{DDDBE52D-8C0D-4869-B5B9-CA867C45042B}">
      <text>
        <r>
          <rPr>
            <b/>
            <sz val="9"/>
            <color indexed="81"/>
            <rFont val="Tahoma"/>
            <family val="2"/>
          </rPr>
          <t>Nelly Nguyen:</t>
        </r>
        <r>
          <rPr>
            <sz val="9"/>
            <color indexed="81"/>
            <rFont val="Tahoma"/>
            <family val="2"/>
          </rPr>
          <t xml:space="preserve">
Loan: EUR948m
Bank: EUR105m
Policy: EUR10m</t>
        </r>
      </text>
    </comment>
    <comment ref="V175" authorId="5" shapeId="0" xr:uid="{A1DB0541-E2BE-4228-9EB0-F017A43A0D70}">
      <text>
        <r>
          <rPr>
            <b/>
            <sz val="9"/>
            <color indexed="81"/>
            <rFont val="Tahoma"/>
            <family val="2"/>
          </rPr>
          <t>Nelly Nguyen:</t>
        </r>
        <r>
          <rPr>
            <sz val="9"/>
            <color indexed="81"/>
            <rFont val="Tahoma"/>
            <family val="2"/>
          </rPr>
          <t xml:space="preserve">
Loan: EUR120m
Bank: EUR42.5m
Policy: EUR12.5m</t>
        </r>
      </text>
    </comment>
    <comment ref="V176" authorId="5" shapeId="0" xr:uid="{100F2358-CEF8-4848-B900-D7780F468A77}">
      <text>
        <r>
          <rPr>
            <b/>
            <sz val="9"/>
            <color indexed="81"/>
            <rFont val="Tahoma"/>
            <family val="2"/>
          </rPr>
          <t>Nelly Nguyen:</t>
        </r>
        <r>
          <rPr>
            <sz val="9"/>
            <color indexed="81"/>
            <rFont val="Tahoma"/>
            <family val="2"/>
          </rPr>
          <t xml:space="preserve">
Loan: EUR1,446m</t>
        </r>
        <r>
          <rPr>
            <b/>
            <sz val="9"/>
            <color indexed="81"/>
            <rFont val="Tahoma"/>
            <family val="2"/>
          </rPr>
          <t xml:space="preserve">
</t>
        </r>
        <r>
          <rPr>
            <sz val="9"/>
            <color indexed="81"/>
            <rFont val="Tahoma"/>
            <family val="2"/>
          </rPr>
          <t>Bank: EUR30m 
Policy: NOK94,012.53 m + EUR5,840.11m (around EUR15m)</t>
        </r>
      </text>
    </comment>
    <comment ref="V177" authorId="5" shapeId="0" xr:uid="{E5CA9022-353E-4FCC-BD69-FA44A99E7BE9}">
      <text>
        <r>
          <rPr>
            <b/>
            <sz val="9"/>
            <color indexed="81"/>
            <rFont val="Tahoma"/>
            <family val="2"/>
          </rPr>
          <t>Nelly Nguyen:</t>
        </r>
        <r>
          <rPr>
            <sz val="9"/>
            <color indexed="81"/>
            <rFont val="Tahoma"/>
            <family val="2"/>
          </rPr>
          <t xml:space="preserve">
Loan: US$790m
Bank: US$66.78m
Policy: US$12.5m</t>
        </r>
      </text>
    </comment>
    <comment ref="V178" authorId="5" shapeId="0" xr:uid="{43A83AD0-5FEE-4FE1-9C46-1E662CBD28CD}">
      <text>
        <r>
          <rPr>
            <b/>
            <sz val="9"/>
            <color indexed="81"/>
            <rFont val="Tahoma"/>
            <family val="2"/>
          </rPr>
          <t>Nelly Nguyen:</t>
        </r>
        <r>
          <rPr>
            <sz val="9"/>
            <color indexed="81"/>
            <rFont val="Tahoma"/>
            <family val="2"/>
          </rPr>
          <t xml:space="preserve">
Loan: EUR2.37b
Bank: EUR335m
Policy: EUR11m</t>
        </r>
      </text>
    </comment>
    <comment ref="V179" authorId="5" shapeId="0" xr:uid="{8EDCBE7E-DB5A-4621-8D27-6FAFF27A5E77}">
      <text>
        <r>
          <rPr>
            <b/>
            <sz val="9"/>
            <color indexed="81"/>
            <rFont val="Tahoma"/>
            <family val="2"/>
          </rPr>
          <t>Nelly Nguyen:</t>
        </r>
        <r>
          <rPr>
            <sz val="9"/>
            <color indexed="81"/>
            <rFont val="Tahoma"/>
            <family val="2"/>
          </rPr>
          <t xml:space="preserve">
Loan: US$191m
Bank: US$25m
Policy: US$7.5m</t>
        </r>
      </text>
    </comment>
    <comment ref="V180" authorId="5" shapeId="0" xr:uid="{24E13E85-1D4C-419C-B63A-762530ADE441}">
      <text>
        <r>
          <rPr>
            <b/>
            <sz val="9"/>
            <color indexed="81"/>
            <rFont val="Tahoma"/>
            <family val="2"/>
          </rPr>
          <t>Nelly Nguyen:</t>
        </r>
        <r>
          <rPr>
            <sz val="9"/>
            <color indexed="81"/>
            <rFont val="Tahoma"/>
            <family val="2"/>
          </rPr>
          <t xml:space="preserve">
Loan: EUR1.816b
Bank: EUR50.2m
Policy: EUR20m</t>
        </r>
      </text>
    </comment>
    <comment ref="V181" authorId="5" shapeId="0" xr:uid="{FF96BE04-D260-4A37-A9E4-429C0CD9ABBD}">
      <text>
        <r>
          <rPr>
            <b/>
            <sz val="9"/>
            <color indexed="81"/>
            <rFont val="Tahoma"/>
            <family val="2"/>
          </rPr>
          <t>Nelly Nguyen:</t>
        </r>
        <r>
          <rPr>
            <sz val="9"/>
            <color indexed="81"/>
            <rFont val="Tahoma"/>
            <family val="2"/>
          </rPr>
          <t xml:space="preserve">
Loan: US$191m
Bank: US$25m
Policy: US$7.5m</t>
        </r>
      </text>
    </comment>
    <comment ref="V182" authorId="5" shapeId="0" xr:uid="{942CD87F-7182-49D0-9317-706526F499C4}">
      <text>
        <r>
          <rPr>
            <b/>
            <sz val="9"/>
            <color indexed="81"/>
            <rFont val="Tahoma"/>
            <family val="2"/>
          </rPr>
          <t>Nelly Nguyen:</t>
        </r>
        <r>
          <rPr>
            <sz val="9"/>
            <color indexed="81"/>
            <rFont val="Tahoma"/>
            <family val="2"/>
          </rPr>
          <t xml:space="preserve">
Loan: US$460.4m
Bank: US$63m
Policy: US$14.5m</t>
        </r>
      </text>
    </comment>
    <comment ref="V183" authorId="5" shapeId="0" xr:uid="{02140708-CEEF-40A6-94C9-4959FFC7AFC6}">
      <text>
        <r>
          <rPr>
            <b/>
            <sz val="9"/>
            <color indexed="81"/>
            <rFont val="Tahoma"/>
            <family val="2"/>
          </rPr>
          <t xml:space="preserve">Nelly Nguyen
</t>
        </r>
        <r>
          <rPr>
            <sz val="9"/>
            <color indexed="81"/>
            <rFont val="Tahoma"/>
            <family val="2"/>
          </rPr>
          <t>Loan: AU$2.3b
Bank: AU$92.5m
Policy: AU$20m</t>
        </r>
      </text>
    </comment>
    <comment ref="V184" authorId="5" shapeId="0" xr:uid="{01EC6068-4072-4930-85EE-2448C3FE6BF9}">
      <text>
        <r>
          <rPr>
            <b/>
            <sz val="9"/>
            <color indexed="81"/>
            <rFont val="Tahoma"/>
            <family val="2"/>
          </rPr>
          <t xml:space="preserve">Nelly Nguyen
</t>
        </r>
        <r>
          <rPr>
            <sz val="9"/>
            <color indexed="81"/>
            <rFont val="Tahoma"/>
            <family val="2"/>
          </rPr>
          <t>Loan: AU$1.22b
Bank: AU$150m
Policy: AU$15m</t>
        </r>
      </text>
    </comment>
    <comment ref="V185" authorId="5" shapeId="0" xr:uid="{F2492987-42FD-471F-BE36-B6D9B72C6E38}">
      <text>
        <r>
          <rPr>
            <b/>
            <sz val="9"/>
            <color indexed="81"/>
            <rFont val="Tahoma"/>
            <family val="2"/>
          </rPr>
          <t>Nelly Nguyen:</t>
        </r>
        <r>
          <rPr>
            <sz val="9"/>
            <color indexed="81"/>
            <rFont val="Tahoma"/>
            <family val="2"/>
          </rPr>
          <t xml:space="preserve">
Loan: US$193m
Bank: US$20m
Policy: US$7.5m</t>
        </r>
      </text>
    </comment>
    <comment ref="V186" authorId="5" shapeId="0" xr:uid="{A94CF249-E763-491B-B2B5-8EF427A4B560}">
      <text>
        <r>
          <rPr>
            <b/>
            <sz val="9"/>
            <color indexed="81"/>
            <rFont val="Tahoma"/>
            <family val="2"/>
          </rPr>
          <t>Nelly Nguyen:</t>
        </r>
        <r>
          <rPr>
            <sz val="9"/>
            <color indexed="81"/>
            <rFont val="Tahoma"/>
            <family val="2"/>
          </rPr>
          <t xml:space="preserve">
Loan: EUR8.9b
Bank: EUR1.48b
Policy: EUR25m</t>
        </r>
      </text>
    </comment>
    <comment ref="V187" authorId="5" shapeId="0" xr:uid="{F8A3E0EE-13BB-4C59-9044-F2AB5F120738}">
      <text>
        <r>
          <rPr>
            <b/>
            <sz val="9"/>
            <color indexed="81"/>
            <rFont val="Tahoma"/>
            <family val="2"/>
          </rPr>
          <t>Nelly Nguyen:</t>
        </r>
        <r>
          <rPr>
            <sz val="9"/>
            <color indexed="81"/>
            <rFont val="Tahoma"/>
            <family val="2"/>
          </rPr>
          <t xml:space="preserve">
Loan: EUR6.6b
Bank: EUR300m
Policy: EUR20m</t>
        </r>
      </text>
    </comment>
    <comment ref="V188" authorId="5" shapeId="0" xr:uid="{E09236E7-7860-4A60-9C4B-C294C7044A30}">
      <text>
        <r>
          <rPr>
            <b/>
            <sz val="9"/>
            <color indexed="81"/>
            <rFont val="Tahoma"/>
            <family val="2"/>
          </rPr>
          <t>Nelly Nguyen:</t>
        </r>
        <r>
          <rPr>
            <sz val="9"/>
            <color indexed="81"/>
            <rFont val="Tahoma"/>
            <family val="2"/>
          </rPr>
          <t xml:space="preserve">
Loan: EUR820m
Bank: EUR114m
Policy: EUR15m</t>
        </r>
      </text>
    </comment>
    <comment ref="V189" authorId="5" shapeId="0" xr:uid="{326BBEA4-D17E-4DF8-B21A-E9E389012D06}">
      <text>
        <r>
          <rPr>
            <b/>
            <sz val="9"/>
            <color indexed="81"/>
            <rFont val="Tahoma"/>
            <family val="2"/>
          </rPr>
          <t>Nelly Nguyen:</t>
        </r>
        <r>
          <rPr>
            <sz val="9"/>
            <color indexed="81"/>
            <rFont val="Tahoma"/>
            <family val="2"/>
          </rPr>
          <t xml:space="preserve">
Loan: US$85m
Bank: US56.2m
Policy: US$15m</t>
        </r>
      </text>
    </comment>
    <comment ref="V190" authorId="5" shapeId="0" xr:uid="{199CD83E-52F4-44B9-BBF9-0EA9476E279E}">
      <text>
        <r>
          <rPr>
            <b/>
            <sz val="9"/>
            <color indexed="81"/>
            <rFont val="Tahoma"/>
            <family val="2"/>
          </rPr>
          <t>Nelly Nguyen:</t>
        </r>
        <r>
          <rPr>
            <sz val="9"/>
            <color indexed="81"/>
            <rFont val="Tahoma"/>
            <family val="2"/>
          </rPr>
          <t xml:space="preserve">
Loan: US$2.9b
Bank: US$100m
Policy: US$15m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Lea Krstevska</author>
    <author>Marc Nicholls</author>
    <author>Richard Jagger</author>
    <author>Brian Satterthwaite</author>
    <author>tc={5FE909AD-231B-4D12-A4C6-0AA9818EB2EF}</author>
    <author>Nelly Nguyen</author>
    <author>Jemma Sargeant</author>
    <author>Samuel Atkinson</author>
    <author>Ann Prosser</author>
    <author>Chris Power</author>
    <author>Joseph Day</author>
  </authors>
  <commentList>
    <comment ref="AK2" authorId="0" shapeId="0" xr:uid="{78A6744D-8019-4117-926B-AB84FA556D97}">
      <text>
        <r>
          <rPr>
            <b/>
            <sz val="9"/>
            <color indexed="81"/>
            <rFont val="Tahoma"/>
            <family val="2"/>
          </rPr>
          <t>Lea Krstevska:</t>
        </r>
        <r>
          <rPr>
            <sz val="9"/>
            <color indexed="81"/>
            <rFont val="Tahoma"/>
            <family val="2"/>
          </rPr>
          <t xml:space="preserve">
AUD 20m-30m
USD 15m - 25m
EUR 15m - 22m</t>
        </r>
      </text>
    </comment>
    <comment ref="W4" authorId="1" shapeId="0" xr:uid="{BE95916C-A5FC-4000-82C8-A406DB4D7C21}">
      <text>
        <r>
          <rPr>
            <b/>
            <sz val="8"/>
            <color indexed="81"/>
            <rFont val="Tahoma"/>
            <family val="2"/>
          </rPr>
          <t>Marc Nicholls:</t>
        </r>
        <r>
          <rPr>
            <sz val="8"/>
            <color indexed="81"/>
            <rFont val="Tahoma"/>
            <family val="2"/>
          </rPr>
          <t xml:space="preserve">
ANZ $50m, Syndicate $225m
Nelly: ANZ 35.9 as at Sep 22</t>
        </r>
      </text>
    </comment>
    <comment ref="W5" authorId="2" shapeId="0" xr:uid="{EDFCDEC5-ADF0-49AA-93BD-B879DB500477}">
      <text>
        <r>
          <rPr>
            <b/>
            <sz val="8"/>
            <color indexed="81"/>
            <rFont val="Tahoma"/>
            <family val="2"/>
          </rPr>
          <t>Loan Limit: 120mio
Bank Limit: EUR50mio
Policy Limit: EUR25mio</t>
        </r>
      </text>
    </comment>
    <comment ref="W6" authorId="2" shapeId="0" xr:uid="{012D87AB-9D2F-4905-A0C2-0DAFEDD92203}">
      <text>
        <r>
          <rPr>
            <b/>
            <sz val="9"/>
            <color indexed="81"/>
            <rFont val="Tahoma"/>
            <family val="2"/>
          </rPr>
          <t>supports DB INR6b participation</t>
        </r>
      </text>
    </comment>
    <comment ref="W7" authorId="1" shapeId="0" xr:uid="{9BC67CFE-6998-49A2-85DE-B4CB178A06D0}">
      <text>
        <r>
          <rPr>
            <b/>
            <sz val="9"/>
            <color indexed="81"/>
            <rFont val="Tahoma"/>
            <family val="2"/>
          </rPr>
          <t>Marc Nicholls:</t>
        </r>
        <r>
          <rPr>
            <sz val="9"/>
            <color indexed="81"/>
            <rFont val="Tahoma"/>
            <family val="2"/>
          </rPr>
          <t xml:space="preserve">
supports ING in its EUR175m participation in Eur625m faciilty</t>
        </r>
      </text>
    </comment>
    <comment ref="W8" authorId="2" shapeId="0" xr:uid="{BCA62B95-70B6-4E49-A3F6-619F79055F7D}">
      <text>
        <r>
          <rPr>
            <sz val="8"/>
            <color indexed="81"/>
            <rFont val="Tahoma"/>
            <family val="2"/>
          </rPr>
          <t>US1.024b, StanChart US131.75m</t>
        </r>
      </text>
    </comment>
    <comment ref="W9" authorId="3" shapeId="0" xr:uid="{0C919ECB-841D-4267-B7ED-2BFE7910C6D1}">
      <text>
        <r>
          <rPr>
            <sz val="9"/>
            <color indexed="81"/>
            <rFont val="Tahoma"/>
            <family val="2"/>
          </rPr>
          <t>CEIP support to SG (Paris Branch)  in its US$120m participation in a US$790m committed senior secured syndicated pooled commercial aircraft term loan financing facility</t>
        </r>
      </text>
    </comment>
    <comment ref="W16" authorId="2" shapeId="0" xr:uid="{65BCB64F-9818-4575-AEBD-8DC9E8D97A9D}">
      <text>
        <r>
          <rPr>
            <sz val="8"/>
            <color indexed="81"/>
            <rFont val="Tahoma"/>
            <family val="2"/>
          </rPr>
          <t>US$1b, ANZ London US$107m</t>
        </r>
      </text>
    </comment>
    <comment ref="W19" authorId="2" shapeId="0" xr:uid="{7EC83018-A4F3-4190-A754-7C37458D4789}">
      <text>
        <r>
          <rPr>
            <sz val="8"/>
            <color indexed="81"/>
            <rFont val="Tahoma"/>
            <family val="2"/>
          </rPr>
          <t>US290m, SMBC US$50m</t>
        </r>
      </text>
    </comment>
    <comment ref="AO19" authorId="4" shapeId="0" xr:uid="{5FE909AD-231B-4D12-A4C6-0AA9818EB2EF}">
      <text>
        <t>[Threaded comment]
Your version of Excel allows you to read this threaded comment; however, any edits to it will get removed if the file is opened in a newer version of Excel. Learn more: https://go.microsoft.com/fwlink/?linkid=870924
Comment:
    GW has confirmed we are awaiting extension (Sep 22)</t>
      </text>
    </comment>
    <comment ref="W20" authorId="2" shapeId="0" xr:uid="{0EBC1935-5271-4158-8246-F1013740F4EB}">
      <text>
        <r>
          <rPr>
            <b/>
            <sz val="9"/>
            <color indexed="81"/>
            <rFont val="Tahoma"/>
            <family val="2"/>
          </rPr>
          <t>ING participation of EUR150m of EUR650m facility</t>
        </r>
      </text>
    </comment>
    <comment ref="W22" authorId="2" shapeId="0" xr:uid="{A6BE7818-361C-4325-9F7B-08972A1819D2}">
      <text>
        <r>
          <rPr>
            <b/>
            <sz val="9"/>
            <color indexed="81"/>
            <rFont val="Tahoma"/>
            <family val="2"/>
          </rPr>
          <t>DB participation of $65m in $180m senior secured loan only, $10m revolver and $10m capex facility</t>
        </r>
      </text>
    </comment>
    <comment ref="W23" authorId="1" shapeId="0" xr:uid="{E7783001-CF64-40B8-8C2F-1DDBAAFF3378}">
      <text>
        <r>
          <rPr>
            <b/>
            <sz val="9"/>
            <color indexed="81"/>
            <rFont val="Tahoma"/>
            <family val="2"/>
          </rPr>
          <t>Marc Nicholls:</t>
        </r>
        <r>
          <rPr>
            <sz val="9"/>
            <color indexed="81"/>
            <rFont val="Tahoma"/>
            <family val="2"/>
          </rPr>
          <t xml:space="preserve">
ING $137m of $137m</t>
        </r>
      </text>
    </comment>
    <comment ref="U24" authorId="5" shapeId="0" xr:uid="{EE771D40-E1A6-4530-BB48-B070EF734CF6}">
      <text>
        <r>
          <rPr>
            <b/>
            <sz val="9"/>
            <color indexed="81"/>
            <rFont val="Tahoma"/>
            <family val="2"/>
          </rPr>
          <t>Nelly Nguyen:</t>
        </r>
        <r>
          <rPr>
            <sz val="9"/>
            <color indexed="81"/>
            <rFont val="Tahoma"/>
            <family val="2"/>
          </rPr>
          <t xml:space="preserve">
USD 5.1926</t>
        </r>
      </text>
    </comment>
    <comment ref="W24" authorId="1" shapeId="0" xr:uid="{B40A167F-63A1-4D12-B3A2-05A145B0D1CD}">
      <text>
        <r>
          <rPr>
            <b/>
            <sz val="9"/>
            <color indexed="81"/>
            <rFont val="Tahoma"/>
            <family val="2"/>
          </rPr>
          <t>Marc Nicholls:</t>
        </r>
        <r>
          <rPr>
            <sz val="9"/>
            <color indexed="81"/>
            <rFont val="Tahoma"/>
            <family val="2"/>
          </rPr>
          <t xml:space="preserve">
BNPP $30 of $80m</t>
        </r>
      </text>
    </comment>
    <comment ref="W25" authorId="6" shapeId="0" xr:uid="{5DA70E34-6023-4F16-A0C5-BCB110631549}">
      <text>
        <r>
          <rPr>
            <b/>
            <sz val="9"/>
            <color indexed="81"/>
            <rFont val="Tahoma"/>
            <family val="2"/>
          </rPr>
          <t>Jemma Sargeant:</t>
        </r>
        <r>
          <rPr>
            <sz val="9"/>
            <color indexed="81"/>
            <rFont val="Tahoma"/>
            <family val="2"/>
          </rPr>
          <t xml:space="preserve">
ANZ US$96.8mil in US$193.6mil</t>
        </r>
      </text>
    </comment>
    <comment ref="A26" authorId="2" shapeId="0" xr:uid="{4163E515-55B8-4B62-AE65-A79867D5E22F}">
      <text>
        <r>
          <rPr>
            <b/>
            <sz val="9"/>
            <color indexed="81"/>
            <rFont val="Tahoma"/>
            <family val="2"/>
          </rPr>
          <t>Barings (Head Office)</t>
        </r>
      </text>
    </comment>
    <comment ref="W26" authorId="6" shapeId="0" xr:uid="{5B50DCB7-B53C-464F-8F89-67ADFCF8B488}">
      <text>
        <r>
          <rPr>
            <b/>
            <sz val="9"/>
            <color indexed="81"/>
            <rFont val="Tahoma"/>
            <family val="2"/>
          </rPr>
          <t>Jemma Sargeant:</t>
        </r>
        <r>
          <rPr>
            <sz val="9"/>
            <color indexed="81"/>
            <rFont val="Tahoma"/>
            <family val="2"/>
          </rPr>
          <t xml:space="preserve">
ING EUR 16.055mil</t>
        </r>
      </text>
    </comment>
    <comment ref="BU26" authorId="2" shapeId="0" xr:uid="{11C90C73-E63F-4AB2-9FFA-7C42B70EB520}">
      <text>
        <r>
          <rPr>
            <b/>
            <sz val="9"/>
            <color indexed="81"/>
            <rFont val="Tahoma"/>
            <family val="2"/>
          </rPr>
          <t>Barings (Head Office)</t>
        </r>
      </text>
    </comment>
    <comment ref="W27" authorId="6" shapeId="0" xr:uid="{E1350456-BF84-4BCC-BEBD-C0305C9CC795}">
      <text>
        <r>
          <rPr>
            <b/>
            <sz val="9"/>
            <color indexed="81"/>
            <rFont val="Tahoma"/>
            <family val="2"/>
          </rPr>
          <t>Jemma Sargeant:</t>
        </r>
        <r>
          <rPr>
            <sz val="9"/>
            <color indexed="81"/>
            <rFont val="Tahoma"/>
            <family val="2"/>
          </rPr>
          <t xml:space="preserve">
US$75m in US$200m</t>
        </r>
      </text>
    </comment>
    <comment ref="W28" authorId="6" shapeId="0" xr:uid="{2772FB97-C7BB-46F5-A5B2-E73BADA9BAC2}">
      <text>
        <r>
          <rPr>
            <b/>
            <sz val="9"/>
            <color indexed="81"/>
            <rFont val="Tahoma"/>
            <family val="2"/>
          </rPr>
          <t>Jemma Sargeant:</t>
        </r>
        <r>
          <rPr>
            <sz val="9"/>
            <color indexed="81"/>
            <rFont val="Tahoma"/>
            <family val="2"/>
          </rPr>
          <t xml:space="preserve">
US$36m facility
</t>
        </r>
      </text>
    </comment>
    <comment ref="W29" authorId="6" shapeId="0" xr:uid="{BC6C616E-052D-4E75-AE37-C9EC20582339}">
      <text>
        <r>
          <rPr>
            <b/>
            <sz val="9"/>
            <color indexed="81"/>
            <rFont val="Tahoma"/>
            <family val="2"/>
          </rPr>
          <t>Jemma Sargeant:</t>
        </r>
        <r>
          <rPr>
            <sz val="9"/>
            <color indexed="81"/>
            <rFont val="Tahoma"/>
            <family val="2"/>
          </rPr>
          <t xml:space="preserve">
US$150m in US$300m facility</t>
        </r>
      </text>
    </comment>
    <comment ref="W30" authorId="6" shapeId="0" xr:uid="{96D4B1B0-8C25-465D-B83B-85DD4E08C875}">
      <text>
        <r>
          <rPr>
            <b/>
            <sz val="9"/>
            <color indexed="81"/>
            <rFont val="Tahoma"/>
            <family val="2"/>
          </rPr>
          <t xml:space="preserve">Loan = us$350
Bank = us$100
</t>
        </r>
        <r>
          <rPr>
            <sz val="9"/>
            <color indexed="81"/>
            <rFont val="Tahoma"/>
            <family val="2"/>
          </rPr>
          <t xml:space="preserve">
</t>
        </r>
      </text>
    </comment>
    <comment ref="W31" authorId="6" shapeId="0" xr:uid="{FBBC28D1-9B53-49D5-9695-094173339F91}">
      <text>
        <r>
          <rPr>
            <b/>
            <sz val="9"/>
            <color indexed="81"/>
            <rFont val="Tahoma"/>
            <family val="2"/>
          </rPr>
          <t xml:space="preserve">Jemma Sargeant
SGD100M in SGD427m
</t>
        </r>
        <r>
          <rPr>
            <sz val="9"/>
            <color indexed="81"/>
            <rFont val="Tahoma"/>
            <family val="2"/>
          </rPr>
          <t xml:space="preserve">
</t>
        </r>
      </text>
    </comment>
    <comment ref="W32" authorId="7" shapeId="0" xr:uid="{7C4E0273-5899-40B3-A518-3BACD640965C}">
      <text>
        <r>
          <rPr>
            <b/>
            <sz val="9"/>
            <color indexed="81"/>
            <rFont val="Tahoma"/>
            <family val="2"/>
          </rPr>
          <t>Samuel Atkinson:</t>
        </r>
        <r>
          <rPr>
            <sz val="9"/>
            <color indexed="81"/>
            <rFont val="Tahoma"/>
            <family val="2"/>
          </rPr>
          <t xml:space="preserve">
Bank limit: AUD 75m 
Facility limit: AUD 750m</t>
        </r>
      </text>
    </comment>
    <comment ref="W33" authorId="6" shapeId="0" xr:uid="{4B21D57E-0986-4E0A-81DE-2D77D9CC1881}">
      <text>
        <r>
          <rPr>
            <b/>
            <sz val="9"/>
            <color indexed="81"/>
            <rFont val="Tahoma"/>
            <family val="2"/>
          </rPr>
          <t xml:space="preserve">Loan = EUR 300m in multi-currency US Equivalent $500-750m 
Bank = EUR 131.5m in EUR tranche 
</t>
        </r>
        <r>
          <rPr>
            <sz val="9"/>
            <color indexed="81"/>
            <rFont val="Tahoma"/>
            <family val="2"/>
          </rPr>
          <t xml:space="preserve">
</t>
        </r>
      </text>
    </comment>
    <comment ref="W34" authorId="7" shapeId="0" xr:uid="{FBA01680-8261-4448-A974-E2690E2FFED9}">
      <text>
        <r>
          <rPr>
            <b/>
            <sz val="9"/>
            <color indexed="81"/>
            <rFont val="Tahoma"/>
            <family val="2"/>
          </rPr>
          <t>Samuel Atkinson:
Facility Limit: EUR 97.2m
Bank Limit: 48.6
Policy Limit: 15</t>
        </r>
      </text>
    </comment>
    <comment ref="W35" authorId="7" shapeId="0" xr:uid="{00B17970-7A6F-4F12-BF03-50D7A6597C53}">
      <text>
        <r>
          <rPr>
            <b/>
            <sz val="9"/>
            <color indexed="81"/>
            <rFont val="Tahoma"/>
            <family val="2"/>
          </rPr>
          <t>Samuel Atkinson:</t>
        </r>
        <r>
          <rPr>
            <sz val="9"/>
            <color indexed="81"/>
            <rFont val="Tahoma"/>
            <family val="2"/>
          </rPr>
          <t xml:space="preserve">
1.75b US term loan
175b US ANZ commitment
</t>
        </r>
      </text>
    </comment>
    <comment ref="W36" authorId="7" shapeId="0" xr:uid="{DA9EC51B-8591-4B6B-BDBB-35BE5FDC85B0}">
      <text>
        <r>
          <rPr>
            <b/>
            <sz val="9"/>
            <color indexed="81"/>
            <rFont val="Tahoma"/>
            <family val="2"/>
          </rPr>
          <t>Samuel Atkinson:</t>
        </r>
        <r>
          <rPr>
            <sz val="9"/>
            <color indexed="81"/>
            <rFont val="Tahoma"/>
            <family val="2"/>
          </rPr>
          <t xml:space="preserve">
Bank: EUR 120m
Loan: EUR 500m</t>
        </r>
      </text>
    </comment>
    <comment ref="O37" authorId="7" shapeId="0" xr:uid="{EA776AB4-A59C-4D95-99B8-1634BBA30D76}">
      <text>
        <r>
          <rPr>
            <b/>
            <sz val="9"/>
            <color indexed="81"/>
            <rFont val="Tahoma"/>
            <family val="2"/>
          </rPr>
          <t>Samuel Atkinson:</t>
        </r>
        <r>
          <rPr>
            <sz val="9"/>
            <color indexed="81"/>
            <rFont val="Tahoma"/>
            <family val="2"/>
          </rPr>
          <t xml:space="preserve">
Policy is second loss but labelled in thhis way because closer to proportional than first loss</t>
        </r>
      </text>
    </comment>
    <comment ref="W37" authorId="7" shapeId="0" xr:uid="{5CA4E509-2011-468B-B492-BA2416052A66}">
      <text>
        <r>
          <rPr>
            <b/>
            <sz val="9"/>
            <color indexed="81"/>
            <rFont val="Tahoma"/>
            <family val="2"/>
          </rPr>
          <t>Samuel Atkinson:</t>
        </r>
        <r>
          <rPr>
            <sz val="9"/>
            <color indexed="81"/>
            <rFont val="Tahoma"/>
            <family val="2"/>
          </rPr>
          <t xml:space="preserve">
Loan Limit:US$385.9m
Bank Limit: US$30m
Policy: US$10m</t>
        </r>
      </text>
    </comment>
    <comment ref="W38" authorId="7" shapeId="0" xr:uid="{957269F7-A0ED-4618-A211-9C1D42B60BE1}">
      <text>
        <r>
          <rPr>
            <b/>
            <sz val="9"/>
            <color indexed="81"/>
            <rFont val="Tahoma"/>
            <family val="2"/>
          </rPr>
          <t>Samuel Atkinson:</t>
        </r>
        <r>
          <rPr>
            <sz val="9"/>
            <color indexed="81"/>
            <rFont val="Tahoma"/>
            <family val="2"/>
          </rPr>
          <t xml:space="preserve">
Bank Limit = 114.4m 
Loan Limit = 1.5b</t>
        </r>
      </text>
    </comment>
    <comment ref="W39" authorId="7" shapeId="0" xr:uid="{6E55B5E2-A54E-4891-B755-1A819411AAD6}">
      <text>
        <r>
          <rPr>
            <b/>
            <sz val="9"/>
            <color indexed="81"/>
            <rFont val="Tahoma"/>
            <family val="2"/>
          </rPr>
          <t>Samuel Atkinson:
RI: 15m
Bank: 50m
Loan: 545m</t>
        </r>
      </text>
    </comment>
    <comment ref="W40" authorId="8" shapeId="0" xr:uid="{ED8C2F57-B5BE-4D41-A7F9-01D91EB5E3F8}">
      <text>
        <r>
          <rPr>
            <b/>
            <sz val="9"/>
            <color indexed="81"/>
            <rFont val="Tahoma"/>
            <family val="2"/>
          </rPr>
          <t>Ann Prosser:</t>
        </r>
        <r>
          <rPr>
            <sz val="9"/>
            <color indexed="81"/>
            <rFont val="Tahoma"/>
            <family val="2"/>
          </rPr>
          <t xml:space="preserve">
Loan Limit: A$1b
Bank Limit: A$50m 
Policy Limit: A$10m
</t>
        </r>
      </text>
    </comment>
    <comment ref="W41" authorId="5" shapeId="0" xr:uid="{51F22F6A-7CF4-499E-BA92-20F59C12116D}">
      <text>
        <r>
          <rPr>
            <b/>
            <sz val="9"/>
            <color indexed="81"/>
            <rFont val="Tahoma"/>
            <family val="2"/>
          </rPr>
          <t>Nelly Nguyen:</t>
        </r>
        <r>
          <rPr>
            <sz val="9"/>
            <color indexed="81"/>
            <rFont val="Tahoma"/>
            <family val="2"/>
          </rPr>
          <t xml:space="preserve">
Loan: NZD 154.5m
Bank: NZD 62.5m
Limit: NZD 34.375m</t>
        </r>
      </text>
    </comment>
    <comment ref="W42" authorId="8" shapeId="0" xr:uid="{0FDC83EA-FB23-439D-98A9-A21D7C8772ED}">
      <text>
        <r>
          <rPr>
            <b/>
            <sz val="9"/>
            <color indexed="81"/>
            <rFont val="Tahoma"/>
            <family val="2"/>
          </rPr>
          <t>Ann Prosser:</t>
        </r>
        <r>
          <rPr>
            <sz val="9"/>
            <color indexed="81"/>
            <rFont val="Tahoma"/>
            <family val="2"/>
          </rPr>
          <t xml:space="preserve">
Policy limit: USD $15m, Bank Limit: usd $ 30m</t>
        </r>
      </text>
    </comment>
    <comment ref="W43" authorId="7" shapeId="0" xr:uid="{B9589C5E-62C4-48BB-B448-781007587F01}">
      <text>
        <r>
          <rPr>
            <b/>
            <sz val="9"/>
            <color indexed="81"/>
            <rFont val="Tahoma"/>
            <family val="2"/>
          </rPr>
          <t>Samuel Atkinson:</t>
        </r>
        <r>
          <rPr>
            <sz val="9"/>
            <color indexed="81"/>
            <rFont val="Tahoma"/>
            <family val="2"/>
          </rPr>
          <t xml:space="preserve">
Bank Limit: US$42.033m
Loan  Limit: US$126.1m</t>
        </r>
      </text>
    </comment>
    <comment ref="W44" authorId="7" shapeId="0" xr:uid="{6DB6558E-7F60-4428-BF78-BF413CA6D0C8}">
      <text>
        <r>
          <rPr>
            <b/>
            <sz val="9"/>
            <color indexed="81"/>
            <rFont val="Tahoma"/>
            <family val="2"/>
          </rPr>
          <t>Samuel Atkinson:</t>
        </r>
        <r>
          <rPr>
            <sz val="9"/>
            <color indexed="81"/>
            <rFont val="Tahoma"/>
            <family val="2"/>
          </rPr>
          <t xml:space="preserve">
Bank Limit: US$10
Loan Limit: US$730m 
</t>
        </r>
      </text>
    </comment>
    <comment ref="W45" authorId="8" shapeId="0" xr:uid="{D35DC369-B12E-4B48-B03F-9E3750466A0E}">
      <text>
        <r>
          <rPr>
            <b/>
            <sz val="9"/>
            <color indexed="81"/>
            <rFont val="Tahoma"/>
            <family val="2"/>
          </rPr>
          <t>Ann Prosser:</t>
        </r>
        <r>
          <rPr>
            <sz val="9"/>
            <color indexed="81"/>
            <rFont val="Tahoma"/>
            <family val="2"/>
          </rPr>
          <t xml:space="preserve">
Loan Limit: GBP 700m
Bank Limit: GBP 80m 
Policy Limit: GBP 10m</t>
        </r>
      </text>
    </comment>
    <comment ref="W46" authorId="8" shapeId="0" xr:uid="{28863F7B-83A0-45F7-98C2-F03ADB13AD9A}">
      <text>
        <r>
          <rPr>
            <b/>
            <sz val="9"/>
            <color indexed="81"/>
            <rFont val="Tahoma"/>
            <family val="2"/>
          </rPr>
          <t>Ann Prosser:</t>
        </r>
        <r>
          <rPr>
            <sz val="9"/>
            <color indexed="81"/>
            <rFont val="Tahoma"/>
            <family val="2"/>
          </rPr>
          <t xml:space="preserve">
Loan Limit: US$64.1m
Bank Limit: US$53.4m 
Policy Limit: US$20m
</t>
        </r>
      </text>
    </comment>
    <comment ref="W47" authorId="8" shapeId="0" xr:uid="{739C835E-2ED6-4434-9E8C-CA9E9A60A154}">
      <text>
        <r>
          <rPr>
            <b/>
            <sz val="9"/>
            <color indexed="81"/>
            <rFont val="Tahoma"/>
            <family val="2"/>
          </rPr>
          <t>Ann Prosser:</t>
        </r>
        <r>
          <rPr>
            <sz val="9"/>
            <color indexed="81"/>
            <rFont val="Tahoma"/>
            <family val="2"/>
          </rPr>
          <t xml:space="preserve">
Loan Limit: ~US$450m
Bank Limit: SGD 51.7m 
Policy Limit: SGD 14.1m
</t>
        </r>
      </text>
    </comment>
    <comment ref="W48" authorId="8" shapeId="0" xr:uid="{D8B5E633-BEE8-4083-B223-C0EC663AB2BB}">
      <text>
        <r>
          <rPr>
            <b/>
            <sz val="9"/>
            <color indexed="81"/>
            <rFont val="Tahoma"/>
            <family val="2"/>
          </rPr>
          <t>Ann Prosser:</t>
        </r>
        <r>
          <rPr>
            <sz val="9"/>
            <color indexed="81"/>
            <rFont val="Tahoma"/>
            <family val="2"/>
          </rPr>
          <t xml:space="preserve">
Loan Limit A$1.6b
Bank Limit  A$60m
Policy Limit A$30m</t>
        </r>
      </text>
    </comment>
    <comment ref="W49" authorId="8" shapeId="0" xr:uid="{12029CD1-C715-4A38-AB4E-1BC05D67913E}">
      <text>
        <r>
          <rPr>
            <b/>
            <sz val="9"/>
            <color indexed="81"/>
            <rFont val="Tahoma"/>
            <family val="2"/>
          </rPr>
          <t>Ann Prosser:</t>
        </r>
        <r>
          <rPr>
            <sz val="9"/>
            <color indexed="81"/>
            <rFont val="Tahoma"/>
            <family val="2"/>
          </rPr>
          <t xml:space="preserve">
"Loan Limit: A$1.04bn
Bank Limit: A$50m 
Policy Limit: A$25m"
</t>
        </r>
      </text>
    </comment>
    <comment ref="W50" authorId="8" shapeId="0" xr:uid="{59410146-D22A-46E9-9EB7-17269235D434}">
      <text>
        <r>
          <rPr>
            <b/>
            <sz val="9"/>
            <color indexed="81"/>
            <rFont val="Tahoma"/>
            <family val="2"/>
          </rPr>
          <t>Ann Prosser:</t>
        </r>
        <r>
          <rPr>
            <sz val="9"/>
            <color indexed="81"/>
            <rFont val="Tahoma"/>
            <family val="2"/>
          </rPr>
          <t xml:space="preserve">
Loan Limit: US$3bn
Bank Limit: US$150m 
Policy Limit: US$7.5</t>
        </r>
      </text>
    </comment>
    <comment ref="W51" authorId="8" shapeId="0" xr:uid="{1856E941-5A7B-4BFC-9D61-2DD41D5AAD76}">
      <text>
        <r>
          <rPr>
            <b/>
            <sz val="9"/>
            <color indexed="81"/>
            <rFont val="Tahoma"/>
            <family val="2"/>
          </rPr>
          <t>Ann Prosser:</t>
        </r>
        <r>
          <rPr>
            <sz val="9"/>
            <color indexed="81"/>
            <rFont val="Tahoma"/>
            <family val="2"/>
          </rPr>
          <t xml:space="preserve">
"Loan Limit: US$46.9m
Bank Limit: US$46.9m 
Policy Limit: US$20m"
</t>
        </r>
      </text>
    </comment>
    <comment ref="W52" authorId="8" shapeId="0" xr:uid="{3390F4C1-36A7-4F53-9E86-CE53C88BD989}">
      <text>
        <r>
          <rPr>
            <b/>
            <sz val="9"/>
            <color indexed="81"/>
            <rFont val="Tahoma"/>
            <family val="2"/>
          </rPr>
          <t>Ann Prosser:</t>
        </r>
        <r>
          <rPr>
            <sz val="9"/>
            <color indexed="81"/>
            <rFont val="Tahoma"/>
            <family val="2"/>
          </rPr>
          <t xml:space="preserve">
Loan Limit: €57m
Bank Limit: €53m
Policy Limit: €12.5m
</t>
        </r>
      </text>
    </comment>
    <comment ref="W53" authorId="8" shapeId="0" xr:uid="{A2165048-EB21-48B7-BDDB-694080718818}">
      <text>
        <r>
          <rPr>
            <b/>
            <sz val="9"/>
            <color indexed="81"/>
            <rFont val="Tahoma"/>
            <family val="2"/>
          </rPr>
          <t>Nelly Nguyen:</t>
        </r>
        <r>
          <rPr>
            <sz val="9"/>
            <color indexed="81"/>
            <rFont val="Tahoma"/>
            <family val="2"/>
          </rPr>
          <t xml:space="preserve">
Loan Limit: EUR310mm
Bank Limit: EUR77.5m 
Policy Limit: EUR20m</t>
        </r>
      </text>
    </comment>
    <comment ref="W54" authorId="0" shapeId="0" xr:uid="{A2E76AEC-0747-404E-A874-6E0CF3B4CB6E}">
      <text>
        <r>
          <rPr>
            <b/>
            <sz val="9"/>
            <color indexed="81"/>
            <rFont val="Tahoma"/>
            <family val="2"/>
          </rPr>
          <t>Lea Krstevska:</t>
        </r>
        <r>
          <rPr>
            <sz val="9"/>
            <color indexed="81"/>
            <rFont val="Tahoma"/>
            <family val="2"/>
          </rPr>
          <t xml:space="preserve">
Loan Limit: US$5bn
Bank Limit: US$350m
Policy Limit: US$20m</t>
        </r>
      </text>
    </comment>
    <comment ref="W55" authorId="0" shapeId="0" xr:uid="{3295499F-4ED6-463E-BF74-CD210CA4E6AB}">
      <text>
        <r>
          <rPr>
            <b/>
            <sz val="9"/>
            <color indexed="81"/>
            <rFont val="Tahoma"/>
            <family val="2"/>
          </rPr>
          <t>Lea Krstevska:</t>
        </r>
        <r>
          <rPr>
            <sz val="9"/>
            <color indexed="81"/>
            <rFont val="Tahoma"/>
            <family val="2"/>
          </rPr>
          <t xml:space="preserve">
Loan Limit: US$886m
Bank Limit: US$58m 
Policy Limit: US$10m</t>
        </r>
      </text>
    </comment>
    <comment ref="W56" authorId="8" shapeId="0" xr:uid="{B3F2E803-62DF-482D-980D-26F878FB4E12}">
      <text>
        <r>
          <rPr>
            <b/>
            <sz val="9"/>
            <color indexed="81"/>
            <rFont val="Tahoma"/>
            <family val="2"/>
          </rPr>
          <t>Ann Prosser:</t>
        </r>
        <r>
          <rPr>
            <sz val="9"/>
            <color indexed="81"/>
            <rFont val="Tahoma"/>
            <family val="2"/>
          </rPr>
          <t xml:space="preserve">
Loan Limit: A$5,250m
Bank Limit: A$488m 
Policy Limit: A$15m
</t>
        </r>
      </text>
    </comment>
    <comment ref="W57" authorId="0" shapeId="0" xr:uid="{33063EAE-4C7D-452E-AC7E-CDDC7C7BF229}">
      <text>
        <r>
          <rPr>
            <b/>
            <sz val="9"/>
            <color indexed="81"/>
            <rFont val="Tahoma"/>
            <family val="2"/>
          </rPr>
          <t>Lea Krstevska:</t>
        </r>
        <r>
          <rPr>
            <sz val="9"/>
            <color indexed="81"/>
            <rFont val="Tahoma"/>
            <family val="2"/>
          </rPr>
          <t xml:space="preserve">
Loan Limit: US$300m
Bank Limit: US$100m 
Policy Limit: US$10m</t>
        </r>
      </text>
    </comment>
    <comment ref="W58" authorId="0" shapeId="0" xr:uid="{B861569B-98EF-4887-9E02-0CDE03F62B8F}">
      <text>
        <r>
          <rPr>
            <b/>
            <sz val="9"/>
            <color indexed="81"/>
            <rFont val="Tahoma"/>
            <family val="2"/>
          </rPr>
          <t>Lea Krstevska:</t>
        </r>
        <r>
          <rPr>
            <sz val="9"/>
            <color indexed="81"/>
            <rFont val="Tahoma"/>
            <family val="2"/>
          </rPr>
          <t xml:space="preserve">
Loan Limit: A$256.3m
Bank Limit: A$256.3m 
Policy Limit: A$25m</t>
        </r>
      </text>
    </comment>
    <comment ref="W59" authorId="0" shapeId="0" xr:uid="{0CDDABAB-BD9E-4EE0-875E-9A0D2B3690A1}">
      <text>
        <r>
          <rPr>
            <b/>
            <sz val="9"/>
            <color indexed="81"/>
            <rFont val="Tahoma"/>
            <family val="2"/>
          </rPr>
          <t>Lea Krstevska:</t>
        </r>
        <r>
          <rPr>
            <sz val="9"/>
            <color indexed="81"/>
            <rFont val="Tahoma"/>
            <family val="2"/>
          </rPr>
          <t xml:space="preserve">
Loan Limit: NOK 1.5b
Bank Limit: NOK 990m 
Policy Limit: NOK 158m</t>
        </r>
      </text>
    </comment>
    <comment ref="W60" authorId="8" shapeId="0" xr:uid="{CA5226A8-7392-414B-B9B4-2E024E4E3F05}">
      <text>
        <r>
          <rPr>
            <b/>
            <sz val="9"/>
            <color indexed="81"/>
            <rFont val="Tahoma"/>
            <family val="2"/>
          </rPr>
          <t>Ann Prosser:</t>
        </r>
        <r>
          <rPr>
            <sz val="9"/>
            <color indexed="81"/>
            <rFont val="Tahoma"/>
            <family val="2"/>
          </rPr>
          <t xml:space="preserve">
Loan Limit: A$129.6m
Bank Limit: A$93m 
Policy Limit: A$25m
</t>
        </r>
      </text>
    </comment>
    <comment ref="X60" authorId="5" shapeId="0" xr:uid="{A6C20197-AB84-49EA-ABA9-88BF1C6EEE9A}">
      <text>
        <r>
          <rPr>
            <b/>
            <sz val="9"/>
            <color indexed="81"/>
            <rFont val="Tahoma"/>
            <family val="2"/>
          </rPr>
          <t>Nelly Nguyen:</t>
        </r>
        <r>
          <rPr>
            <sz val="9"/>
            <color indexed="81"/>
            <rFont val="Tahoma"/>
            <family val="2"/>
          </rPr>
          <t xml:space="preserve">
WB is 76,262.16, but the additional adj is 10K to be 1,052,741.43 as at Nov-end 22</t>
        </r>
      </text>
    </comment>
    <comment ref="W61" authorId="0" shapeId="0" xr:uid="{0EDAADEA-A5E0-403B-AEC2-147AC516432A}">
      <text>
        <r>
          <rPr>
            <b/>
            <sz val="9"/>
            <color indexed="81"/>
            <rFont val="Tahoma"/>
            <family val="2"/>
          </rPr>
          <t>Lea Krstevska:</t>
        </r>
        <r>
          <rPr>
            <sz val="9"/>
            <color indexed="81"/>
            <rFont val="Tahoma"/>
            <family val="2"/>
          </rPr>
          <t xml:space="preserve">
Loan Limit: EUR 1.4b
Bank Limit: EUR 212m 
Policy Limit: EUR 15m</t>
        </r>
      </text>
    </comment>
    <comment ref="W62" authorId="0" shapeId="0" xr:uid="{F9E3F49B-028E-467F-A21B-A0B92C74663A}">
      <text>
        <r>
          <rPr>
            <b/>
            <sz val="9"/>
            <color indexed="81"/>
            <rFont val="Tahoma"/>
            <family val="2"/>
          </rPr>
          <t>Lea Krstevska:</t>
        </r>
        <r>
          <rPr>
            <sz val="9"/>
            <color indexed="81"/>
            <rFont val="Tahoma"/>
            <family val="2"/>
          </rPr>
          <t xml:space="preserve">
Loan Limit: US$75m
Bank Limit: US$75m 
Policy Limit: US$20m</t>
        </r>
      </text>
    </comment>
    <comment ref="W63" authorId="0" shapeId="0" xr:uid="{5D0A4622-D273-45C5-B0BF-DA3CEF61718F}">
      <text>
        <r>
          <rPr>
            <b/>
            <sz val="9"/>
            <color indexed="81"/>
            <rFont val="Tahoma"/>
            <family val="2"/>
          </rPr>
          <t>Lea Krstevska:</t>
        </r>
        <r>
          <rPr>
            <sz val="9"/>
            <color indexed="81"/>
            <rFont val="Tahoma"/>
            <family val="2"/>
          </rPr>
          <t xml:space="preserve">
Loan Limit: EUR 20m
Bank Limit: EUR 20m 
Policy Limit: EUR 3m</t>
        </r>
      </text>
    </comment>
    <comment ref="W64" authorId="0" shapeId="0" xr:uid="{A2B68BF9-F7AF-494B-956F-CE92B121DCC5}">
      <text>
        <r>
          <rPr>
            <b/>
            <sz val="9"/>
            <color indexed="81"/>
            <rFont val="Tahoma"/>
            <family val="2"/>
          </rPr>
          <t>Lea Krstevska:</t>
        </r>
        <r>
          <rPr>
            <sz val="9"/>
            <color indexed="81"/>
            <rFont val="Tahoma"/>
            <family val="2"/>
          </rPr>
          <t xml:space="preserve">
Loan: JPY12bn
Bank: JPY7bn
Policy: JPY 2.6bn</t>
        </r>
      </text>
    </comment>
    <comment ref="W65" authorId="0" shapeId="0" xr:uid="{C929B7A4-C103-44D9-ACF6-B6248904093A}">
      <text>
        <r>
          <rPr>
            <b/>
            <sz val="9"/>
            <color indexed="81"/>
            <rFont val="Tahoma"/>
            <family val="2"/>
          </rPr>
          <t>Lea Krstevska:</t>
        </r>
        <r>
          <rPr>
            <sz val="9"/>
            <color indexed="81"/>
            <rFont val="Tahoma"/>
            <family val="2"/>
          </rPr>
          <t xml:space="preserve">
Loan Limit £400m
Bank Limit £90m
Policy Limit  £5m</t>
        </r>
      </text>
    </comment>
    <comment ref="W66" authorId="0" shapeId="0" xr:uid="{3A076EE4-2507-49A2-8F28-8535A8B65367}">
      <text>
        <r>
          <rPr>
            <b/>
            <sz val="9"/>
            <color indexed="81"/>
            <rFont val="Tahoma"/>
            <family val="2"/>
          </rPr>
          <t>Lea Krstevska:</t>
        </r>
        <r>
          <rPr>
            <sz val="9"/>
            <color indexed="81"/>
            <rFont val="Tahoma"/>
            <family val="2"/>
          </rPr>
          <t xml:space="preserve">
Loan Limit: A$319m
Bank Limit: A$319m 
Policy Limit: A$30m</t>
        </r>
      </text>
    </comment>
    <comment ref="W67" authorId="7" shapeId="0" xr:uid="{6A843E03-6685-412A-B8B3-639B9D850118}">
      <text>
        <r>
          <rPr>
            <b/>
            <sz val="9"/>
            <color indexed="81"/>
            <rFont val="Tahoma"/>
            <family val="2"/>
          </rPr>
          <t>Samuel Atkinson:EUR 25m Bank Limit 
EUR 25m Loan Limit</t>
        </r>
      </text>
    </comment>
    <comment ref="W68" authorId="7" shapeId="0" xr:uid="{D3371567-CDAA-4529-BA7B-1B3B48D92207}">
      <text>
        <r>
          <rPr>
            <b/>
            <sz val="9"/>
            <color indexed="81"/>
            <rFont val="Tahoma"/>
            <family val="2"/>
          </rPr>
          <t>Samuel Atkinson:</t>
        </r>
        <r>
          <rPr>
            <sz val="9"/>
            <color indexed="81"/>
            <rFont val="Tahoma"/>
            <family val="2"/>
          </rPr>
          <t xml:space="preserve">
Bank Limit: EUR 105m
Loan Limit: EUR 330m</t>
        </r>
      </text>
    </comment>
    <comment ref="W69" authorId="7" shapeId="0" xr:uid="{DFB71DA5-EF58-4AC1-9B38-BB2FCEE2787E}">
      <text>
        <r>
          <rPr>
            <b/>
            <sz val="9"/>
            <color indexed="81"/>
            <rFont val="Tahoma"/>
            <family val="2"/>
          </rPr>
          <t>Samuel Atkinson
US$61m Bank Limit
US$575m Loan Limit</t>
        </r>
      </text>
    </comment>
    <comment ref="W70" authorId="8" shapeId="0" xr:uid="{90ADA5EF-2D72-4E53-AEEF-ED9CA508B435}">
      <text>
        <r>
          <rPr>
            <b/>
            <sz val="9"/>
            <color indexed="81"/>
            <rFont val="Tahoma"/>
            <family val="2"/>
          </rPr>
          <t>Ann Prosser:</t>
        </r>
        <r>
          <rPr>
            <sz val="9"/>
            <color indexed="81"/>
            <rFont val="Tahoma"/>
            <family val="2"/>
          </rPr>
          <t xml:space="preserve">
Loan Limit: US$1.3bn
Bank Limit: US$95m
Policy Limit: US$5m
</t>
        </r>
      </text>
    </comment>
    <comment ref="W71" authorId="2" shapeId="0" xr:uid="{5FD28E76-C6F8-4186-97DD-3EFC328E48D3}">
      <text>
        <r>
          <rPr>
            <sz val="8"/>
            <color indexed="81"/>
            <rFont val="Tahoma"/>
            <family val="2"/>
          </rPr>
          <t>US$397.5m , ING US$50m</t>
        </r>
      </text>
    </comment>
    <comment ref="W72" authorId="0" shapeId="0" xr:uid="{110DD9A6-A42C-48E9-A091-5250C55B502F}">
      <text>
        <r>
          <rPr>
            <b/>
            <sz val="9"/>
            <color indexed="81"/>
            <rFont val="Tahoma"/>
            <family val="2"/>
          </rPr>
          <t>Lea Krstevska:</t>
        </r>
        <r>
          <rPr>
            <sz val="9"/>
            <color indexed="81"/>
            <rFont val="Tahoma"/>
            <family val="2"/>
          </rPr>
          <t xml:space="preserve">
Loan: US$340m
Bank: US$80m
Policy: US$15m</t>
        </r>
      </text>
    </comment>
    <comment ref="W73" authorId="0" shapeId="0" xr:uid="{3A124291-249A-4AB2-8369-FACBA5571C5C}">
      <text>
        <r>
          <rPr>
            <b/>
            <sz val="9"/>
            <color indexed="81"/>
            <rFont val="Tahoma"/>
            <family val="2"/>
          </rPr>
          <t>Lea Krstevska:</t>
        </r>
        <r>
          <rPr>
            <sz val="9"/>
            <color indexed="81"/>
            <rFont val="Tahoma"/>
            <family val="2"/>
          </rPr>
          <t xml:space="preserve">
Loan: US$125m
Bank: US$9.375m
Policy: US$7.5m</t>
        </r>
      </text>
    </comment>
    <comment ref="W74" authorId="0" shapeId="0" xr:uid="{52630A77-86F1-4634-965B-CAF0B35608B4}">
      <text>
        <r>
          <rPr>
            <b/>
            <sz val="9"/>
            <color indexed="81"/>
            <rFont val="Tahoma"/>
            <family val="2"/>
          </rPr>
          <t>Lea Krstevska:</t>
        </r>
        <r>
          <rPr>
            <sz val="9"/>
            <color indexed="81"/>
            <rFont val="Tahoma"/>
            <family val="2"/>
          </rPr>
          <t xml:space="preserve">
Loan: US$265m
Bank: US$30m
Policy: US$15m</t>
        </r>
      </text>
    </comment>
    <comment ref="W75" authorId="0" shapeId="0" xr:uid="{25BE8530-AC2F-41B2-95AA-590EE1A18FD3}">
      <text>
        <r>
          <rPr>
            <b/>
            <sz val="9"/>
            <color indexed="81"/>
            <rFont val="Tahoma"/>
            <family val="2"/>
          </rPr>
          <t>Lea Krstevska:</t>
        </r>
        <r>
          <rPr>
            <sz val="9"/>
            <color indexed="81"/>
            <rFont val="Tahoma"/>
            <family val="2"/>
          </rPr>
          <t xml:space="preserve">
Loan: EUR620m
Bank: EUR100m
Policy: EUR15m</t>
        </r>
      </text>
    </comment>
    <comment ref="W76" authorId="0" shapeId="0" xr:uid="{2BE1A401-4E6C-46D8-A32B-14AF0621020E}">
      <text>
        <r>
          <rPr>
            <b/>
            <sz val="9"/>
            <color indexed="81"/>
            <rFont val="Tahoma"/>
            <family val="2"/>
          </rPr>
          <t>Lea Krstevska:</t>
        </r>
        <r>
          <rPr>
            <sz val="9"/>
            <color indexed="81"/>
            <rFont val="Tahoma"/>
            <family val="2"/>
          </rPr>
          <t xml:space="preserve">
Loan: US$69.8m
Bank: US$69.8m
Policy: US$15m</t>
        </r>
      </text>
    </comment>
    <comment ref="W77" authorId="0" shapeId="0" xr:uid="{8FC3F4D3-37FD-4251-8B3C-8FFD29E9B76C}">
      <text>
        <r>
          <rPr>
            <b/>
            <sz val="9"/>
            <color indexed="81"/>
            <rFont val="Tahoma"/>
            <family val="2"/>
          </rPr>
          <t>Lea Krstevska:</t>
        </r>
        <r>
          <rPr>
            <sz val="9"/>
            <color indexed="81"/>
            <rFont val="Tahoma"/>
            <family val="2"/>
          </rPr>
          <t xml:space="preserve">
Loan: US$300m
Bank: US$30m
Policy: US$15m</t>
        </r>
      </text>
    </comment>
    <comment ref="W78" authorId="0" shapeId="0" xr:uid="{0AE473EA-D1B9-486B-9B84-EA2CED2490CE}">
      <text>
        <r>
          <rPr>
            <b/>
            <sz val="9"/>
            <color indexed="81"/>
            <rFont val="Tahoma"/>
            <family val="2"/>
          </rPr>
          <t>Lea Krstevska:</t>
        </r>
        <r>
          <rPr>
            <sz val="9"/>
            <color indexed="81"/>
            <rFont val="Tahoma"/>
            <family val="2"/>
          </rPr>
          <t xml:space="preserve">
Loan: EUR1.03bn
Bank: EUR185.6m
Policy: EUR22m</t>
        </r>
      </text>
    </comment>
    <comment ref="W79" authorId="0" shapeId="0" xr:uid="{F5607916-7DE7-4FC3-91DA-2C8B417DF458}">
      <text>
        <r>
          <rPr>
            <b/>
            <sz val="9"/>
            <color indexed="81"/>
            <rFont val="Tahoma"/>
            <family val="2"/>
          </rPr>
          <t>Lea Krstevska:</t>
        </r>
        <r>
          <rPr>
            <sz val="9"/>
            <color indexed="81"/>
            <rFont val="Tahoma"/>
            <family val="2"/>
          </rPr>
          <t xml:space="preserve">
Loan: EUR375m
Bank: EUR50m
Policy: EUR10m</t>
        </r>
      </text>
    </comment>
    <comment ref="W80" authorId="0" shapeId="0" xr:uid="{1F86C87A-224D-4EB1-A6DE-3FD2F45A72ED}">
      <text>
        <r>
          <rPr>
            <b/>
            <sz val="9"/>
            <color indexed="81"/>
            <rFont val="Tahoma"/>
            <family val="2"/>
          </rPr>
          <t>Lea Krstevska:</t>
        </r>
        <r>
          <rPr>
            <sz val="9"/>
            <color indexed="81"/>
            <rFont val="Tahoma"/>
            <family val="2"/>
          </rPr>
          <t xml:space="preserve">
Loan Limit: US$1.05bn
Bank Limit: US$125m
Policy Limit: US$15m</t>
        </r>
      </text>
    </comment>
    <comment ref="W81" authorId="0" shapeId="0" xr:uid="{B14CE972-8EE6-4CFD-B878-37F391521996}">
      <text>
        <r>
          <rPr>
            <b/>
            <sz val="9"/>
            <color indexed="81"/>
            <rFont val="Tahoma"/>
            <family val="2"/>
          </rPr>
          <t>Lea Krstevska:</t>
        </r>
        <r>
          <rPr>
            <sz val="9"/>
            <color indexed="81"/>
            <rFont val="Tahoma"/>
            <family val="2"/>
          </rPr>
          <t xml:space="preserve">
Loan Limit: JPY 22.117bn
Bank Limit: JPY 10bn
Policy Limit: JPY 986.8m</t>
        </r>
      </text>
    </comment>
    <comment ref="W82" authorId="0" shapeId="0" xr:uid="{CDE6CE70-C438-48CA-8E38-32A5DDCDD510}">
      <text>
        <r>
          <rPr>
            <b/>
            <sz val="9"/>
            <color indexed="81"/>
            <rFont val="Tahoma"/>
            <family val="2"/>
          </rPr>
          <t>Lea Krstevska:</t>
        </r>
        <r>
          <rPr>
            <sz val="9"/>
            <color indexed="81"/>
            <rFont val="Tahoma"/>
            <family val="2"/>
          </rPr>
          <t xml:space="preserve">
Loan Limit: US$327m
Bank Llimit: US$20m
Policy Limit: US$10m</t>
        </r>
      </text>
    </comment>
    <comment ref="W83" authorId="0" shapeId="0" xr:uid="{6D0FCAF6-1297-4D9A-BA75-FC272F867A9A}">
      <text>
        <r>
          <rPr>
            <b/>
            <sz val="9"/>
            <color indexed="81"/>
            <rFont val="Tahoma"/>
            <family val="2"/>
          </rPr>
          <t>Lea Krstevska:</t>
        </r>
        <r>
          <rPr>
            <sz val="9"/>
            <color indexed="81"/>
            <rFont val="Tahoma"/>
            <family val="2"/>
          </rPr>
          <t xml:space="preserve">
Loan Limit: US$818m
Bank Limit: US$40m
Policy Limit: US$20m</t>
        </r>
      </text>
    </comment>
    <comment ref="W84" authorId="0" shapeId="0" xr:uid="{699CB8DC-8297-49EB-86C4-5A3F70060AD9}">
      <text>
        <r>
          <rPr>
            <b/>
            <sz val="9"/>
            <color indexed="81"/>
            <rFont val="Tahoma"/>
            <family val="2"/>
          </rPr>
          <t>Lea Krstevska:</t>
        </r>
        <r>
          <rPr>
            <sz val="9"/>
            <color indexed="81"/>
            <rFont val="Tahoma"/>
            <family val="2"/>
          </rPr>
          <t xml:space="preserve">
Loan Limit: US$450m
Bank Limit: US$15m
Policy Limit: US$7.5m</t>
        </r>
      </text>
    </comment>
    <comment ref="W85" authorId="0" shapeId="0" xr:uid="{29C47B8F-8792-4245-912A-D78EE8FECF28}">
      <text>
        <r>
          <rPr>
            <b/>
            <sz val="9"/>
            <color indexed="81"/>
            <rFont val="Tahoma"/>
            <family val="2"/>
          </rPr>
          <t>Lea Krstevska:</t>
        </r>
        <r>
          <rPr>
            <sz val="9"/>
            <color indexed="81"/>
            <rFont val="Tahoma"/>
            <family val="2"/>
          </rPr>
          <t xml:space="preserve">
Loan Limit: CAD$355m+170m
Bank Limit: CAD$30m+22m
Policu Limit: CAD$15m+12m</t>
        </r>
      </text>
    </comment>
    <comment ref="W86" authorId="0" shapeId="0" xr:uid="{07A689B7-2117-4A5E-B077-65F2282128DA}">
      <text>
        <r>
          <rPr>
            <b/>
            <sz val="9"/>
            <color indexed="81"/>
            <rFont val="Tahoma"/>
            <family val="2"/>
          </rPr>
          <t>Lea Krstevska:</t>
        </r>
        <r>
          <rPr>
            <sz val="9"/>
            <color indexed="81"/>
            <rFont val="Tahoma"/>
            <family val="2"/>
          </rPr>
          <t xml:space="preserve">
Loan Limit: US$327m
Bank Llimit: US$13.8m
Policy Limit: US$6.9m</t>
        </r>
      </text>
    </comment>
    <comment ref="W87" authorId="0" shapeId="0" xr:uid="{C51BA6B9-3DEB-4850-BC5C-26FA820B9AA6}">
      <text>
        <r>
          <rPr>
            <b/>
            <sz val="9"/>
            <color indexed="81"/>
            <rFont val="Tahoma"/>
            <family val="2"/>
          </rPr>
          <t>Lea Krstevska:</t>
        </r>
        <r>
          <rPr>
            <sz val="9"/>
            <color indexed="81"/>
            <rFont val="Tahoma"/>
            <family val="2"/>
          </rPr>
          <t xml:space="preserve">
Loan Limit: USD$103m
Bank Limit: USD$103m
Policy Limit: USD$15m</t>
        </r>
      </text>
    </comment>
    <comment ref="W88" authorId="0" shapeId="0" xr:uid="{336B3515-B067-47E8-9950-77CF9C81AB84}">
      <text>
        <r>
          <rPr>
            <b/>
            <sz val="9"/>
            <color indexed="81"/>
            <rFont val="Tahoma"/>
            <family val="2"/>
          </rPr>
          <t>Lea Krstevska:</t>
        </r>
        <r>
          <rPr>
            <sz val="9"/>
            <color indexed="81"/>
            <rFont val="Tahoma"/>
            <family val="2"/>
          </rPr>
          <t xml:space="preserve">
Loan Limit: A$72.688m
Bank Limit: A$72.688m
Policy Limit: A$15m+10m</t>
        </r>
      </text>
    </comment>
    <comment ref="W89" authorId="0" shapeId="0" xr:uid="{26DF949F-BB85-45E9-AD83-BD8289A24997}">
      <text>
        <r>
          <rPr>
            <b/>
            <sz val="9"/>
            <color indexed="81"/>
            <rFont val="Tahoma"/>
            <family val="2"/>
          </rPr>
          <t>Lea Krstevska:</t>
        </r>
        <r>
          <rPr>
            <sz val="9"/>
            <color indexed="81"/>
            <rFont val="Tahoma"/>
            <family val="2"/>
          </rPr>
          <t xml:space="preserve">
Loan Limit: USD$988m
Bank Limit: USD$74.3m
Policy Limit: USD$20m</t>
        </r>
      </text>
    </comment>
    <comment ref="W90" authorId="0" shapeId="0" xr:uid="{42A7ADEF-EBC8-46C2-9D10-00DD6E37F7EB}">
      <text>
        <r>
          <rPr>
            <b/>
            <sz val="9"/>
            <color indexed="81"/>
            <rFont val="Tahoma"/>
            <family val="2"/>
          </rPr>
          <t>Lea Krstevska:</t>
        </r>
        <r>
          <rPr>
            <sz val="9"/>
            <color indexed="81"/>
            <rFont val="Tahoma"/>
            <family val="2"/>
          </rPr>
          <t xml:space="preserve">
Loan Limit: NOK:5,525m, SEK: 850m
Bank Limit: NOK: 338m, SEK: 57m
Policy Limit: NOK 169m, SEK 28m</t>
        </r>
      </text>
    </comment>
    <comment ref="W91" authorId="0" shapeId="0" xr:uid="{8464E92B-A539-4FD7-8921-97B4E75C3BA3}">
      <text>
        <r>
          <rPr>
            <b/>
            <sz val="9"/>
            <color indexed="81"/>
            <rFont val="Tahoma"/>
            <family val="2"/>
          </rPr>
          <t>Lea Krstevska:</t>
        </r>
        <r>
          <rPr>
            <sz val="9"/>
            <color indexed="81"/>
            <rFont val="Tahoma"/>
            <family val="2"/>
          </rPr>
          <t xml:space="preserve">
Loan Limit: US$4.5bn
Bank Limit: US$285m
Policy Limit: US$10m</t>
        </r>
      </text>
    </comment>
    <comment ref="W92" authorId="0" shapeId="0" xr:uid="{161ED271-F185-4C03-B78A-4BD46B95284F}">
      <text>
        <r>
          <rPr>
            <b/>
            <sz val="9"/>
            <color indexed="81"/>
            <rFont val="Tahoma"/>
            <family val="2"/>
          </rPr>
          <t>Lea Krstevska:</t>
        </r>
        <r>
          <rPr>
            <sz val="9"/>
            <color indexed="81"/>
            <rFont val="Tahoma"/>
            <family val="2"/>
          </rPr>
          <t xml:space="preserve">
Loan Limit: A$266M
Bank Limit: A$41.5m
Policy Limit: A$15m</t>
        </r>
      </text>
    </comment>
    <comment ref="W93" authorId="0" shapeId="0" xr:uid="{6CC43D1C-333C-48B4-A024-E76F1DE0BD81}">
      <text>
        <r>
          <rPr>
            <b/>
            <sz val="9"/>
            <color indexed="81"/>
            <rFont val="Tahoma"/>
            <family val="2"/>
          </rPr>
          <t>Lea Krstevska:</t>
        </r>
        <r>
          <rPr>
            <sz val="9"/>
            <color indexed="81"/>
            <rFont val="Tahoma"/>
            <family val="2"/>
          </rPr>
          <t xml:space="preserve">
Loan Limit: US$80m
Bank Limit: U$9.5m
Policy Limit: US$4.75m</t>
        </r>
      </text>
    </comment>
    <comment ref="W94" authorId="0" shapeId="0" xr:uid="{5E99C31B-E2F6-4002-8720-94FA030A6B97}">
      <text>
        <r>
          <rPr>
            <b/>
            <sz val="9"/>
            <color indexed="81"/>
            <rFont val="Tahoma"/>
            <family val="2"/>
          </rPr>
          <t>Lea Krstevska:</t>
        </r>
        <r>
          <rPr>
            <sz val="9"/>
            <color indexed="81"/>
            <rFont val="Tahoma"/>
            <family val="2"/>
          </rPr>
          <t xml:space="preserve">
Loan Limit: EUR350m
Bank Limit: EUR70m
Policy Limit: EUR6.25m</t>
        </r>
      </text>
    </comment>
    <comment ref="W95" authorId="0" shapeId="0" xr:uid="{FD3F2A4E-BBCB-4AA6-9754-E5D2231D8623}">
      <text>
        <r>
          <rPr>
            <b/>
            <sz val="9"/>
            <color indexed="81"/>
            <rFont val="Tahoma"/>
            <family val="2"/>
          </rPr>
          <t>Lea Krstevska:</t>
        </r>
        <r>
          <rPr>
            <sz val="9"/>
            <color indexed="81"/>
            <rFont val="Tahoma"/>
            <family val="2"/>
          </rPr>
          <t xml:space="preserve">
Loan Limit: US$55m
Bank Limit: US$15.7m
Policy Limit: US$10m</t>
        </r>
      </text>
    </comment>
    <comment ref="W96" authorId="0" shapeId="0" xr:uid="{05EE9F54-0A5F-41A5-92B9-2523EA4638C2}">
      <text>
        <r>
          <rPr>
            <b/>
            <sz val="9"/>
            <color indexed="81"/>
            <rFont val="Tahoma"/>
            <family val="2"/>
          </rPr>
          <t>Lea Krstevska:</t>
        </r>
        <r>
          <rPr>
            <sz val="9"/>
            <color indexed="81"/>
            <rFont val="Tahoma"/>
            <family val="2"/>
          </rPr>
          <t xml:space="preserve">
Loan Limit: US$1bn
Bank Limit: US$45m
Policy Limit: US$15m</t>
        </r>
      </text>
    </comment>
    <comment ref="W97" authorId="0" shapeId="0" xr:uid="{AAF41DF1-B9AC-489E-97EC-7B90C57B60E3}">
      <text>
        <r>
          <rPr>
            <b/>
            <sz val="9"/>
            <color indexed="81"/>
            <rFont val="Tahoma"/>
            <family val="2"/>
          </rPr>
          <t>Lea Krstevska:</t>
        </r>
        <r>
          <rPr>
            <sz val="9"/>
            <color indexed="81"/>
            <rFont val="Tahoma"/>
            <family val="2"/>
          </rPr>
          <t xml:space="preserve">
Loan Limit: US$818m
Bank Limit: US$35m
Policy Limit: US$5m</t>
        </r>
      </text>
    </comment>
    <comment ref="W98" authorId="0" shapeId="0" xr:uid="{CB5D75D4-3339-4261-BF55-45EE5B74E759}">
      <text>
        <r>
          <rPr>
            <b/>
            <sz val="9"/>
            <color indexed="81"/>
            <rFont val="Tahoma"/>
            <family val="2"/>
          </rPr>
          <t>Lea Krstevska:</t>
        </r>
        <r>
          <rPr>
            <sz val="9"/>
            <color indexed="81"/>
            <rFont val="Tahoma"/>
            <family val="2"/>
          </rPr>
          <t xml:space="preserve">
Loan Limit: A$2.5bn
Bank Limit: A$155m
Policy Limit: A$20m</t>
        </r>
      </text>
    </comment>
    <comment ref="W99" authorId="0" shapeId="0" xr:uid="{9F9A3A46-EA21-4F59-B3C7-E7376B1370C4}">
      <text>
        <r>
          <rPr>
            <b/>
            <sz val="9"/>
            <color indexed="81"/>
            <rFont val="Tahoma"/>
            <family val="2"/>
          </rPr>
          <t>Lea Krstevska:</t>
        </r>
        <r>
          <rPr>
            <sz val="9"/>
            <color indexed="81"/>
            <rFont val="Tahoma"/>
            <family val="2"/>
          </rPr>
          <t xml:space="preserve">
Loan Limit: A$116m
Bank Limit: A$24m
Policy Limit: A$12m</t>
        </r>
      </text>
    </comment>
    <comment ref="W100" authorId="0" shapeId="0" xr:uid="{62CAF91B-1EC1-4ECB-8F43-EBDBDE6B90F6}">
      <text>
        <r>
          <rPr>
            <b/>
            <sz val="9"/>
            <color indexed="81"/>
            <rFont val="Tahoma"/>
            <family val="2"/>
          </rPr>
          <t>Lea Krstevska:</t>
        </r>
        <r>
          <rPr>
            <sz val="9"/>
            <color indexed="81"/>
            <rFont val="Tahoma"/>
            <family val="2"/>
          </rPr>
          <t xml:space="preserve">
Loan Limit: US$1.2bn
Bank Limit: US$!50m
Policy Limit: US$7.5m</t>
        </r>
      </text>
    </comment>
    <comment ref="W101" authorId="0" shapeId="0" xr:uid="{ABF9C9AB-9904-410C-AC7F-9BAACA7EBF12}">
      <text>
        <r>
          <rPr>
            <b/>
            <sz val="9"/>
            <color indexed="81"/>
            <rFont val="Tahoma"/>
            <family val="2"/>
          </rPr>
          <t>Lea Krstevska:</t>
        </r>
        <r>
          <rPr>
            <sz val="9"/>
            <color indexed="81"/>
            <rFont val="Tahoma"/>
            <family val="2"/>
          </rPr>
          <t xml:space="preserve">
Loan Limit: EUR 1bn
Bank Limit: EUR 35m
Policy Limit: EUR20m</t>
        </r>
      </text>
    </comment>
    <comment ref="W103" authorId="0" shapeId="0" xr:uid="{C204578E-58F8-43F5-87A5-4B4FCD412668}">
      <text>
        <r>
          <rPr>
            <b/>
            <sz val="9"/>
            <color indexed="81"/>
            <rFont val="Tahoma"/>
            <family val="2"/>
          </rPr>
          <t>Lea Krstevska:</t>
        </r>
        <r>
          <rPr>
            <sz val="9"/>
            <color indexed="81"/>
            <rFont val="Tahoma"/>
            <family val="2"/>
          </rPr>
          <t xml:space="preserve">
Loan Limit: EUR 824m
Bank Limit: EUR 86m
Policy Limit: EUR 7.5m (SEK, NOK, DKK)
</t>
        </r>
        <r>
          <rPr>
            <b/>
            <sz val="9"/>
            <color indexed="81"/>
            <rFont val="Tahoma"/>
            <family val="2"/>
          </rPr>
          <t>Nelly Nguyen: NOT SURE if adding 86 with 254.7</t>
        </r>
        <r>
          <rPr>
            <sz val="9"/>
            <color indexed="81"/>
            <rFont val="Tahoma"/>
            <family val="2"/>
          </rPr>
          <t xml:space="preserve">
Loan: EUR2.7b
Bank: EUR254.7m
Policy: EUR12.5m</t>
        </r>
      </text>
    </comment>
    <comment ref="W104" authorId="0" shapeId="0" xr:uid="{8783DC42-B41F-4F7E-96F3-7BCEC0091C1A}">
      <text>
        <r>
          <rPr>
            <b/>
            <sz val="9"/>
            <color indexed="81"/>
            <rFont val="Tahoma"/>
            <family val="2"/>
          </rPr>
          <t>Lea Krstevska:</t>
        </r>
        <r>
          <rPr>
            <sz val="9"/>
            <color indexed="81"/>
            <rFont val="Tahoma"/>
            <family val="2"/>
          </rPr>
          <t xml:space="preserve">
Loan Limit: US$1bn
Bank Limit: US$150m
Policy Limit: US$20m</t>
        </r>
      </text>
    </comment>
    <comment ref="W105" authorId="0" shapeId="0" xr:uid="{39A33B6A-14FD-42C9-9BCB-73CB2B60FE0A}">
      <text>
        <r>
          <rPr>
            <b/>
            <sz val="9"/>
            <color indexed="81"/>
            <rFont val="Tahoma"/>
            <family val="2"/>
          </rPr>
          <t>Lea Krstevska:</t>
        </r>
        <r>
          <rPr>
            <sz val="9"/>
            <color indexed="81"/>
            <rFont val="Tahoma"/>
            <family val="2"/>
          </rPr>
          <t xml:space="preserve">
Loan Limit: US$570m
Bank Limit: US$16.6m
Policy Limit: US$10m</t>
        </r>
      </text>
    </comment>
    <comment ref="W106" authorId="0" shapeId="0" xr:uid="{A1D15F5D-A434-49B1-9BEB-7452D2699183}">
      <text>
        <r>
          <rPr>
            <b/>
            <sz val="9"/>
            <color indexed="81"/>
            <rFont val="Tahoma"/>
            <family val="2"/>
          </rPr>
          <t>Lea Krstevska:</t>
        </r>
        <r>
          <rPr>
            <sz val="9"/>
            <color indexed="81"/>
            <rFont val="Tahoma"/>
            <family val="2"/>
          </rPr>
          <t xml:space="preserve">
Loan Limit: US$657m + 5bn HKD
Bank limit: US$200m
Policy Limit: US$15m</t>
        </r>
      </text>
    </comment>
    <comment ref="W107" authorId="0" shapeId="0" xr:uid="{0835231C-3F7C-4591-83AB-784F0643C19B}">
      <text>
        <r>
          <rPr>
            <b/>
            <sz val="9"/>
            <color indexed="81"/>
            <rFont val="Tahoma"/>
            <family val="2"/>
          </rPr>
          <t>Lea Krstevska:</t>
        </r>
        <r>
          <rPr>
            <sz val="9"/>
            <color indexed="81"/>
            <rFont val="Tahoma"/>
            <family val="2"/>
          </rPr>
          <t xml:space="preserve">
Loan Limit: EUR159m
Bank Limit: EUR 40m
Policy Limit: EUR 10m</t>
        </r>
      </text>
    </comment>
    <comment ref="W108" authorId="0" shapeId="0" xr:uid="{EC065739-392B-46E7-8BE0-9F0D980EE5A3}">
      <text>
        <r>
          <rPr>
            <b/>
            <sz val="9"/>
            <color indexed="81"/>
            <rFont val="Tahoma"/>
            <family val="2"/>
          </rPr>
          <t>Lea Krstevska:</t>
        </r>
        <r>
          <rPr>
            <sz val="9"/>
            <color indexed="81"/>
            <rFont val="Tahoma"/>
            <family val="2"/>
          </rPr>
          <t xml:space="preserve">
Loan: EUR 120m
Bank: EUR 30m
Policy: EUR 10m</t>
        </r>
      </text>
    </comment>
    <comment ref="W109" authorId="0" shapeId="0" xr:uid="{9012CC05-5BAD-4373-9DAB-8D19A068B21A}">
      <text>
        <r>
          <rPr>
            <b/>
            <sz val="9"/>
            <color indexed="81"/>
            <rFont val="Tahoma"/>
            <family val="2"/>
          </rPr>
          <t>Lea Krstevska:</t>
        </r>
        <r>
          <rPr>
            <sz val="9"/>
            <color indexed="81"/>
            <rFont val="Tahoma"/>
            <family val="2"/>
          </rPr>
          <t xml:space="preserve">
Loan Limit: EUR 65m
Bank Limit: EUR 32.5m
Policy Limit: EUR 7.8m</t>
        </r>
      </text>
    </comment>
    <comment ref="W110" authorId="0" shapeId="0" xr:uid="{7D305803-2AF0-4917-BF4B-A653D2EF3F6A}">
      <text>
        <r>
          <rPr>
            <b/>
            <sz val="9"/>
            <color indexed="81"/>
            <rFont val="Tahoma"/>
            <family val="2"/>
          </rPr>
          <t>Lea Krstevska:</t>
        </r>
        <r>
          <rPr>
            <sz val="9"/>
            <color indexed="81"/>
            <rFont val="Tahoma"/>
            <family val="2"/>
          </rPr>
          <t xml:space="preserve">
Loan Limit: EUR60m
Bank Loan: EUR30m
Policy Limit: EUR7.2m
</t>
        </r>
      </text>
    </comment>
    <comment ref="W111" authorId="0" shapeId="0" xr:uid="{2CFFD965-94F2-4E47-8D15-3EF6115E0E67}">
      <text>
        <r>
          <rPr>
            <b/>
            <sz val="9"/>
            <color indexed="81"/>
            <rFont val="Tahoma"/>
            <family val="2"/>
          </rPr>
          <t>Lea Krstevska:</t>
        </r>
        <r>
          <rPr>
            <sz val="9"/>
            <color indexed="81"/>
            <rFont val="Tahoma"/>
            <family val="2"/>
          </rPr>
          <t xml:space="preserve">
Loan: US$100m
Bank: US$40m
Policy: US$20m</t>
        </r>
      </text>
    </comment>
    <comment ref="W112" authorId="0" shapeId="0" xr:uid="{4F86B5CA-8E25-452E-B253-9F4D68387664}">
      <text>
        <r>
          <rPr>
            <b/>
            <sz val="9"/>
            <color indexed="81"/>
            <rFont val="Tahoma"/>
            <family val="2"/>
          </rPr>
          <t xml:space="preserve">Lea Krstevska:B
</t>
        </r>
        <r>
          <rPr>
            <sz val="9"/>
            <color indexed="81"/>
            <rFont val="Tahoma"/>
            <family val="2"/>
          </rPr>
          <t xml:space="preserve">Loan: NOK4.026bn
Bank: NOK311.5m
Policy: NOK156m
</t>
        </r>
      </text>
    </comment>
    <comment ref="W113" authorId="0" shapeId="0" xr:uid="{F1F6CA17-9E1D-4B79-9D40-3E08E8EB83F7}">
      <text>
        <r>
          <rPr>
            <b/>
            <sz val="9"/>
            <color indexed="81"/>
            <rFont val="Tahoma"/>
            <family val="2"/>
          </rPr>
          <t>Lea Krstevska:</t>
        </r>
        <r>
          <rPr>
            <sz val="9"/>
            <color indexed="81"/>
            <rFont val="Tahoma"/>
            <family val="2"/>
          </rPr>
          <t xml:space="preserve">
Loan: AUD 308m
Bank: AUD48m
Policy: AUD11.1m</t>
        </r>
      </text>
    </comment>
    <comment ref="W114" authorId="0" shapeId="0" xr:uid="{55F17492-5447-4DFA-83FA-7C7353E8F37C}">
      <text>
        <r>
          <rPr>
            <b/>
            <sz val="9"/>
            <color indexed="81"/>
            <rFont val="Tahoma"/>
            <family val="2"/>
          </rPr>
          <t>Lea Krstevska:</t>
        </r>
        <r>
          <rPr>
            <sz val="9"/>
            <color indexed="81"/>
            <rFont val="Tahoma"/>
            <family val="2"/>
          </rPr>
          <t xml:space="preserve">
Loan: A$600m
Bank: A$172.5m
Policy: A$20m</t>
        </r>
      </text>
    </comment>
    <comment ref="W115" authorId="0" shapeId="0" xr:uid="{01A8DE0E-4E4E-42E8-87A2-B0027451FEA7}">
      <text>
        <r>
          <rPr>
            <b/>
            <sz val="9"/>
            <color indexed="81"/>
            <rFont val="Tahoma"/>
            <family val="2"/>
          </rPr>
          <t>Lea Krstevska:</t>
        </r>
        <r>
          <rPr>
            <sz val="9"/>
            <color indexed="81"/>
            <rFont val="Tahoma"/>
            <family val="2"/>
          </rPr>
          <t xml:space="preserve">
Loan: GBP155.4m
Bank: GBP40m
Policy: GBP10m</t>
        </r>
      </text>
    </comment>
    <comment ref="W116" authorId="0" shapeId="0" xr:uid="{500487AA-9309-499D-8A42-56C66E46A9D9}">
      <text>
        <r>
          <rPr>
            <b/>
            <sz val="9"/>
            <color indexed="81"/>
            <rFont val="Tahoma"/>
            <family val="2"/>
          </rPr>
          <t>Lea Krstevska:</t>
        </r>
        <r>
          <rPr>
            <sz val="9"/>
            <color indexed="81"/>
            <rFont val="Tahoma"/>
            <family val="2"/>
          </rPr>
          <t xml:space="preserve">
Loan: USD277m
Bank: USD107m
Policy: USD7.5m</t>
        </r>
      </text>
    </comment>
    <comment ref="W117" authorId="0" shapeId="0" xr:uid="{D961B69D-1FE9-48C4-8598-D167E8436462}">
      <text>
        <r>
          <rPr>
            <b/>
            <sz val="9"/>
            <color indexed="81"/>
            <rFont val="Tahoma"/>
            <family val="2"/>
          </rPr>
          <t>Lea Krstevska:</t>
        </r>
        <r>
          <rPr>
            <sz val="9"/>
            <color indexed="81"/>
            <rFont val="Tahoma"/>
            <family val="2"/>
          </rPr>
          <t xml:space="preserve">
Loan: EUR119.4m
Bank: EUR24m
Policy: EUR10m
BEFORE 19/9/22 DEBT IS EUR23880</t>
        </r>
      </text>
    </comment>
    <comment ref="W118" authorId="9" shapeId="0" xr:uid="{1EAD6AE3-AA7E-477D-B2C0-5D2956525841}">
      <text>
        <r>
          <rPr>
            <b/>
            <sz val="9"/>
            <color indexed="81"/>
            <rFont val="Tahoma"/>
            <family val="2"/>
          </rPr>
          <t>Chris Power:</t>
        </r>
        <r>
          <rPr>
            <sz val="9"/>
            <color indexed="81"/>
            <rFont val="Tahoma"/>
            <family val="2"/>
          </rPr>
          <t xml:space="preserve">
Loan: USD957m
Bank: USD60m
Policy: USD20m</t>
        </r>
      </text>
    </comment>
    <comment ref="W119" authorId="9" shapeId="0" xr:uid="{4DBCF2DE-175D-48A1-8487-7DBC088C2D0C}">
      <text>
        <r>
          <rPr>
            <b/>
            <sz val="9"/>
            <color indexed="81"/>
            <rFont val="Tahoma"/>
            <family val="2"/>
          </rPr>
          <t>Chris Power:</t>
        </r>
        <r>
          <rPr>
            <sz val="9"/>
            <color indexed="81"/>
            <rFont val="Tahoma"/>
            <family val="2"/>
          </rPr>
          <t xml:space="preserve">
Loan: AUD465m
Bank: AUD88.1m
Policy: AUD10m</t>
        </r>
      </text>
    </comment>
    <comment ref="W120" authorId="9" shapeId="0" xr:uid="{9CEC0DFA-6E9B-4F8D-A4DA-A3FDB5914EA2}">
      <text>
        <r>
          <rPr>
            <b/>
            <sz val="9"/>
            <color indexed="81"/>
            <rFont val="Tahoma"/>
            <family val="2"/>
          </rPr>
          <t>Chris Power:</t>
        </r>
        <r>
          <rPr>
            <sz val="9"/>
            <color indexed="81"/>
            <rFont val="Tahoma"/>
            <family val="2"/>
          </rPr>
          <t xml:space="preserve">
Loan: USD330m
Bank: USD20m
Policy: USD10m</t>
        </r>
      </text>
    </comment>
    <comment ref="W121" authorId="9" shapeId="0" xr:uid="{3690C125-7C55-4DE9-AA23-BE28932886B1}">
      <text>
        <r>
          <rPr>
            <b/>
            <sz val="9"/>
            <color indexed="81"/>
            <rFont val="Tahoma"/>
            <family val="2"/>
          </rPr>
          <t>Chris Power:</t>
        </r>
        <r>
          <rPr>
            <sz val="9"/>
            <color indexed="81"/>
            <rFont val="Tahoma"/>
            <family val="2"/>
          </rPr>
          <t xml:space="preserve">
Loan: AUD265.2m
Bank: AUD120m
Policy: AUD16m</t>
        </r>
      </text>
    </comment>
    <comment ref="W122" authorId="9" shapeId="0" xr:uid="{CA8D4A6C-2B54-4DA5-A8A0-FE06DBBCE20B}">
      <text>
        <r>
          <rPr>
            <b/>
            <sz val="9"/>
            <color indexed="81"/>
            <rFont val="Tahoma"/>
            <family val="2"/>
          </rPr>
          <t>Chris Power:</t>
        </r>
        <r>
          <rPr>
            <sz val="9"/>
            <color indexed="81"/>
            <rFont val="Tahoma"/>
            <family val="2"/>
          </rPr>
          <t xml:space="preserve">
Loan: USD330m
Bank: USD8.3m
Policy: USD5m</t>
        </r>
      </text>
    </comment>
    <comment ref="W123" authorId="9" shapeId="0" xr:uid="{928B444A-0D53-4B29-A813-4E4D36CC3D16}">
      <text>
        <r>
          <rPr>
            <b/>
            <sz val="9"/>
            <color indexed="81"/>
            <rFont val="Tahoma"/>
            <family val="2"/>
          </rPr>
          <t>Chris Power:</t>
        </r>
        <r>
          <rPr>
            <sz val="9"/>
            <color indexed="81"/>
            <rFont val="Tahoma"/>
            <family val="2"/>
          </rPr>
          <t xml:space="preserve">
Loan: USD350m
Bank: USD20m
Policy: USD10m</t>
        </r>
      </text>
    </comment>
    <comment ref="W124" authorId="9" shapeId="0" xr:uid="{18C0C398-4D1C-4D20-A247-E0512C937408}">
      <text>
        <r>
          <rPr>
            <b/>
            <sz val="9"/>
            <color indexed="81"/>
            <rFont val="Tahoma"/>
            <family val="2"/>
          </rPr>
          <t>Chris Power:</t>
        </r>
        <r>
          <rPr>
            <sz val="9"/>
            <color indexed="81"/>
            <rFont val="Tahoma"/>
            <family val="2"/>
          </rPr>
          <t xml:space="preserve">
Loan: USD1.0b
Bank: USD25m
Policy: USD17.5m</t>
        </r>
      </text>
    </comment>
    <comment ref="W125" authorId="9" shapeId="0" xr:uid="{616D423A-E563-4DAC-9295-F07EE579F4BE}">
      <text>
        <r>
          <rPr>
            <b/>
            <sz val="9"/>
            <color indexed="81"/>
            <rFont val="Tahoma"/>
            <family val="2"/>
          </rPr>
          <t>Chris Power:</t>
        </r>
        <r>
          <rPr>
            <sz val="9"/>
            <color indexed="81"/>
            <rFont val="Tahoma"/>
            <family val="2"/>
          </rPr>
          <t xml:space="preserve">
Loan: EUR100m
Bank: EUR50m
Policy: EUR10m</t>
        </r>
      </text>
    </comment>
    <comment ref="W126" authorId="9" shapeId="0" xr:uid="{D50C89D9-16A4-42FE-88F3-F01353D193E6}">
      <text>
        <r>
          <rPr>
            <b/>
            <sz val="9"/>
            <color indexed="81"/>
            <rFont val="Tahoma"/>
            <family val="2"/>
          </rPr>
          <t>Chris Power:</t>
        </r>
        <r>
          <rPr>
            <sz val="9"/>
            <color indexed="81"/>
            <rFont val="Tahoma"/>
            <family val="2"/>
          </rPr>
          <t xml:space="preserve">
Loan: AUD115m
Bank: AUD51
Policy: AUD10m</t>
        </r>
      </text>
    </comment>
    <comment ref="W127" authorId="9" shapeId="0" xr:uid="{BD86901A-1538-4569-89CE-43EB129EE1B9}">
      <text>
        <r>
          <rPr>
            <b/>
            <sz val="9"/>
            <color indexed="81"/>
            <rFont val="Tahoma"/>
            <family val="2"/>
          </rPr>
          <t>Chris Power:</t>
        </r>
        <r>
          <rPr>
            <sz val="9"/>
            <color indexed="81"/>
            <rFont val="Tahoma"/>
            <family val="2"/>
          </rPr>
          <t xml:space="preserve">
Loan: EUR2.7b
Bank: EUR100m
Policy: EUR20m</t>
        </r>
      </text>
    </comment>
    <comment ref="W128" authorId="9" shapeId="0" xr:uid="{8D5ACDAE-2122-4AC1-82C8-929DED9C8C72}">
      <text>
        <r>
          <rPr>
            <b/>
            <sz val="9"/>
            <color indexed="81"/>
            <rFont val="Tahoma"/>
            <family val="2"/>
          </rPr>
          <t>Chris Power:</t>
        </r>
        <r>
          <rPr>
            <sz val="9"/>
            <color indexed="81"/>
            <rFont val="Tahoma"/>
            <family val="2"/>
          </rPr>
          <t xml:space="preserve">
Loan: USD750m
Bank: USD120m
Policy: USD15m</t>
        </r>
      </text>
    </comment>
    <comment ref="W129" authorId="9" shapeId="0" xr:uid="{6F984B01-0B5B-4F1A-ABB3-973D1275CA33}">
      <text>
        <r>
          <rPr>
            <b/>
            <sz val="9"/>
            <color indexed="81"/>
            <rFont val="Tahoma"/>
            <family val="2"/>
          </rPr>
          <t>Chris Power:</t>
        </r>
        <r>
          <rPr>
            <sz val="9"/>
            <color indexed="81"/>
            <rFont val="Tahoma"/>
            <family val="2"/>
          </rPr>
          <t xml:space="preserve">
Loan: USD70.5m
Bank: USD70.5m
Policy: USD10m</t>
        </r>
      </text>
    </comment>
    <comment ref="W130" authorId="9" shapeId="0" xr:uid="{40656A4F-AEFA-4697-914D-F7732C69E003}">
      <text>
        <r>
          <rPr>
            <b/>
            <sz val="9"/>
            <color indexed="81"/>
            <rFont val="Tahoma"/>
            <family val="2"/>
          </rPr>
          <t>Chris Power:</t>
        </r>
        <r>
          <rPr>
            <sz val="9"/>
            <color indexed="81"/>
            <rFont val="Tahoma"/>
            <family val="2"/>
          </rPr>
          <t xml:space="preserve">
Loan: CHF510m
Bank: CHF14m
Policy: CHF7m</t>
        </r>
      </text>
    </comment>
    <comment ref="W131" authorId="9" shapeId="0" xr:uid="{8A40F406-BB9D-4CB5-B501-25F4E62DB9D0}">
      <text>
        <r>
          <rPr>
            <b/>
            <sz val="9"/>
            <color indexed="81"/>
            <rFont val="Tahoma"/>
            <family val="2"/>
          </rPr>
          <t>Chris Power:</t>
        </r>
        <r>
          <rPr>
            <sz val="9"/>
            <color indexed="81"/>
            <rFont val="Tahoma"/>
            <family val="2"/>
          </rPr>
          <t xml:space="preserve">
Loan: CHF510m
Bank: CHF14m
Policy: CHF7m</t>
        </r>
      </text>
    </comment>
    <comment ref="W132" authorId="9" shapeId="0" xr:uid="{607C52A9-3EEE-442D-93C8-D8B8887628E3}">
      <text>
        <r>
          <rPr>
            <b/>
            <sz val="9"/>
            <color indexed="81"/>
            <rFont val="Tahoma"/>
            <family val="2"/>
          </rPr>
          <t>Chris Power:</t>
        </r>
        <r>
          <rPr>
            <sz val="9"/>
            <color indexed="81"/>
            <rFont val="Tahoma"/>
            <family val="2"/>
          </rPr>
          <t xml:space="preserve">
Loan: USD230m
Bank: USD34.5m
Policy: USD11.5m</t>
        </r>
      </text>
    </comment>
    <comment ref="W133" authorId="9" shapeId="0" xr:uid="{A42FD6E7-DCDD-4097-A5B9-09567F305C8F}">
      <text>
        <r>
          <rPr>
            <b/>
            <sz val="9"/>
            <color indexed="81"/>
            <rFont val="Tahoma"/>
            <family val="2"/>
          </rPr>
          <t>Chris Power:</t>
        </r>
        <r>
          <rPr>
            <sz val="9"/>
            <color indexed="81"/>
            <rFont val="Tahoma"/>
            <family val="2"/>
          </rPr>
          <t xml:space="preserve">
Loan: EUR1.5b
Bank: EUR137.5m
Policy: EUR10m</t>
        </r>
      </text>
    </comment>
    <comment ref="W134" authorId="9" shapeId="0" xr:uid="{01C08A81-8AF5-4094-A0E4-C677C63AD4BE}">
      <text>
        <r>
          <rPr>
            <b/>
            <sz val="9"/>
            <color indexed="81"/>
            <rFont val="Tahoma"/>
            <family val="2"/>
          </rPr>
          <t>Chris Power:</t>
        </r>
        <r>
          <rPr>
            <sz val="9"/>
            <color indexed="81"/>
            <rFont val="Tahoma"/>
            <family val="2"/>
          </rPr>
          <t xml:space="preserve">
Loan: AUD192.5m
Bank: AUD58.5m
Policy: AUD15m</t>
        </r>
      </text>
    </comment>
    <comment ref="W135" authorId="10" shapeId="0" xr:uid="{A604FD1B-1DE7-47F2-AA95-96E2EB84FD0B}">
      <text>
        <r>
          <rPr>
            <b/>
            <sz val="9"/>
            <color indexed="81"/>
            <rFont val="Tahoma"/>
            <family val="2"/>
          </rPr>
          <t>Joseph Day:</t>
        </r>
        <r>
          <rPr>
            <sz val="9"/>
            <color indexed="81"/>
            <rFont val="Tahoma"/>
            <family val="2"/>
          </rPr>
          <t xml:space="preserve">
Loan: GBP 950m 
Bank: GBP 237.5m
Policy: GBP15m</t>
        </r>
      </text>
    </comment>
    <comment ref="W136" authorId="10" shapeId="0" xr:uid="{5B2E5677-D38C-462E-9FCD-951170513A57}">
      <text>
        <r>
          <rPr>
            <b/>
            <sz val="9"/>
            <color indexed="81"/>
            <rFont val="Tahoma"/>
            <family val="2"/>
          </rPr>
          <t>Joseph Day:</t>
        </r>
        <r>
          <rPr>
            <sz val="9"/>
            <color indexed="81"/>
            <rFont val="Tahoma"/>
            <family val="2"/>
          </rPr>
          <t xml:space="preserve">
Loan: EUR53.5m
Bank: EUR53.5m
Policy: EUR20m</t>
        </r>
      </text>
    </comment>
    <comment ref="W137" authorId="10" shapeId="0" xr:uid="{8ED762DC-B888-452C-A208-A34A8F11C33E}">
      <text>
        <r>
          <rPr>
            <b/>
            <sz val="9"/>
            <color indexed="81"/>
            <rFont val="Tahoma"/>
            <family val="2"/>
          </rPr>
          <t>Joseph Day:</t>
        </r>
        <r>
          <rPr>
            <sz val="9"/>
            <color indexed="81"/>
            <rFont val="Tahoma"/>
            <family val="2"/>
          </rPr>
          <t xml:space="preserve">
Loan: AUD 210.1m
Bank: AUD 73.3m
Policy: AUD 7.55m</t>
        </r>
      </text>
    </comment>
    <comment ref="W138" authorId="10" shapeId="0" xr:uid="{3243170E-03F1-47DE-BD5F-A3AEC9F67965}">
      <text>
        <r>
          <rPr>
            <b/>
            <sz val="9"/>
            <color indexed="81"/>
            <rFont val="Tahoma"/>
            <family val="2"/>
          </rPr>
          <t>Joseph Day:</t>
        </r>
        <r>
          <rPr>
            <sz val="9"/>
            <color indexed="81"/>
            <rFont val="Tahoma"/>
            <family val="2"/>
          </rPr>
          <t xml:space="preserve">
Loan: USD 3.0b
Bank: USD 200m
Policy: USD 30m</t>
        </r>
      </text>
    </comment>
    <comment ref="W139" authorId="10" shapeId="0" xr:uid="{99F1E22F-D907-44C1-9E12-1DE71FC64AB7}">
      <text>
        <r>
          <rPr>
            <b/>
            <sz val="9"/>
            <color indexed="81"/>
            <rFont val="Tahoma"/>
            <family val="2"/>
          </rPr>
          <t>Joseph Day:</t>
        </r>
        <r>
          <rPr>
            <sz val="9"/>
            <color indexed="81"/>
            <rFont val="Tahoma"/>
            <family val="2"/>
          </rPr>
          <t xml:space="preserve">
Loan: EUR 100.17m
Bank: EUR 100.17m
Policy: EUR 13m</t>
        </r>
      </text>
    </comment>
    <comment ref="W140" authorId="10" shapeId="0" xr:uid="{B5591CF4-B44F-4B2B-82D2-BB3EBE15E532}">
      <text>
        <r>
          <rPr>
            <b/>
            <sz val="9"/>
            <color indexed="81"/>
            <rFont val="Tahoma"/>
            <family val="2"/>
          </rPr>
          <t>Joseph Day:</t>
        </r>
        <r>
          <rPr>
            <sz val="9"/>
            <color indexed="81"/>
            <rFont val="Tahoma"/>
            <family val="2"/>
          </rPr>
          <t xml:space="preserve">
Loan: EUR 902m
Bank: EUR 20m
Policy: EUR 10.5m</t>
        </r>
      </text>
    </comment>
    <comment ref="W141" authorId="10" shapeId="0" xr:uid="{E3D0312F-666C-471B-819F-A89623DAC92E}">
      <text>
        <r>
          <rPr>
            <b/>
            <sz val="9"/>
            <color indexed="81"/>
            <rFont val="Tahoma"/>
            <family val="2"/>
          </rPr>
          <t>Joseph Day:</t>
        </r>
        <r>
          <rPr>
            <sz val="9"/>
            <color indexed="81"/>
            <rFont val="Tahoma"/>
            <family val="2"/>
          </rPr>
          <t xml:space="preserve">
Loan: EUR 7.1b
Bank: EUR 710m
Policy: EUR 10m</t>
        </r>
      </text>
    </comment>
    <comment ref="W142" authorId="5" shapeId="0" xr:uid="{7F817ADC-D4C0-4C71-97F2-8DBBA460450F}">
      <text>
        <r>
          <rPr>
            <b/>
            <sz val="9"/>
            <color indexed="81"/>
            <rFont val="Tahoma"/>
            <family val="2"/>
          </rPr>
          <t>Nelly Nguyen:</t>
        </r>
        <r>
          <rPr>
            <sz val="9"/>
            <color indexed="81"/>
            <rFont val="Tahoma"/>
            <family val="2"/>
          </rPr>
          <t xml:space="preserve">
Loan Limit :US$ 120m
Bank Limit:US$ 30m
Poicy Limit: US$ 15m</t>
        </r>
      </text>
    </comment>
    <comment ref="W143" authorId="5" shapeId="0" xr:uid="{F935F7D1-9595-4750-9691-FD9E573EA159}">
      <text>
        <r>
          <rPr>
            <b/>
            <sz val="9"/>
            <color indexed="81"/>
            <rFont val="Tahoma"/>
            <family val="2"/>
          </rPr>
          <t>Nelly Nguyen:</t>
        </r>
        <r>
          <rPr>
            <sz val="9"/>
            <color indexed="81"/>
            <rFont val="Tahoma"/>
            <family val="2"/>
          </rPr>
          <t xml:space="preserve">
Loan: A$585m
Bank: A$100m
Policy: A$20m</t>
        </r>
      </text>
    </comment>
    <comment ref="W144" authorId="5" shapeId="0" xr:uid="{8D152C4D-8740-45C0-A5EB-7267BD33DA64}">
      <text>
        <r>
          <rPr>
            <b/>
            <sz val="9"/>
            <color indexed="81"/>
            <rFont val="Tahoma"/>
            <family val="2"/>
          </rPr>
          <t>Nelly Nguyen:</t>
        </r>
        <r>
          <rPr>
            <sz val="9"/>
            <color indexed="81"/>
            <rFont val="Tahoma"/>
            <family val="2"/>
          </rPr>
          <t xml:space="preserve">
Loan: NZD 230m
Bank: NZD 107.5m
Policy: NZD 18.75m</t>
        </r>
      </text>
    </comment>
    <comment ref="W145" authorId="5" shapeId="0" xr:uid="{C4D39E4D-B525-4F9A-A2F0-9B8C90D98D5E}">
      <text>
        <r>
          <rPr>
            <b/>
            <sz val="9"/>
            <color indexed="81"/>
            <rFont val="Tahoma"/>
            <family val="2"/>
          </rPr>
          <t>Nelly Nguyen:</t>
        </r>
        <r>
          <rPr>
            <sz val="9"/>
            <color indexed="81"/>
            <rFont val="Tahoma"/>
            <family val="2"/>
          </rPr>
          <t xml:space="preserve">
Loan: NZD 230m
Bank: NZD 50m
Policy: NZD 10m
</t>
        </r>
      </text>
    </comment>
    <comment ref="W146" authorId="5" shapeId="0" xr:uid="{3697F6A5-A91E-4125-AF10-67E21A8CAA74}">
      <text>
        <r>
          <rPr>
            <b/>
            <sz val="9"/>
            <color indexed="81"/>
            <rFont val="Tahoma"/>
            <family val="2"/>
          </rPr>
          <t>Nelly Nguyen:</t>
        </r>
        <r>
          <rPr>
            <sz val="9"/>
            <color indexed="81"/>
            <rFont val="Tahoma"/>
            <family val="2"/>
          </rPr>
          <t xml:space="preserve">
Bank US$300m
Loan: US$ 20m
Policy: US$10m</t>
        </r>
      </text>
    </comment>
    <comment ref="W147" authorId="5" shapeId="0" xr:uid="{7FEEC26C-F5F2-4D53-96DB-821A211D0D84}">
      <text>
        <r>
          <rPr>
            <b/>
            <sz val="9"/>
            <color indexed="81"/>
            <rFont val="Tahoma"/>
            <family val="2"/>
          </rPr>
          <t>Nelly Nguyen:</t>
        </r>
        <r>
          <rPr>
            <sz val="9"/>
            <color indexed="81"/>
            <rFont val="Tahoma"/>
            <family val="2"/>
          </rPr>
          <t xml:space="preserve">
Loan: EUR260m
Bank: EUR220m
Policy: EUR13m</t>
        </r>
      </text>
    </comment>
    <comment ref="W148" authorId="5" shapeId="0" xr:uid="{EBA009B0-EE37-436B-A1A2-F0AF74A4DED3}">
      <text>
        <r>
          <rPr>
            <b/>
            <sz val="9"/>
            <color indexed="81"/>
            <rFont val="Tahoma"/>
            <family val="2"/>
          </rPr>
          <t>Nelly Nguyen:</t>
        </r>
        <r>
          <rPr>
            <sz val="9"/>
            <color indexed="81"/>
            <rFont val="Tahoma"/>
            <family val="2"/>
          </rPr>
          <t xml:space="preserve">
Loan: AU$240m
Bank: AU$45m
Policy: AU$ 4.99m</t>
        </r>
      </text>
    </comment>
    <comment ref="W149" authorId="5" shapeId="0" xr:uid="{5B96AA4B-0A13-4631-A005-A0056D86B634}">
      <text>
        <r>
          <rPr>
            <b/>
            <sz val="9"/>
            <color indexed="81"/>
            <rFont val="Tahoma"/>
            <family val="2"/>
          </rPr>
          <t xml:space="preserve">Nelly Nguyen:
</t>
        </r>
        <r>
          <rPr>
            <sz val="9"/>
            <color indexed="81"/>
            <rFont val="Tahoma"/>
            <family val="2"/>
          </rPr>
          <t>Loan: EUR198.7m
Bank: EUR100m
Policy: EUR7.5m</t>
        </r>
      </text>
    </comment>
    <comment ref="W150" authorId="5" shapeId="0" xr:uid="{435642F6-7BBD-42C5-AC13-5213D29A760B}">
      <text>
        <r>
          <rPr>
            <b/>
            <sz val="9"/>
            <color indexed="81"/>
            <rFont val="Tahoma"/>
            <family val="2"/>
          </rPr>
          <t>Nelly Nguyen:</t>
        </r>
        <r>
          <rPr>
            <sz val="9"/>
            <color indexed="81"/>
            <rFont val="Tahoma"/>
            <family val="2"/>
          </rPr>
          <t xml:space="preserve">
Loan: EUR364.3m
Bank: EUR100m
Policy: EUR7.5m</t>
        </r>
      </text>
    </comment>
    <comment ref="W151" authorId="5" shapeId="0" xr:uid="{42091FBD-E1D6-4884-BA30-314E9A30A44D}">
      <text>
        <r>
          <rPr>
            <b/>
            <sz val="9"/>
            <color indexed="81"/>
            <rFont val="Tahoma"/>
            <family val="2"/>
          </rPr>
          <t>Nelly Nguyen:</t>
        </r>
        <r>
          <rPr>
            <sz val="9"/>
            <color indexed="81"/>
            <rFont val="Tahoma"/>
            <family val="2"/>
          </rPr>
          <t xml:space="preserve">
Loan: US$500m
Bank: US$ 30m
Policy: US$15m</t>
        </r>
      </text>
    </comment>
    <comment ref="W152" authorId="0" shapeId="0" xr:uid="{8D0CCF13-9A61-474A-8679-68EE6D5D67E8}">
      <text>
        <r>
          <rPr>
            <b/>
            <sz val="9"/>
            <color indexed="81"/>
            <rFont val="Tahoma"/>
            <family val="2"/>
          </rPr>
          <t>Lea Krstevska:</t>
        </r>
        <r>
          <rPr>
            <sz val="9"/>
            <color indexed="81"/>
            <rFont val="Tahoma"/>
            <family val="2"/>
          </rPr>
          <t xml:space="preserve">
Loan Limit: EUR 30m
Bank Limit: EUR 30m 
Policy Limit: EUR 12m</t>
        </r>
      </text>
    </comment>
    <comment ref="W153" authorId="5" shapeId="0" xr:uid="{2123FD9C-545F-4E2A-98A0-DECBB1B1F5E9}">
      <text>
        <r>
          <rPr>
            <b/>
            <sz val="9"/>
            <color indexed="81"/>
            <rFont val="Tahoma"/>
            <family val="2"/>
          </rPr>
          <t>Nelly Nguyen:</t>
        </r>
        <r>
          <rPr>
            <sz val="9"/>
            <color indexed="81"/>
            <rFont val="Tahoma"/>
            <family val="2"/>
          </rPr>
          <t xml:space="preserve">
Loan Limit: A$300m
Bank Limit: A$71m
Policy Limit: A$12.5m</t>
        </r>
      </text>
    </comment>
    <comment ref="W154" authorId="5" shapeId="0" xr:uid="{C2F95BB9-E4AB-428D-BF7F-5CBAB2B6B449}">
      <text>
        <r>
          <rPr>
            <b/>
            <sz val="9"/>
            <color indexed="81"/>
            <rFont val="Tahoma"/>
            <family val="2"/>
          </rPr>
          <t>Nelly Nguyen:</t>
        </r>
        <r>
          <rPr>
            <sz val="9"/>
            <color indexed="81"/>
            <rFont val="Tahoma"/>
            <family val="2"/>
          </rPr>
          <t xml:space="preserve">
Loan Limit: A$300m
Bank Limit: A$71m
Policy Limit: A$7.5m</t>
        </r>
      </text>
    </comment>
    <comment ref="W155" authorId="5" shapeId="0" xr:uid="{099A2236-CF07-4802-8062-5DF25FE98432}">
      <text>
        <r>
          <rPr>
            <b/>
            <sz val="9"/>
            <color indexed="81"/>
            <rFont val="Tahoma"/>
            <family val="2"/>
          </rPr>
          <t>Nelly Nguyen:</t>
        </r>
        <r>
          <rPr>
            <sz val="9"/>
            <color indexed="81"/>
            <rFont val="Tahoma"/>
            <family val="2"/>
          </rPr>
          <t xml:space="preserve">
Loan Limit: US$2b
Bank Limit: US$148.1m
Policy Limit: US$15m</t>
        </r>
      </text>
    </comment>
    <comment ref="W156" authorId="5" shapeId="0" xr:uid="{94107B43-AA2A-4D4C-A41D-F41D32465FF5}">
      <text>
        <r>
          <rPr>
            <b/>
            <sz val="9"/>
            <color indexed="81"/>
            <rFont val="Tahoma"/>
            <family val="2"/>
          </rPr>
          <t>Nelly Nguyen:</t>
        </r>
        <r>
          <rPr>
            <sz val="9"/>
            <color indexed="81"/>
            <rFont val="Tahoma"/>
            <family val="2"/>
          </rPr>
          <t xml:space="preserve">
Loan: AU$240m
Bank: AU$15m
Policy: AU$ 7.45m</t>
        </r>
      </text>
    </comment>
    <comment ref="W157" authorId="5" shapeId="0" xr:uid="{F98DB400-BBCB-4BA0-BFA5-1C3B7AB33F37}">
      <text>
        <r>
          <rPr>
            <b/>
            <sz val="9"/>
            <color indexed="81"/>
            <rFont val="Tahoma"/>
            <family val="2"/>
          </rPr>
          <t>Nelly Nguyen:</t>
        </r>
        <r>
          <rPr>
            <sz val="9"/>
            <color indexed="81"/>
            <rFont val="Tahoma"/>
            <family val="2"/>
          </rPr>
          <t xml:space="preserve">
Loan: US$40m
Bank: US$15m
Policy: US$ 7.5m</t>
        </r>
      </text>
    </comment>
    <comment ref="AE157" authorId="5" shapeId="0" xr:uid="{967A3471-568C-48D6-B0ED-CA8FF45549E9}">
      <text>
        <r>
          <rPr>
            <b/>
            <sz val="9"/>
            <color indexed="81"/>
            <rFont val="Tahoma"/>
            <family val="2"/>
          </rPr>
          <t>Nelly Nguyen:</t>
        </r>
        <r>
          <rPr>
            <sz val="9"/>
            <color indexed="81"/>
            <rFont val="Tahoma"/>
            <family val="2"/>
          </rPr>
          <t xml:space="preserve">
I asked RJ as it said utilization date and blank date in the agreement</t>
        </r>
      </text>
    </comment>
    <comment ref="W158" authorId="5" shapeId="0" xr:uid="{5EBDA756-B37E-4BF9-BD5A-24B05CEC4BCC}">
      <text>
        <r>
          <rPr>
            <b/>
            <sz val="9"/>
            <color indexed="81"/>
            <rFont val="Tahoma"/>
            <family val="2"/>
          </rPr>
          <t>Nelly Nguyen:</t>
        </r>
        <r>
          <rPr>
            <sz val="9"/>
            <color indexed="81"/>
            <rFont val="Tahoma"/>
            <family val="2"/>
          </rPr>
          <t xml:space="preserve">
Loan: AU$1.14b
Bank: AU$30m
Policy: AU$15m</t>
        </r>
      </text>
    </comment>
    <comment ref="W159" authorId="5" shapeId="0" xr:uid="{281B7C4A-86D8-4886-9838-F5E573387C1A}">
      <text>
        <r>
          <rPr>
            <b/>
            <sz val="9"/>
            <color indexed="81"/>
            <rFont val="Tahoma"/>
            <family val="2"/>
          </rPr>
          <t>Nelly Nguyen:</t>
        </r>
        <r>
          <rPr>
            <sz val="9"/>
            <color indexed="81"/>
            <rFont val="Tahoma"/>
            <family val="2"/>
          </rPr>
          <t xml:space="preserve">
Loan: US$5.5b
Bank: US$139m
Policy: US$ 15m</t>
        </r>
      </text>
    </comment>
    <comment ref="W160" authorId="5" shapeId="0" xr:uid="{134C3D41-F58F-4E3D-9CE7-1F4629ED2EDE}">
      <text>
        <r>
          <rPr>
            <b/>
            <sz val="9"/>
            <color indexed="81"/>
            <rFont val="Tahoma"/>
            <family val="2"/>
          </rPr>
          <t>Nelly Nguyen:</t>
        </r>
        <r>
          <rPr>
            <sz val="9"/>
            <color indexed="81"/>
            <rFont val="Tahoma"/>
            <family val="2"/>
          </rPr>
          <t xml:space="preserve">
Loan: US$2.9b
Bank: US$200m
Policy: US$ 15m</t>
        </r>
      </text>
    </comment>
    <comment ref="W161" authorId="5" shapeId="0" xr:uid="{80FE6646-802D-49ED-A444-9605843A829F}">
      <text>
        <r>
          <rPr>
            <b/>
            <sz val="9"/>
            <color indexed="81"/>
            <rFont val="Tahoma"/>
            <family val="2"/>
          </rPr>
          <t>Nelly Nguyen:</t>
        </r>
        <r>
          <rPr>
            <sz val="9"/>
            <color indexed="81"/>
            <rFont val="Tahoma"/>
            <family val="2"/>
          </rPr>
          <t xml:space="preserve">
Loan: NZD 905m
Bank: NZD 140.20m
Policy: NZD 30m
</t>
        </r>
      </text>
    </comment>
    <comment ref="W162" authorId="5" shapeId="0" xr:uid="{34ECABD5-EB95-40A6-BB7D-A9A2F36A1D8F}">
      <text>
        <r>
          <rPr>
            <b/>
            <sz val="9"/>
            <color indexed="81"/>
            <rFont val="Tahoma"/>
            <family val="2"/>
          </rPr>
          <t>Nelly Nguyen:</t>
        </r>
        <r>
          <rPr>
            <sz val="9"/>
            <color indexed="81"/>
            <rFont val="Tahoma"/>
            <family val="2"/>
          </rPr>
          <t xml:space="preserve">
Loan: US$750m
Bank: US$100m
Policy: US$ 10m</t>
        </r>
      </text>
    </comment>
    <comment ref="W163" authorId="5" shapeId="0" xr:uid="{2EFA6D74-B456-4B83-9815-33B42E0D8CC0}">
      <text>
        <r>
          <rPr>
            <b/>
            <sz val="9"/>
            <color indexed="81"/>
            <rFont val="Tahoma"/>
            <family val="2"/>
          </rPr>
          <t xml:space="preserve">Nelly Nguyen
</t>
        </r>
        <r>
          <rPr>
            <sz val="9"/>
            <color indexed="81"/>
            <rFont val="Tahoma"/>
            <family val="2"/>
          </rPr>
          <t>Loan: AU$290m
Bank: AU$60m
Policy: AU$30m</t>
        </r>
      </text>
    </comment>
    <comment ref="W164" authorId="5" shapeId="0" xr:uid="{7C8F44C7-9084-4334-8654-0B69456B0166}">
      <text>
        <r>
          <rPr>
            <b/>
            <sz val="9"/>
            <color indexed="81"/>
            <rFont val="Tahoma"/>
            <family val="2"/>
          </rPr>
          <t xml:space="preserve">Nelly Nguyen
</t>
        </r>
        <r>
          <rPr>
            <sz val="9"/>
            <color indexed="81"/>
            <rFont val="Tahoma"/>
            <family val="2"/>
          </rPr>
          <t>Loan: US$7b
Bank: US$199.812m
Policy: US$20m</t>
        </r>
      </text>
    </comment>
    <comment ref="W165" authorId="5" shapeId="0" xr:uid="{FE132B5A-0851-4AD4-8C30-11048A68E041}">
      <text>
        <r>
          <rPr>
            <b/>
            <sz val="9"/>
            <color indexed="81"/>
            <rFont val="Tahoma"/>
            <family val="2"/>
          </rPr>
          <t>Nelly Nguyen:</t>
        </r>
        <r>
          <rPr>
            <sz val="9"/>
            <color indexed="81"/>
            <rFont val="Tahoma"/>
            <family val="2"/>
          </rPr>
          <t xml:space="preserve">
Loan: EUR2,012m + GBP2,067m</t>
        </r>
        <r>
          <rPr>
            <b/>
            <sz val="9"/>
            <color indexed="81"/>
            <rFont val="Tahoma"/>
            <family val="2"/>
          </rPr>
          <t xml:space="preserve">
</t>
        </r>
        <r>
          <rPr>
            <sz val="9"/>
            <color indexed="81"/>
            <rFont val="Tahoma"/>
            <family val="2"/>
          </rPr>
          <t>Bank: EUR 23,215m GBP10,301m
Policy: EUR 8.5m + GBP2m</t>
        </r>
      </text>
    </comment>
    <comment ref="W166" authorId="5" shapeId="0" xr:uid="{219ADBD3-68CC-40D9-86F7-D7F849AF420B}">
      <text>
        <r>
          <rPr>
            <b/>
            <sz val="9"/>
            <color indexed="81"/>
            <rFont val="Tahoma"/>
            <family val="2"/>
          </rPr>
          <t>Nelly Nguyen:</t>
        </r>
        <r>
          <rPr>
            <sz val="9"/>
            <color indexed="81"/>
            <rFont val="Tahoma"/>
            <family val="2"/>
          </rPr>
          <t xml:space="preserve">
Loan: EUR560m
Bank: EUR 151.35m
Policy: EUR7m</t>
        </r>
      </text>
    </comment>
    <comment ref="W167" authorId="5" shapeId="0" xr:uid="{0DEF94CE-BF6B-4502-A5E0-79201BF9C4D6}">
      <text>
        <r>
          <rPr>
            <b/>
            <sz val="9"/>
            <color indexed="81"/>
            <rFont val="Tahoma"/>
            <family val="2"/>
          </rPr>
          <t>Nelly Nguyen:</t>
        </r>
        <r>
          <rPr>
            <sz val="9"/>
            <color indexed="81"/>
            <rFont val="Tahoma"/>
            <family val="2"/>
          </rPr>
          <t xml:space="preserve">
Loan: US$3..86b
Bank: US$510.046m
Policy: US$157m</t>
        </r>
      </text>
    </comment>
    <comment ref="W168" authorId="5" shapeId="0" xr:uid="{0573FD22-222D-405A-BE18-33A0DFBF0FF6}">
      <text>
        <r>
          <rPr>
            <b/>
            <sz val="9"/>
            <color indexed="81"/>
            <rFont val="Tahoma"/>
            <family val="2"/>
          </rPr>
          <t>Nelly Nguyen:</t>
        </r>
        <r>
          <rPr>
            <sz val="9"/>
            <color indexed="81"/>
            <rFont val="Tahoma"/>
            <family val="2"/>
          </rPr>
          <t xml:space="preserve">
Loan: US$189m
Bank: US$60m
Policy: US$30m</t>
        </r>
      </text>
    </comment>
    <comment ref="W169" authorId="5" shapeId="0" xr:uid="{C2F13D91-A864-48A4-8CEB-6B5478862201}">
      <text>
        <r>
          <rPr>
            <b/>
            <sz val="9"/>
            <color indexed="81"/>
            <rFont val="Tahoma"/>
            <family val="2"/>
          </rPr>
          <t>Nelly Nguyen:</t>
        </r>
        <r>
          <rPr>
            <sz val="9"/>
            <color indexed="81"/>
            <rFont val="Tahoma"/>
            <family val="2"/>
          </rPr>
          <t xml:space="preserve">
Loan: EUR139.19m
Bank: EUR40m
Policy: EUR20m</t>
        </r>
      </text>
    </comment>
    <comment ref="W170" authorId="5" shapeId="0" xr:uid="{F697D280-B8B3-44B1-9FF8-61FE21F45377}">
      <text>
        <r>
          <rPr>
            <b/>
            <sz val="9"/>
            <color indexed="81"/>
            <rFont val="Tahoma"/>
            <family val="2"/>
          </rPr>
          <t>Nelly Nguyen:</t>
        </r>
        <r>
          <rPr>
            <sz val="9"/>
            <color indexed="81"/>
            <rFont val="Tahoma"/>
            <family val="2"/>
          </rPr>
          <t xml:space="preserve">
Loan: EUR948m
Bank: EUR105m
Policy: EUR10m</t>
        </r>
      </text>
    </comment>
    <comment ref="W171" authorId="5" shapeId="0" xr:uid="{F8C20E0D-18E6-41E1-B38C-6F95D8BC5BBA}">
      <text>
        <r>
          <rPr>
            <b/>
            <sz val="9"/>
            <color indexed="81"/>
            <rFont val="Tahoma"/>
            <family val="2"/>
          </rPr>
          <t>Nelly Nguyen:</t>
        </r>
        <r>
          <rPr>
            <sz val="9"/>
            <color indexed="81"/>
            <rFont val="Tahoma"/>
            <family val="2"/>
          </rPr>
          <t xml:space="preserve">
Loan: EUR120m
Bank: EUR42.5m
Policy: EUR12.5m</t>
        </r>
      </text>
    </comment>
    <comment ref="W172" authorId="5" shapeId="0" xr:uid="{2A64D523-1B7C-4D1B-96D3-FACDBB08684E}">
      <text>
        <r>
          <rPr>
            <b/>
            <sz val="9"/>
            <color indexed="81"/>
            <rFont val="Tahoma"/>
            <family val="2"/>
          </rPr>
          <t>Nelly Nguyen:</t>
        </r>
        <r>
          <rPr>
            <sz val="9"/>
            <color indexed="81"/>
            <rFont val="Tahoma"/>
            <family val="2"/>
          </rPr>
          <t xml:space="preserve">
Loan: EUR1,446m</t>
        </r>
        <r>
          <rPr>
            <b/>
            <sz val="9"/>
            <color indexed="81"/>
            <rFont val="Tahoma"/>
            <family val="2"/>
          </rPr>
          <t xml:space="preserve">
</t>
        </r>
        <r>
          <rPr>
            <sz val="9"/>
            <color indexed="81"/>
            <rFont val="Tahoma"/>
            <family val="2"/>
          </rPr>
          <t>Bank: EUR30m 
Policy: NOK94,012.53 m + EUR5,840.11m (around EUR15m)</t>
        </r>
      </text>
    </comment>
    <comment ref="W173" authorId="5" shapeId="0" xr:uid="{E00F5F20-7CD0-4FD8-9578-30692967E8E5}">
      <text>
        <r>
          <rPr>
            <b/>
            <sz val="9"/>
            <color indexed="81"/>
            <rFont val="Tahoma"/>
            <family val="2"/>
          </rPr>
          <t>Nelly Nguyen:</t>
        </r>
        <r>
          <rPr>
            <sz val="9"/>
            <color indexed="81"/>
            <rFont val="Tahoma"/>
            <family val="2"/>
          </rPr>
          <t xml:space="preserve">
Loan: US$790m
Bank: US$66.78m
Policy: US$12.5m</t>
        </r>
      </text>
    </comment>
    <comment ref="W174" authorId="5" shapeId="0" xr:uid="{492D5DFE-6636-456E-89F3-E59628CEC09A}">
      <text>
        <r>
          <rPr>
            <b/>
            <sz val="9"/>
            <color indexed="81"/>
            <rFont val="Tahoma"/>
            <family val="2"/>
          </rPr>
          <t>Nelly Nguyen:</t>
        </r>
        <r>
          <rPr>
            <sz val="9"/>
            <color indexed="81"/>
            <rFont val="Tahoma"/>
            <family val="2"/>
          </rPr>
          <t xml:space="preserve">
Loan: EUR2.37b
Bank: EUR335m
Policy: EUR11m</t>
        </r>
      </text>
    </comment>
    <comment ref="W175" authorId="5" shapeId="0" xr:uid="{54BBF3F5-A015-423A-B316-507BDE674D72}">
      <text>
        <r>
          <rPr>
            <b/>
            <sz val="9"/>
            <color indexed="81"/>
            <rFont val="Tahoma"/>
            <family val="2"/>
          </rPr>
          <t>Nelly Nguyen:</t>
        </r>
        <r>
          <rPr>
            <sz val="9"/>
            <color indexed="81"/>
            <rFont val="Tahoma"/>
            <family val="2"/>
          </rPr>
          <t xml:space="preserve">
Loan: US$191m
Bank: US$25m
Policy: US$7.5m</t>
        </r>
      </text>
    </comment>
    <comment ref="W176" authorId="5" shapeId="0" xr:uid="{2953AFA2-B3E1-49DF-8742-502C1CB6A5DC}">
      <text>
        <r>
          <rPr>
            <b/>
            <sz val="9"/>
            <color indexed="81"/>
            <rFont val="Tahoma"/>
            <family val="2"/>
          </rPr>
          <t>Nelly Nguyen:</t>
        </r>
        <r>
          <rPr>
            <sz val="9"/>
            <color indexed="81"/>
            <rFont val="Tahoma"/>
            <family val="2"/>
          </rPr>
          <t xml:space="preserve">
Loan: EUR1.816b
Bank: EUR50.2m
Policy: EUR20m</t>
        </r>
      </text>
    </comment>
    <comment ref="W177" authorId="5" shapeId="0" xr:uid="{1F603D74-6C1E-4F29-AFF0-794138E68D6B}">
      <text>
        <r>
          <rPr>
            <b/>
            <sz val="9"/>
            <color indexed="81"/>
            <rFont val="Tahoma"/>
            <family val="2"/>
          </rPr>
          <t>Nelly Nguyen:</t>
        </r>
        <r>
          <rPr>
            <sz val="9"/>
            <color indexed="81"/>
            <rFont val="Tahoma"/>
            <family val="2"/>
          </rPr>
          <t xml:space="preserve">
Loan: US$191m
Bank: US$25m
Policy: US$7.5m</t>
        </r>
      </text>
    </comment>
    <comment ref="W178" authorId="5" shapeId="0" xr:uid="{E69DC9EC-3D1F-4617-9684-88ECECDC15C7}">
      <text>
        <r>
          <rPr>
            <b/>
            <sz val="9"/>
            <color indexed="81"/>
            <rFont val="Tahoma"/>
            <family val="2"/>
          </rPr>
          <t>Nelly Nguyen:</t>
        </r>
        <r>
          <rPr>
            <sz val="9"/>
            <color indexed="81"/>
            <rFont val="Tahoma"/>
            <family val="2"/>
          </rPr>
          <t xml:space="preserve">
Loan: US$460.4m
Bank: US$63m
Policy: US$14.5m</t>
        </r>
      </text>
    </comment>
    <comment ref="W179" authorId="5" shapeId="0" xr:uid="{38F538C7-61B0-4444-81FA-7739CD73B7D5}">
      <text>
        <r>
          <rPr>
            <b/>
            <sz val="9"/>
            <color indexed="81"/>
            <rFont val="Tahoma"/>
            <family val="2"/>
          </rPr>
          <t xml:space="preserve">Nelly Nguyen
</t>
        </r>
        <r>
          <rPr>
            <sz val="9"/>
            <color indexed="81"/>
            <rFont val="Tahoma"/>
            <family val="2"/>
          </rPr>
          <t>Loan: AU$2.3b
Bank: AU$92.5m
Policy: AU$20m</t>
        </r>
      </text>
    </comment>
    <comment ref="W180" authorId="5" shapeId="0" xr:uid="{F37F8C61-97BD-41AD-BF10-22838528D620}">
      <text>
        <r>
          <rPr>
            <b/>
            <sz val="9"/>
            <color indexed="81"/>
            <rFont val="Tahoma"/>
            <family val="2"/>
          </rPr>
          <t xml:space="preserve">Nelly Nguyen
</t>
        </r>
        <r>
          <rPr>
            <sz val="9"/>
            <color indexed="81"/>
            <rFont val="Tahoma"/>
            <family val="2"/>
          </rPr>
          <t>Loan: AU$1.22b
Bank: AU$150m
Policy: AU$15m</t>
        </r>
      </text>
    </comment>
    <comment ref="W181" authorId="5" shapeId="0" xr:uid="{CF969292-564F-402D-9674-7340CD228289}">
      <text>
        <r>
          <rPr>
            <b/>
            <sz val="9"/>
            <color indexed="81"/>
            <rFont val="Tahoma"/>
            <family val="2"/>
          </rPr>
          <t>Nelly Nguyen:</t>
        </r>
        <r>
          <rPr>
            <sz val="9"/>
            <color indexed="81"/>
            <rFont val="Tahoma"/>
            <family val="2"/>
          </rPr>
          <t xml:space="preserve">
Loan: US$193m
Bank: US$20m
Policy: US$7.5m</t>
        </r>
      </text>
    </comment>
    <comment ref="W182" authorId="5" shapeId="0" xr:uid="{E61BF589-237A-4C48-ADEF-2C49CFEF31A4}">
      <text>
        <r>
          <rPr>
            <b/>
            <sz val="9"/>
            <color indexed="81"/>
            <rFont val="Tahoma"/>
            <family val="2"/>
          </rPr>
          <t>Nelly Nguyen:</t>
        </r>
        <r>
          <rPr>
            <sz val="9"/>
            <color indexed="81"/>
            <rFont val="Tahoma"/>
            <family val="2"/>
          </rPr>
          <t xml:space="preserve">
Loan: EUR8.9b
Bank: EUR1.48b
Policy: EUR25m</t>
        </r>
      </text>
    </comment>
    <comment ref="W183" authorId="5" shapeId="0" xr:uid="{D987D19B-E70C-49D9-A9E2-53A6D432D0CF}">
      <text>
        <r>
          <rPr>
            <b/>
            <sz val="9"/>
            <color indexed="81"/>
            <rFont val="Tahoma"/>
            <family val="2"/>
          </rPr>
          <t>Nelly Nguyen:</t>
        </r>
        <r>
          <rPr>
            <sz val="9"/>
            <color indexed="81"/>
            <rFont val="Tahoma"/>
            <family val="2"/>
          </rPr>
          <t xml:space="preserve">
Loan: EUR6.6b
Bank: EUR300m
Policy: EUR20m</t>
        </r>
      </text>
    </comment>
    <comment ref="W184" authorId="5" shapeId="0" xr:uid="{22F10A8D-3ABD-46EF-9854-BFFEFF40D249}">
      <text>
        <r>
          <rPr>
            <b/>
            <sz val="9"/>
            <color indexed="81"/>
            <rFont val="Tahoma"/>
            <family val="2"/>
          </rPr>
          <t>Nelly Nguyen:</t>
        </r>
        <r>
          <rPr>
            <sz val="9"/>
            <color indexed="81"/>
            <rFont val="Tahoma"/>
            <family val="2"/>
          </rPr>
          <t xml:space="preserve">
Loan: EUR820m
Bank: EUR114m
Policy: EUR15m</t>
        </r>
      </text>
    </comment>
    <comment ref="W185" authorId="5" shapeId="0" xr:uid="{A9279EEF-50E8-4243-A67A-E3CB4943DB42}">
      <text>
        <r>
          <rPr>
            <b/>
            <sz val="9"/>
            <color indexed="81"/>
            <rFont val="Tahoma"/>
            <family val="2"/>
          </rPr>
          <t>Nelly Nguyen:</t>
        </r>
        <r>
          <rPr>
            <sz val="9"/>
            <color indexed="81"/>
            <rFont val="Tahoma"/>
            <family val="2"/>
          </rPr>
          <t xml:space="preserve">
Loan: US$85m
Bank: US56.2m
Policy: US$15m</t>
        </r>
      </text>
    </comment>
    <comment ref="W186" authorId="5" shapeId="0" xr:uid="{7A9A1219-A4E1-4A84-A9A9-86B2C8222AB9}">
      <text>
        <r>
          <rPr>
            <b/>
            <sz val="9"/>
            <color indexed="81"/>
            <rFont val="Tahoma"/>
            <family val="2"/>
          </rPr>
          <t>Nelly Nguyen:</t>
        </r>
        <r>
          <rPr>
            <sz val="9"/>
            <color indexed="81"/>
            <rFont val="Tahoma"/>
            <family val="2"/>
          </rPr>
          <t xml:space="preserve">
Loan: US$2.9b
Bank: US$100m
Policy: US$15m</t>
        </r>
      </text>
    </comment>
    <comment ref="W187" authorId="5" shapeId="0" xr:uid="{F3B7D86F-3FD2-4642-9278-77214AFB141C}">
      <text>
        <r>
          <rPr>
            <b/>
            <sz val="9"/>
            <color indexed="81"/>
            <rFont val="Tahoma"/>
            <family val="2"/>
          </rPr>
          <t>Nelly Nguyen:</t>
        </r>
        <r>
          <rPr>
            <sz val="9"/>
            <color indexed="81"/>
            <rFont val="Tahoma"/>
            <family val="2"/>
          </rPr>
          <t xml:space="preserve">
Loan: US$308.5m
Bank: US$20m
Policy: US$10m</t>
        </r>
      </text>
    </comment>
    <comment ref="W188" authorId="0" shapeId="0" xr:uid="{D9D60E93-EF94-441B-9A6D-9638B177F981}">
      <text>
        <r>
          <rPr>
            <b/>
            <sz val="9"/>
            <color indexed="81"/>
            <rFont val="Tahoma"/>
            <family val="2"/>
          </rPr>
          <t>Nelly Nguyen:</t>
        </r>
        <r>
          <rPr>
            <sz val="9"/>
            <color indexed="81"/>
            <rFont val="Tahoma"/>
            <family val="2"/>
          </rPr>
          <t xml:space="preserve">
Loan: EUR180m
Bank: EUR89.44m
Policy: EUR9.94m
</t>
        </r>
      </text>
    </comment>
    <comment ref="W189" authorId="0" shapeId="0" xr:uid="{434557EA-E882-41D5-AB77-2B7913EB7166}">
      <text>
        <r>
          <rPr>
            <b/>
            <sz val="9"/>
            <color indexed="81"/>
            <rFont val="Tahoma"/>
            <family val="2"/>
          </rPr>
          <t>Nelly Nguyen:</t>
        </r>
        <r>
          <rPr>
            <sz val="9"/>
            <color indexed="81"/>
            <rFont val="Tahoma"/>
            <family val="2"/>
          </rPr>
          <t xml:space="preserve">
Loan: EUR3.5b
Bank: EUR60m
Policy: EUR7.5m
</t>
        </r>
      </text>
    </comment>
    <comment ref="W190" authorId="0" shapeId="0" xr:uid="{D67DDF86-A5DE-4CD6-A179-56A113E0192B}">
      <text>
        <r>
          <rPr>
            <b/>
            <sz val="9"/>
            <color indexed="81"/>
            <rFont val="Tahoma"/>
            <family val="2"/>
          </rPr>
          <t>Nelly Nguyen:</t>
        </r>
        <r>
          <rPr>
            <sz val="9"/>
            <color indexed="81"/>
            <rFont val="Tahoma"/>
            <family val="2"/>
          </rPr>
          <t xml:space="preserve">
Loan: EUR985.32m
Bank: EU100m
Policy: EUR17.5m
</t>
        </r>
      </text>
    </comment>
    <comment ref="W191" authorId="0" shapeId="0" xr:uid="{B3C82D7E-0CA1-4653-B23E-61FF3464551C}">
      <text>
        <r>
          <rPr>
            <b/>
            <sz val="9"/>
            <color indexed="81"/>
            <rFont val="Tahoma"/>
            <family val="2"/>
          </rPr>
          <t>Nelly Nguyen:</t>
        </r>
        <r>
          <rPr>
            <sz val="9"/>
            <color indexed="81"/>
            <rFont val="Tahoma"/>
            <family val="2"/>
          </rPr>
          <t xml:space="preserve">
Loan: EUR2,350b
Bank: EUR300m
Policy: EUR20m
</t>
        </r>
      </text>
    </comment>
    <comment ref="W192" authorId="5" shapeId="0" xr:uid="{F4D7DE49-36D5-47A1-8B41-3AE478904CEF}">
      <text>
        <r>
          <rPr>
            <b/>
            <sz val="9"/>
            <color indexed="81"/>
            <rFont val="Tahoma"/>
            <family val="2"/>
          </rPr>
          <t>Nelly Nguyen:</t>
        </r>
        <r>
          <rPr>
            <sz val="9"/>
            <color indexed="81"/>
            <rFont val="Tahoma"/>
            <family val="2"/>
          </rPr>
          <t xml:space="preserve">
Loan: GBP99.2m</t>
        </r>
        <r>
          <rPr>
            <b/>
            <sz val="9"/>
            <color indexed="81"/>
            <rFont val="Tahoma"/>
            <family val="2"/>
          </rPr>
          <t xml:space="preserve">
</t>
        </r>
        <r>
          <rPr>
            <sz val="9"/>
            <color indexed="81"/>
            <rFont val="Tahoma"/>
            <family val="2"/>
          </rPr>
          <t>Bank: GBP99.2m
Policy: GBP14,2m</t>
        </r>
      </text>
    </comment>
    <comment ref="W193" authorId="0" shapeId="0" xr:uid="{46A72908-CCE7-4A18-9359-F65099D7F57A}">
      <text>
        <r>
          <rPr>
            <b/>
            <sz val="9"/>
            <color indexed="81"/>
            <rFont val="Tahoma"/>
            <family val="2"/>
          </rPr>
          <t>Nelly Nguyen:</t>
        </r>
        <r>
          <rPr>
            <sz val="9"/>
            <color indexed="81"/>
            <rFont val="Tahoma"/>
            <family val="2"/>
          </rPr>
          <t xml:space="preserve">
Loan: EUR198.28m
Bank: EUR66.09m
Policy: EUR15m
</t>
        </r>
      </text>
    </comment>
    <comment ref="W194" authorId="0" shapeId="0" xr:uid="{1166A21E-6A54-4841-90D6-C6672EB1B033}">
      <text>
        <r>
          <rPr>
            <b/>
            <sz val="9"/>
            <color indexed="81"/>
            <rFont val="Tahoma"/>
            <family val="2"/>
          </rPr>
          <t>Nelly Nguyen:</t>
        </r>
        <r>
          <rPr>
            <sz val="9"/>
            <color indexed="81"/>
            <rFont val="Tahoma"/>
            <family val="2"/>
          </rPr>
          <t xml:space="preserve">
Loan: EUR204.1m
Bank: EUR88.03m
Policy: EUR10m
</t>
        </r>
      </text>
    </comment>
    <comment ref="W195" authorId="5" shapeId="0" xr:uid="{AC8FEFF4-26D8-4136-8E78-7F375866580E}">
      <text>
        <r>
          <rPr>
            <b/>
            <sz val="9"/>
            <color indexed="81"/>
            <rFont val="Tahoma"/>
            <family val="2"/>
          </rPr>
          <t>Nelly Nguyen:</t>
        </r>
        <r>
          <rPr>
            <sz val="9"/>
            <color indexed="81"/>
            <rFont val="Tahoma"/>
            <family val="2"/>
          </rPr>
          <t xml:space="preserve">
Loan: US$750m
Bank: US75m
Policy: US$15m</t>
        </r>
      </text>
    </comment>
    <comment ref="W196" authorId="5" shapeId="0" xr:uid="{CFAFC657-DA10-4A58-A45B-CCE37C0F6200}">
      <text>
        <r>
          <rPr>
            <b/>
            <sz val="9"/>
            <color indexed="81"/>
            <rFont val="Tahoma"/>
            <family val="2"/>
          </rPr>
          <t>Nelly Nguyen:</t>
        </r>
        <r>
          <rPr>
            <sz val="9"/>
            <color indexed="81"/>
            <rFont val="Tahoma"/>
            <family val="2"/>
          </rPr>
          <t xml:space="preserve">
Loan: GBP62.124m</t>
        </r>
        <r>
          <rPr>
            <b/>
            <sz val="9"/>
            <color indexed="81"/>
            <rFont val="Tahoma"/>
            <family val="2"/>
          </rPr>
          <t xml:space="preserve">
</t>
        </r>
        <r>
          <rPr>
            <sz val="9"/>
            <color indexed="81"/>
            <rFont val="Tahoma"/>
            <family val="2"/>
          </rPr>
          <t>Bank: GBP42.39m
Policy: GBP10m</t>
        </r>
      </text>
    </comment>
    <comment ref="W197" authorId="5" shapeId="0" xr:uid="{FACC95B1-4679-4E71-8E2E-07CBFE0B86DA}">
      <text>
        <r>
          <rPr>
            <b/>
            <sz val="9"/>
            <color indexed="81"/>
            <rFont val="Tahoma"/>
            <family val="2"/>
          </rPr>
          <t>Nelly Nguyen:</t>
        </r>
        <r>
          <rPr>
            <sz val="9"/>
            <color indexed="81"/>
            <rFont val="Tahoma"/>
            <family val="2"/>
          </rPr>
          <t xml:space="preserve">
Loan: US$225.6m
Bank: US$82.25m
Policy: US$15m</t>
        </r>
      </text>
    </comment>
    <comment ref="W198" authorId="0" shapeId="0" xr:uid="{294A3005-0C28-41AF-A100-A6D4D8B2F044}">
      <text>
        <r>
          <rPr>
            <b/>
            <sz val="9"/>
            <color indexed="81"/>
            <rFont val="Tahoma"/>
            <family val="2"/>
          </rPr>
          <t>Nelly Nguyen:</t>
        </r>
        <r>
          <rPr>
            <sz val="9"/>
            <color indexed="81"/>
            <rFont val="Tahoma"/>
            <family val="2"/>
          </rPr>
          <t xml:space="preserve">
Loan: EUR525m
Bank: EUR120m
Policy: EUR15m
</t>
        </r>
      </text>
    </comment>
    <comment ref="W199" authorId="5" shapeId="0" xr:uid="{A3316EAA-D86C-40EF-8501-1865886CDD0F}">
      <text>
        <r>
          <rPr>
            <b/>
            <sz val="9"/>
            <color indexed="81"/>
            <rFont val="Tahoma"/>
            <family val="2"/>
          </rPr>
          <t>Nelly Nguyen:</t>
        </r>
        <r>
          <rPr>
            <sz val="9"/>
            <color indexed="81"/>
            <rFont val="Tahoma"/>
            <family val="2"/>
          </rPr>
          <t xml:space="preserve">
Loan: US$1,250m
Bank: US$200m
Policy: US$15m</t>
        </r>
      </text>
    </comment>
    <comment ref="W200" authorId="5" shapeId="0" xr:uid="{C36B4B55-5448-4C3F-8393-87155EFD6937}">
      <text>
        <r>
          <rPr>
            <b/>
            <sz val="9"/>
            <color indexed="81"/>
            <rFont val="Tahoma"/>
            <family val="2"/>
          </rPr>
          <t>Nelly Nguyen:</t>
        </r>
        <r>
          <rPr>
            <sz val="9"/>
            <color indexed="81"/>
            <rFont val="Tahoma"/>
            <family val="2"/>
          </rPr>
          <t xml:space="preserve">
Loan: US$75m
Bank: US$75m
Policy: US$7.5m</t>
        </r>
      </text>
    </comment>
    <comment ref="W201" authorId="5" shapeId="0" xr:uid="{D31970ED-D8E4-4D5C-90E0-C6399BDC552A}">
      <text>
        <r>
          <rPr>
            <b/>
            <sz val="9"/>
            <color indexed="81"/>
            <rFont val="Tahoma"/>
            <family val="2"/>
          </rPr>
          <t>Nelly Nguyen:</t>
        </r>
        <r>
          <rPr>
            <sz val="9"/>
            <color indexed="81"/>
            <rFont val="Tahoma"/>
            <family val="2"/>
          </rPr>
          <t xml:space="preserve">
Loan: US$350m
Bank: US$125m
Policy: US$15m</t>
        </r>
      </text>
    </comment>
    <comment ref="W202" authorId="0" shapeId="0" xr:uid="{D2F1B32D-348F-4970-9EAC-163CB093FC3B}">
      <text>
        <r>
          <rPr>
            <b/>
            <sz val="9"/>
            <color indexed="81"/>
            <rFont val="Tahoma"/>
            <family val="2"/>
          </rPr>
          <t>Nelly Nguyen:</t>
        </r>
        <r>
          <rPr>
            <sz val="9"/>
            <color indexed="81"/>
            <rFont val="Tahoma"/>
            <family val="2"/>
          </rPr>
          <t xml:space="preserve">
Loan: EUR5.58b
Bank: EUR609.25m
Policy: EUR15m
</t>
        </r>
      </text>
    </comment>
    <comment ref="W203" authorId="5" shapeId="0" xr:uid="{C7860DB6-D458-4542-A8DB-63BA84D6ACDB}">
      <text>
        <r>
          <rPr>
            <b/>
            <sz val="9"/>
            <color indexed="81"/>
            <rFont val="Tahoma"/>
            <family val="2"/>
          </rPr>
          <t>Nelly Nguyen:</t>
        </r>
        <r>
          <rPr>
            <sz val="9"/>
            <color indexed="81"/>
            <rFont val="Tahoma"/>
            <family val="2"/>
          </rPr>
          <t xml:space="preserve">
Loan: US$212m
Bank: US$10m
Policy: US$5m</t>
        </r>
      </text>
    </comment>
    <comment ref="W204" authorId="5" shapeId="0" xr:uid="{F9DF60ED-E29B-41FE-9885-FE017C7ABE74}">
      <text>
        <r>
          <rPr>
            <b/>
            <sz val="9"/>
            <color indexed="81"/>
            <rFont val="Tahoma"/>
            <family val="2"/>
          </rPr>
          <t>Nelly Nguyen:</t>
        </r>
        <r>
          <rPr>
            <sz val="9"/>
            <color indexed="81"/>
            <rFont val="Tahoma"/>
            <family val="2"/>
          </rPr>
          <t xml:space="preserve">
Loan: US$1,400m
Bank: US$40m
Policy: US$20m</t>
        </r>
      </text>
    </comment>
    <comment ref="W205" authorId="5" shapeId="0" xr:uid="{EEC0EAB3-9200-42FD-9D93-A4D2A64EB45F}">
      <text>
        <r>
          <rPr>
            <b/>
            <sz val="9"/>
            <color indexed="81"/>
            <rFont val="Tahoma"/>
            <family val="2"/>
          </rPr>
          <t>Nelly Nguyen:</t>
        </r>
        <r>
          <rPr>
            <sz val="9"/>
            <color indexed="81"/>
            <rFont val="Tahoma"/>
            <family val="2"/>
          </rPr>
          <t xml:space="preserve">
Loan: US$145m
Bank: US$30m
Policy: US$15m</t>
        </r>
      </text>
    </comment>
    <comment ref="W206" authorId="5" shapeId="0" xr:uid="{4C8513F2-FE05-4360-8C66-6041E8E19ED8}">
      <text>
        <r>
          <rPr>
            <b/>
            <sz val="9"/>
            <color indexed="81"/>
            <rFont val="Tahoma"/>
            <family val="2"/>
          </rPr>
          <t>Nelly Nguyen:</t>
        </r>
        <r>
          <rPr>
            <sz val="9"/>
            <color indexed="81"/>
            <rFont val="Tahoma"/>
            <family val="2"/>
          </rPr>
          <t xml:space="preserve">
Loan: US$15,048b
Bank: US$150m
Policy: US$30m</t>
        </r>
      </text>
    </comment>
    <comment ref="W207" authorId="0" shapeId="0" xr:uid="{0515EA39-F2FE-4FE6-9D1A-C0E628A296E1}">
      <text>
        <r>
          <rPr>
            <b/>
            <sz val="9"/>
            <color indexed="81"/>
            <rFont val="Tahoma"/>
            <family val="2"/>
          </rPr>
          <t>Nelly Nguyen:</t>
        </r>
        <r>
          <rPr>
            <sz val="9"/>
            <color indexed="81"/>
            <rFont val="Tahoma"/>
            <family val="2"/>
          </rPr>
          <t xml:space="preserve">
Loan: EUR222.5m
Bank: EUR35m
Policy: EUR5m
</t>
        </r>
      </text>
    </comment>
    <comment ref="W208" authorId="5" shapeId="0" xr:uid="{0058661C-8D22-4B49-BAF1-FAE141AB189E}">
      <text>
        <r>
          <rPr>
            <b/>
            <sz val="9"/>
            <color indexed="81"/>
            <rFont val="Tahoma"/>
            <family val="2"/>
          </rPr>
          <t>Nelly Nguyen:</t>
        </r>
        <r>
          <rPr>
            <sz val="9"/>
            <color indexed="81"/>
            <rFont val="Tahoma"/>
            <family val="2"/>
          </rPr>
          <t xml:space="preserve">
Loan: NZD 905m
Bank: NZD 140.20m
Policy: NZD 30m
</t>
        </r>
      </text>
    </comment>
    <comment ref="W209" authorId="5" shapeId="0" xr:uid="{04B85D90-E369-4A6F-9842-E35FAA798E5B}">
      <text>
        <r>
          <rPr>
            <b/>
            <sz val="9"/>
            <color indexed="81"/>
            <rFont val="Tahoma"/>
            <family val="2"/>
          </rPr>
          <t>Nelly Nguyen:</t>
        </r>
        <r>
          <rPr>
            <sz val="9"/>
            <color indexed="81"/>
            <rFont val="Tahoma"/>
            <family val="2"/>
          </rPr>
          <t xml:space="preserve">
Loan: US$750m
Bank: US$225m
Policy: US$20m</t>
        </r>
      </text>
    </comment>
    <comment ref="W210" authorId="5" shapeId="0" xr:uid="{609117C5-D150-4017-AD74-2864A0E569ED}">
      <text>
        <r>
          <rPr>
            <b/>
            <sz val="9"/>
            <color indexed="81"/>
            <rFont val="Tahoma"/>
            <family val="2"/>
          </rPr>
          <t>Nelly Nguyen:</t>
        </r>
        <r>
          <rPr>
            <sz val="9"/>
            <color indexed="81"/>
            <rFont val="Tahoma"/>
            <family val="2"/>
          </rPr>
          <t xml:space="preserve">
Loan: US$160m
Bank: US$80m
Policy: US$15m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<sst xmlns="http://schemas.openxmlformats.org/spreadsheetml/2006/main" count="43673" uniqueCount="1478">
  <si>
    <t>N/A</t>
  </si>
  <si>
    <t>Yes</t>
  </si>
  <si>
    <t>Beneficiary</t>
  </si>
  <si>
    <t xml:space="preserve">Various </t>
  </si>
  <si>
    <t>n/a</t>
  </si>
  <si>
    <t>Treaty</t>
  </si>
  <si>
    <t>Total</t>
  </si>
  <si>
    <t>Performance Bond</t>
  </si>
  <si>
    <t>AUD</t>
  </si>
  <si>
    <t>USD</t>
  </si>
  <si>
    <t>No</t>
  </si>
  <si>
    <t>Performing</t>
  </si>
  <si>
    <t>Risk Rating</t>
  </si>
  <si>
    <t>Property Leasing</t>
  </si>
  <si>
    <t>Applicant/Borrower</t>
  </si>
  <si>
    <t xml:space="preserve">Policy Expiry Date </t>
  </si>
  <si>
    <t>Direct</t>
  </si>
  <si>
    <t xml:space="preserve">Original Tenor </t>
  </si>
  <si>
    <t xml:space="preserve">Off Risk </t>
  </si>
  <si>
    <t>Graile</t>
  </si>
  <si>
    <t>Amortisation completed in Graile</t>
  </si>
  <si>
    <t>ANZ Bank</t>
  </si>
  <si>
    <t>Equipment</t>
  </si>
  <si>
    <t>GW</t>
  </si>
  <si>
    <t>MN</t>
  </si>
  <si>
    <t>Plenary Environment (Barwon) Pty Ltd</t>
  </si>
  <si>
    <t>Bank of Tokyo Mitsubishi UFJ, Ltd</t>
  </si>
  <si>
    <t>M&amp;C Saatchi Pty Limited</t>
  </si>
  <si>
    <t xml:space="preserve">Mulpha Transport House P/L </t>
  </si>
  <si>
    <t>Corporate</t>
  </si>
  <si>
    <t>Velocity Frequent Flyer Pty Ltd</t>
  </si>
  <si>
    <t>S&amp;K Car Park Mgt P/L (Secure Parking)</t>
  </si>
  <si>
    <t>Standard Chartered Bank, Singapore Branch</t>
  </si>
  <si>
    <t>Standard Chartered Bank</t>
  </si>
  <si>
    <t>Australia</t>
  </si>
  <si>
    <t>India</t>
  </si>
  <si>
    <t>China</t>
  </si>
  <si>
    <t>Hong Kong</t>
  </si>
  <si>
    <t>Singapore</t>
  </si>
  <si>
    <t>Facility Type</t>
  </si>
  <si>
    <t>AI - Direct</t>
  </si>
  <si>
    <t>CEIP Type</t>
  </si>
  <si>
    <t>Non-AS (First Loss)</t>
  </si>
  <si>
    <t>Non-AS (Proportional)</t>
  </si>
  <si>
    <t>Aircraft</t>
  </si>
  <si>
    <t>Infrastructure</t>
  </si>
  <si>
    <t>Docs</t>
  </si>
  <si>
    <t>Malaysia</t>
  </si>
  <si>
    <t>Energy</t>
  </si>
  <si>
    <t>Indonesia</t>
  </si>
  <si>
    <t>ANZ Bank (Singapore Branch)</t>
  </si>
  <si>
    <t>RJ</t>
  </si>
  <si>
    <t xml:space="preserve">Atlas Copco Australia Pty Limited </t>
  </si>
  <si>
    <t>NA</t>
  </si>
  <si>
    <t>HKD</t>
  </si>
  <si>
    <t>Deutsche Bank AG, Hong Kong</t>
  </si>
  <si>
    <t>Aedifica SA</t>
  </si>
  <si>
    <t>Verbrugge B.V.</t>
  </si>
  <si>
    <t>ING Bank N.V (Netherlands)</t>
  </si>
  <si>
    <t>EUR</t>
  </si>
  <si>
    <t>ING Bank N.V. (Netherlands)</t>
  </si>
  <si>
    <t>ING Belgium NV/SA</t>
  </si>
  <si>
    <t>Swansea King Limited</t>
  </si>
  <si>
    <t>Lead</t>
  </si>
  <si>
    <t>Windfield Holdings Pty Ltd</t>
  </si>
  <si>
    <t>Incredible Realcon Private Limited</t>
  </si>
  <si>
    <t>INR</t>
  </si>
  <si>
    <t>BS</t>
  </si>
  <si>
    <t>Shipping</t>
  </si>
  <si>
    <t>Armada Cabaca Ltd (Bumi Armada Berhad)</t>
  </si>
  <si>
    <t>Deutsche Bank AG, Sydney Branch</t>
  </si>
  <si>
    <t>Shimao Property Holdings Limited</t>
  </si>
  <si>
    <t>SMBC (Hong Kong Branch)</t>
  </si>
  <si>
    <t>Societe Generale (Singapore Branch)</t>
  </si>
  <si>
    <t>Telefonaktiebolaget LM Ericsson</t>
  </si>
  <si>
    <t>ANZ Bank (London Branch)</t>
  </si>
  <si>
    <t>FMG Resources (August 2006) Pty Ltd</t>
  </si>
  <si>
    <t>ING Bank N.V (Hong Kong Branch)</t>
  </si>
  <si>
    <t>Sumitomo Mitsui Banking Corporation Europe Limited</t>
  </si>
  <si>
    <t>Credit Agricole Corporate and Investment Bank (HK Branch)</t>
  </si>
  <si>
    <t>CNAC Century (HK) Company Limited</t>
  </si>
  <si>
    <t>Sector (GICS Industry Group)</t>
  </si>
  <si>
    <t>Industry (GICS)</t>
  </si>
  <si>
    <t>Sub-Industry (GICS)</t>
  </si>
  <si>
    <t>Insured Location</t>
  </si>
  <si>
    <t>Diversified Financial Services</t>
  </si>
  <si>
    <t>Ireland</t>
  </si>
  <si>
    <t>United Kingdom</t>
  </si>
  <si>
    <t>Belgium</t>
  </si>
  <si>
    <t>Netherlands</t>
  </si>
  <si>
    <t>Tahiti</t>
  </si>
  <si>
    <t>Sweden</t>
  </si>
  <si>
    <t>Transportation</t>
  </si>
  <si>
    <t>Road &amp; Rail</t>
  </si>
  <si>
    <t>Trucking</t>
  </si>
  <si>
    <t>Oil, Gas &amp; Consumable Fuels</t>
  </si>
  <si>
    <t>Commercial &amp; Professional Services</t>
  </si>
  <si>
    <t>Commercial Services &amp; Supplies</t>
  </si>
  <si>
    <t>Environmental &amp; Facilities Services</t>
  </si>
  <si>
    <t>Other Diversified Financial Services</t>
  </si>
  <si>
    <t>Airlines</t>
  </si>
  <si>
    <t>Real Estate</t>
  </si>
  <si>
    <t>Real Estate Investment</t>
  </si>
  <si>
    <t>Retail</t>
  </si>
  <si>
    <t>Materials</t>
  </si>
  <si>
    <t>Chemicals</t>
  </si>
  <si>
    <t>Real Estate Management &amp; Development</t>
  </si>
  <si>
    <t>Real Estate Development</t>
  </si>
  <si>
    <t>Transportation Infrastructure</t>
  </si>
  <si>
    <t>Marine Ports &amp; Services</t>
  </si>
  <si>
    <t>Hotel &amp; Resort</t>
  </si>
  <si>
    <t>Metals &amp; Mining</t>
  </si>
  <si>
    <t>Diversified Metals &amp; Mining</t>
  </si>
  <si>
    <t>Precious Metals &amp; Minerals</t>
  </si>
  <si>
    <t>Technology Hardware &amp; Equipment</t>
  </si>
  <si>
    <t>Communications Equipment</t>
  </si>
  <si>
    <t>Professional Services</t>
  </si>
  <si>
    <t>Media</t>
  </si>
  <si>
    <t>Advertising</t>
  </si>
  <si>
    <t>Italy</t>
  </si>
  <si>
    <t>Energy Equipment &amp; Services</t>
  </si>
  <si>
    <t>Oil &amp; Gas Equipment &amp; Services</t>
  </si>
  <si>
    <t>Office</t>
  </si>
  <si>
    <t>Agricultural Products</t>
  </si>
  <si>
    <t>Food Products</t>
  </si>
  <si>
    <t>Turkey</t>
  </si>
  <si>
    <t>Specialised</t>
  </si>
  <si>
    <t>Germany</t>
  </si>
  <si>
    <t>Angola</t>
  </si>
  <si>
    <t>Real Estate Services</t>
  </si>
  <si>
    <t>Coal &amp; Consumable Fuels</t>
  </si>
  <si>
    <t>Diversified Chemicals</t>
  </si>
  <si>
    <t>Capital Goods</t>
  </si>
  <si>
    <t>Industrial Conglomerates</t>
  </si>
  <si>
    <t>Marine</t>
  </si>
  <si>
    <t>Aluminium</t>
  </si>
  <si>
    <t>Aerospace &amp; Defence</t>
  </si>
  <si>
    <t>Coronis Health Finco Pty Ltd</t>
  </si>
  <si>
    <t>Pharmaceuticals</t>
  </si>
  <si>
    <t>Leveraged</t>
  </si>
  <si>
    <t>Project</t>
  </si>
  <si>
    <t>PT Trans Media Corpora</t>
  </si>
  <si>
    <t>Deutsche Bank AG, Singapore Branch</t>
  </si>
  <si>
    <t>BIS Finance Pty Limited</t>
  </si>
  <si>
    <t>China Aircraft Leasing Limited</t>
  </si>
  <si>
    <t>Societe Generale SA, Paris Branch</t>
  </si>
  <si>
    <t>Janco Developments Pty Ltd (Oxford Bondi)</t>
  </si>
  <si>
    <t>Retail Estates NV</t>
  </si>
  <si>
    <t>Greenstars BNPP</t>
  </si>
  <si>
    <t>Luxembourg</t>
  </si>
  <si>
    <t>Kestrel Coal Resources Pty Ltd</t>
  </si>
  <si>
    <t>ING Bank NV</t>
  </si>
  <si>
    <t>Japan</t>
  </si>
  <si>
    <t>CLIP No.147 Co Ltd (Hapag Jolco 1)</t>
  </si>
  <si>
    <t>ING Bank NV (London Branch)</t>
  </si>
  <si>
    <t>Pavilion Property Trustees (Herron Tower)</t>
  </si>
  <si>
    <t>GBP</t>
  </si>
  <si>
    <t>Scout24 AG</t>
  </si>
  <si>
    <t>ING Bank DiBA (Frankfurt)</t>
  </si>
  <si>
    <t>Software &amp; Services</t>
  </si>
  <si>
    <t>Internet Software &amp; Services</t>
  </si>
  <si>
    <t>Ports America Holdings LLC</t>
  </si>
  <si>
    <t>United States</t>
  </si>
  <si>
    <t>ING Bank NV (Dublin Branch)</t>
  </si>
  <si>
    <t>Hines Pan European Core Fund</t>
  </si>
  <si>
    <t>ING Bank, a branch of ING DiBa AG</t>
  </si>
  <si>
    <t>France</t>
  </si>
  <si>
    <t>Technology Hardware, Storage &amp; Peripherals</t>
  </si>
  <si>
    <t>ING Bank NV (France)</t>
  </si>
  <si>
    <t>Ceetrus SA</t>
  </si>
  <si>
    <t>Off risk reminder sent?</t>
  </si>
  <si>
    <t>Jaguar Land Rover Automotive plc</t>
  </si>
  <si>
    <t>Automobile Manufacturers</t>
  </si>
  <si>
    <t>Automobiles &amp; Components</t>
  </si>
  <si>
    <t>Automobiles</t>
  </si>
  <si>
    <t>Village Roadshow Limited</t>
  </si>
  <si>
    <t>Consumer Services</t>
  </si>
  <si>
    <t>Leisure Facilities</t>
  </si>
  <si>
    <t>Hotels, Restaurants &amp; Leisure</t>
  </si>
  <si>
    <t>Textiles, Apparel &amp; Luxury Goods</t>
  </si>
  <si>
    <t>Apparel, Accessories &amp; Luxury Goods</t>
  </si>
  <si>
    <t>Standard Chartered Bank (London)</t>
  </si>
  <si>
    <t>yes</t>
  </si>
  <si>
    <t>Serena Merger Co (Goodbaby)</t>
  </si>
  <si>
    <t>PT Medco E&amp;P Malaka and PT Medco E&amp;P Tomori Sulawesi (RBL)</t>
  </si>
  <si>
    <t>Global Tip Finance</t>
  </si>
  <si>
    <t>Diversified Support Services</t>
  </si>
  <si>
    <t>Anchorage Bridge Street Pty Ltd (South Pacific Laundry) ("Spitfire")</t>
  </si>
  <si>
    <t>NO</t>
  </si>
  <si>
    <t>ESR Real Estate (Australia) Pty Limited (Propertylink)</t>
  </si>
  <si>
    <t>Shimao Property Holdings Limited (Shimao 2)</t>
  </si>
  <si>
    <t>HDI GS</t>
  </si>
  <si>
    <t>Pure International Holdings (BVI) Limited</t>
  </si>
  <si>
    <t>Switzerland</t>
  </si>
  <si>
    <t>CLIP No.161-164 Co Ltd (MSC Jolco)</t>
  </si>
  <si>
    <t>Specialty Retail</t>
  </si>
  <si>
    <t>Specialty Stores</t>
  </si>
  <si>
    <t>Auto Parts &amp; Equipment</t>
  </si>
  <si>
    <t>Golden Age Rocks Finance Pty Ltd</t>
  </si>
  <si>
    <t>Affinity Childcare Pty Ltd</t>
  </si>
  <si>
    <t>Education Services</t>
  </si>
  <si>
    <t>Diversified Consumer Services</t>
  </si>
  <si>
    <t>CLIP No.147 Co Ltd (Hapag Jolco 2)</t>
  </si>
  <si>
    <t>CLIP No.147 Co Ltd (Hapag Jolco 4)</t>
  </si>
  <si>
    <t>CLIP No.147 Co Ltd (Hapag Jolco 3)</t>
  </si>
  <si>
    <t>Ship No 140-143 Co Ltd (COSCO JOLCO)</t>
  </si>
  <si>
    <t>Lenovo Group Limited</t>
  </si>
  <si>
    <t>OPG Esplanade Acquico GmBh (Oxford Sony Center)</t>
  </si>
  <si>
    <t>Gross Written Premium (pre-tax premium paid to HDI GS)</t>
  </si>
  <si>
    <t>Acquisition</t>
  </si>
  <si>
    <t>Nixorama ITG S.L.U</t>
  </si>
  <si>
    <t>Spain</t>
  </si>
  <si>
    <t xml:space="preserve">ING Bank N.V. Sucursal en Espana </t>
  </si>
  <si>
    <t>WorleyParsons Limited</t>
  </si>
  <si>
    <t>Services</t>
  </si>
  <si>
    <t>Smart Edge Limited</t>
  </si>
  <si>
    <t>KCV Vastgoed B.V.</t>
  </si>
  <si>
    <t>Beneficiary Roll-up</t>
  </si>
  <si>
    <t>Deutsche Bank AG</t>
  </si>
  <si>
    <t>SMBC</t>
  </si>
  <si>
    <t>ING Bank N.V.</t>
  </si>
  <si>
    <t>Societe Generale</t>
  </si>
  <si>
    <t>Credit Agricole Corporate and Investment Bank</t>
  </si>
  <si>
    <t>Ortus Aircraft Lease 9 Ltd</t>
  </si>
  <si>
    <t>Australian Registry Finance Pty Ltd</t>
  </si>
  <si>
    <t>ING Bank (Singapore Branch)</t>
  </si>
  <si>
    <t>Emirates Healthcare Limited</t>
  </si>
  <si>
    <t>Health Care Providers &amp; Services</t>
  </si>
  <si>
    <t>Health Care Facilities</t>
  </si>
  <si>
    <t>Vietnam</t>
  </si>
  <si>
    <t>Credit Industriel et Commercial (Singapore Branch)</t>
  </si>
  <si>
    <t>Credit Industriel et Commercial</t>
  </si>
  <si>
    <t>ANZ Bank (Australia Branch)</t>
  </si>
  <si>
    <t>Telecommunication Services</t>
  </si>
  <si>
    <t>Integrated Telecommunication Services</t>
  </si>
  <si>
    <t>Geely Sweden Financials AB</t>
  </si>
  <si>
    <t>ANZ Bank (Hong Kong Branch)</t>
  </si>
  <si>
    <t>SMBC (Singapore Branch)</t>
  </si>
  <si>
    <t>SGD</t>
  </si>
  <si>
    <t>PT First Media Tbk</t>
  </si>
  <si>
    <t>Tuas South Avenue Pte Ltd</t>
  </si>
  <si>
    <t>Lead Approved</t>
  </si>
  <si>
    <t>last 12 months</t>
  </si>
  <si>
    <t>SA</t>
  </si>
  <si>
    <t>Frasers Property Treasury Pte Ltd</t>
  </si>
  <si>
    <t>Diversified Real Estate Activities</t>
  </si>
  <si>
    <t>SMBC (London Branch)</t>
  </si>
  <si>
    <t>Tailwind Energy Ltd And Tailwind Mistral Ltd</t>
  </si>
  <si>
    <t>Globalfoundries Dresden Module One Limited Liability</t>
  </si>
  <si>
    <t xml:space="preserve">Semiconductors &amp; Semiconductor Equipment </t>
  </si>
  <si>
    <t>Yes Qtly - Manual in Graile</t>
  </si>
  <si>
    <t>Yes Qtly - Auto in Graile</t>
  </si>
  <si>
    <t>Yes Qrtly - Auto in Graile</t>
  </si>
  <si>
    <t>Portfolio Monitoring Progress Log</t>
  </si>
  <si>
    <t>Risk Location category in 'Policies Outstanding' amended for new definition: defined as the location in which the majority of risk associated with the transation lies</t>
  </si>
  <si>
    <t>Commercial Printing</t>
  </si>
  <si>
    <t>ABN AMRO</t>
  </si>
  <si>
    <t xml:space="preserve">Hulst B.V. </t>
  </si>
  <si>
    <t>IT Consulting &amp; Other Services</t>
  </si>
  <si>
    <t>IT Services</t>
  </si>
  <si>
    <t>Antirion SGR S.p.A</t>
  </si>
  <si>
    <t>Venti M - Fondo Di Investimento Alertnativo Immobilare Riservato</t>
  </si>
  <si>
    <t xml:space="preserve">Panera Bread Company </t>
  </si>
  <si>
    <t>Real Estate Operating Companies</t>
  </si>
  <si>
    <t>Societe Generale, Milan Branch</t>
  </si>
  <si>
    <t>Food &amp; Staples Retailing</t>
  </si>
  <si>
    <t>Food Retail</t>
  </si>
  <si>
    <t>Yes Qtly - Auto in Graile (first sept 2021)</t>
  </si>
  <si>
    <t>Yes Half yrly (march &amp; sept) - Auto in Graile</t>
  </si>
  <si>
    <t>Yes Feb &amp; Aug - Auto in Graile</t>
  </si>
  <si>
    <t>Yes - semi-annual - auto in Graile (next Aug 21)</t>
  </si>
  <si>
    <t>YES</t>
  </si>
  <si>
    <t>Everest Re Accounting Checklist:
- Open the closing and bordereau sent by Michael 
- Check that the unearned premium on the closing equals the sums of the UPR on both the Euro &amp; Aus database
- Next check the premium total on the closing is the difference between the PAID/RECEIVED premium from the last quarter to this quarter using the bordereau and last quarter's bordereau</t>
  </si>
  <si>
    <t>Broadcasting</t>
  </si>
  <si>
    <t>Philippines</t>
  </si>
  <si>
    <t>Oil &amp; Gas Refining &amp; Marketing</t>
  </si>
  <si>
    <t>San Miguel Corporation</t>
  </si>
  <si>
    <t>Section added on front page to monitor risk:
- Non A$, USD or EUR denominated transactions with Exposure &gt; A$30m</t>
  </si>
  <si>
    <t>Barolo Holding B.V.</t>
  </si>
  <si>
    <t>Yes - half yrly (next March 2022)</t>
  </si>
  <si>
    <t>Nexperia Holding B.V</t>
  </si>
  <si>
    <t>ABN AMRO Bank N.V. (Netherlands Branch)</t>
  </si>
  <si>
    <t>PT Well Harvest Winning Alumina Refinery</t>
  </si>
  <si>
    <t>Greenstars BNPP (Belgium Branch)</t>
  </si>
  <si>
    <t>Domo Chemicals GmbH</t>
  </si>
  <si>
    <t>Specialty Chemicals</t>
  </si>
  <si>
    <t>ING Bank (Belgium Branch)</t>
  </si>
  <si>
    <t>Yes - qrtly (next July 2021)</t>
  </si>
  <si>
    <t>Specialized Finance</t>
  </si>
  <si>
    <t>Barolo Holding B.V. (Princeton)</t>
  </si>
  <si>
    <t xml:space="preserve">Email Reminders:
- Copy and Paste cells from Info reminders into auto email
- Use filter on 'Flag' column to show only 0s
- Delete all 0 rows
- Refilter to show all flags &gt;0
- Drag down email info and begin sending emails!
</t>
  </si>
  <si>
    <t>ESR Cayman Limited</t>
  </si>
  <si>
    <t>Construction Materials</t>
  </si>
  <si>
    <t>Yes - Half yrly (next Sept 2021)</t>
  </si>
  <si>
    <t>Milford Centre Limited</t>
  </si>
  <si>
    <t>New Zealand</t>
  </si>
  <si>
    <t>Pacific Dawn Limited (NZ)</t>
  </si>
  <si>
    <t>NZD</t>
  </si>
  <si>
    <t xml:space="preserve">Deutsche Bank AG, London Branch </t>
  </si>
  <si>
    <t xml:space="preserve">Indiabulls Real Estate Company Private Limited </t>
  </si>
  <si>
    <t xml:space="preserve">DB International (Asia) Limited </t>
  </si>
  <si>
    <t xml:space="preserve">Reignwood Europe Properties Limited </t>
  </si>
  <si>
    <t>Yes Qtly - Auto (from Oct 22)</t>
  </si>
  <si>
    <t>PT Trans Retail Indonesia</t>
  </si>
  <si>
    <t>Multiline Retail</t>
  </si>
  <si>
    <t>Hapag-Lloyd Aktiengesellschaft</t>
  </si>
  <si>
    <t>Ocean Yield Malta Limited</t>
  </si>
  <si>
    <t>GM</t>
  </si>
  <si>
    <t>Norway</t>
  </si>
  <si>
    <t>Yes - Qtly from July 2021</t>
  </si>
  <si>
    <t>Department Stores</t>
  </si>
  <si>
    <t>ABN AMRO Bank NV (Oslo Branch)</t>
  </si>
  <si>
    <t>A&amp;A Green Phoenix JSC (Phenikaa)</t>
  </si>
  <si>
    <t>North America Data Center Acquisition LLC (Project Jolly Roger)</t>
  </si>
  <si>
    <t>Amber List Report moved to a Word version in the folder - a link to the file should be provided in the Amber List tab</t>
  </si>
  <si>
    <t>New Checklist Item added - Rec Execution Register to WIP to check for deals signed unded DO not showing in register</t>
  </si>
  <si>
    <t>Auto Components</t>
  </si>
  <si>
    <t>Whitehaven Coal Limited</t>
  </si>
  <si>
    <t>Chongbang Development Limited</t>
  </si>
  <si>
    <t>CLIP No. 143-144 Co Ltd (CMA CGM JOLCO)</t>
  </si>
  <si>
    <t>Inchcape Finance Plc</t>
  </si>
  <si>
    <t>MUFG Bank Ltd (Sydney)</t>
  </si>
  <si>
    <t>Yes -qrtly starting June 2020</t>
  </si>
  <si>
    <t>AUS</t>
  </si>
  <si>
    <t>Project Name</t>
  </si>
  <si>
    <t>Aedifica</t>
  </si>
  <si>
    <t>Bumi Armada</t>
  </si>
  <si>
    <t>Plenary</t>
  </si>
  <si>
    <t>Velocity</t>
  </si>
  <si>
    <t>Secure Parking</t>
  </si>
  <si>
    <t xml:space="preserve">VI </t>
  </si>
  <si>
    <t>Project Tahiti</t>
  </si>
  <si>
    <t>Talison</t>
  </si>
  <si>
    <t>Project IREO 2</t>
  </si>
  <si>
    <t>OPG Esplanade</t>
  </si>
  <si>
    <t xml:space="preserve">Shimao Property </t>
  </si>
  <si>
    <t>Retail Estates</t>
  </si>
  <si>
    <t>Medco RBL</t>
  </si>
  <si>
    <t>Ericsson</t>
  </si>
  <si>
    <t>Fortescue</t>
  </si>
  <si>
    <t>Project Battersea</t>
  </si>
  <si>
    <t>Chem China</t>
  </si>
  <si>
    <t>Project Bridges</t>
  </si>
  <si>
    <t>Project Merlin</t>
  </si>
  <si>
    <t>Project Stark</t>
  </si>
  <si>
    <t>China Aircraft</t>
  </si>
  <si>
    <t>Project Bondi</t>
  </si>
  <si>
    <t>Hapag Jolco 1</t>
  </si>
  <si>
    <t>Herron Tower</t>
  </si>
  <si>
    <t>Hapag Lloyd 2</t>
  </si>
  <si>
    <t>Emirates Healthcare</t>
  </si>
  <si>
    <t>Phenikaa</t>
  </si>
  <si>
    <t>Ports America</t>
  </si>
  <si>
    <t>Hines Pan European</t>
  </si>
  <si>
    <t>Ceetrus</t>
  </si>
  <si>
    <t>Jaquar</t>
  </si>
  <si>
    <t>Village Roadshow</t>
  </si>
  <si>
    <t>Hapag Lloyd 3</t>
  </si>
  <si>
    <t>Global Tip</t>
  </si>
  <si>
    <t>Project Spitfire</t>
  </si>
  <si>
    <t>Hapag Lloyd 4</t>
  </si>
  <si>
    <t>Shimao 2</t>
  </si>
  <si>
    <t>MSC Jolco</t>
  </si>
  <si>
    <t>Pure International</t>
  </si>
  <si>
    <t>Carrington Collection</t>
  </si>
  <si>
    <t>Project Lunchbox</t>
  </si>
  <si>
    <t>Cosco Jolco</t>
  </si>
  <si>
    <t>Lenovo</t>
  </si>
  <si>
    <t>Nixorama</t>
  </si>
  <si>
    <t>Kloosterboer</t>
  </si>
  <si>
    <t>Worley</t>
  </si>
  <si>
    <t>Frasers</t>
  </si>
  <si>
    <t>Globalfoundries</t>
  </si>
  <si>
    <t>ESR Property Link</t>
  </si>
  <si>
    <t>Project Sloan</t>
  </si>
  <si>
    <t>Vietjet</t>
  </si>
  <si>
    <t>Project NSW Land Title</t>
  </si>
  <si>
    <t>Project Linux</t>
  </si>
  <si>
    <t xml:space="preserve">Geely </t>
  </si>
  <si>
    <t>Logos</t>
  </si>
  <si>
    <t>Antirion</t>
  </si>
  <si>
    <t>Project Tailwind</t>
  </si>
  <si>
    <t>Project Knight</t>
  </si>
  <si>
    <t>Venti M - Fondo</t>
  </si>
  <si>
    <t>Panera</t>
  </si>
  <si>
    <t xml:space="preserve">San Miguel </t>
  </si>
  <si>
    <t>Project Princeton</t>
  </si>
  <si>
    <t>Nexperia</t>
  </si>
  <si>
    <t>PT Well Harvest</t>
  </si>
  <si>
    <t>Domo Chemicals</t>
  </si>
  <si>
    <t>ESR Cayman</t>
  </si>
  <si>
    <t>Project Manta</t>
  </si>
  <si>
    <t>Project Jolly Roger</t>
  </si>
  <si>
    <t>Project Rush</t>
  </si>
  <si>
    <t>Project Trinity 3</t>
  </si>
  <si>
    <t>Project Crayon</t>
  </si>
  <si>
    <t>Ocean Yield</t>
  </si>
  <si>
    <t xml:space="preserve">Hapag Lloyd </t>
  </si>
  <si>
    <t>Inchcape</t>
  </si>
  <si>
    <t>Whitehaven</t>
  </si>
  <si>
    <t>Chongbang</t>
  </si>
  <si>
    <t>Hongqiao 2</t>
  </si>
  <si>
    <t>CMA CGM Jolco</t>
  </si>
  <si>
    <t xml:space="preserve"> Facility CCY</t>
  </si>
  <si>
    <t>Andante Finance Company Pty Limited</t>
  </si>
  <si>
    <t>Hydra RL Bidco Pty Ltd</t>
  </si>
  <si>
    <t>Skywalker</t>
  </si>
  <si>
    <t>Aveo</t>
  </si>
  <si>
    <t>State Bank of India</t>
  </si>
  <si>
    <t>State Bank of India  (Sydney Branch)</t>
  </si>
  <si>
    <t>Remorex Pty Ltd II</t>
  </si>
  <si>
    <t>Melrose PLC</t>
  </si>
  <si>
    <t>Nigeria LNG Limited</t>
  </si>
  <si>
    <t>Nigeria</t>
  </si>
  <si>
    <t>SCI 42 Paradis Paris</t>
  </si>
  <si>
    <t>Rue De Paradis</t>
  </si>
  <si>
    <t>NLNG</t>
  </si>
  <si>
    <t>Melrose</t>
  </si>
  <si>
    <t>Project ACE</t>
  </si>
  <si>
    <t>DABICAM SAS France</t>
  </si>
  <si>
    <t>Project Rivoli</t>
  </si>
  <si>
    <t>Dino Grandparent Inc</t>
  </si>
  <si>
    <t>Health Care Distributors</t>
  </si>
  <si>
    <t>Project JAB</t>
  </si>
  <si>
    <t>Yunneng Wind Power Co. Ltd</t>
  </si>
  <si>
    <t>Taiwan</t>
  </si>
  <si>
    <t>Yunlin</t>
  </si>
  <si>
    <t>AUS/ EUR Treaty</t>
  </si>
  <si>
    <t>Subtotal HDI GS</t>
  </si>
  <si>
    <t xml:space="preserve">Subtotal AI Direct </t>
  </si>
  <si>
    <t>Amortised Limit in Original Currency</t>
  </si>
  <si>
    <t>Amortised Limit A$ Balance</t>
  </si>
  <si>
    <t>Approx. Debt /  Facilities outstanding (Bank Limit)</t>
  </si>
  <si>
    <t>Expiry Date</t>
  </si>
  <si>
    <t>Tenor Remaining Days</t>
  </si>
  <si>
    <t>Tenor Remaining Years</t>
  </si>
  <si>
    <t>Everest</t>
  </si>
  <si>
    <t>12 Month sum</t>
  </si>
  <si>
    <t>Battersea Project Phase 1 Office Limited Partnership (acting through its general partner Battersea Project Phase 1 Office GP Limited)</t>
  </si>
  <si>
    <t>Utilities</t>
  </si>
  <si>
    <t>Health Care Equipment &amp; Supplies</t>
  </si>
  <si>
    <t>Health Care Technology</t>
  </si>
  <si>
    <t>Electronic Equipment, Instruments &amp; Components</t>
  </si>
  <si>
    <t>Diversified Telecommunication Services</t>
  </si>
  <si>
    <t>Water Utilities</t>
  </si>
  <si>
    <t>Independent Power and Renewable Electricity Producers</t>
  </si>
  <si>
    <t>Integrated Oil &amp; Gas</t>
  </si>
  <si>
    <t>Oil &amp; Gas Exploration &amp; Production</t>
  </si>
  <si>
    <t>Oil &amp; Gas Storage &amp; Transportation</t>
  </si>
  <si>
    <t>Aluminum</t>
  </si>
  <si>
    <t>Steel</t>
  </si>
  <si>
    <t>Research &amp; Consulting Services</t>
  </si>
  <si>
    <t>Airport Services</t>
  </si>
  <si>
    <t>Highways &amp; Railtracks</t>
  </si>
  <si>
    <t>Casinos &amp; Gaming</t>
  </si>
  <si>
    <t>Homefurnishing Retail</t>
  </si>
  <si>
    <t>Food Distributors</t>
  </si>
  <si>
    <t>Hypermarkets &amp; Super Centers</t>
  </si>
  <si>
    <t>Health Care Supplies</t>
  </si>
  <si>
    <t>Data Processing &amp; Outsourced Services</t>
  </si>
  <si>
    <t>Internet Services &amp; Infrastructure</t>
  </si>
  <si>
    <t>Application Software</t>
  </si>
  <si>
    <t>Movies &amp; Entertainment</t>
  </si>
  <si>
    <t>Independent Power Producers &amp; Energy Traders</t>
  </si>
  <si>
    <t>Changes and consolidation to data tables and data validation, new checklist items added to compliance - change tab colours to red at start of the month, Review Transactions closed in the past month to confirm documents have been sent to HDI.  "P:\Assetinsure\Reporting\HDIGS Doc Execution Register 2020\HDIGS Execution Register 2020.xlsx", Changed column q to Amortised limit in original currency to make more visible</t>
  </si>
  <si>
    <t>Vodafone Hutchison Australia Pty Limited (renamed TPG Telecom Limited)</t>
  </si>
  <si>
    <t>TPG Vodafone</t>
  </si>
  <si>
    <t xml:space="preserve">Risk Location </t>
  </si>
  <si>
    <t>Risk Location Roll-up Continent</t>
  </si>
  <si>
    <t>Africa</t>
  </si>
  <si>
    <t>John Laing Group Plc</t>
  </si>
  <si>
    <t xml:space="preserve">Policy Effective Date </t>
  </si>
  <si>
    <t>John Laing</t>
  </si>
  <si>
    <t>Diversified</t>
  </si>
  <si>
    <t>Industrial</t>
  </si>
  <si>
    <t>Health Care</t>
  </si>
  <si>
    <t>Residential</t>
  </si>
  <si>
    <t>Specialized</t>
  </si>
  <si>
    <t>Castlereagh/Sandcastle</t>
  </si>
  <si>
    <t>Original Limit (A$)</t>
  </si>
  <si>
    <t>Chart input data changed to include 'other' - tables now found at bottom of page in chart tabs</t>
  </si>
  <si>
    <t>Establishment Fees (Pre Tax)</t>
  </si>
  <si>
    <t>Legal Fees (Pre Tax)</t>
  </si>
  <si>
    <t>Project Odin</t>
  </si>
  <si>
    <t>Project Lily data centres</t>
  </si>
  <si>
    <t>Project Batta</t>
  </si>
  <si>
    <t>Virgin</t>
  </si>
  <si>
    <t>NOK</t>
  </si>
  <si>
    <t>JPY</t>
  </si>
  <si>
    <t>ESR Investment Nominees 2 (Australia) Pty Ltd As Trustee For PACT 73 Miller Trust</t>
  </si>
  <si>
    <t>73 Miller</t>
  </si>
  <si>
    <t>Jamshid Ventures LLC - Project Lily</t>
  </si>
  <si>
    <t>Cliffbrook 323 Pty Ltd (Castlereagh)</t>
  </si>
  <si>
    <t>Kinland AS (Odin)</t>
  </si>
  <si>
    <t>Godo Kaisha TSM150 (Batta)</t>
  </si>
  <si>
    <t>.</t>
  </si>
  <si>
    <t>Middle East</t>
  </si>
  <si>
    <t>Virgin Airlines Pty Limited 2.0</t>
  </si>
  <si>
    <t>Aligned Energy Holdings, LP</t>
  </si>
  <si>
    <t>North America</t>
  </si>
  <si>
    <t>Ambrosia</t>
  </si>
  <si>
    <t>Olam International Limited &amp; Olam Treasury Pte Ltd</t>
  </si>
  <si>
    <t>Sumitomo Mitsui Banking Corporation, Singapore Branch</t>
  </si>
  <si>
    <t>Yes - Sept 2022</t>
  </si>
  <si>
    <t>Olam</t>
  </si>
  <si>
    <t>Comstock Resources Inc.</t>
  </si>
  <si>
    <t>Societe Generale, New York Branch</t>
  </si>
  <si>
    <t>Comstock</t>
  </si>
  <si>
    <t>103 Prince Property LLC</t>
  </si>
  <si>
    <t>Credit Agricole Corporate and Investment Bank (New York Branch)</t>
  </si>
  <si>
    <t>Apple Soho</t>
  </si>
  <si>
    <t>Trionista TopCo GmbH</t>
  </si>
  <si>
    <t>ISTA</t>
  </si>
  <si>
    <t>Retail Estates NV II</t>
  </si>
  <si>
    <t>Retail Estates 2</t>
  </si>
  <si>
    <t>HT Global IT Solutions Holdings Ltd</t>
  </si>
  <si>
    <t>Hexaware - Apple</t>
  </si>
  <si>
    <t>Yes - March 2022</t>
  </si>
  <si>
    <t>Trionista TopCo GmbH  (ISTA)</t>
  </si>
  <si>
    <t>SMBC NLNG</t>
  </si>
  <si>
    <t>Nigeria LNG Limited II</t>
  </si>
  <si>
    <t>Oil &amp; Gas Transportation</t>
  </si>
  <si>
    <t>Sumitomo Mitsui Banking Corporation, London Branch</t>
  </si>
  <si>
    <t>Yes - Sept  2024</t>
  </si>
  <si>
    <t>Ganges TMK</t>
  </si>
  <si>
    <t>Ganges</t>
  </si>
  <si>
    <t xml:space="preserve">Societe Generale, Hong Kong </t>
  </si>
  <si>
    <t>Yes - June 2022</t>
  </si>
  <si>
    <t>Devlin Street Hold TC Pty Limited</t>
  </si>
  <si>
    <t>Top Ryde</t>
  </si>
  <si>
    <t>Yes - Jan 2022</t>
  </si>
  <si>
    <t>B</t>
  </si>
  <si>
    <t>Unsecured</t>
  </si>
  <si>
    <t>BBB-</t>
  </si>
  <si>
    <t>Secured</t>
  </si>
  <si>
    <t>Shadow Rating</t>
  </si>
  <si>
    <t>Security Status</t>
  </si>
  <si>
    <t>A-</t>
  </si>
  <si>
    <t>BB-</t>
  </si>
  <si>
    <t>B-</t>
  </si>
  <si>
    <t>Asia - Developing</t>
  </si>
  <si>
    <t>Asia - Developed</t>
  </si>
  <si>
    <t>Europe - Developed</t>
  </si>
  <si>
    <t>Industrials</t>
  </si>
  <si>
    <t>Consumer Discretionary</t>
  </si>
  <si>
    <t>Financials</t>
  </si>
  <si>
    <t>Information Technology</t>
  </si>
  <si>
    <t>Consumer Staples</t>
  </si>
  <si>
    <t>Unsecured - Negative Pledge/Collateral Coverage</t>
  </si>
  <si>
    <t>Number of Deals</t>
  </si>
  <si>
    <t>China Hongqiao Group  Limited</t>
  </si>
  <si>
    <t>Amber List</t>
  </si>
  <si>
    <t>Goodbaby</t>
  </si>
  <si>
    <t>Project Kestral</t>
  </si>
  <si>
    <t>Intervest Offices &amp; Warehouses NV.</t>
  </si>
  <si>
    <t xml:space="preserve">ING Belgium SA/NV </t>
  </si>
  <si>
    <t>Intervest</t>
  </si>
  <si>
    <t xml:space="preserve">A-Ware Dairy And Cheese Holding B.V. </t>
  </si>
  <si>
    <t>A-Ware</t>
  </si>
  <si>
    <t>Lighthouse Infrastructure, LLC</t>
  </si>
  <si>
    <t>New York</t>
  </si>
  <si>
    <t xml:space="preserve">ING Capital LLC </t>
  </si>
  <si>
    <t>3CM</t>
  </si>
  <si>
    <t>SENT TO DL</t>
  </si>
  <si>
    <t>MSC Mediterranean Shipping Company S.A</t>
  </si>
  <si>
    <t>MSC</t>
  </si>
  <si>
    <t>CMA CGM S.A</t>
  </si>
  <si>
    <t>CMA CGM</t>
  </si>
  <si>
    <t>Yes - April 2022</t>
  </si>
  <si>
    <t>Yes Annually - (Next Nov 21) - Auto in Graile</t>
  </si>
  <si>
    <t>Yes - Qrtly - Auto in Graile (Next July 21)</t>
  </si>
  <si>
    <t>Yes - yearly (next July 2021)- Auto in graile</t>
  </si>
  <si>
    <t>Yes - ad hoc (next July 2021)</t>
  </si>
  <si>
    <t>Facility Gross Margin</t>
  </si>
  <si>
    <t>Assetsecure compliance duties deleted due to no more Assetsecure deals left!</t>
  </si>
  <si>
    <t>China Hongqiao Group Limited V</t>
  </si>
  <si>
    <t>Hongqiao V</t>
  </si>
  <si>
    <t>Portfolio summary has been seperated into Portfolio Summary 1 &amp; 2. This makes it easier to sort the table to show oldest outstanding information</t>
  </si>
  <si>
    <t>Eregli Demir Ve Celik Fabrikalari</t>
  </si>
  <si>
    <t>Erdemir</t>
  </si>
  <si>
    <t>Project Conquer</t>
  </si>
  <si>
    <t>Project Tecate</t>
  </si>
  <si>
    <t>Project Spring Data4</t>
  </si>
  <si>
    <t>Project Pacifico</t>
  </si>
  <si>
    <t>Project Northeast</t>
  </si>
  <si>
    <t>Crossroads</t>
  </si>
  <si>
    <t>Cong Ty Co Phan Sao Hoa Toan Quoc</t>
  </si>
  <si>
    <t>Transtelco Holding, Inc</t>
  </si>
  <si>
    <t>London</t>
  </si>
  <si>
    <t>Deutsche Bank AG (London Branch)</t>
  </si>
  <si>
    <t>West Waves Maritime &amp; Allied Services Private Limited</t>
  </si>
  <si>
    <t>DB International (Asia) Limited</t>
  </si>
  <si>
    <t>Project Stawberry JSW</t>
  </si>
  <si>
    <t>Data Center Infrastructure S.a.r.l.</t>
  </si>
  <si>
    <t>Pacific Broadband Partners IA LLC</t>
  </si>
  <si>
    <t>Dawsonite Gem Investments Ltd</t>
  </si>
  <si>
    <t>SAS Dolulle Et Al</t>
  </si>
  <si>
    <t>ING Bank N.V. (Paris Branch)</t>
  </si>
  <si>
    <t>Yes Qtly (N/A amortisation left) - Auto in Graile</t>
  </si>
  <si>
    <t xml:space="preserve">Update Facilities Out/Premium Qtly </t>
  </si>
  <si>
    <t>Yes - (Next Oct 21) - Auto in Graile</t>
  </si>
  <si>
    <t>Yes - (Next Dec 21) - Auto in Graile</t>
  </si>
  <si>
    <t>Yes - (Last May 21) - Auto in Graile</t>
  </si>
  <si>
    <t>Yes Qtly - Auto (Next Sep 21)</t>
  </si>
  <si>
    <t>Yes - Qtly - next Sep 21</t>
  </si>
  <si>
    <t>Yes - Last June 21</t>
  </si>
  <si>
    <t>Yes qrtly - Auto in Graile (next Aug 21)</t>
  </si>
  <si>
    <t>Yes - Qtly (Next Jul 21)</t>
  </si>
  <si>
    <t>Yes - Next Apr 22</t>
  </si>
  <si>
    <t>Yes- Next Nov 21</t>
  </si>
  <si>
    <t>Yes - Sep 2021</t>
  </si>
  <si>
    <t>ICRC component added to Policies Outstanding tab.                                                                                 1.	End of Quarter month, send compliance excel to Marc with updated “Policies Outstanding” deals
2.	Marc will work on the ICRC columns, and send back his version with his changes
3.	Update maser compliance folder with his changes
4.	Hard copy the Policies Outstanding, rename to “Mar/June/Sep/Dec ICRC” and move it to the back of the tabs
5.	Check off the new row at the front of the compliance excel</t>
  </si>
  <si>
    <t>Risk Location 2</t>
  </si>
  <si>
    <t>Sector (GICS Industry Group)2</t>
  </si>
  <si>
    <t>ICRC flag</t>
  </si>
  <si>
    <t>Percentage Impact</t>
  </si>
  <si>
    <t>Total Amount</t>
  </si>
  <si>
    <t xml:space="preserve">Assetinsure Amount </t>
  </si>
  <si>
    <t>Reinsurance Everest Re</t>
  </si>
  <si>
    <t>Reinsurance Lombard</t>
  </si>
  <si>
    <t>Net Impact Assetinsure</t>
  </si>
  <si>
    <t>Previous Period (April 2021)</t>
  </si>
  <si>
    <t>Partial Facility prepayment  since March</t>
  </si>
  <si>
    <t>Change Commentary</t>
  </si>
  <si>
    <t xml:space="preserve">Everest Re will now receive an Amber List for their impacted deals every Quarter. Once the monthly Amber List is received, remove all non-Everest deals, save as PDF, send to Martin for signing. </t>
  </si>
  <si>
    <t>Fiberklaar BV</t>
  </si>
  <si>
    <t>Nexus</t>
  </si>
  <si>
    <t>Project Fairy</t>
  </si>
  <si>
    <t>Liza 3</t>
  </si>
  <si>
    <t>Yupei International Investment Management Co,. Ltd</t>
  </si>
  <si>
    <t>Guyana Deep Water III UK Limited</t>
  </si>
  <si>
    <t>ABN AMRO BANK N.V</t>
  </si>
  <si>
    <t>Azuma Kofuji</t>
  </si>
  <si>
    <t>Nomura Knight</t>
  </si>
  <si>
    <t>Project Alpha</t>
  </si>
  <si>
    <t>Project Florida</t>
  </si>
  <si>
    <t>Azuma Kofuji 1 Power Plant GK</t>
  </si>
  <si>
    <t>Hulst BV</t>
  </si>
  <si>
    <t>Nomura Singapore Limited</t>
  </si>
  <si>
    <t>BCP Topco IX Pte Ltd</t>
  </si>
  <si>
    <t>Project M (Mphasis)</t>
  </si>
  <si>
    <t>CA Alchemy Investments</t>
  </si>
  <si>
    <t>eStruxture Data Centers Inc.</t>
  </si>
  <si>
    <t>Canada</t>
  </si>
  <si>
    <t>CAD</t>
  </si>
  <si>
    <t>Project Knight 2</t>
  </si>
  <si>
    <t>Hulst BV II</t>
  </si>
  <si>
    <t>Art Master Investment Limited</t>
  </si>
  <si>
    <t>Project Nova</t>
  </si>
  <si>
    <t>Project Malibu</t>
  </si>
  <si>
    <t>Ekera Dental</t>
  </si>
  <si>
    <t>FMG 2021</t>
  </si>
  <si>
    <t>BMTR Media Limited (Project Malibu)</t>
  </si>
  <si>
    <t>Communication Services</t>
  </si>
  <si>
    <t>Interactive Media and Services</t>
  </si>
  <si>
    <t>Ekera Dental Pty Ltd</t>
  </si>
  <si>
    <t>Westpac Banking Corporation</t>
  </si>
  <si>
    <t>Yes Qtly - Auto (Next Dec 21)</t>
  </si>
  <si>
    <t>Yes Half yrly (March &amp; Sept) - Auto in Graile</t>
  </si>
  <si>
    <t>Yes - Qtly</t>
  </si>
  <si>
    <t>Yes - Qrtly - Auto in Graile (Next Oct 21)</t>
  </si>
  <si>
    <t>Yes - yearly (next July 2022)- Auto in graile</t>
  </si>
  <si>
    <t>Yes - ad hoc (next Jan 2022)</t>
  </si>
  <si>
    <t>Yes - Qtly Jun/Oct/Jan/April</t>
  </si>
  <si>
    <t>Yes -Qrtly</t>
  </si>
  <si>
    <t>Previous Period (June 2021)</t>
  </si>
  <si>
    <t>delays to sale</t>
  </si>
  <si>
    <t>china real estate crisis</t>
  </si>
  <si>
    <t>improving coal economics</t>
  </si>
  <si>
    <t>ongoing covid impact</t>
  </si>
  <si>
    <t>slower recovery</t>
  </si>
  <si>
    <t>ongoing project issues</t>
  </si>
  <si>
    <t>SEND NOTICE</t>
  </si>
  <si>
    <t>Project Dashing</t>
  </si>
  <si>
    <t>Harbour Energy Chrysaor</t>
  </si>
  <si>
    <t>Added a row in the compliance checklist - The Invoice Register (both AUS &amp; EUR treaty) is to be generated at the start of every month using Graile, and saved in the Compliance folder</t>
  </si>
  <si>
    <t>Added a row in the compliance checklist - Review Transactions closed in the past month under DA to confirm documents have been sent to HDI</t>
  </si>
  <si>
    <t>Deutsche Bank AG, Frankfurt Branch</t>
  </si>
  <si>
    <t>Infrastructure Nordics 2</t>
  </si>
  <si>
    <t>Harbour Energy Plc</t>
  </si>
  <si>
    <t>Royal Bank of Canada</t>
  </si>
  <si>
    <t>Royal Bank of Canada, London Branch</t>
  </si>
  <si>
    <t>Yes - Jun/Dec</t>
  </si>
  <si>
    <t>EdgeConnex Holdings IV-C B.V.</t>
  </si>
  <si>
    <t>Frankfurt</t>
  </si>
  <si>
    <t>Poland</t>
  </si>
  <si>
    <t>Polish Data Centres - Poppy</t>
  </si>
  <si>
    <t>Nomura</t>
  </si>
  <si>
    <t>Nomura Singapore</t>
  </si>
  <si>
    <t>Project Shark</t>
  </si>
  <si>
    <t>Pole Star</t>
  </si>
  <si>
    <t>Cap 3000</t>
  </si>
  <si>
    <t>Project Energise</t>
  </si>
  <si>
    <t>Pacific 2021 Bidco G Pty Ltd</t>
  </si>
  <si>
    <t>Pole Star Limited</t>
  </si>
  <si>
    <t>SAS Aldeta</t>
  </si>
  <si>
    <t>EMP Bentu Limited</t>
  </si>
  <si>
    <t>Yes - Monthly</t>
  </si>
  <si>
    <t>Sany International Development Limited</t>
  </si>
  <si>
    <t>Sany</t>
  </si>
  <si>
    <t>Project M (ANZ Mphasis)</t>
  </si>
  <si>
    <t>BCP Topco IX Pte Ltd 2</t>
  </si>
  <si>
    <t>NextDC Limited</t>
  </si>
  <si>
    <t>NextDC</t>
  </si>
  <si>
    <t>ING Bank N.V. (France)</t>
  </si>
  <si>
    <t>ING Bank N.V. (London Branch)</t>
  </si>
  <si>
    <t>ING Bank N.V. Singapore Branch</t>
  </si>
  <si>
    <t>Highlander</t>
  </si>
  <si>
    <t>Triton Containers</t>
  </si>
  <si>
    <t>Project Apollo</t>
  </si>
  <si>
    <t>Project Orca</t>
  </si>
  <si>
    <t>Prism</t>
  </si>
  <si>
    <t>Marlin</t>
  </si>
  <si>
    <t>Highlander III NZ Limited</t>
  </si>
  <si>
    <t>Atlas Copco Australia Pty Limited NSW</t>
  </si>
  <si>
    <t>Atlas Copco Australia Pty Limited VIC</t>
  </si>
  <si>
    <t>Atlas NSW</t>
  </si>
  <si>
    <t>Atlas VIC</t>
  </si>
  <si>
    <t>Triton International Limited</t>
  </si>
  <si>
    <t>Yes - Qrtly - Auto in Graile</t>
  </si>
  <si>
    <t>Cube Telecom Europe Bidco Limited</t>
  </si>
  <si>
    <t>Asia Cube Global Communications Limited</t>
  </si>
  <si>
    <t>Project Lightning</t>
  </si>
  <si>
    <t>GlobalConnect Group Holding AB</t>
  </si>
  <si>
    <t>ESR Cayman II</t>
  </si>
  <si>
    <t>ESR Cayman Limited II</t>
  </si>
  <si>
    <t>Betaine B.V.</t>
  </si>
  <si>
    <t>Yes - Semi Annually (from Dec 24)</t>
  </si>
  <si>
    <t xml:space="preserve">Shimao 3 </t>
  </si>
  <si>
    <t>Shimao Property Holdings Limited (Shimao 3)</t>
  </si>
  <si>
    <t>Yes - Semi Annually (from April 23)</t>
  </si>
  <si>
    <t>Yes- Next Nov 22</t>
  </si>
  <si>
    <t>Breakwater Corporate Services S.L.U</t>
  </si>
  <si>
    <t xml:space="preserve">Yes qrtly - Auto in Graile </t>
  </si>
  <si>
    <t>Yes - Half yrly</t>
  </si>
  <si>
    <t>Yes - ad hoc</t>
  </si>
  <si>
    <t>Yes - Auto in Graile</t>
  </si>
  <si>
    <t>Previous Period (September 2021)</t>
  </si>
  <si>
    <t>ongoing delay to sale</t>
  </si>
  <si>
    <t>omicron variant delaying recovery</t>
  </si>
  <si>
    <t>additional equity expected to be contributed</t>
  </si>
  <si>
    <t>china real estate softening</t>
  </si>
  <si>
    <t>Coima</t>
  </si>
  <si>
    <t>Czech Real Estate T2</t>
  </si>
  <si>
    <t>COIMA RES SpA SIIQ.</t>
  </si>
  <si>
    <t>ING Bank N.V. (Italy Branch)</t>
  </si>
  <si>
    <t>Czech Republic</t>
  </si>
  <si>
    <t>Komerní Banka (KB, Member Of The SG Group)</t>
  </si>
  <si>
    <t>Project Energize</t>
  </si>
  <si>
    <t>Slovak Republic</t>
  </si>
  <si>
    <t>Contera Investments (F1)</t>
  </si>
  <si>
    <t>Contera Investments (F2)</t>
  </si>
  <si>
    <t>Yes - 2024</t>
  </si>
  <si>
    <t>COPT DC-6 LLC (Project Douglass)</t>
  </si>
  <si>
    <t>Gross Written Premium (pre-tax premium paid to HDI GS) (A$)</t>
  </si>
  <si>
    <t>Project Douglass</t>
  </si>
  <si>
    <t>Green Mountain AS (Granite)</t>
  </si>
  <si>
    <t>Project Granite</t>
  </si>
  <si>
    <t>Sentinel Finco Pty Limited</t>
  </si>
  <si>
    <t>Sydney</t>
  </si>
  <si>
    <t>Standard Chartered Bank, Sydney Branch</t>
  </si>
  <si>
    <t>Sentinel</t>
  </si>
  <si>
    <t xml:space="preserve">Yes - Update Facilities Out/Premium Qtly </t>
  </si>
  <si>
    <t>Yes - Auto in Graile Qrtly</t>
  </si>
  <si>
    <t>Yes - N/A no more amort</t>
  </si>
  <si>
    <t>Yes - Amort finished</t>
  </si>
  <si>
    <t>Yes Qtly - Finished</t>
  </si>
  <si>
    <t xml:space="preserve">Semiconductor Equipment </t>
  </si>
  <si>
    <t>Previous Period (December 2021)</t>
  </si>
  <si>
    <t>conditions improving</t>
  </si>
  <si>
    <t>bond sale provision</t>
  </si>
  <si>
    <t>further delays to certification of construction</t>
  </si>
  <si>
    <t>additional equity  contributed</t>
  </si>
  <si>
    <t>additional equity contribution approved</t>
  </si>
  <si>
    <t>transaction in restructuring with uncertain outcome</t>
  </si>
  <si>
    <t>Previous Period (March 2022)</t>
  </si>
  <si>
    <t>Seven West</t>
  </si>
  <si>
    <t>Brigid Brownleaf</t>
  </si>
  <si>
    <t>MSC Jolco 2</t>
  </si>
  <si>
    <t>Czech Real Estate T1</t>
  </si>
  <si>
    <t>SWM Finance Pty Limited</t>
  </si>
  <si>
    <t>BRIGID INVESTMENTS LIMITED</t>
  </si>
  <si>
    <t>CLIP No. 192-199 Co. Ltd (MSC JOLCO II)</t>
  </si>
  <si>
    <t>Approx. Debt /  Facilities outstanding (Bank Limit) (A$)</t>
  </si>
  <si>
    <t>Yes-Quarterly</t>
  </si>
  <si>
    <t>CTPark Et Al</t>
  </si>
  <si>
    <t>Ionesco Bidco Pte. Ltd.</t>
  </si>
  <si>
    <t>Honan Holdings Pty Limited</t>
  </si>
  <si>
    <t>Vingroup</t>
  </si>
  <si>
    <t>Project Oxide</t>
  </si>
  <si>
    <t>Project Flatpack</t>
  </si>
  <si>
    <t>Manildra Flour Mills</t>
  </si>
  <si>
    <t>Project Iliad (Interplex)</t>
  </si>
  <si>
    <t>SONA COMPANY PTE. LTD.</t>
  </si>
  <si>
    <t>SEMI Finance Co II Pty Ltd</t>
  </si>
  <si>
    <t>Dunlipharder B.V.</t>
  </si>
  <si>
    <t>Vingroup Joint Stock Company</t>
  </si>
  <si>
    <t xml:space="preserve">Singapore </t>
  </si>
  <si>
    <t xml:space="preserve">Sydney </t>
  </si>
  <si>
    <t xml:space="preserve">Specialty Chemicals </t>
  </si>
  <si>
    <t>Yes - Semi-Annually (from Nov 24)</t>
  </si>
  <si>
    <t xml:space="preserve">Secured </t>
  </si>
  <si>
    <t xml:space="preserve">Diversified </t>
  </si>
  <si>
    <t>Yes - Semi-Annually (JUL24)</t>
  </si>
  <si>
    <t>Yes - Semi-Annually (NOV24)</t>
  </si>
  <si>
    <t>Project Voyage</t>
  </si>
  <si>
    <t>Europe - Developing</t>
  </si>
  <si>
    <t xml:space="preserve">SONA COMPANY PTE. LTD. </t>
  </si>
  <si>
    <t>MGE Normandie SNC</t>
  </si>
  <si>
    <t>Spark Bidco Pty Ltd</t>
  </si>
  <si>
    <t>International Seaways Operating Corporation</t>
  </si>
  <si>
    <t>Ashford BC LP.</t>
  </si>
  <si>
    <t>Retail Normandy</t>
  </si>
  <si>
    <t>Project Leonardo (Total Drains)</t>
  </si>
  <si>
    <t>ISOC</t>
  </si>
  <si>
    <t>Park Hyatt Beaver Creek</t>
  </si>
  <si>
    <t>BBB+</t>
  </si>
  <si>
    <t>Yes - Oct 2022</t>
  </si>
  <si>
    <t>Yes - Jun/Dec from Jan 23</t>
  </si>
  <si>
    <t>further delays to realisation of assets</t>
  </si>
  <si>
    <t>COVID spike in Mar Qtr</t>
  </si>
  <si>
    <t>improving profitability</t>
  </si>
  <si>
    <t>Previous Period (June 2022)</t>
  </si>
  <si>
    <t>CHF</t>
  </si>
  <si>
    <t>Paris</t>
  </si>
  <si>
    <t xml:space="preserve">Figtree Bidco Pty Ltd </t>
  </si>
  <si>
    <t>Deutsche Bank AG, London Branch</t>
  </si>
  <si>
    <t>Healthcare Services</t>
  </si>
  <si>
    <t>Antin</t>
  </si>
  <si>
    <t>Haddock</t>
  </si>
  <si>
    <t>Fullerton Health</t>
  </si>
  <si>
    <t>Shark (Senior)</t>
  </si>
  <si>
    <t>Shark (Junior)</t>
  </si>
  <si>
    <t>Antin Elephant Bidco B.V. – Apollo Eurofiber</t>
  </si>
  <si>
    <t>Infrastructure Switzerland I– Project Shark DC</t>
  </si>
  <si>
    <t>Infrastructure Switzerland Bidco I – Project Shark DC</t>
  </si>
  <si>
    <t>Horizon Telecom Inc. – Project Haddock</t>
  </si>
  <si>
    <t>Open Fiber S.p.A</t>
  </si>
  <si>
    <t>Threestones Capital Management S.A.</t>
  </si>
  <si>
    <t>Orion Engineered Carbons GmbH</t>
  </si>
  <si>
    <t>COIMA SGR S.p.A</t>
  </si>
  <si>
    <t>100 Bishopsgate S.a.r.l.</t>
  </si>
  <si>
    <t>Panera Brands Inc</t>
  </si>
  <si>
    <t>Pacific Bidco 2021 H Pty Ltd</t>
  </si>
  <si>
    <t>Societe Generale, Madrid Branch</t>
  </si>
  <si>
    <t>Norman (Manshake)</t>
  </si>
  <si>
    <t>Orion</t>
  </si>
  <si>
    <t>Vibrocemento</t>
  </si>
  <si>
    <t>Bishopsgate</t>
  </si>
  <si>
    <t>Nursing Homes</t>
  </si>
  <si>
    <t>Berenson</t>
  </si>
  <si>
    <t xml:space="preserve">Tires &amp; Rubber </t>
  </si>
  <si>
    <t>Yes - Quarterly</t>
  </si>
  <si>
    <t>Silvus</t>
  </si>
  <si>
    <t>Silvus Technologies Inc.</t>
  </si>
  <si>
    <t>Frogger</t>
  </si>
  <si>
    <t>Burgundy</t>
  </si>
  <si>
    <t>TEEG Bidco Pty Limited</t>
  </si>
  <si>
    <t>StraitNZ Holdings Limited</t>
  </si>
  <si>
    <t>NZ Healthcare BidCo Limited</t>
  </si>
  <si>
    <t>ING Bank (Australia) Limited</t>
  </si>
  <si>
    <t>Evolution</t>
  </si>
  <si>
    <t>BW Energy Production PTE LTD.</t>
  </si>
  <si>
    <t>Gabon</t>
  </si>
  <si>
    <t>HPREF II Spartacus Investments S.a.r.l.</t>
  </si>
  <si>
    <t>Spartacus</t>
  </si>
  <si>
    <t>BIS 2 a</t>
  </si>
  <si>
    <t>Faranak Holding Company SARL Et Al - Oarfish</t>
  </si>
  <si>
    <t>Faranak CloudHQ GmbH &amp; Co. KG Et AI - Oarfish</t>
  </si>
  <si>
    <t>Oarfish Holdco</t>
  </si>
  <si>
    <t>Oarfish Senior</t>
  </si>
  <si>
    <t>Vingroup (Project Global Texel)</t>
  </si>
  <si>
    <t>United Arab Emirates</t>
  </si>
  <si>
    <t>Action</t>
  </si>
  <si>
    <t>Slovakia</t>
  </si>
  <si>
    <t>CCC</t>
  </si>
  <si>
    <t>Cayman Islands</t>
  </si>
  <si>
    <t>Brazil</t>
  </si>
  <si>
    <t>Yes - Quarterly (Jan 23)</t>
  </si>
  <si>
    <t>Yes - Quarterly (Dec 22)</t>
  </si>
  <si>
    <t>Yes - No more amort</t>
  </si>
  <si>
    <t>Yes - Next Oct 22</t>
  </si>
  <si>
    <t>Yes - Yearly (July 23)- Auto in graile</t>
  </si>
  <si>
    <t xml:space="preserve">Yes Qrtly - Auto in Graile </t>
  </si>
  <si>
    <t>Yes -No more amort</t>
  </si>
  <si>
    <t>Yes Qrtly - (Dec 22) Auto in Graile</t>
  </si>
  <si>
    <t>Yes - on Amber List</t>
  </si>
  <si>
    <t>Yes Qtly - (Dec 22) Auto in Graile</t>
  </si>
  <si>
    <t>Yes Qtly - Update Manualy in Graile</t>
  </si>
  <si>
    <t>Yes - Dec 22</t>
  </si>
  <si>
    <t>Yes - Jan 23</t>
  </si>
  <si>
    <t>Information Technology - Hardware &amp; Equipment</t>
  </si>
  <si>
    <t>Information Technology - Software &amp; Services</t>
  </si>
  <si>
    <t>Bond ID</t>
  </si>
  <si>
    <t>continued improvement in operating performance</t>
  </si>
  <si>
    <t>Added other group exposure as cross-default potential for loss</t>
  </si>
  <si>
    <t>performance improvement slower than anticipated</t>
  </si>
  <si>
    <t>Delays to realisation of security</t>
  </si>
  <si>
    <t>Sub Industry 2 (for Real Estate Management Development Only)</t>
  </si>
  <si>
    <t>Herring</t>
  </si>
  <si>
    <t>202210-0003EU</t>
  </si>
  <si>
    <t>BBQSAM Pty Ltd (Project Aristotle - Amart 1)</t>
  </si>
  <si>
    <t>202211-0001</t>
  </si>
  <si>
    <t>BBQSAM Pty Ltd (Project Aristotle - Amart 2)</t>
  </si>
  <si>
    <t>202211-0004</t>
  </si>
  <si>
    <t>Phoenix Tower US Holdings (REIT) Inc. Et Al</t>
  </si>
  <si>
    <t>Wireless Telecommunications Services</t>
  </si>
  <si>
    <t>Raising Arizona</t>
  </si>
  <si>
    <t>Aristotle (Amart) 1</t>
  </si>
  <si>
    <t>Aristotle (Amart) 2</t>
  </si>
  <si>
    <t>202209-0003EU</t>
  </si>
  <si>
    <t>202102-0001</t>
  </si>
  <si>
    <t>202208-0007EU</t>
  </si>
  <si>
    <t>BIS 2 b</t>
  </si>
  <si>
    <t>202210-0002</t>
  </si>
  <si>
    <t>Retail Estates NV II (2022)</t>
  </si>
  <si>
    <t>Retail Estates 2 (2022)</t>
  </si>
  <si>
    <t>202210-0001EU</t>
  </si>
  <si>
    <t>202211-0002</t>
  </si>
  <si>
    <t>202207-0004</t>
  </si>
  <si>
    <t>202211-0003</t>
  </si>
  <si>
    <t>202210-0003</t>
  </si>
  <si>
    <t>202208-0008EU</t>
  </si>
  <si>
    <t>202209-0004EU</t>
  </si>
  <si>
    <t>202209-0002EU</t>
  </si>
  <si>
    <t>202209-0001EU</t>
  </si>
  <si>
    <t>201911-0002</t>
  </si>
  <si>
    <t>201810-0003EU</t>
  </si>
  <si>
    <t>201902-0003</t>
  </si>
  <si>
    <t>201809-0007EU</t>
  </si>
  <si>
    <t>201810-0002EU</t>
  </si>
  <si>
    <t>201903-0001</t>
  </si>
  <si>
    <t>201911-0002EU</t>
  </si>
  <si>
    <t>202005-0001</t>
  </si>
  <si>
    <t>202004-0005EU</t>
  </si>
  <si>
    <t>202010-0001EU</t>
  </si>
  <si>
    <t>202111-0002EU</t>
  </si>
  <si>
    <t>202106-0001EU</t>
  </si>
  <si>
    <t>202202-0001</t>
  </si>
  <si>
    <t>202202-0002</t>
  </si>
  <si>
    <t>202111-0001EU</t>
  </si>
  <si>
    <t>202203-0001EU</t>
  </si>
  <si>
    <t>Hotwire BTS Funding I, LLC (Project Herring)</t>
  </si>
  <si>
    <t>BIS Finance Pty Limited (BIS 2a)</t>
  </si>
  <si>
    <t>BIS Finance Pty Limited (BIS 2b)</t>
  </si>
  <si>
    <t>201410-0003</t>
  </si>
  <si>
    <t>201710-0001</t>
  </si>
  <si>
    <t>201708-0005</t>
  </si>
  <si>
    <t>201801-0005</t>
  </si>
  <si>
    <t>201711-0001EU</t>
  </si>
  <si>
    <t>201801-0006</t>
  </si>
  <si>
    <t>201805-0003EU</t>
  </si>
  <si>
    <t>201807-0001EU</t>
  </si>
  <si>
    <t>201810-0001</t>
  </si>
  <si>
    <t>201812-0004EU</t>
  </si>
  <si>
    <t>201902-0001EU</t>
  </si>
  <si>
    <t>201812-0001EU</t>
  </si>
  <si>
    <t>201902-0001</t>
  </si>
  <si>
    <t>201904-0001</t>
  </si>
  <si>
    <t>201902-0002EU</t>
  </si>
  <si>
    <t>201903-0001EU</t>
  </si>
  <si>
    <t>201907-0004</t>
  </si>
  <si>
    <t>201905-0001EU</t>
  </si>
  <si>
    <t>201908-0003</t>
  </si>
  <si>
    <t>201909-0006</t>
  </si>
  <si>
    <t>201907-0001EU</t>
  </si>
  <si>
    <t>201910-0005EU</t>
  </si>
  <si>
    <t>201911-0003</t>
  </si>
  <si>
    <t>201912-0002</t>
  </si>
  <si>
    <t>201912-0002EU</t>
  </si>
  <si>
    <t>202002-0003</t>
  </si>
  <si>
    <t>202002-0003EU</t>
  </si>
  <si>
    <t>202204-0001</t>
  </si>
  <si>
    <t>202002-0002EU</t>
  </si>
  <si>
    <t>202001-0002EU</t>
  </si>
  <si>
    <t>202006-0004</t>
  </si>
  <si>
    <t>202002-0004EU</t>
  </si>
  <si>
    <t>202005-0003</t>
  </si>
  <si>
    <t>202004-0001EU</t>
  </si>
  <si>
    <t>202005-0004</t>
  </si>
  <si>
    <t>202003-0002EU</t>
  </si>
  <si>
    <t>202105-0002</t>
  </si>
  <si>
    <t>202006-0002</t>
  </si>
  <si>
    <t>202105-0001EU</t>
  </si>
  <si>
    <t>202107-0001</t>
  </si>
  <si>
    <t>202105-0002EU</t>
  </si>
  <si>
    <t>202107-0002</t>
  </si>
  <si>
    <t>202006-0001</t>
  </si>
  <si>
    <t>202004-0003EU</t>
  </si>
  <si>
    <t>202007-0001</t>
  </si>
  <si>
    <t>202004-0006EU</t>
  </si>
  <si>
    <t>202009-0007EU</t>
  </si>
  <si>
    <t>202007-0002</t>
  </si>
  <si>
    <t>202005-0002EU</t>
  </si>
  <si>
    <t>202003-0001EU</t>
  </si>
  <si>
    <t>202112-0001EU</t>
  </si>
  <si>
    <t>202006-0002EU</t>
  </si>
  <si>
    <t>202008-0002</t>
  </si>
  <si>
    <t>202010-0001</t>
  </si>
  <si>
    <t>202008-0002EU</t>
  </si>
  <si>
    <t>202011-0001</t>
  </si>
  <si>
    <t>202009-0004EU</t>
  </si>
  <si>
    <t>202008-0004EU</t>
  </si>
  <si>
    <t>202102-0002</t>
  </si>
  <si>
    <t>202012-0001EU</t>
  </si>
  <si>
    <t>202101-0001EU</t>
  </si>
  <si>
    <t>202101-0002EU</t>
  </si>
  <si>
    <t>202102-0001EU</t>
  </si>
  <si>
    <t>202106-0003EU</t>
  </si>
  <si>
    <t>202106-0002EU</t>
  </si>
  <si>
    <t>202108-0001</t>
  </si>
  <si>
    <t>202106-0004EU</t>
  </si>
  <si>
    <t>202107-0002EU</t>
  </si>
  <si>
    <t>202109-0003</t>
  </si>
  <si>
    <t>202109-0001</t>
  </si>
  <si>
    <t>202110-0001</t>
  </si>
  <si>
    <t>202201-0005</t>
  </si>
  <si>
    <t>202201-0002</t>
  </si>
  <si>
    <t>202110-0006</t>
  </si>
  <si>
    <t>202108-0001EU</t>
  </si>
  <si>
    <t>202110-0003</t>
  </si>
  <si>
    <t>202110-0005</t>
  </si>
  <si>
    <t>202111-0001</t>
  </si>
  <si>
    <t>202111-0005</t>
  </si>
  <si>
    <t>202110-0001EU &amp; 202109-0001EU</t>
  </si>
  <si>
    <t>202110-0003EU</t>
  </si>
  <si>
    <t>202201-0001</t>
  </si>
  <si>
    <t>202111-0004</t>
  </si>
  <si>
    <t>202110-0002EU</t>
  </si>
  <si>
    <t>202112-0002</t>
  </si>
  <si>
    <t>202201-0004</t>
  </si>
  <si>
    <t>202201-0003</t>
  </si>
  <si>
    <t>202112-0003EU</t>
  </si>
  <si>
    <t>202111-0003EU &amp; 202112-0004EU</t>
  </si>
  <si>
    <t>202202-0003</t>
  </si>
  <si>
    <t>202201-0006</t>
  </si>
  <si>
    <t>202201-0001EU</t>
  </si>
  <si>
    <t>202112-0002EU</t>
  </si>
  <si>
    <t>202201-0002EU</t>
  </si>
  <si>
    <t>202203-0003EU</t>
  </si>
  <si>
    <t>202205-0007</t>
  </si>
  <si>
    <t>202206-0001</t>
  </si>
  <si>
    <t>202204-0001EU</t>
  </si>
  <si>
    <t>202202-0001EU</t>
  </si>
  <si>
    <t>202203-0002EU</t>
  </si>
  <si>
    <t>202207-0001</t>
  </si>
  <si>
    <t>202205-0006</t>
  </si>
  <si>
    <t>202207-0003</t>
  </si>
  <si>
    <t>202204-0002</t>
  </si>
  <si>
    <t>202207-0002</t>
  </si>
  <si>
    <t>202207-0006</t>
  </si>
  <si>
    <t>202207-0007</t>
  </si>
  <si>
    <t>202206-0001EU</t>
  </si>
  <si>
    <t>202208-0001</t>
  </si>
  <si>
    <t>202208-0003</t>
  </si>
  <si>
    <t>202206-0005EU</t>
  </si>
  <si>
    <t>202206-0002EU</t>
  </si>
  <si>
    <t>202206-0003EU</t>
  </si>
  <si>
    <t>202206-0004EU</t>
  </si>
  <si>
    <t>202206-0006EU</t>
  </si>
  <si>
    <t>202207-0001EU</t>
  </si>
  <si>
    <t>202208-0002</t>
  </si>
  <si>
    <t>202207-0005EU</t>
  </si>
  <si>
    <t>202208-0004EU</t>
  </si>
  <si>
    <t>202210-0001</t>
  </si>
  <si>
    <t>202207-0003EU</t>
  </si>
  <si>
    <t>202208-0006EU</t>
  </si>
  <si>
    <t>202208-0003EU</t>
  </si>
  <si>
    <t>202208-0005EU</t>
  </si>
  <si>
    <t>202212-0001</t>
  </si>
  <si>
    <t>202301-0001</t>
  </si>
  <si>
    <t>202211-0003EU</t>
  </si>
  <si>
    <t>BMTR Media Limited</t>
  </si>
  <si>
    <t>Cable and Satellite</t>
  </si>
  <si>
    <t>Malibu 2a</t>
  </si>
  <si>
    <t>Yes - HY (Feb, Aug 22)</t>
  </si>
  <si>
    <t>Gusto Aus Bidco Pty Ltd Et Al</t>
  </si>
  <si>
    <t>Gusto</t>
  </si>
  <si>
    <t>CyrusOne MSA-1 LLC Et Al</t>
  </si>
  <si>
    <t>Cloud</t>
  </si>
  <si>
    <t>Standard Chartered Bank, London Branch</t>
  </si>
  <si>
    <t>Cavalry</t>
  </si>
  <si>
    <t>Aotearoa Towers Hold LP (Project Cloud)</t>
  </si>
  <si>
    <t>Olam Group Limited</t>
  </si>
  <si>
    <t>ANZ Olam</t>
  </si>
  <si>
    <t>202301-0002</t>
  </si>
  <si>
    <t>Mumbai International Airport Limited</t>
  </si>
  <si>
    <t>Mumbai</t>
  </si>
  <si>
    <t>Nomura Special Investments Singapore Pte. Ltd.</t>
  </si>
  <si>
    <t>202301-0004</t>
  </si>
  <si>
    <t>202111-0004EU &amp; 202211-0001EU</t>
  </si>
  <si>
    <t>Han’s Holding Australia Pty Ltd</t>
  </si>
  <si>
    <t>Horizon</t>
  </si>
  <si>
    <t>202301-0003</t>
  </si>
  <si>
    <t>Neptune Bidco US Inc.</t>
  </si>
  <si>
    <t>Nomura Corporate Funding Americas, LLC</t>
  </si>
  <si>
    <t>202212-0005EU</t>
  </si>
  <si>
    <t>Neptune</t>
  </si>
  <si>
    <t>Market Bidco Limited</t>
  </si>
  <si>
    <t>Eden</t>
  </si>
  <si>
    <t>ING Bank N.V. (Acting though Its French Branch)</t>
  </si>
  <si>
    <t>Morrisons</t>
  </si>
  <si>
    <t>202212-0001EU</t>
  </si>
  <si>
    <t>Safic Alcan / New Diamonds</t>
  </si>
  <si>
    <t>202212-0002EU</t>
  </si>
  <si>
    <t>Switch Master Holdco, LLC</t>
  </si>
  <si>
    <t>Royal Bank of Canada, New York Branch</t>
  </si>
  <si>
    <t>Blackfish</t>
  </si>
  <si>
    <t>202212-0003EU</t>
  </si>
  <si>
    <t>Energy SPV S.r.l.</t>
  </si>
  <si>
    <t>202210-0002EU</t>
  </si>
  <si>
    <t>OLAM International Limited</t>
  </si>
  <si>
    <t>Commonwealth Bank of Australia (Singapore Branch)</t>
  </si>
  <si>
    <t>Commonwealth Bank of Australia</t>
  </si>
  <si>
    <t>CBA Olam</t>
  </si>
  <si>
    <t>202212-0003</t>
  </si>
  <si>
    <t>S.L.U</t>
  </si>
  <si>
    <t>201905-0002EU</t>
  </si>
  <si>
    <t>Yes - quarterly</t>
  </si>
  <si>
    <t>EUR &amp; GBP</t>
  </si>
  <si>
    <t>202212-0008EU &amp; 202212-0007EU</t>
  </si>
  <si>
    <t>McGregor Switch</t>
  </si>
  <si>
    <t>CTP-I LLC (Project Blackfish)</t>
  </si>
  <si>
    <t>Yes - next Jun 24</t>
  </si>
  <si>
    <t>Energy Park</t>
  </si>
  <si>
    <t>Previous Period (September 2022)</t>
  </si>
  <si>
    <t>202301-0005</t>
  </si>
  <si>
    <t>removed given provision</t>
  </si>
  <si>
    <t>slowing China sales</t>
  </si>
  <si>
    <t>Energy pricing impacts</t>
  </si>
  <si>
    <t>interest rate impacts</t>
  </si>
  <si>
    <t>ELVIS UK HOLDCO LIMITED</t>
  </si>
  <si>
    <t>202212-0006EU</t>
  </si>
  <si>
    <t>202301-0002EU</t>
  </si>
  <si>
    <t>Beontag</t>
  </si>
  <si>
    <t>Tags Lux S.à.r.l.</t>
  </si>
  <si>
    <t>Malibu 2 &amp; 3</t>
  </si>
  <si>
    <t>202212-0001 &amp; 202303-0001</t>
  </si>
  <si>
    <t>202111-0005 &amp; 202303-0002</t>
  </si>
  <si>
    <t>Burger King (RBIB)</t>
  </si>
  <si>
    <t>TM</t>
  </si>
  <si>
    <t>CP</t>
  </si>
  <si>
    <t>LK</t>
  </si>
  <si>
    <t>JD</t>
  </si>
  <si>
    <t>JM</t>
  </si>
  <si>
    <t>202302-0005EU &amp; 202302-0006EU</t>
  </si>
  <si>
    <t>NFI Borrower AS</t>
  </si>
  <si>
    <t>Nordic Ferries (Navigium)</t>
  </si>
  <si>
    <t>NOK &amp; EUR</t>
  </si>
  <si>
    <t>IBC Capital Limited</t>
  </si>
  <si>
    <t>Goodpack</t>
  </si>
  <si>
    <t>202304-0001</t>
  </si>
  <si>
    <t>EDGECONNEX PAN EUROPEAN FINANCE CO B.V.</t>
  </si>
  <si>
    <t>202301-0001EU</t>
  </si>
  <si>
    <t>202304-0002</t>
  </si>
  <si>
    <t>Yes (Dec/Jun) from 12/25 to 6/27</t>
  </si>
  <si>
    <t>ING Bank N.V., Prague Branch</t>
  </si>
  <si>
    <t>Allwyn</t>
  </si>
  <si>
    <t>202302-0002EU</t>
  </si>
  <si>
    <t>Allwyn International A.S.</t>
  </si>
  <si>
    <t>Yes (Nov/ May) from 10/24 to 11/27</t>
  </si>
  <si>
    <t>Yes - HY (Jan, Jul 24) from 7/24 to 7/27</t>
  </si>
  <si>
    <t>ING Beluga (Poppy)</t>
  </si>
  <si>
    <t>202111-0004EU &amp; 202111-0006EU &amp; 202111-0005EU 202211-0001EU</t>
  </si>
  <si>
    <t>Yes (Dec/Jun) from 12/25 to 10/27</t>
  </si>
  <si>
    <t>202304-0004</t>
  </si>
  <si>
    <t>Merseyside IV S. A. R. L. (DB)</t>
  </si>
  <si>
    <t>MERSEYSIDE IV S.À R.L. (Nomura)</t>
  </si>
  <si>
    <t>Banyan Nomura</t>
  </si>
  <si>
    <t>Banyan DB</t>
  </si>
  <si>
    <t>Yes - (Feb/Aug) fr 8/23 to 2/26</t>
  </si>
  <si>
    <t>Oxley Gem Pte. Ltd.</t>
  </si>
  <si>
    <t>202305-0002 &amp; 202305-0003</t>
  </si>
  <si>
    <t>Opal 2</t>
  </si>
  <si>
    <t>Y (only 5/2024 f 202305-0003</t>
  </si>
  <si>
    <t>USD &amp; SGD</t>
  </si>
  <si>
    <t>Alinta Energy Finance Pty Limited</t>
  </si>
  <si>
    <t>202304-0005</t>
  </si>
  <si>
    <t>Alinta</t>
  </si>
  <si>
    <t>Integrated Oil and Gas</t>
  </si>
  <si>
    <t>Yes - Nov, May (from Nov 25)</t>
  </si>
  <si>
    <t>TAU INVESTMENT HOLDINGS PTE. LTD.</t>
  </si>
  <si>
    <t>Janus</t>
  </si>
  <si>
    <t>202305-0001</t>
  </si>
  <si>
    <t>Porsche Automobil Holding SE</t>
  </si>
  <si>
    <t>Porsche</t>
  </si>
  <si>
    <t>202303-0004EU</t>
  </si>
  <si>
    <t>202303-0002EU</t>
  </si>
  <si>
    <t>Kili</t>
  </si>
  <si>
    <t>Lorca FinCo PLC</t>
  </si>
  <si>
    <t>Societe Generale (Sucursal en Espana branch)</t>
  </si>
  <si>
    <t>Yes (Mar, Sep) fr 3/25 to 9/27</t>
  </si>
  <si>
    <t>Glasfaser Nordwest GmbH &amp; Co. KG</t>
  </si>
  <si>
    <t>Saphir</t>
  </si>
  <si>
    <t>202302-0008EU</t>
  </si>
  <si>
    <t>202303-0007EU</t>
  </si>
  <si>
    <t>Brookfield San Francisco</t>
  </si>
  <si>
    <t>BOP 685 Market LLC</t>
  </si>
  <si>
    <t>202305-0004</t>
  </si>
  <si>
    <t>OLAM GLOBAL AGRI PTE. LTD  &amp; OLAM GLOBAL AGRI TREASURY PTE. LTD</t>
  </si>
  <si>
    <t>Yes - HY (2/23, 8/23,2/24) &amp; (1/23,7/23,12/23,6/24)</t>
  </si>
  <si>
    <t>Yes - HY (Dec, Jun) fr 6/25 to 6/27</t>
  </si>
  <si>
    <t>Yes only Oct 22</t>
  </si>
  <si>
    <t>Yes - no more</t>
  </si>
  <si>
    <t>Yes- Next May 2023</t>
  </si>
  <si>
    <t>Yes -quarterly auto</t>
  </si>
  <si>
    <t>No more</t>
  </si>
  <si>
    <t>YES (Jan, Jul) fr 1/23 to 3/25; to 7/27</t>
  </si>
  <si>
    <t>Yes - Quarterly (Jun 23)</t>
  </si>
  <si>
    <t>Previous Period (December 2022)</t>
  </si>
  <si>
    <t>Ryman Healthcare (Australia) Pty Ltd</t>
  </si>
  <si>
    <t>Ryman</t>
  </si>
  <si>
    <t>202304-0006</t>
  </si>
  <si>
    <t>Commonwealth Bank of Australia (Australia Branch)</t>
  </si>
  <si>
    <t>Upcoming IPO</t>
  </si>
  <si>
    <t>Construction Complete. Settlements occurring.</t>
  </si>
  <si>
    <t>Improving operationl Performance</t>
  </si>
  <si>
    <t>201901-0004EU</t>
  </si>
  <si>
    <t>New waivers requested</t>
  </si>
  <si>
    <t>Sponsors to resolve Funding Shortfall with lenders</t>
  </si>
  <si>
    <t>202302-0002</t>
  </si>
  <si>
    <t>202201-0002 &amp; 202306-0001</t>
  </si>
  <si>
    <t>Chicken</t>
  </si>
  <si>
    <t>Ineos</t>
  </si>
  <si>
    <t>Merlin</t>
  </si>
  <si>
    <t>Matrix</t>
  </si>
  <si>
    <t>Centerline Communications LLC</t>
  </si>
  <si>
    <t>202302-0004EU</t>
  </si>
  <si>
    <t>Yes (quarterly) fr 6/23 to 6/27</t>
  </si>
  <si>
    <t>Passerinvest BBC 2, s.r.o.</t>
  </si>
  <si>
    <t>Passerinvest</t>
  </si>
  <si>
    <t>202302-0001EU</t>
  </si>
  <si>
    <t>Yes-Quarterly (Jan, Apr, Jul, Oct) fr 7/23 to 4/29</t>
  </si>
  <si>
    <t>202304-0006EU</t>
  </si>
  <si>
    <t>INEOS OLEFINS BELGIUM NV</t>
  </si>
  <si>
    <t>Yes (Jun, Dec) fr 12/27 to 6/37</t>
  </si>
  <si>
    <t>Merlin Properties SOCIMI, S.A.</t>
  </si>
  <si>
    <t>202304-0008EU</t>
  </si>
  <si>
    <t>Crédit Agrícole Corporate and Investment Bank, Sucursal en España</t>
  </si>
  <si>
    <t>202303-0006EU</t>
  </si>
  <si>
    <t>202304-0002EU</t>
  </si>
  <si>
    <t>OXG GLASFASER GMBH</t>
  </si>
  <si>
    <t>Societe Generale, London branch</t>
  </si>
  <si>
    <t>Gloucester BP Investments Limited</t>
  </si>
  <si>
    <t>Gloucester</t>
  </si>
  <si>
    <t>202304-0009EU</t>
  </si>
  <si>
    <t>Geely II</t>
  </si>
  <si>
    <t>RJ*</t>
  </si>
  <si>
    <t>GW*</t>
  </si>
  <si>
    <t>Kilkenny Cheese Limited</t>
  </si>
  <si>
    <t>Packaged Foods and Meats</t>
  </si>
  <si>
    <t>Yes (Jan, May, July, Nov) fr 01/25 to 12/32</t>
  </si>
  <si>
    <t>Orange</t>
  </si>
  <si>
    <t>KADANS SCIENCE PARTNER DEVELOPMENT B.V.</t>
  </si>
  <si>
    <t>Yes (Mar, Jul, Oct, Dec) fr 7/23 to 7/27</t>
  </si>
  <si>
    <t>Kadans</t>
  </si>
  <si>
    <t>202305-0001EU</t>
  </si>
  <si>
    <t>BSREP III Nero LLC</t>
  </si>
  <si>
    <t>Standard Chartered Bank (New York)</t>
  </si>
  <si>
    <t>Plaza</t>
  </si>
  <si>
    <t>202305-0002EU</t>
  </si>
  <si>
    <t>BREEVA II Moorgate Limited</t>
  </si>
  <si>
    <t>Credit Agricole Corporate and Investment Bank (London Branch)</t>
  </si>
  <si>
    <t>Collateral Score</t>
  </si>
  <si>
    <t>202303-0003EU</t>
  </si>
  <si>
    <t>ASG, LLC</t>
  </si>
  <si>
    <t>Ample</t>
  </si>
  <si>
    <t>202304-0007EU</t>
  </si>
  <si>
    <t>Atlas Edge (Airwolf)</t>
  </si>
  <si>
    <t>202305-0005EU</t>
  </si>
  <si>
    <t>Ant Man</t>
  </si>
  <si>
    <t>202305-0003EU</t>
  </si>
  <si>
    <t>202305-0009EU</t>
  </si>
  <si>
    <t>202305-0008EU</t>
  </si>
  <si>
    <t>Nutmeg Holco</t>
  </si>
  <si>
    <t>Nutmeg Senior</t>
  </si>
  <si>
    <t>202303-0008EU</t>
  </si>
  <si>
    <t>SA*</t>
  </si>
  <si>
    <t>ALIGNED DATA CENTERS INTERNATIONAL, LP (project Ant Man)</t>
  </si>
  <si>
    <t>AE GROUP HOLDCO II S.À R.L. (project Atlas Edge / Airwolf)</t>
  </si>
  <si>
    <t>Yondr JK 2 Holdco, LLC (project Nutmeg)</t>
  </si>
  <si>
    <t>YONDR JK 2, LLC (project Nutmeg)</t>
  </si>
  <si>
    <t>25 Moorgate</t>
  </si>
  <si>
    <t>202111-0004EU &amp; 5 &amp; 6 &amp; 202211-0001EU</t>
  </si>
  <si>
    <t>Project Tahiti II</t>
  </si>
  <si>
    <t>202307-0003</t>
  </si>
  <si>
    <t>Swansea Bora Limited</t>
  </si>
  <si>
    <t>Singpore</t>
  </si>
  <si>
    <t>Oak Holdings 2 GmbH</t>
  </si>
  <si>
    <t>Oak</t>
  </si>
  <si>
    <t>202306-0001EU</t>
  </si>
  <si>
    <t>Credit Agricole Corporate and Investment Bank (France Branch)</t>
  </si>
  <si>
    <t>Direct / Broker</t>
  </si>
  <si>
    <t>Bokerage %</t>
  </si>
  <si>
    <t>Premium Rate</t>
  </si>
  <si>
    <t>Willis</t>
  </si>
  <si>
    <t>DARAB EQUITY ONE LLC (Prj Limelight Junior)</t>
  </si>
  <si>
    <t>DARAB VENTURES ONE LLC (Prj Limelight Senior)</t>
  </si>
  <si>
    <t>Limelight Junior</t>
  </si>
  <si>
    <t>Limelight Senior</t>
  </si>
  <si>
    <t>202305-0006EU</t>
  </si>
  <si>
    <t>202305-0007EU</t>
  </si>
  <si>
    <t>DWF V 655 North Central, LLC (Prj Glendale Plaza)</t>
  </si>
  <si>
    <t xml:space="preserve">Deutsche Bank AG,  New York Branch </t>
  </si>
  <si>
    <t>202301-0003EU</t>
  </si>
  <si>
    <t>Glendale Plaza</t>
  </si>
  <si>
    <t>Venture Global Plaquemines LNG, LLC (Prj NordLB)</t>
  </si>
  <si>
    <t>Nord LB</t>
  </si>
  <si>
    <t>202306-0009EU</t>
  </si>
  <si>
    <t>Norddeutsche Landesbank Girozentrale</t>
  </si>
  <si>
    <t>Norddeutsche Landesbank Girozentrale New York Branch</t>
  </si>
  <si>
    <t>202305-0004EU</t>
  </si>
  <si>
    <t>Banco Santander, S.A., Spain branch</t>
  </si>
  <si>
    <t>Banco Santander, S.A.</t>
  </si>
  <si>
    <t>KM &amp; MG Holdings Limited (Prj Plimtown)</t>
  </si>
  <si>
    <t>Plimtown</t>
  </si>
  <si>
    <t>202307-0002</t>
  </si>
  <si>
    <t>Allston Phase A Lab/Office Owner, L.L.C., Et Al (Prj ERC Harvard Campus)</t>
  </si>
  <si>
    <t>ERC Harvard Campus</t>
  </si>
  <si>
    <t>202306-0007EU</t>
  </si>
  <si>
    <t>RBC Real Estate Capital Corp. Dallas branch</t>
  </si>
  <si>
    <t>Howden</t>
  </si>
  <si>
    <t>Third Avenue Tower Owner, LLC</t>
  </si>
  <si>
    <t>Third Avenue</t>
  </si>
  <si>
    <t>202306-0005EU</t>
  </si>
  <si>
    <t>Novus</t>
  </si>
  <si>
    <t>no more amortization</t>
  </si>
  <si>
    <t>Yes - Apr &amp; Oct(from April 23)</t>
  </si>
  <si>
    <t>Yes - Manuaul Quarterly (fr Jun 23)</t>
  </si>
  <si>
    <t>No more amort</t>
  </si>
  <si>
    <t>Previous Period (Mar 2023)</t>
  </si>
  <si>
    <t>ELVIS UK MIDCO LIMITED (Prj Santander Burger King RBIB)</t>
  </si>
  <si>
    <t>Santander Burger King RBIB</t>
  </si>
  <si>
    <t>GM*</t>
  </si>
  <si>
    <t>TU*</t>
  </si>
  <si>
    <t>TU</t>
  </si>
  <si>
    <t>AW</t>
  </si>
  <si>
    <t>AW*</t>
  </si>
  <si>
    <t>Property sold.  95% of purchase price received.</t>
  </si>
  <si>
    <t>New equity injected</t>
  </si>
  <si>
    <t>Improving performance</t>
  </si>
  <si>
    <t xml:space="preserve">Interest deferral requested </t>
  </si>
  <si>
    <t>BPL</t>
  </si>
  <si>
    <t>Eclipse</t>
  </si>
  <si>
    <t>202306-0004EU</t>
  </si>
  <si>
    <t>Sutherland Global Services UK Ltd</t>
  </si>
  <si>
    <t>Sutherland</t>
  </si>
  <si>
    <t>202309-0001</t>
  </si>
  <si>
    <t>SMBC EU AG (Germany)</t>
  </si>
  <si>
    <t>EP Infrastructure</t>
  </si>
  <si>
    <t>202307-0002EU</t>
  </si>
  <si>
    <t>202307-0001EU</t>
  </si>
  <si>
    <t>Societe Generale, Frankfurt Branch</t>
  </si>
  <si>
    <t>Altria Elbe</t>
  </si>
  <si>
    <t>Energetický a prumyslový holding, a.s. (prj EPH)</t>
  </si>
  <si>
    <t>ENTACT ENVIRONMENTAL SERVICES, INC. (prj Eclipse)</t>
  </si>
  <si>
    <t>Alstria Office REIT-AG (prj Elbe)</t>
  </si>
  <si>
    <t>South America</t>
  </si>
  <si>
    <t>Marsh</t>
  </si>
  <si>
    <t>JLT</t>
  </si>
  <si>
    <t>Texel</t>
  </si>
  <si>
    <t>Heron Tower</t>
  </si>
  <si>
    <t>3CM / 3CoastMidstream</t>
  </si>
  <si>
    <t>CMA CGM / CMA RCF II</t>
  </si>
  <si>
    <t>Hongqiao V / ChinaHQ - 2020 SFA</t>
  </si>
  <si>
    <t>Project North East</t>
  </si>
  <si>
    <t>Liza 3 / Guyuna</t>
  </si>
  <si>
    <t>ING Triton</t>
  </si>
  <si>
    <t>Project Apollo - Cube</t>
  </si>
  <si>
    <t>Shimao (2021 SFA)</t>
  </si>
  <si>
    <t>MSC Shipping Jolco 2</t>
  </si>
  <si>
    <t>Czech property deal T2</t>
  </si>
  <si>
    <t>Nomura Project M</t>
  </si>
  <si>
    <t>Project Nomura Oxide</t>
  </si>
  <si>
    <t>Project DB Oxide</t>
  </si>
  <si>
    <t>Project Voyage (Nomura project V)</t>
  </si>
  <si>
    <t>MGE Normandy - France</t>
  </si>
  <si>
    <t>ISOC / Seaways</t>
  </si>
  <si>
    <t>Newport</t>
  </si>
  <si>
    <t>NY Beaver Creek</t>
  </si>
  <si>
    <t>Antin-Apollo</t>
  </si>
  <si>
    <t>Berenson / Open Fiber</t>
  </si>
  <si>
    <t>SCB BWE Gabon</t>
  </si>
  <si>
    <t>Spartacus / Berlin Office</t>
  </si>
  <si>
    <t>202306-0003EU</t>
  </si>
  <si>
    <t>Acorn Holdco, Inc Et Al</t>
  </si>
  <si>
    <t>Acorn</t>
  </si>
  <si>
    <t>202309-0002</t>
  </si>
  <si>
    <t>Peer Holding III B.V. Et Al (Prj Action)</t>
  </si>
  <si>
    <t>202310-0001</t>
  </si>
  <si>
    <t>TPG Finance Pty Limited</t>
  </si>
  <si>
    <t>TPG</t>
  </si>
  <si>
    <t>Project Tahiti/ Openwater II</t>
  </si>
  <si>
    <t>Barings Madrid</t>
  </si>
  <si>
    <t>Hotel</t>
  </si>
  <si>
    <t>Operating</t>
  </si>
  <si>
    <t>ESR Cayman II (logistic)</t>
  </si>
  <si>
    <t>Sentinel (Childcare services)</t>
  </si>
  <si>
    <t>Brigid / Brownleaf (Instrastucture)</t>
  </si>
  <si>
    <t>Yellowfin Senior</t>
  </si>
  <si>
    <t>GORT LUX SCSp IV (prj Yellowfin Senior)</t>
  </si>
  <si>
    <t>202308-0003EU</t>
  </si>
  <si>
    <t>Governor's Park</t>
  </si>
  <si>
    <t>202211-0002EU</t>
  </si>
  <si>
    <t>ARTEMIS LUX BIDCO S.À.R.L.</t>
  </si>
  <si>
    <t>202309-0001EU</t>
  </si>
  <si>
    <t>Project Artemis</t>
  </si>
  <si>
    <t>Adamo Telecom, S.L.U.</t>
  </si>
  <si>
    <t>Adamo</t>
  </si>
  <si>
    <t>202308-0001EU</t>
  </si>
  <si>
    <t>6200 Greenwich Drive Owner, LLC (Prj Governor's Park)</t>
  </si>
  <si>
    <t>Glendhu Bay Trustees Limited (Prj Ralph)</t>
  </si>
  <si>
    <t>Ralph</t>
  </si>
  <si>
    <t>202310-0003</t>
  </si>
  <si>
    <t>Alonso / GAG / Kinetic</t>
  </si>
  <si>
    <t>Standard Chartered Bank (Hong kong)</t>
  </si>
  <si>
    <t>202311-0002</t>
  </si>
  <si>
    <t>Gerrard Investment Bidco Limited (Prj Kinetic)</t>
  </si>
  <si>
    <t>Lotus</t>
  </si>
  <si>
    <t>202310-0004</t>
  </si>
  <si>
    <t>Lodgis Hospitality Holdings Pte. Ltd (Prj Lotus)</t>
  </si>
  <si>
    <t>Yoda</t>
  </si>
  <si>
    <t>202311-0001</t>
  </si>
  <si>
    <t>GBP and EUR</t>
  </si>
  <si>
    <t>202212-0007EU and 202212-0008EU</t>
  </si>
  <si>
    <t>Yoda Buyer, LLC</t>
  </si>
  <si>
    <t>202309-0005EU</t>
  </si>
  <si>
    <t>Caprea Heka SAS</t>
  </si>
  <si>
    <t>Heka</t>
  </si>
  <si>
    <t>202310-0005EU</t>
  </si>
  <si>
    <t>AIFM XX, S.r.o. (Amazon Czech Warehouse)</t>
  </si>
  <si>
    <t>KB Czech Warehouse</t>
  </si>
  <si>
    <t>202309-0004EU</t>
  </si>
  <si>
    <t>SEAPORT N/P TITLE HOLDER LLC Et Al</t>
  </si>
  <si>
    <t>Seaport</t>
  </si>
  <si>
    <t>Healthcare</t>
  </si>
  <si>
    <t>202310-0004EU</t>
  </si>
  <si>
    <t>CE</t>
  </si>
  <si>
    <t>SZ</t>
  </si>
  <si>
    <t>GORT LUX SCSp II (Project Yellowfin - Junior)</t>
  </si>
  <si>
    <t>Yellowfin Junior</t>
  </si>
  <si>
    <t>202308-0004EU</t>
  </si>
  <si>
    <t>ITM 21 IntermediateCo Inc. (Prj Lucali)</t>
  </si>
  <si>
    <t>Lucali</t>
  </si>
  <si>
    <t>202311-0005EU</t>
  </si>
  <si>
    <t>Navigator Terminals Ltd (Prj Sailor)</t>
  </si>
  <si>
    <t>KfW IPEX-Bank GmbH</t>
  </si>
  <si>
    <t>Sailor</t>
  </si>
  <si>
    <t>202311-0007EU</t>
  </si>
  <si>
    <t>PTI IBERICA V, S.A. (Prj Jungle)</t>
  </si>
  <si>
    <t>Jungle</t>
  </si>
  <si>
    <t>202310-0006EU</t>
  </si>
  <si>
    <t>LXi Finco 2 Limited</t>
  </si>
  <si>
    <t>Lloyds Bank Plc.</t>
  </si>
  <si>
    <t>202311-0006EU</t>
  </si>
  <si>
    <t>Esentia Hub Chávez Holding, S. De R.L. De C.V.</t>
  </si>
  <si>
    <t>Esentia</t>
  </si>
  <si>
    <t>202308-0002EU</t>
  </si>
  <si>
    <t>Incline Aladdin Funding Designated Activity Company (Prj Brown)</t>
  </si>
  <si>
    <t>Brown BBAM A320s</t>
  </si>
  <si>
    <t>202401-0003</t>
  </si>
  <si>
    <t>ELVIS UK HOLDCO LIMITED (Prj Santander Burger King RBIB)</t>
  </si>
  <si>
    <t>NOK/SEK</t>
  </si>
  <si>
    <t>100 West Putnam Borrower LLC</t>
  </si>
  <si>
    <t>100 West Putnam</t>
  </si>
  <si>
    <t>202311-0004EU</t>
  </si>
  <si>
    <t>Altice UK S.a.r.l (Prj Bravo)</t>
  </si>
  <si>
    <t>Bravo</t>
  </si>
  <si>
    <t>202311-0001EU</t>
  </si>
  <si>
    <t>Walsh Investments Ltd (Prj Capstone)</t>
  </si>
  <si>
    <t>Capstone</t>
  </si>
  <si>
    <t>202401-0001</t>
  </si>
  <si>
    <t>Altius Bidco Pty Ltd (Prj Albatross)</t>
  </si>
  <si>
    <t>Altius</t>
  </si>
  <si>
    <t>202312-0001</t>
  </si>
  <si>
    <t xml:space="preserve">	BREEVA I LAS ROZAS, S.L.U.</t>
  </si>
  <si>
    <t>202112-0002EU / 202310-0001EU</t>
  </si>
  <si>
    <t>202201-0002EU / 202310-0002EU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</si>
</sst>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44" formatCode="_-&quot;$&quot;* #,##0.00_-;\-&quot;$&quot;* #,##0.00_-;_-&quot;$&quot;* &quot;-&quot;??_-;_-@_-"/>
    <numFmt numFmtId="43" formatCode="_-* #,##0.00_-;\-* #,##0.00_-;_-* &quot;-&quot;??_-;_-@_-"/>
    <numFmt numFmtId="165" formatCode="[$-C09]dd\-mmm\-yy;@"/>
    <numFmt numFmtId="168" formatCode="_-* #,##0_-;\-* #,##0_-;_-* &quot;n/a&quot;_-;_-@_-"/>
    <numFmt numFmtId="170" formatCode="_-* #,##0_-;\-* #,##0_-;_-* 0_-;_-@_-"/>
    <numFmt numFmtId="171" formatCode="#,##0.0"/>
    <numFmt numFmtId="172" formatCode="#,##0_ ;[Red]\-#,##0\ "/>
    <numFmt numFmtId="174" formatCode="_-* #,##0_-;\-* #,##0_-;_-* &quot;-&quot;??_-;_-@_-"/>
    <numFmt numFmtId="176" formatCode="_-&quot;$&quot;* #,##0_-;\-&quot;$&quot;* #,##0_-;_-&quot;$&quot;* &quot;-&quot;??_-;_-@_-"/>
  </numFmts>
  <fonts count="2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sz val="10"/>
      <color theme="0"/>
      <name val="Arial"/>
      <family val="2"/>
    </font>
    <font>
      <sz val="10"/>
      <color theme="0"/>
      <name val="Arial"/>
      <family val="2"/>
    </font>
    <font>
      <sz val="8"/>
      <color indexed="81"/>
      <name val="Tahoma"/>
      <family val="2"/>
    </font>
    <font>
      <b/>
      <sz val="8"/>
      <color indexed="81"/>
      <name val="Tahoma"/>
      <family val="2"/>
    </font>
    <font>
      <sz val="10"/>
      <color rgb="FF0000FF"/>
      <name val="Arial"/>
      <family val="2"/>
    </font>
    <font>
      <sz val="10"/>
      <color theme="1"/>
      <name val="Arial"/>
      <family val="2"/>
    </font>
    <font>
      <sz val="10"/>
      <name val="Arial"/>
      <family val="2"/>
    </font>
    <font>
      <sz val="10"/>
      <color rgb="FF000000"/>
      <name val="Arial"/>
      <family val="2"/>
    </font>
    <font>
      <sz val="10"/>
      <name val="Arial"/>
      <family val="2"/>
    </font>
    <font>
      <sz val="9"/>
      <color indexed="81"/>
      <name val="Tahoma"/>
      <family val="2"/>
    </font>
    <font>
      <b/>
      <sz val="9"/>
      <color indexed="81"/>
      <name val="Tahoma"/>
      <family val="2"/>
    </font>
    <font>
      <b/>
      <sz val="15"/>
      <color theme="3"/>
      <name val="Calibri"/>
      <family val="2"/>
      <scheme val="minor"/>
    </font>
    <font>
      <b/>
      <sz val="11"/>
      <color theme="3"/>
      <name val="Calibri"/>
      <family val="2"/>
      <scheme val="minor"/>
    </font>
    <font>
      <sz val="10"/>
      <color rgb="FFFF0000"/>
      <name val="Arial"/>
      <family val="2"/>
    </font>
    <font>
      <sz val="10"/>
      <color rgb="FFFFFFFF"/>
      <name val="Arial"/>
      <family val="2"/>
    </font>
    <font>
      <u/>
      <sz val="11"/>
      <color theme="10"/>
      <name val="Calibri"/>
      <family val="2"/>
      <scheme val="minor"/>
    </font>
    <font>
      <b/>
      <sz val="10"/>
      <color rgb="FFFF0000"/>
      <name val="Arial"/>
      <family val="2"/>
    </font>
    <font>
      <b/>
      <sz val="10"/>
      <color rgb="FF0000FF"/>
      <name val="Arial"/>
      <family val="2"/>
    </font>
    <font>
      <b/>
      <sz val="10"/>
      <color rgb="FF00B0F0"/>
      <name val="Arial"/>
      <family val="2"/>
    </font>
  </fonts>
  <fills count="19">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4" tint="-0.249977111117893"/>
        <bgColor indexed="64"/>
      </patternFill>
    </fill>
    <fill>
      <patternFill patternType="solid">
        <fgColor theme="6"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theme="4" tint="0.59999389629810485"/>
      </patternFill>
    </fill>
    <fill>
      <patternFill patternType="solid">
        <fgColor theme="5" tint="0.79998168889431442"/>
        <bgColor theme="4" tint="0.79998168889431442"/>
      </patternFill>
    </fill>
    <fill>
      <patternFill patternType="solid">
        <fgColor theme="4" tint="0.59999389629810485"/>
        <bgColor theme="4" tint="0.59999389629810485"/>
      </patternFill>
    </fill>
    <fill>
      <patternFill patternType="solid">
        <fgColor rgb="FF9BBB59"/>
        <bgColor rgb="FF000000"/>
      </patternFill>
    </fill>
    <fill>
      <patternFill patternType="solid">
        <fgColor rgb="FFFFFFCC"/>
        <bgColor rgb="FF000000"/>
      </patternFill>
    </fill>
    <fill>
      <patternFill patternType="solid">
        <fgColor rgb="FFC5D9F1"/>
        <bgColor rgb="FF000000"/>
      </patternFill>
    </fill>
    <fill>
      <patternFill patternType="solid">
        <fgColor theme="3" tint="0.39997558519241921"/>
        <bgColor indexed="64"/>
      </patternFill>
    </fill>
    <fill>
      <patternFill patternType="solid">
        <fgColor rgb="FF3333FF"/>
        <bgColor indexed="64"/>
      </patternFill>
    </fill>
    <fill>
      <patternFill patternType="solid">
        <fgColor theme="8" tint="0.39997558519241921"/>
        <bgColor indexed="64"/>
      </patternFill>
    </fill>
  </fills>
  <borders count="26">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theme="4" tint="0.39997558519241921"/>
      </bottom>
      <diagonal/>
    </border>
    <border>
      <left style="thin">
        <color indexed="64"/>
      </left>
      <right style="thin">
        <color indexed="64"/>
      </right>
      <top style="thin">
        <color theme="0"/>
      </top>
      <bottom/>
      <diagonal/>
    </border>
    <border>
      <left style="thin">
        <color indexed="64"/>
      </left>
      <right/>
      <top style="thin">
        <color theme="0"/>
      </top>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indexed="64"/>
      </left>
      <right style="thin">
        <color theme="0"/>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bottom style="thin">
        <color theme="0"/>
      </bottom>
      <diagonal/>
    </border>
    <border>
      <left style="thin">
        <color indexed="64"/>
      </left>
      <right style="thin">
        <color theme="0"/>
      </right>
      <top style="thin">
        <color theme="0"/>
      </top>
      <bottom/>
      <diagonal/>
    </border>
    <border>
      <left style="thin">
        <color theme="0"/>
      </left>
      <right style="thin">
        <color indexed="64"/>
      </right>
      <top style="thin">
        <color theme="0"/>
      </top>
      <bottom/>
      <diagonal/>
    </border>
    <border>
      <left style="thin">
        <color theme="0"/>
      </left>
      <right style="thin">
        <color indexed="64"/>
      </right>
      <top/>
      <bottom style="thick">
        <color theme="0"/>
      </bottom>
      <diagonal/>
    </border>
    <border>
      <left style="thin">
        <color indexed="64"/>
      </left>
      <right style="thin">
        <color theme="0"/>
      </right>
      <top/>
      <bottom/>
      <diagonal/>
    </border>
    <border>
      <left/>
      <right style="thin">
        <color indexed="64"/>
      </right>
      <top style="thin">
        <color theme="0"/>
      </top>
      <bottom/>
      <diagonal/>
    </border>
  </borders>
  <cellStyleXfs count="18">
    <xf numFmtId="0" fontId="0" fillId="0" borderId="0"/>
    <xf numFmtId="43" fontId="14" fillId="0" borderId="0" applyFont="0" applyFill="0" applyBorder="0" applyAlignment="0" applyProtection="0"/>
    <xf numFmtId="0" fontId="4" fillId="0" borderId="0"/>
    <xf numFmtId="9" fontId="16" fillId="0" borderId="0" applyFont="0" applyFill="0" applyBorder="0" applyAlignment="0" applyProtection="0"/>
    <xf numFmtId="0" fontId="19" fillId="0" borderId="11" applyNumberFormat="0" applyFill="0" applyAlignment="0" applyProtection="0"/>
    <xf numFmtId="0" fontId="20" fillId="0" borderId="12" applyNumberFormat="0" applyFill="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3"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3" fillId="0" borderId="0" applyNumberForma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418">
    <xf numFmtId="0" fontId="0" fillId="0" borderId="0" xfId="0"/>
    <xf numFmtId="0" fontId="0" fillId="0" borderId="0" xfId="0" applyAlignment="1">
      <alignment horizontal="center"/>
    </xf>
    <xf numFmtId="0" fontId="5" fillId="0" borderId="0" xfId="0" applyFont="1" applyAlignment="1">
      <alignment wrapText="1"/>
    </xf>
    <xf numFmtId="0" fontId="19" fillId="0" borderId="11" xfId="4"/>
    <xf numFmtId="0" fontId="0" fillId="0" borderId="0" xfId="0"/>
    <xf numFmtId="0" fontId="0" fillId="0" borderId="0" xfId="0" applyAlignment="1">
      <alignment wrapText="1"/>
    </xf>
    <xf numFmtId="17" fontId="20" fillId="0" borderId="12" xfId="5" applyNumberFormat="1" applyAlignment="1">
      <alignment horizontal="center"/>
    </xf>
    <xf numFmtId="0" fontId="20" fillId="0" borderId="12" xfId="5" applyAlignment="1">
      <alignment horizontal="center"/>
    </xf>
    <xf numFmtId="0" fontId="0" fillId="0" borderId="0" xfId="0"/>
    <xf numFmtId="0" fontId="0" fillId="0" borderId="0" xfId="0" applyAlignment="1">
      <alignment wrapText="1"/>
    </xf>
    <xf numFmtId="0" fontId="5" fillId="2" borderId="1" xfId="0" applyFont="1" applyFill="1" applyBorder="1" applyAlignment="1">
      <alignment horizontal="left" vertical="center" wrapText="1"/>
    </xf>
    <xf numFmtId="0" fontId="5" fillId="0" borderId="0" xfId="6"/>
    <xf numFmtId="0" fontId="5" fillId="0" borderId="0" xfId="6" applyAlignment="1">
      <alignment wrapText="1"/>
    </xf>
    <xf numFmtId="0" fontId="5" fillId="2" borderId="8" xfId="6" applyFill="1" applyBorder="1"/>
    <xf numFmtId="0" fontId="5" fillId="2" borderId="8" xfId="6" applyFill="1" applyBorder="1" applyAlignment="1">
      <alignment wrapText="1"/>
    </xf>
    <xf numFmtId="0" fontId="5" fillId="2" borderId="8" xfId="6" applyFill="1" applyBorder="1" applyAlignment="1">
      <alignment horizontal="center" wrapText="1"/>
    </xf>
    <xf numFmtId="0" fontId="5" fillId="2" borderId="9" xfId="6" applyFill="1" applyBorder="1"/>
    <xf numFmtId="9" fontId="5" fillId="0" borderId="0" xfId="3" applyFont="1"/>
    <xf numFmtId="43" fontId="5" fillId="0" borderId="0" xfId="1" applyFont="1"/>
    <xf numFmtId="0" fontId="5" fillId="0" borderId="0" xfId="6" applyAlignment="1">
      <alignment horizontal="center"/>
    </xf>
    <xf numFmtId="0" fontId="6" fillId="0" borderId="0" xfId="6" applyFont="1"/>
    <xf numFmtId="0" fontId="5" fillId="0" borderId="0" xfId="6" applyAlignment="1">
      <alignment vertical="center"/>
    </xf>
    <xf numFmtId="172" fontId="5" fillId="0" borderId="0" xfId="6" applyNumberFormat="1"/>
    <xf numFmtId="168" fontId="7" fillId="0" borderId="0" xfId="6" applyNumberFormat="1" applyFont="1"/>
    <xf numFmtId="172" fontId="7" fillId="0" borderId="0" xfId="6" applyNumberFormat="1" applyFont="1"/>
    <xf numFmtId="0" fontId="7" fillId="0" borderId="0" xfId="6" applyFont="1" applyAlignment="1">
      <alignment horizontal="center"/>
    </xf>
    <xf numFmtId="174" fontId="7" fillId="0" borderId="0" xfId="7" applyNumberFormat="1" applyFont="1" applyBorder="1"/>
    <xf numFmtId="0" fontId="9" fillId="0" borderId="0" xfId="6" applyFont="1"/>
    <xf numFmtId="0" fontId="5" fillId="8" borderId="0" xfId="6" applyFill="1"/>
    <xf numFmtId="0" fontId="5" fillId="8" borderId="0" xfId="6" applyFill="1" applyAlignment="1">
      <alignment horizontal="center"/>
    </xf>
    <xf numFmtId="41" fontId="7" fillId="8" borderId="0" xfId="6" applyNumberFormat="1" applyFont="1" applyFill="1"/>
    <xf numFmtId="172" fontId="7" fillId="8" borderId="0" xfId="6" applyNumberFormat="1" applyFont="1" applyFill="1"/>
    <xf numFmtId="174" fontId="7" fillId="8" borderId="9" xfId="7" applyNumberFormat="1" applyFont="1" applyFill="1" applyBorder="1"/>
    <xf numFmtId="172" fontId="7" fillId="8" borderId="9" xfId="6" applyNumberFormat="1" applyFont="1" applyFill="1" applyBorder="1"/>
    <xf numFmtId="0" fontId="7" fillId="8" borderId="9" xfId="6" applyFont="1" applyFill="1" applyBorder="1" applyAlignment="1">
      <alignment horizontal="center"/>
    </xf>
    <xf numFmtId="0" fontId="7" fillId="8" borderId="0" xfId="6" applyFont="1" applyFill="1"/>
    <xf numFmtId="0" fontId="5" fillId="8" borderId="0" xfId="6" applyFill="1" applyAlignment="1">
      <alignment vertical="center"/>
    </xf>
    <xf numFmtId="0" fontId="7" fillId="8" borderId="0" xfId="6" applyFont="1" applyFill="1" applyAlignment="1">
      <alignment vertical="center"/>
    </xf>
    <xf numFmtId="171" fontId="7" fillId="8" borderId="10" xfId="6" applyNumberFormat="1" applyFont="1" applyFill="1" applyBorder="1"/>
    <xf numFmtId="171" fontId="7" fillId="8" borderId="10" xfId="6" applyNumberFormat="1" applyFont="1" applyFill="1" applyBorder="1" applyAlignment="1">
      <alignment horizontal="center"/>
    </xf>
    <xf numFmtId="0" fontId="7" fillId="8" borderId="4" xfId="6" applyFont="1" applyFill="1" applyBorder="1"/>
    <xf numFmtId="172" fontId="7" fillId="8" borderId="7" xfId="6" applyNumberFormat="1" applyFont="1" applyFill="1" applyBorder="1"/>
    <xf numFmtId="0" fontId="7" fillId="8" borderId="0" xfId="6" applyFont="1" applyFill="1" applyAlignment="1">
      <alignment horizontal="center"/>
    </xf>
    <xf numFmtId="0" fontId="5" fillId="8" borderId="8" xfId="6" applyFill="1" applyBorder="1"/>
    <xf numFmtId="0" fontId="5" fillId="8" borderId="0" xfId="6" applyFill="1" applyAlignment="1">
      <alignment wrapText="1"/>
    </xf>
    <xf numFmtId="171" fontId="5" fillId="8" borderId="8" xfId="6" applyNumberFormat="1" applyFill="1" applyBorder="1" applyAlignment="1">
      <alignment horizontal="center"/>
    </xf>
    <xf numFmtId="171" fontId="5" fillId="8" borderId="8" xfId="6" applyNumberFormat="1" applyFill="1" applyBorder="1"/>
    <xf numFmtId="2" fontId="5" fillId="8" borderId="8" xfId="6" applyNumberFormat="1" applyFill="1" applyBorder="1" applyAlignment="1">
      <alignment horizontal="center"/>
    </xf>
    <xf numFmtId="165" fontId="5" fillId="8" borderId="8" xfId="6" applyNumberFormat="1" applyFill="1" applyBorder="1"/>
    <xf numFmtId="170" fontId="5" fillId="8" borderId="8" xfId="8" applyNumberFormat="1" applyFont="1" applyFill="1" applyBorder="1" applyAlignment="1"/>
    <xf numFmtId="172" fontId="7" fillId="8" borderId="8" xfId="6" applyNumberFormat="1" applyFont="1" applyFill="1" applyBorder="1"/>
    <xf numFmtId="0" fontId="7" fillId="8" borderId="8" xfId="6" applyFont="1" applyFill="1" applyBorder="1" applyAlignment="1">
      <alignment horizontal="center"/>
    </xf>
    <xf numFmtId="176" fontId="0" fillId="0" borderId="0" xfId="9" applyNumberFormat="1" applyFont="1" applyAlignment="1"/>
    <xf numFmtId="0" fontId="5" fillId="0" borderId="15" xfId="6" applyBorder="1"/>
    <xf numFmtId="0" fontId="5" fillId="5" borderId="15" xfId="6" applyFill="1" applyBorder="1" applyAlignment="1">
      <alignment wrapText="1"/>
    </xf>
    <xf numFmtId="0" fontId="5" fillId="5" borderId="15" xfId="6" applyFill="1" applyBorder="1"/>
    <xf numFmtId="171" fontId="5" fillId="2" borderId="8" xfId="6" applyNumberFormat="1" applyFill="1" applyBorder="1" applyAlignment="1">
      <alignment horizontal="center"/>
    </xf>
    <xf numFmtId="171" fontId="5" fillId="2" borderId="8" xfId="6" applyNumberFormat="1" applyFill="1" applyBorder="1"/>
    <xf numFmtId="3" fontId="5" fillId="2" borderId="8" xfId="6" applyNumberFormat="1" applyFill="1" applyBorder="1"/>
    <xf numFmtId="165" fontId="5" fillId="2" borderId="8" xfId="6" applyNumberFormat="1" applyFill="1" applyBorder="1" applyAlignment="1">
      <alignment horizontal="center"/>
    </xf>
    <xf numFmtId="165" fontId="5" fillId="2" borderId="8" xfId="6" applyNumberFormat="1" applyFill="1" applyBorder="1"/>
    <xf numFmtId="170" fontId="13" fillId="2" borderId="8" xfId="6" applyNumberFormat="1" applyFont="1" applyFill="1" applyBorder="1"/>
    <xf numFmtId="172" fontId="12" fillId="2" borderId="8" xfId="6" applyNumberFormat="1" applyFont="1" applyFill="1" applyBorder="1"/>
    <xf numFmtId="172" fontId="12" fillId="2" borderId="2" xfId="6" applyNumberFormat="1" applyFont="1" applyFill="1" applyBorder="1" applyAlignment="1">
      <alignment horizontal="right"/>
    </xf>
    <xf numFmtId="0" fontId="5" fillId="2" borderId="8" xfId="6" applyFill="1" applyBorder="1" applyAlignment="1">
      <alignment horizontal="center"/>
    </xf>
    <xf numFmtId="0" fontId="5" fillId="2" borderId="1" xfId="6" applyFill="1" applyBorder="1"/>
    <xf numFmtId="0" fontId="5" fillId="2" borderId="1" xfId="6" applyFill="1" applyBorder="1" applyAlignment="1">
      <alignment wrapText="1"/>
    </xf>
    <xf numFmtId="0" fontId="5" fillId="2" borderId="13" xfId="6" applyFill="1" applyBorder="1" applyAlignment="1">
      <alignment wrapText="1"/>
    </xf>
    <xf numFmtId="0" fontId="5" fillId="2" borderId="0" xfId="6" applyFill="1" applyAlignment="1">
      <alignment wrapText="1"/>
    </xf>
    <xf numFmtId="0" fontId="5" fillId="2" borderId="1" xfId="10" applyFont="1" applyFill="1" applyBorder="1"/>
    <xf numFmtId="0" fontId="5" fillId="5" borderId="0" xfId="6" applyFill="1" applyAlignment="1">
      <alignment wrapText="1"/>
    </xf>
    <xf numFmtId="0" fontId="5" fillId="5" borderId="0" xfId="6" applyFill="1"/>
    <xf numFmtId="3" fontId="5" fillId="2" borderId="2" xfId="6" applyNumberFormat="1" applyFill="1" applyBorder="1"/>
    <xf numFmtId="172" fontId="12" fillId="2" borderId="8" xfId="6" applyNumberFormat="1" applyFont="1" applyFill="1" applyBorder="1" applyAlignment="1">
      <alignment horizontal="right"/>
    </xf>
    <xf numFmtId="0" fontId="5" fillId="2" borderId="8" xfId="10" applyFont="1" applyFill="1" applyBorder="1"/>
    <xf numFmtId="3" fontId="5" fillId="2" borderId="8" xfId="6" applyNumberFormat="1" applyFill="1" applyBorder="1" applyAlignment="1">
      <alignment horizontal="center"/>
    </xf>
    <xf numFmtId="172" fontId="12" fillId="2" borderId="2" xfId="6" applyNumberFormat="1" applyFont="1" applyFill="1" applyBorder="1"/>
    <xf numFmtId="0" fontId="5" fillId="2" borderId="2" xfId="6" applyFill="1" applyBorder="1" applyAlignment="1">
      <alignment wrapText="1"/>
    </xf>
    <xf numFmtId="0" fontId="15" fillId="2" borderId="8" xfId="6" applyFont="1" applyFill="1" applyBorder="1" applyAlignment="1">
      <alignment wrapText="1"/>
    </xf>
    <xf numFmtId="172" fontId="12" fillId="2" borderId="0" xfId="6" applyNumberFormat="1" applyFont="1" applyFill="1"/>
    <xf numFmtId="3" fontId="5" fillId="2" borderId="1" xfId="6" applyNumberFormat="1" applyFill="1" applyBorder="1"/>
    <xf numFmtId="165" fontId="5" fillId="2" borderId="1" xfId="6" applyNumberFormat="1" applyFill="1" applyBorder="1"/>
    <xf numFmtId="172" fontId="12" fillId="2" borderId="1" xfId="6" applyNumberFormat="1" applyFont="1" applyFill="1" applyBorder="1"/>
    <xf numFmtId="0" fontId="5" fillId="2" borderId="1" xfId="6" applyFill="1" applyBorder="1" applyAlignment="1">
      <alignment horizontal="center"/>
    </xf>
    <xf numFmtId="165" fontId="5" fillId="2" borderId="1" xfId="6" applyNumberFormat="1" applyFill="1" applyBorder="1" applyAlignment="1">
      <alignment horizontal="center"/>
    </xf>
    <xf numFmtId="165" fontId="5" fillId="2" borderId="8" xfId="6" applyNumberFormat="1" applyFill="1" applyBorder="1" applyAlignment="1">
      <alignment wrapText="1"/>
    </xf>
    <xf numFmtId="172" fontId="12" fillId="2" borderId="8" xfId="6" applyNumberFormat="1" applyFont="1" applyFill="1" applyBorder="1" applyAlignment="1">
      <alignment wrapText="1"/>
    </xf>
    <xf numFmtId="0" fontId="5" fillId="7" borderId="8" xfId="6" applyFill="1" applyBorder="1"/>
    <xf numFmtId="0" fontId="13" fillId="11" borderId="0" xfId="6" applyFont="1" applyFill="1"/>
    <xf numFmtId="0" fontId="5" fillId="7" borderId="0" xfId="6" applyFill="1" applyAlignment="1">
      <alignment wrapText="1"/>
    </xf>
    <xf numFmtId="0" fontId="5" fillId="7" borderId="0" xfId="6" applyFill="1"/>
    <xf numFmtId="171" fontId="13" fillId="7" borderId="8" xfId="6" applyNumberFormat="1" applyFont="1" applyFill="1" applyBorder="1" applyAlignment="1">
      <alignment horizontal="center"/>
    </xf>
    <xf numFmtId="171" fontId="5" fillId="7" borderId="8" xfId="6" applyNumberFormat="1" applyFill="1" applyBorder="1"/>
    <xf numFmtId="3" fontId="5" fillId="7" borderId="8" xfId="6" applyNumberFormat="1" applyFill="1" applyBorder="1"/>
    <xf numFmtId="165" fontId="5" fillId="7" borderId="8" xfId="6" applyNumberFormat="1" applyFill="1" applyBorder="1" applyAlignment="1">
      <alignment horizontal="center"/>
    </xf>
    <xf numFmtId="165" fontId="5" fillId="7" borderId="8" xfId="6" applyNumberFormat="1" applyFill="1" applyBorder="1"/>
    <xf numFmtId="170" fontId="13" fillId="7" borderId="8" xfId="6" applyNumberFormat="1" applyFont="1" applyFill="1" applyBorder="1"/>
    <xf numFmtId="172" fontId="12" fillId="7" borderId="8" xfId="6" applyNumberFormat="1" applyFont="1" applyFill="1" applyBorder="1"/>
    <xf numFmtId="172" fontId="12" fillId="7" borderId="2" xfId="6" applyNumberFormat="1" applyFont="1" applyFill="1" applyBorder="1" applyAlignment="1">
      <alignment horizontal="right"/>
    </xf>
    <xf numFmtId="0" fontId="5" fillId="7" borderId="8" xfId="6" applyFill="1" applyBorder="1" applyAlignment="1">
      <alignment horizontal="center"/>
    </xf>
    <xf numFmtId="0" fontId="5" fillId="7" borderId="1" xfId="6" applyFill="1" applyBorder="1"/>
    <xf numFmtId="0" fontId="13" fillId="7" borderId="8" xfId="6" applyFont="1" applyFill="1" applyBorder="1" applyAlignment="1">
      <alignment wrapText="1"/>
    </xf>
    <xf numFmtId="0" fontId="5" fillId="7" borderId="2" xfId="6" applyFill="1" applyBorder="1" applyAlignment="1">
      <alignment wrapText="1"/>
    </xf>
    <xf numFmtId="0" fontId="5" fillId="7" borderId="8" xfId="6" applyFill="1" applyBorder="1" applyAlignment="1">
      <alignment wrapText="1"/>
    </xf>
    <xf numFmtId="0" fontId="5" fillId="7" borderId="1" xfId="6" applyFill="1" applyBorder="1" applyAlignment="1">
      <alignment wrapText="1"/>
    </xf>
    <xf numFmtId="165" fontId="5" fillId="2" borderId="2" xfId="6" applyNumberFormat="1" applyFill="1" applyBorder="1"/>
    <xf numFmtId="170" fontId="5" fillId="2" borderId="8" xfId="6" applyNumberFormat="1" applyFill="1" applyBorder="1"/>
    <xf numFmtId="0" fontId="13" fillId="10" borderId="0" xfId="6" applyFont="1" applyFill="1"/>
    <xf numFmtId="165" fontId="5" fillId="7" borderId="2" xfId="6" applyNumberFormat="1" applyFill="1" applyBorder="1"/>
    <xf numFmtId="0" fontId="13" fillId="7" borderId="1" xfId="6" applyFont="1" applyFill="1" applyBorder="1" applyAlignment="1">
      <alignment wrapText="1"/>
    </xf>
    <xf numFmtId="0" fontId="5" fillId="2" borderId="6" xfId="6" applyFill="1" applyBorder="1" applyAlignment="1">
      <alignment wrapText="1"/>
    </xf>
    <xf numFmtId="0" fontId="5" fillId="2" borderId="9" xfId="6" applyFill="1" applyBorder="1" applyAlignment="1">
      <alignment wrapText="1"/>
    </xf>
    <xf numFmtId="0" fontId="5" fillId="0" borderId="0" xfId="6" applyAlignment="1">
      <alignment vertical="top" wrapText="1"/>
    </xf>
    <xf numFmtId="0" fontId="8" fillId="4" borderId="0" xfId="6" applyFont="1" applyFill="1" applyAlignment="1">
      <alignment horizontal="center" vertical="top" wrapText="1"/>
    </xf>
    <xf numFmtId="0" fontId="8" fillId="4" borderId="2" xfId="6" applyFont="1" applyFill="1" applyBorder="1" applyAlignment="1">
      <alignment horizontal="center" vertical="top" wrapText="1"/>
    </xf>
    <xf numFmtId="0" fontId="8" fillId="4" borderId="1" xfId="6" applyFont="1" applyFill="1" applyBorder="1" applyAlignment="1">
      <alignment horizontal="center" vertical="top" wrapText="1"/>
    </xf>
    <xf numFmtId="0" fontId="8" fillId="4" borderId="10" xfId="6" applyFont="1" applyFill="1" applyBorder="1" applyAlignment="1">
      <alignment horizontal="center" vertical="top" wrapText="1"/>
    </xf>
    <xf numFmtId="0" fontId="8" fillId="4" borderId="7" xfId="6" applyFont="1" applyFill="1" applyBorder="1" applyAlignment="1">
      <alignment horizontal="center" vertical="top" wrapText="1"/>
    </xf>
    <xf numFmtId="0" fontId="8" fillId="4" borderId="5" xfId="6" applyFont="1" applyFill="1" applyBorder="1" applyAlignment="1">
      <alignment horizontal="center" vertical="top" wrapText="1"/>
    </xf>
    <xf numFmtId="0" fontId="8" fillId="4" borderId="2" xfId="6" applyFont="1" applyFill="1" applyBorder="1" applyAlignment="1">
      <alignment vertical="top" wrapText="1"/>
    </xf>
    <xf numFmtId="0" fontId="8" fillId="4" borderId="3" xfId="6" applyFont="1" applyFill="1" applyBorder="1" applyAlignment="1">
      <alignment horizontal="center" vertical="top" wrapText="1"/>
    </xf>
    <xf numFmtId="0" fontId="8" fillId="4" borderId="5" xfId="6" applyFont="1" applyFill="1" applyBorder="1" applyAlignment="1">
      <alignment vertical="top" wrapText="1"/>
    </xf>
    <xf numFmtId="0" fontId="8" fillId="4" borderId="5" xfId="6" applyFont="1" applyFill="1" applyBorder="1" applyAlignment="1">
      <alignment vertical="center" wrapText="1"/>
    </xf>
    <xf numFmtId="0" fontId="8" fillId="4" borderId="7" xfId="6" applyFont="1" applyFill="1" applyBorder="1" applyAlignment="1">
      <alignment vertical="top" wrapText="1"/>
    </xf>
    <xf numFmtId="165" fontId="9" fillId="0" borderId="0" xfId="6" applyNumberFormat="1" applyFont="1" applyAlignment="1">
      <alignment horizontal="center"/>
    </xf>
    <xf numFmtId="165" fontId="9" fillId="0" borderId="0" xfId="6" applyNumberFormat="1" applyFont="1" applyAlignment="1">
      <alignment horizontal="center" vertical="center"/>
    </xf>
    <xf numFmtId="165" fontId="5" fillId="0" borderId="0" xfId="6" applyNumberFormat="1" applyAlignment="1">
      <alignment vertical="center"/>
    </xf>
    <xf numFmtId="0" fontId="5" fillId="8" borderId="2" xfId="6" applyFill="1" applyBorder="1"/>
    <xf numFmtId="0" fontId="5" fillId="2" borderId="14" xfId="6" applyFill="1" applyBorder="1"/>
    <xf numFmtId="0" fontId="5" fillId="8" borderId="0" xfId="6" applyFill="1" applyBorder="1" applyAlignment="1">
      <alignment vertical="center"/>
    </xf>
    <xf numFmtId="0" fontId="5" fillId="2" borderId="0" xfId="6" applyFill="1" applyBorder="1" applyAlignment="1">
      <alignment wrapText="1"/>
    </xf>
    <xf numFmtId="0" fontId="5" fillId="2" borderId="8" xfId="6" applyFont="1" applyFill="1" applyBorder="1" applyAlignment="1">
      <alignment wrapText="1"/>
    </xf>
    <xf numFmtId="0" fontId="5" fillId="2" borderId="8" xfId="6" applyFont="1" applyFill="1" applyBorder="1" applyAlignment="1"/>
    <xf numFmtId="0" fontId="5" fillId="2" borderId="1" xfId="6" applyFont="1" applyFill="1" applyBorder="1" applyAlignment="1">
      <alignment wrapText="1"/>
    </xf>
    <xf numFmtId="0" fontId="5" fillId="2" borderId="1" xfId="6" applyFont="1" applyFill="1" applyBorder="1" applyAlignment="1"/>
    <xf numFmtId="0" fontId="5" fillId="2" borderId="8" xfId="6" applyFont="1" applyFill="1" applyBorder="1" applyAlignment="1">
      <alignment horizontal="center"/>
    </xf>
    <xf numFmtId="172" fontId="12" fillId="2" borderId="8" xfId="6" applyNumberFormat="1" applyFont="1" applyFill="1" applyBorder="1" applyAlignment="1"/>
    <xf numFmtId="165" fontId="5" fillId="2" borderId="8" xfId="6" applyNumberFormat="1" applyFont="1" applyFill="1" applyBorder="1" applyAlignment="1"/>
    <xf numFmtId="3" fontId="5" fillId="2" borderId="8" xfId="6" applyNumberFormat="1" applyFont="1" applyFill="1" applyBorder="1" applyAlignment="1"/>
    <xf numFmtId="165" fontId="5" fillId="2" borderId="8" xfId="6" applyNumberFormat="1" applyFont="1" applyFill="1" applyBorder="1" applyAlignment="1">
      <alignment horizontal="center"/>
    </xf>
    <xf numFmtId="171" fontId="5" fillId="2" borderId="8" xfId="6" applyNumberFormat="1" applyFont="1" applyFill="1" applyBorder="1" applyAlignment="1"/>
    <xf numFmtId="0" fontId="5" fillId="5" borderId="0" xfId="6" applyFont="1" applyFill="1" applyBorder="1" applyAlignment="1"/>
    <xf numFmtId="0" fontId="5" fillId="5" borderId="0" xfId="6" applyFont="1" applyFill="1" applyBorder="1" applyAlignment="1">
      <alignment wrapText="1"/>
    </xf>
    <xf numFmtId="0" fontId="5" fillId="0" borderId="0" xfId="6" applyAlignment="1"/>
    <xf numFmtId="0" fontId="5" fillId="0" borderId="0" xfId="6" applyFont="1" applyBorder="1" applyAlignment="1"/>
    <xf numFmtId="0" fontId="5" fillId="2" borderId="0" xfId="6" applyFont="1" applyFill="1" applyBorder="1" applyAlignment="1">
      <alignment wrapText="1"/>
    </xf>
    <xf numFmtId="0" fontId="5" fillId="2" borderId="8" xfId="0" applyFont="1" applyFill="1" applyBorder="1" applyAlignment="1">
      <alignment horizontal="left" wrapText="1"/>
    </xf>
    <xf numFmtId="170" fontId="13" fillId="2" borderId="8" xfId="6" applyNumberFormat="1" applyFont="1" applyFill="1" applyBorder="1" applyAlignment="1"/>
    <xf numFmtId="0" fontId="5" fillId="2" borderId="0" xfId="6" applyFill="1" applyBorder="1"/>
    <xf numFmtId="172" fontId="12" fillId="2" borderId="0" xfId="6" applyNumberFormat="1" applyFont="1" applyFill="1" applyBorder="1" applyAlignment="1">
      <alignment horizontal="right"/>
    </xf>
    <xf numFmtId="172" fontId="12" fillId="2" borderId="0" xfId="6" applyNumberFormat="1" applyFont="1" applyFill="1" applyBorder="1"/>
    <xf numFmtId="165" fontId="5" fillId="2" borderId="0" xfId="6" applyNumberFormat="1" applyFill="1" applyBorder="1" applyAlignment="1">
      <alignment horizontal="center"/>
    </xf>
    <xf numFmtId="0" fontId="5" fillId="5" borderId="0" xfId="6" applyFill="1" applyBorder="1"/>
    <xf numFmtId="0" fontId="5" fillId="5" borderId="0" xfId="6" applyFill="1" applyBorder="1" applyAlignment="1">
      <alignment wrapText="1"/>
    </xf>
    <xf numFmtId="0" fontId="5" fillId="0" borderId="0" xfId="6" applyBorder="1"/>
    <xf numFmtId="172" fontId="12" fillId="7" borderId="0" xfId="6" applyNumberFormat="1" applyFont="1" applyFill="1" applyBorder="1"/>
    <xf numFmtId="0" fontId="5" fillId="2" borderId="0" xfId="6" applyFill="1" applyBorder="1" applyAlignment="1">
      <alignment horizontal="center"/>
    </xf>
    <xf numFmtId="165" fontId="5" fillId="2" borderId="0" xfId="6" applyNumberFormat="1" applyFill="1" applyBorder="1"/>
    <xf numFmtId="172" fontId="12" fillId="7" borderId="0" xfId="6" applyNumberFormat="1" applyFont="1" applyFill="1" applyBorder="1" applyAlignment="1">
      <alignment horizontal="right"/>
    </xf>
    <xf numFmtId="3" fontId="5" fillId="2" borderId="2" xfId="6" applyNumberFormat="1" applyFont="1" applyFill="1" applyBorder="1" applyAlignment="1"/>
    <xf numFmtId="0" fontId="7" fillId="0" borderId="0" xfId="6" applyFont="1" applyFill="1" applyAlignment="1">
      <alignment horizontal="center"/>
    </xf>
    <xf numFmtId="0" fontId="5" fillId="2" borderId="2" xfId="6" applyFont="1" applyFill="1" applyBorder="1" applyAlignment="1">
      <alignment wrapText="1"/>
    </xf>
    <xf numFmtId="0" fontId="5" fillId="5" borderId="0" xfId="6" applyFont="1" applyFill="1" applyAlignment="1"/>
    <xf numFmtId="0" fontId="5" fillId="5" borderId="0" xfId="6" applyFont="1" applyFill="1" applyAlignment="1">
      <alignment wrapText="1"/>
    </xf>
    <xf numFmtId="0" fontId="5" fillId="0" borderId="0" xfId="6" applyFont="1" applyAlignment="1"/>
    <xf numFmtId="0" fontId="5" fillId="2" borderId="2" xfId="6" applyFill="1" applyBorder="1"/>
    <xf numFmtId="0" fontId="5" fillId="2" borderId="20" xfId="6" applyFill="1" applyBorder="1"/>
    <xf numFmtId="0" fontId="5" fillId="2" borderId="8" xfId="6" applyNumberFormat="1" applyFont="1" applyFill="1" applyBorder="1" applyAlignment="1"/>
    <xf numFmtId="0" fontId="13" fillId="2" borderId="13" xfId="6" applyNumberFormat="1" applyFont="1" applyFill="1" applyBorder="1" applyAlignment="1">
      <alignment wrapText="1"/>
    </xf>
    <xf numFmtId="172" fontId="12" fillId="2" borderId="0" xfId="6" applyNumberFormat="1" applyFont="1" applyFill="1" applyBorder="1" applyAlignment="1">
      <alignment wrapText="1"/>
    </xf>
    <xf numFmtId="0" fontId="5" fillId="7" borderId="0" xfId="6" applyFill="1" applyBorder="1" applyAlignment="1">
      <alignment wrapText="1"/>
    </xf>
    <xf numFmtId="0" fontId="5" fillId="2" borderId="1" xfId="6" applyFill="1" applyBorder="1" applyAlignment="1"/>
    <xf numFmtId="165" fontId="5" fillId="2" borderId="0" xfId="6" applyNumberFormat="1" applyFont="1" applyFill="1" applyBorder="1" applyAlignment="1">
      <alignment horizontal="center"/>
    </xf>
    <xf numFmtId="171" fontId="13" fillId="2" borderId="13" xfId="6" applyNumberFormat="1" applyFont="1" applyFill="1" applyBorder="1" applyAlignment="1">
      <alignment horizontal="center"/>
    </xf>
    <xf numFmtId="165" fontId="13" fillId="2" borderId="13" xfId="6" applyNumberFormat="1" applyFont="1" applyFill="1" applyBorder="1" applyAlignment="1"/>
    <xf numFmtId="3" fontId="13" fillId="2" borderId="13" xfId="6" applyNumberFormat="1" applyFont="1" applyFill="1" applyBorder="1" applyAlignment="1"/>
    <xf numFmtId="165" fontId="13" fillId="2" borderId="13" xfId="6" applyNumberFormat="1" applyFont="1" applyFill="1" applyBorder="1" applyAlignment="1">
      <alignment horizontal="center"/>
    </xf>
    <xf numFmtId="171" fontId="13" fillId="2" borderId="13" xfId="6" applyNumberFormat="1" applyFont="1" applyFill="1" applyBorder="1" applyAlignment="1"/>
    <xf numFmtId="0" fontId="13" fillId="5" borderId="17" xfId="6" applyNumberFormat="1" applyFont="1" applyFill="1" applyBorder="1" applyAlignment="1"/>
    <xf numFmtId="0" fontId="13" fillId="5" borderId="17" xfId="6" applyNumberFormat="1" applyFont="1" applyFill="1" applyBorder="1" applyAlignment="1">
      <alignment wrapText="1"/>
    </xf>
    <xf numFmtId="0" fontId="13" fillId="12" borderId="17" xfId="6" applyNumberFormat="1" applyFont="1" applyFill="1" applyBorder="1" applyAlignment="1"/>
    <xf numFmtId="10" fontId="13" fillId="2" borderId="2" xfId="3" applyNumberFormat="1" applyFont="1" applyFill="1" applyBorder="1"/>
    <xf numFmtId="10" fontId="13" fillId="7" borderId="8" xfId="3" applyNumberFormat="1" applyFont="1" applyFill="1" applyBorder="1"/>
    <xf numFmtId="10" fontId="5" fillId="8" borderId="8" xfId="3" applyNumberFormat="1" applyFont="1" applyFill="1" applyBorder="1" applyAlignment="1"/>
    <xf numFmtId="171" fontId="13" fillId="2" borderId="8" xfId="6" applyNumberFormat="1" applyFont="1" applyFill="1" applyBorder="1" applyAlignment="1">
      <alignment horizontal="center"/>
    </xf>
    <xf numFmtId="10" fontId="13" fillId="2" borderId="2" xfId="3" applyNumberFormat="1" applyFont="1" applyFill="1" applyBorder="1" applyAlignment="1"/>
    <xf numFmtId="0" fontId="5" fillId="5" borderId="17" xfId="6" applyNumberFormat="1" applyFont="1" applyFill="1" applyBorder="1" applyAlignment="1"/>
    <xf numFmtId="0" fontId="5" fillId="5" borderId="17" xfId="6" applyNumberFormat="1" applyFont="1" applyFill="1" applyBorder="1" applyAlignment="1">
      <alignment wrapText="1"/>
    </xf>
    <xf numFmtId="0" fontId="5" fillId="2" borderId="8" xfId="6" applyNumberFormat="1" applyFont="1" applyFill="1" applyBorder="1" applyAlignment="1">
      <alignment wrapText="1"/>
    </xf>
    <xf numFmtId="3" fontId="0" fillId="8" borderId="8" xfId="6" applyNumberFormat="1" applyFont="1" applyFill="1" applyBorder="1"/>
    <xf numFmtId="0" fontId="13" fillId="2" borderId="18" xfId="6" applyNumberFormat="1" applyFont="1" applyFill="1" applyBorder="1" applyAlignment="1">
      <alignment wrapText="1"/>
    </xf>
    <xf numFmtId="0" fontId="13" fillId="2" borderId="21" xfId="6" applyNumberFormat="1" applyFont="1" applyFill="1" applyBorder="1" applyAlignment="1">
      <alignment wrapText="1"/>
    </xf>
    <xf numFmtId="0" fontId="5" fillId="2" borderId="1" xfId="6" applyNumberFormat="1" applyFont="1" applyFill="1" applyBorder="1" applyAlignment="1">
      <alignment wrapText="1"/>
    </xf>
    <xf numFmtId="0" fontId="5" fillId="2" borderId="22" xfId="6" applyNumberFormat="1" applyFont="1" applyFill="1" applyBorder="1" applyAlignment="1">
      <alignment wrapText="1"/>
    </xf>
    <xf numFmtId="0" fontId="5" fillId="2" borderId="1" xfId="6" applyNumberFormat="1" applyFont="1" applyFill="1" applyBorder="1" applyAlignment="1"/>
    <xf numFmtId="165" fontId="22" fillId="13" borderId="0" xfId="6" applyNumberFormat="1" applyFont="1" applyFill="1" applyAlignment="1">
      <alignment horizontal="center"/>
    </xf>
    <xf numFmtId="0" fontId="5" fillId="13" borderId="0" xfId="6" applyFill="1"/>
    <xf numFmtId="0" fontId="5" fillId="14" borderId="0" xfId="6" applyFill="1" applyAlignment="1">
      <alignment wrapText="1"/>
    </xf>
    <xf numFmtId="0" fontId="5" fillId="14" borderId="1" xfId="6" applyFill="1" applyBorder="1" applyAlignment="1">
      <alignment wrapText="1"/>
    </xf>
    <xf numFmtId="174" fontId="5" fillId="0" borderId="0" xfId="7" applyNumberFormat="1" applyFont="1" applyFill="1" applyBorder="1" applyAlignment="1"/>
    <xf numFmtId="174" fontId="5" fillId="0" borderId="0" xfId="7" applyNumberFormat="1" applyFont="1" applyFill="1" applyBorder="1" applyAlignment="1">
      <alignment wrapText="1"/>
    </xf>
    <xf numFmtId="176" fontId="5" fillId="0" borderId="0" xfId="9" applyNumberFormat="1" applyFont="1" applyFill="1" applyBorder="1" applyAlignment="1"/>
    <xf numFmtId="0" fontId="5" fillId="15" borderId="0" xfId="6" applyFill="1" applyAlignment="1">
      <alignment vertical="center"/>
    </xf>
    <xf numFmtId="174" fontId="5" fillId="0" borderId="0" xfId="6" applyNumberFormat="1"/>
    <xf numFmtId="0" fontId="22" fillId="0" borderId="0" xfId="6" applyFont="1"/>
    <xf numFmtId="174" fontId="5" fillId="0" borderId="0" xfId="7" applyNumberFormat="1" applyFont="1" applyFill="1" applyBorder="1"/>
    <xf numFmtId="0" fontId="7" fillId="15" borderId="0" xfId="6" applyFont="1" applyFill="1"/>
    <xf numFmtId="0" fontId="5" fillId="15" borderId="0" xfId="6" applyFill="1"/>
    <xf numFmtId="1" fontId="5" fillId="0" borderId="0" xfId="6" applyNumberFormat="1" applyAlignment="1"/>
    <xf numFmtId="174" fontId="5" fillId="0" borderId="0" xfId="1" applyNumberFormat="1" applyFont="1" applyAlignment="1"/>
    <xf numFmtId="10" fontId="5" fillId="0" borderId="0" xfId="6" applyNumberFormat="1" applyAlignment="1"/>
    <xf numFmtId="0" fontId="13" fillId="2" borderId="19" xfId="6" applyNumberFormat="1" applyFont="1" applyFill="1" applyBorder="1" applyAlignment="1">
      <alignment wrapText="1"/>
    </xf>
    <xf numFmtId="1" fontId="5" fillId="0" borderId="0" xfId="6" applyNumberFormat="1"/>
    <xf numFmtId="174" fontId="5" fillId="0" borderId="0" xfId="7" applyNumberFormat="1" applyFont="1" applyAlignment="1"/>
    <xf numFmtId="10" fontId="5" fillId="0" borderId="0" xfId="6" applyNumberFormat="1"/>
    <xf numFmtId="0" fontId="5" fillId="5" borderId="17" xfId="6" applyFont="1" applyFill="1" applyBorder="1" applyAlignment="1">
      <alignment wrapText="1"/>
    </xf>
    <xf numFmtId="0" fontId="13" fillId="5" borderId="17" xfId="6" applyFont="1" applyFill="1" applyBorder="1" applyAlignment="1"/>
    <xf numFmtId="0" fontId="13" fillId="2" borderId="13" xfId="6" applyFont="1" applyFill="1" applyBorder="1" applyAlignment="1">
      <alignment wrapText="1"/>
    </xf>
    <xf numFmtId="0" fontId="13" fillId="5" borderId="17" xfId="6" applyFont="1" applyFill="1" applyBorder="1" applyAlignment="1">
      <alignment wrapText="1"/>
    </xf>
    <xf numFmtId="0" fontId="5" fillId="5" borderId="17" xfId="6" applyFont="1" applyFill="1" applyBorder="1" applyAlignment="1"/>
    <xf numFmtId="0" fontId="5" fillId="2" borderId="22" xfId="6" applyFont="1" applyFill="1" applyBorder="1" applyAlignment="1">
      <alignment wrapText="1"/>
    </xf>
    <xf numFmtId="0" fontId="13" fillId="2" borderId="21" xfId="6" applyFont="1" applyFill="1" applyBorder="1" applyAlignment="1">
      <alignment wrapText="1"/>
    </xf>
    <xf numFmtId="0" fontId="13" fillId="2" borderId="18" xfId="6" applyFont="1" applyFill="1" applyBorder="1" applyAlignment="1">
      <alignment wrapText="1"/>
    </xf>
    <xf numFmtId="0" fontId="5" fillId="2" borderId="8" xfId="6" applyFill="1" applyBorder="1" applyAlignment="1"/>
    <xf numFmtId="9" fontId="5" fillId="0" borderId="0" xfId="3" applyFont="1" applyAlignment="1">
      <alignment horizontal="center"/>
    </xf>
    <xf numFmtId="17" fontId="5" fillId="0" borderId="0" xfId="6" applyNumberFormat="1" applyAlignment="1">
      <alignment vertical="top" wrapText="1"/>
    </xf>
    <xf numFmtId="174" fontId="5" fillId="0" borderId="0" xfId="7" applyNumberFormat="1" applyFont="1"/>
    <xf numFmtId="174" fontId="5" fillId="0" borderId="0" xfId="7" applyNumberFormat="1" applyFont="1" applyAlignment="1">
      <alignment wrapText="1"/>
    </xf>
    <xf numFmtId="174" fontId="5" fillId="0" borderId="0" xfId="7" applyNumberFormat="1" applyFont="1" applyAlignment="1">
      <alignment vertical="center"/>
    </xf>
    <xf numFmtId="0" fontId="5" fillId="0" borderId="0" xfId="6" applyFont="1"/>
    <xf numFmtId="172" fontId="12" fillId="2" borderId="13" xfId="6" applyNumberFormat="1" applyFont="1" applyFill="1" applyBorder="1" applyAlignment="1"/>
    <xf numFmtId="0" fontId="13" fillId="2" borderId="8" xfId="6" applyNumberFormat="1" applyFont="1" applyFill="1" applyBorder="1" applyAlignment="1">
      <alignment wrapText="1"/>
    </xf>
    <xf numFmtId="17" fontId="8" fillId="4" borderId="0" xfId="6" applyNumberFormat="1" applyFont="1" applyFill="1" applyAlignment="1">
      <alignment vertical="top" wrapText="1"/>
    </xf>
    <xf numFmtId="165" fontId="9" fillId="0" borderId="0" xfId="6" applyNumberFormat="1" applyFont="1" applyAlignment="1">
      <alignment horizontal="center" wrapText="1"/>
    </xf>
    <xf numFmtId="0" fontId="5" fillId="8" borderId="0" xfId="6" applyFill="1" applyBorder="1" applyAlignment="1">
      <alignment vertical="center" wrapText="1"/>
    </xf>
    <xf numFmtId="0" fontId="7" fillId="8" borderId="0" xfId="6" applyFont="1" applyFill="1" applyAlignment="1">
      <alignment wrapText="1"/>
    </xf>
    <xf numFmtId="10" fontId="13" fillId="2" borderId="2" xfId="8" applyNumberFormat="1" applyFont="1" applyFill="1" applyBorder="1"/>
    <xf numFmtId="0" fontId="5" fillId="2" borderId="0" xfId="6" applyFill="1" applyAlignment="1">
      <alignment horizontal="center"/>
    </xf>
    <xf numFmtId="165" fontId="5" fillId="2" borderId="0" xfId="6" applyNumberFormat="1" applyFill="1"/>
    <xf numFmtId="172" fontId="12" fillId="7" borderId="0" xfId="6" applyNumberFormat="1" applyFont="1" applyFill="1"/>
    <xf numFmtId="10" fontId="13" fillId="7" borderId="8" xfId="8" applyNumberFormat="1" applyFont="1" applyFill="1" applyBorder="1"/>
    <xf numFmtId="0" fontId="5" fillId="2" borderId="0" xfId="6" applyFill="1"/>
    <xf numFmtId="172" fontId="12" fillId="2" borderId="0" xfId="6" applyNumberFormat="1" applyFont="1" applyFill="1" applyAlignment="1">
      <alignment wrapText="1"/>
    </xf>
    <xf numFmtId="172" fontId="12" fillId="2" borderId="0" xfId="6" applyNumberFormat="1" applyFont="1" applyFill="1" applyAlignment="1">
      <alignment horizontal="right"/>
    </xf>
    <xf numFmtId="165" fontId="5" fillId="2" borderId="0" xfId="6" applyNumberFormat="1" applyFill="1" applyAlignment="1">
      <alignment horizontal="center"/>
    </xf>
    <xf numFmtId="0" fontId="5" fillId="5" borderId="17" xfId="6" applyFill="1" applyBorder="1" applyAlignment="1">
      <alignment wrapText="1"/>
    </xf>
    <xf numFmtId="3" fontId="13" fillId="2" borderId="13" xfId="6" applyNumberFormat="1" applyFont="1" applyFill="1" applyBorder="1"/>
    <xf numFmtId="171" fontId="13" fillId="2" borderId="13" xfId="6" applyNumberFormat="1" applyFont="1" applyFill="1" applyBorder="1"/>
    <xf numFmtId="0" fontId="13" fillId="5" borderId="17" xfId="6" applyFont="1" applyFill="1" applyBorder="1"/>
    <xf numFmtId="165" fontId="13" fillId="2" borderId="13" xfId="6" applyNumberFormat="1" applyFont="1" applyFill="1" applyBorder="1"/>
    <xf numFmtId="10" fontId="13" fillId="2" borderId="2" xfId="8" applyNumberFormat="1" applyFont="1" applyFill="1" applyBorder="1" applyAlignment="1"/>
    <xf numFmtId="0" fontId="5" fillId="5" borderId="17" xfId="6" applyFill="1" applyBorder="1"/>
    <xf numFmtId="0" fontId="5" fillId="2" borderId="22" xfId="6" applyFill="1" applyBorder="1" applyAlignment="1">
      <alignment wrapText="1"/>
    </xf>
    <xf numFmtId="172" fontId="12" fillId="2" borderId="13" xfId="6" applyNumberFormat="1" applyFont="1" applyFill="1" applyBorder="1"/>
    <xf numFmtId="0" fontId="13" fillId="12" borderId="17" xfId="6" applyFont="1" applyFill="1" applyBorder="1"/>
    <xf numFmtId="0" fontId="5" fillId="8" borderId="0" xfId="6" applyFill="1" applyAlignment="1">
      <alignment vertical="center" wrapText="1"/>
    </xf>
    <xf numFmtId="10" fontId="5" fillId="8" borderId="8" xfId="8" applyNumberFormat="1" applyFont="1" applyFill="1" applyBorder="1" applyAlignment="1"/>
    <xf numFmtId="1" fontId="5" fillId="0" borderId="0" xfId="7" applyNumberFormat="1" applyFont="1" applyFill="1" applyBorder="1"/>
    <xf numFmtId="1" fontId="5" fillId="0" borderId="0" xfId="6" applyNumberFormat="1" applyAlignment="1">
      <alignment wrapText="1"/>
    </xf>
    <xf numFmtId="1" fontId="5" fillId="0" borderId="0" xfId="6" applyNumberFormat="1" applyAlignment="1">
      <alignment vertical="center"/>
    </xf>
    <xf numFmtId="0" fontId="5" fillId="0" borderId="0" xfId="6" applyFill="1" applyAlignment="1"/>
    <xf numFmtId="1" fontId="5" fillId="0" borderId="0" xfId="6" applyNumberFormat="1" applyFill="1" applyAlignment="1"/>
    <xf numFmtId="4" fontId="5" fillId="0" borderId="0" xfId="6" applyNumberFormat="1"/>
    <xf numFmtId="0" fontId="7" fillId="5" borderId="17" xfId="6" applyNumberFormat="1" applyFont="1" applyFill="1" applyBorder="1" applyAlignment="1">
      <alignment wrapText="1"/>
    </xf>
    <xf numFmtId="172" fontId="12" fillId="9" borderId="2" xfId="6" applyNumberFormat="1" applyFont="1" applyFill="1" applyBorder="1" applyAlignment="1">
      <alignment horizontal="right"/>
    </xf>
    <xf numFmtId="0" fontId="5" fillId="9" borderId="0" xfId="6" applyFill="1" applyAlignment="1">
      <alignment wrapText="1"/>
    </xf>
    <xf numFmtId="172" fontId="12" fillId="9" borderId="8" xfId="6" applyNumberFormat="1" applyFont="1" applyFill="1" applyBorder="1" applyAlignment="1">
      <alignment horizontal="right"/>
    </xf>
    <xf numFmtId="0" fontId="5" fillId="9" borderId="17" xfId="6" applyNumberFormat="1" applyFont="1" applyFill="1" applyBorder="1" applyAlignment="1">
      <alignment wrapText="1"/>
    </xf>
    <xf numFmtId="172" fontId="7" fillId="0" borderId="0" xfId="6" applyNumberFormat="1" applyFont="1" applyFill="1" applyAlignment="1">
      <alignment horizontal="center"/>
    </xf>
    <xf numFmtId="0" fontId="5" fillId="2" borderId="8" xfId="6" applyFont="1" applyFill="1" applyBorder="1"/>
    <xf numFmtId="0" fontId="5" fillId="2" borderId="1" xfId="6" applyFont="1" applyFill="1" applyBorder="1"/>
    <xf numFmtId="165" fontId="5" fillId="2" borderId="8" xfId="6" applyNumberFormat="1" applyFont="1" applyFill="1" applyBorder="1"/>
    <xf numFmtId="3" fontId="5" fillId="2" borderId="8" xfId="6" applyNumberFormat="1" applyFont="1" applyFill="1" applyBorder="1"/>
    <xf numFmtId="171" fontId="5" fillId="2" borderId="8" xfId="6" applyNumberFormat="1" applyFont="1" applyFill="1" applyBorder="1"/>
    <xf numFmtId="171" fontId="5" fillId="2" borderId="8" xfId="6" applyNumberFormat="1" applyFont="1" applyFill="1" applyBorder="1" applyAlignment="1">
      <alignment horizontal="center"/>
    </xf>
    <xf numFmtId="0" fontId="5" fillId="5" borderId="0" xfId="6" applyFont="1" applyFill="1"/>
    <xf numFmtId="0" fontId="5" fillId="0" borderId="0" xfId="6" applyFont="1" applyAlignment="1">
      <alignment vertical="top" wrapText="1"/>
    </xf>
    <xf numFmtId="0" fontId="5" fillId="0" borderId="0" xfId="6" applyFont="1" applyBorder="1"/>
    <xf numFmtId="1" fontId="5" fillId="0" borderId="0" xfId="6" applyNumberFormat="1" applyFont="1"/>
    <xf numFmtId="0" fontId="8" fillId="4" borderId="7" xfId="6" applyFont="1" applyFill="1" applyBorder="1" applyAlignment="1">
      <alignment vertical="center" wrapText="1"/>
    </xf>
    <xf numFmtId="0" fontId="8" fillId="4" borderId="3" xfId="6" applyFont="1" applyFill="1" applyBorder="1" applyAlignment="1">
      <alignment horizontal="center" vertical="center" wrapText="1"/>
    </xf>
    <xf numFmtId="0" fontId="8" fillId="4" borderId="5" xfId="6" applyFont="1" applyFill="1" applyBorder="1" applyAlignment="1">
      <alignment horizontal="center" vertical="center" wrapText="1"/>
    </xf>
    <xf numFmtId="0" fontId="8" fillId="4" borderId="2" xfId="6" applyFont="1" applyFill="1" applyBorder="1" applyAlignment="1">
      <alignment vertical="center" wrapText="1"/>
    </xf>
    <xf numFmtId="0" fontId="8" fillId="4" borderId="2" xfId="6" applyFont="1" applyFill="1" applyBorder="1" applyAlignment="1">
      <alignment horizontal="center" vertical="center" wrapText="1"/>
    </xf>
    <xf numFmtId="0" fontId="8" fillId="4" borderId="7" xfId="6" applyFont="1" applyFill="1" applyBorder="1" applyAlignment="1">
      <alignment horizontal="center" vertical="center" wrapText="1"/>
    </xf>
    <xf numFmtId="0" fontId="8" fillId="4" borderId="10" xfId="6" applyFont="1" applyFill="1" applyBorder="1" applyAlignment="1">
      <alignment horizontal="center" vertical="center" wrapText="1"/>
    </xf>
    <xf numFmtId="0" fontId="8" fillId="4" borderId="1" xfId="6" applyFont="1" applyFill="1" applyBorder="1" applyAlignment="1">
      <alignment horizontal="center" vertical="center" wrapText="1"/>
    </xf>
    <xf numFmtId="0" fontId="8" fillId="4" borderId="0" xfId="6" applyFont="1" applyFill="1" applyAlignment="1">
      <alignment horizontal="center" vertical="center" wrapText="1"/>
    </xf>
    <xf numFmtId="0" fontId="5" fillId="0" borderId="0" xfId="6" applyAlignment="1">
      <alignment vertical="center" wrapText="1"/>
    </xf>
    <xf numFmtId="17" fontId="8" fillId="4" borderId="0" xfId="6" applyNumberFormat="1" applyFont="1" applyFill="1" applyAlignment="1">
      <alignment vertical="center" wrapText="1"/>
    </xf>
    <xf numFmtId="0" fontId="7" fillId="0" borderId="0" xfId="6" applyFont="1" applyAlignment="1">
      <alignment vertical="center"/>
    </xf>
    <xf numFmtId="0" fontId="5" fillId="0" borderId="0" xfId="6" applyFont="1" applyFill="1" applyAlignment="1"/>
    <xf numFmtId="1" fontId="5" fillId="0" borderId="0" xfId="6" applyNumberFormat="1" applyFont="1" applyFill="1" applyAlignment="1"/>
    <xf numFmtId="0" fontId="7" fillId="0" borderId="0" xfId="6" applyFont="1"/>
    <xf numFmtId="0" fontId="7" fillId="0" borderId="0" xfId="6" applyFont="1" applyAlignment="1">
      <alignment vertical="top" wrapText="1"/>
    </xf>
    <xf numFmtId="3" fontId="7" fillId="2" borderId="8" xfId="6" applyNumberFormat="1" applyFont="1" applyFill="1" applyBorder="1"/>
    <xf numFmtId="174" fontId="12" fillId="2" borderId="8" xfId="1" applyNumberFormat="1" applyFont="1" applyFill="1" applyBorder="1"/>
    <xf numFmtId="0" fontId="5" fillId="2" borderId="8" xfId="6" applyFont="1" applyFill="1" applyBorder="1" applyAlignment="1">
      <alignment horizontal="center" wrapText="1"/>
    </xf>
    <xf numFmtId="0" fontId="5" fillId="0" borderId="0" xfId="6" applyFont="1" applyAlignment="1">
      <alignment wrapText="1"/>
    </xf>
    <xf numFmtId="0" fontId="5" fillId="0" borderId="0" xfId="6" applyFont="1" applyAlignment="1">
      <alignment vertical="center" wrapText="1"/>
    </xf>
    <xf numFmtId="0" fontId="13" fillId="2" borderId="0" xfId="6" applyNumberFormat="1" applyFont="1" applyFill="1" applyBorder="1" applyAlignment="1">
      <alignment wrapText="1"/>
    </xf>
    <xf numFmtId="0" fontId="13" fillId="2" borderId="2" xfId="6" applyNumberFormat="1" applyFont="1" applyFill="1" applyBorder="1" applyAlignment="1">
      <alignment wrapText="1"/>
    </xf>
    <xf numFmtId="172" fontId="12" fillId="3" borderId="8" xfId="6" applyNumberFormat="1" applyFont="1" applyFill="1" applyBorder="1" applyAlignment="1"/>
    <xf numFmtId="172" fontId="12" fillId="6" borderId="8" xfId="6" applyNumberFormat="1" applyFont="1" applyFill="1" applyBorder="1" applyAlignment="1"/>
    <xf numFmtId="176" fontId="5" fillId="0" borderId="0" xfId="9" applyNumberFormat="1" applyFont="1" applyAlignment="1"/>
    <xf numFmtId="0" fontId="13" fillId="2" borderId="16" xfId="6" applyNumberFormat="1" applyFont="1" applyFill="1" applyBorder="1" applyAlignment="1">
      <alignment wrapText="1"/>
    </xf>
    <xf numFmtId="0" fontId="8" fillId="16" borderId="0" xfId="6" applyFont="1" applyFill="1" applyAlignment="1">
      <alignment horizontal="center" vertical="center" wrapText="1"/>
    </xf>
    <xf numFmtId="0" fontId="24" fillId="4" borderId="0" xfId="6" applyFont="1" applyFill="1" applyAlignment="1">
      <alignment horizontal="center" vertical="center" wrapText="1"/>
    </xf>
    <xf numFmtId="1" fontId="21" fillId="0" borderId="0" xfId="6" applyNumberFormat="1" applyFont="1"/>
    <xf numFmtId="10" fontId="5" fillId="0" borderId="0" xfId="8" applyNumberFormat="1" applyFont="1"/>
    <xf numFmtId="10" fontId="5" fillId="0" borderId="0" xfId="6" applyNumberFormat="1" applyFont="1"/>
    <xf numFmtId="3" fontId="5" fillId="2" borderId="0" xfId="6" applyNumberFormat="1" applyFill="1" applyBorder="1"/>
    <xf numFmtId="0" fontId="5" fillId="14" borderId="0" xfId="6" applyNumberFormat="1" applyFill="1" applyAlignment="1">
      <alignment wrapText="1"/>
    </xf>
    <xf numFmtId="0" fontId="5" fillId="14" borderId="1" xfId="6" applyNumberFormat="1" applyFill="1" applyBorder="1" applyAlignment="1">
      <alignment wrapText="1"/>
    </xf>
    <xf numFmtId="1" fontId="0" fillId="0" borderId="0" xfId="6" applyNumberFormat="1" applyFont="1"/>
    <xf numFmtId="165" fontId="7" fillId="2" borderId="8" xfId="6" applyNumberFormat="1" applyFont="1" applyFill="1" applyBorder="1" applyAlignment="1"/>
    <xf numFmtId="0" fontId="13" fillId="2" borderId="19" xfId="6" applyFont="1" applyFill="1" applyBorder="1" applyAlignment="1">
      <alignment wrapText="1"/>
    </xf>
    <xf numFmtId="0" fontId="8" fillId="4" borderId="23" xfId="6" applyNumberFormat="1" applyFont="1" applyFill="1" applyBorder="1" applyAlignment="1">
      <alignment horizontal="center" vertical="center" wrapText="1"/>
    </xf>
    <xf numFmtId="0" fontId="5" fillId="5" borderId="0" xfId="6" applyNumberFormat="1" applyFont="1" applyFill="1" applyBorder="1" applyAlignment="1"/>
    <xf numFmtId="0" fontId="5" fillId="5" borderId="0" xfId="6" applyNumberFormat="1" applyFont="1" applyFill="1" applyBorder="1" applyAlignment="1">
      <alignment wrapText="1"/>
    </xf>
    <xf numFmtId="172" fontId="12" fillId="2" borderId="1" xfId="6" applyNumberFormat="1" applyFont="1" applyFill="1" applyBorder="1" applyAlignment="1"/>
    <xf numFmtId="172" fontId="12" fillId="6" borderId="0" xfId="6" applyNumberFormat="1" applyFont="1" applyFill="1" applyBorder="1"/>
    <xf numFmtId="172" fontId="12" fillId="6" borderId="8" xfId="6" applyNumberFormat="1" applyFont="1" applyFill="1" applyBorder="1"/>
    <xf numFmtId="0" fontId="5" fillId="14" borderId="0" xfId="6" applyFont="1" applyFill="1" applyAlignment="1">
      <alignment wrapText="1"/>
    </xf>
    <xf numFmtId="0" fontId="5" fillId="14" borderId="1" xfId="6" applyFont="1" applyFill="1" applyBorder="1" applyAlignment="1">
      <alignment wrapText="1"/>
    </xf>
    <xf numFmtId="3" fontId="5" fillId="2" borderId="2" xfId="6" applyNumberFormat="1" applyFont="1" applyFill="1" applyBorder="1"/>
    <xf numFmtId="0" fontId="5" fillId="5" borderId="0" xfId="6" applyFont="1" applyFill="1" applyBorder="1"/>
    <xf numFmtId="0" fontId="5" fillId="14" borderId="0" xfId="6" applyNumberFormat="1" applyFont="1" applyFill="1" applyAlignment="1">
      <alignment wrapText="1"/>
    </xf>
    <xf numFmtId="0" fontId="5" fillId="14" borderId="1" xfId="6" applyNumberFormat="1" applyFont="1" applyFill="1" applyBorder="1" applyAlignment="1">
      <alignment wrapText="1"/>
    </xf>
    <xf numFmtId="3" fontId="5" fillId="2" borderId="0" xfId="6" applyNumberFormat="1" applyFont="1" applyFill="1" applyBorder="1"/>
    <xf numFmtId="10" fontId="13" fillId="2" borderId="8" xfId="3" applyNumberFormat="1" applyFont="1" applyFill="1" applyBorder="1" applyAlignment="1"/>
    <xf numFmtId="172" fontId="25" fillId="2" borderId="0" xfId="6" applyNumberFormat="1" applyFont="1" applyFill="1" applyBorder="1"/>
    <xf numFmtId="0" fontId="8" fillId="17" borderId="7" xfId="6" applyFont="1" applyFill="1" applyBorder="1" applyAlignment="1">
      <alignment horizontal="center" vertical="center" wrapText="1"/>
    </xf>
    <xf numFmtId="0" fontId="7" fillId="14" borderId="0" xfId="6" applyFont="1" applyFill="1" applyAlignment="1">
      <alignment wrapText="1"/>
    </xf>
    <xf numFmtId="0" fontId="7" fillId="14" borderId="1" xfId="6" applyFont="1" applyFill="1" applyBorder="1" applyAlignment="1">
      <alignment wrapText="1"/>
    </xf>
    <xf numFmtId="1" fontId="7" fillId="0" borderId="0" xfId="6" applyNumberFormat="1" applyFont="1"/>
    <xf numFmtId="174" fontId="7" fillId="0" borderId="0" xfId="7" applyNumberFormat="1" applyFont="1"/>
    <xf numFmtId="0" fontId="13" fillId="2" borderId="18" xfId="6" applyFont="1" applyFill="1" applyBorder="1"/>
    <xf numFmtId="0" fontId="13" fillId="7" borderId="18" xfId="6" applyFont="1" applyFill="1" applyBorder="1"/>
    <xf numFmtId="0" fontId="13" fillId="2" borderId="21" xfId="6" applyFont="1" applyFill="1" applyBorder="1"/>
    <xf numFmtId="0" fontId="13" fillId="2" borderId="24" xfId="6" applyFont="1" applyFill="1" applyBorder="1"/>
    <xf numFmtId="0" fontId="5" fillId="2" borderId="2" xfId="6" applyNumberFormat="1" applyFont="1" applyFill="1" applyBorder="1" applyAlignment="1"/>
    <xf numFmtId="172" fontId="12" fillId="2" borderId="2" xfId="6" applyNumberFormat="1" applyFont="1" applyFill="1" applyBorder="1" applyAlignment="1"/>
    <xf numFmtId="0" fontId="13" fillId="2" borderId="1" xfId="6" applyNumberFormat="1" applyFont="1" applyFill="1" applyBorder="1" applyAlignment="1">
      <alignment wrapText="1"/>
    </xf>
    <xf numFmtId="0" fontId="13" fillId="2" borderId="13" xfId="6" applyNumberFormat="1" applyFont="1" applyFill="1" applyBorder="1" applyAlignment="1"/>
    <xf numFmtId="0" fontId="13" fillId="2" borderId="21" xfId="6" applyNumberFormat="1" applyFont="1" applyFill="1" applyBorder="1" applyAlignment="1"/>
    <xf numFmtId="0" fontId="13" fillId="2" borderId="19" xfId="6" applyNumberFormat="1" applyFont="1" applyFill="1" applyBorder="1" applyAlignment="1"/>
    <xf numFmtId="0" fontId="13" fillId="2" borderId="18" xfId="6" applyNumberFormat="1" applyFont="1" applyFill="1" applyBorder="1" applyAlignment="1"/>
    <xf numFmtId="0" fontId="13" fillId="2" borderId="19" xfId="6" applyNumberFormat="1" applyFont="1" applyFill="1" applyBorder="1" applyAlignment="1">
      <alignment horizontal="center"/>
    </xf>
    <xf numFmtId="172" fontId="12" fillId="2" borderId="19" xfId="6" applyNumberFormat="1" applyFont="1" applyFill="1" applyBorder="1" applyAlignment="1"/>
    <xf numFmtId="0" fontId="5" fillId="2" borderId="0" xfId="6" applyFont="1" applyFill="1" applyBorder="1"/>
    <xf numFmtId="165" fontId="5" fillId="2" borderId="2" xfId="6" applyNumberFormat="1" applyFont="1" applyFill="1" applyBorder="1"/>
    <xf numFmtId="0" fontId="5" fillId="2" borderId="0" xfId="6" applyNumberFormat="1" applyFont="1" applyFill="1" applyBorder="1" applyAlignment="1">
      <alignment wrapText="1"/>
    </xf>
    <xf numFmtId="0" fontId="5" fillId="2" borderId="8" xfId="6" applyNumberFormat="1" applyFont="1" applyFill="1" applyBorder="1" applyAlignment="1">
      <alignment horizontal="center"/>
    </xf>
    <xf numFmtId="172" fontId="7" fillId="8" borderId="0" xfId="6" applyNumberFormat="1" applyFont="1" applyFill="1" applyBorder="1"/>
    <xf numFmtId="172" fontId="7" fillId="8" borderId="2" xfId="6" applyNumberFormat="1" applyFont="1" applyFill="1" applyBorder="1"/>
    <xf numFmtId="0" fontId="5" fillId="0" borderId="2" xfId="6" applyBorder="1"/>
    <xf numFmtId="172" fontId="12" fillId="7" borderId="2" xfId="6" applyNumberFormat="1" applyFont="1" applyFill="1" applyBorder="1"/>
    <xf numFmtId="172" fontId="12" fillId="2" borderId="2" xfId="6" applyNumberFormat="1" applyFont="1" applyFill="1" applyBorder="1" applyAlignment="1">
      <alignment wrapText="1"/>
    </xf>
    <xf numFmtId="172" fontId="7" fillId="0" borderId="2" xfId="6" applyNumberFormat="1" applyFont="1" applyBorder="1"/>
    <xf numFmtId="0" fontId="5" fillId="0" borderId="2" xfId="6" applyBorder="1" applyAlignment="1">
      <alignment horizontal="center"/>
    </xf>
    <xf numFmtId="0" fontId="5" fillId="0" borderId="8" xfId="6" applyBorder="1"/>
    <xf numFmtId="172" fontId="7" fillId="0" borderId="8" xfId="6" applyNumberFormat="1" applyFont="1" applyBorder="1"/>
    <xf numFmtId="0" fontId="5" fillId="0" borderId="8" xfId="6" applyBorder="1" applyAlignment="1">
      <alignment horizontal="center"/>
    </xf>
    <xf numFmtId="10" fontId="13" fillId="2" borderId="0" xfId="3" applyNumberFormat="1" applyFont="1" applyFill="1" applyBorder="1"/>
    <xf numFmtId="9" fontId="12" fillId="2" borderId="2" xfId="3" applyFont="1" applyFill="1" applyBorder="1" applyAlignment="1"/>
    <xf numFmtId="9" fontId="12" fillId="2" borderId="2" xfId="3" applyFont="1" applyFill="1" applyBorder="1"/>
    <xf numFmtId="9" fontId="12" fillId="2" borderId="0" xfId="3" applyFont="1" applyFill="1" applyBorder="1"/>
    <xf numFmtId="9" fontId="12" fillId="7" borderId="0" xfId="3" applyFont="1" applyFill="1" applyBorder="1"/>
    <xf numFmtId="9" fontId="12" fillId="2" borderId="8" xfId="3" applyFont="1" applyFill="1" applyBorder="1" applyAlignment="1"/>
    <xf numFmtId="0" fontId="5" fillId="2" borderId="13" xfId="6" applyNumberFormat="1" applyFont="1" applyFill="1" applyBorder="1" applyAlignment="1">
      <alignment wrapText="1"/>
    </xf>
    <xf numFmtId="1" fontId="5" fillId="0" borderId="0" xfId="6" applyNumberFormat="1" applyFont="1" applyAlignment="1">
      <alignment wrapText="1"/>
    </xf>
    <xf numFmtId="3" fontId="21" fillId="2" borderId="8" xfId="6" applyNumberFormat="1" applyFont="1" applyFill="1" applyBorder="1"/>
    <xf numFmtId="3" fontId="21" fillId="2" borderId="0" xfId="6" applyNumberFormat="1" applyFont="1" applyFill="1"/>
    <xf numFmtId="3" fontId="21" fillId="2" borderId="2" xfId="6" applyNumberFormat="1" applyFont="1" applyFill="1" applyBorder="1"/>
    <xf numFmtId="3" fontId="21" fillId="2" borderId="0" xfId="6" applyNumberFormat="1" applyFont="1" applyFill="1" applyBorder="1"/>
    <xf numFmtId="0" fontId="26" fillId="4" borderId="7" xfId="6" applyFont="1" applyFill="1" applyBorder="1" applyAlignment="1">
      <alignment horizontal="center" vertical="center" wrapText="1"/>
    </xf>
    <xf numFmtId="3" fontId="24" fillId="2" borderId="8" xfId="6" applyNumberFormat="1" applyFont="1" applyFill="1" applyBorder="1"/>
    <xf numFmtId="3" fontId="5" fillId="2" borderId="1" xfId="6" applyNumberFormat="1" applyFont="1" applyFill="1" applyBorder="1"/>
    <xf numFmtId="9" fontId="5" fillId="0" borderId="0" xfId="6" applyNumberFormat="1"/>
    <xf numFmtId="0" fontId="5" fillId="0" borderId="0" xfId="6" applyAlignment="1">
      <alignment horizontal="left" vertical="center" wrapText="1"/>
    </xf>
    <xf numFmtId="43" fontId="5" fillId="0" borderId="0" xfId="1" applyFont="1" applyAlignment="1">
      <alignment wrapText="1"/>
    </xf>
    <xf numFmtId="43" fontId="7" fillId="0" borderId="0" xfId="1" applyFont="1"/>
    <xf numFmtId="43" fontId="5" fillId="0" borderId="0" xfId="1" applyFont="1" applyAlignment="1">
      <alignment vertical="center"/>
    </xf>
    <xf numFmtId="0" fontId="5" fillId="8" borderId="0" xfId="6" applyFill="1" applyBorder="1"/>
    <xf numFmtId="0" fontId="7" fillId="8" borderId="0" xfId="6" applyFont="1" applyFill="1" applyBorder="1" applyAlignment="1">
      <alignment horizontal="center"/>
    </xf>
    <xf numFmtId="170" fontId="5" fillId="8" borderId="0" xfId="8" applyNumberFormat="1" applyFont="1" applyFill="1" applyBorder="1" applyAlignment="1"/>
    <xf numFmtId="10" fontId="5" fillId="8" borderId="0" xfId="3" applyNumberFormat="1" applyFont="1" applyFill="1" applyBorder="1" applyAlignment="1"/>
    <xf numFmtId="165" fontId="5" fillId="8" borderId="0" xfId="6" applyNumberFormat="1" applyFill="1" applyBorder="1"/>
    <xf numFmtId="3" fontId="0" fillId="8" borderId="0" xfId="6" applyNumberFormat="1" applyFont="1" applyFill="1" applyBorder="1"/>
    <xf numFmtId="2" fontId="5" fillId="8" borderId="0" xfId="6" applyNumberFormat="1" applyFill="1" applyBorder="1" applyAlignment="1">
      <alignment horizontal="center"/>
    </xf>
    <xf numFmtId="171" fontId="5" fillId="8" borderId="0" xfId="6" applyNumberFormat="1" applyFill="1" applyBorder="1"/>
    <xf numFmtId="171" fontId="5" fillId="8" borderId="0" xfId="6" applyNumberFormat="1" applyFill="1" applyBorder="1" applyAlignment="1">
      <alignment horizontal="center"/>
    </xf>
    <xf numFmtId="0" fontId="7" fillId="8" borderId="0" xfId="6" applyFont="1" applyFill="1" applyBorder="1" applyAlignment="1">
      <alignment vertical="center"/>
    </xf>
    <xf numFmtId="0" fontId="7" fillId="8" borderId="0" xfId="6" applyFont="1" applyFill="1" applyBorder="1"/>
    <xf numFmtId="41" fontId="7" fillId="8" borderId="0" xfId="6" applyNumberFormat="1" applyFont="1" applyFill="1" applyBorder="1"/>
    <xf numFmtId="0" fontId="5" fillId="8" borderId="0" xfId="6" applyFill="1" applyBorder="1" applyAlignment="1">
      <alignment horizontal="center"/>
    </xf>
    <xf numFmtId="174" fontId="7" fillId="8" borderId="0" xfId="7" applyNumberFormat="1" applyFont="1" applyFill="1" applyBorder="1"/>
    <xf numFmtId="0" fontId="5" fillId="0" borderId="0" xfId="6" applyBorder="1" applyAlignment="1">
      <alignment horizontal="center"/>
    </xf>
    <xf numFmtId="0" fontId="6" fillId="0" borderId="0" xfId="6" applyFont="1" applyBorder="1"/>
    <xf numFmtId="0" fontId="5" fillId="0" borderId="8" xfId="6" applyBorder="1" applyAlignment="1">
      <alignment vertical="top" wrapText="1"/>
    </xf>
    <xf numFmtId="0" fontId="5" fillId="0" borderId="0" xfId="6" applyFill="1" applyBorder="1"/>
    <xf numFmtId="0" fontId="7" fillId="0" borderId="0" xfId="6" applyFont="1" applyFill="1" applyBorder="1"/>
    <xf numFmtId="0" fontId="5" fillId="0" borderId="0" xfId="6" applyFill="1" applyBorder="1" applyAlignment="1">
      <alignment vertical="center"/>
    </xf>
    <xf numFmtId="0" fontId="5" fillId="0" borderId="0" xfId="6" applyFont="1" applyFill="1" applyBorder="1"/>
    <xf numFmtId="0" fontId="13" fillId="2" borderId="18" xfId="6" applyFont="1" applyFill="1" applyBorder="1" applyAlignment="1"/>
    <xf numFmtId="165" fontId="13" fillId="2" borderId="8" xfId="6" applyNumberFormat="1" applyFont="1" applyFill="1" applyBorder="1" applyAlignment="1"/>
    <xf numFmtId="0" fontId="8" fillId="18" borderId="7" xfId="6" applyFont="1" applyFill="1" applyBorder="1" applyAlignment="1">
      <alignment vertical="center" wrapText="1"/>
    </xf>
    <xf numFmtId="0" fontId="7" fillId="2" borderId="8" xfId="6" applyFont="1" applyFill="1" applyBorder="1" applyAlignment="1">
      <alignment wrapText="1"/>
    </xf>
    <xf numFmtId="0" fontId="5" fillId="0" borderId="0" xfId="6" applyAlignment="1">
      <alignment horizontal="right"/>
    </xf>
    <xf numFmtId="0" fontId="13" fillId="2" borderId="8" xfId="6" applyNumberFormat="1" applyFont="1" applyFill="1" applyBorder="1" applyAlignment="1"/>
    <xf numFmtId="0" fontId="5" fillId="0" borderId="0" xfId="6" applyFont="1" applyAlignment="1">
      <alignment horizontal="right"/>
    </xf>
    <xf numFmtId="0" fontId="5" fillId="2" borderId="25" xfId="6" applyNumberFormat="1" applyFont="1" applyFill="1" applyBorder="1" applyAlignment="1">
      <alignment wrapText="1"/>
    </xf>
    <xf numFmtId="0" fontId="5" fillId="2" borderId="9" xfId="6" applyFont="1" applyFill="1" applyBorder="1" applyAlignment="1">
      <alignment wrapText="1"/>
    </xf>
    <xf numFmtId="0" fontId="13" fillId="2" borderId="1" xfId="6" applyNumberFormat="1" applyFont="1" applyFill="1" applyBorder="1" applyAlignment="1"/>
    <xf numFmtId="165" fontId="5" fillId="2" borderId="8" xfId="6" applyNumberFormat="1" applyFont="1" applyFill="1" applyBorder="1" applyAlignment="1">
      <alignment wrapText="1"/>
    </xf>
    <xf numFmtId="0" fontId="21" fillId="2" borderId="1" xfId="6" applyFont="1" applyFill="1" applyBorder="1"/>
    <xf numFmtId="165" fontId="5" fillId="6" borderId="8" xfId="6" applyNumberFormat="1" applyFill="1" applyBorder="1"/>
  </cellXfs>
  <cellStyles count="18">
    <cellStyle name="Comma" xfId="1" builtinId="3"/>
    <cellStyle name="Comma 2" xfId="7" xr:uid="{F308BF8A-625E-4BFD-B186-56E02571E1A6}"/>
    <cellStyle name="Comma 3" xfId="13" xr:uid="{300A99EA-7F9A-482B-B04B-F055EDD40775}"/>
    <cellStyle name="Comma 3 2" xfId="17" xr:uid="{2F669E3F-2474-4C2E-9DF7-752E932154D2}"/>
    <cellStyle name="Currency 2" xfId="9" xr:uid="{1E921850-2C02-4C53-A87F-39BFF44A6300}"/>
    <cellStyle name="Heading 1" xfId="4" builtinId="16"/>
    <cellStyle name="Heading 3" xfId="5" builtinId="18"/>
    <cellStyle name="Hyperlink 2" xfId="14" xr:uid="{3B0CC145-606C-498D-BB0A-65FEF1A226ED}"/>
    <cellStyle name="Normal" xfId="0" builtinId="0"/>
    <cellStyle name="Normal 2" xfId="2" xr:uid="{00000000-0005-0000-0000-000002000000}"/>
    <cellStyle name="Normal 2 2" xfId="10" xr:uid="{C58015B2-19D1-4AE5-841E-C0FCFC47C4D1}"/>
    <cellStyle name="Normal 3" xfId="6" xr:uid="{8A309154-F1E7-451D-8658-8149A310BFB3}"/>
    <cellStyle name="Normal 4" xfId="11" xr:uid="{D11104B6-41AA-4DD2-B4C9-3D0D18693557}"/>
    <cellStyle name="Normal 4 2" xfId="15" xr:uid="{6C53D9DA-27D4-4D63-AA71-A9BFA908A359}"/>
    <cellStyle name="Percent" xfId="3" builtinId="5"/>
    <cellStyle name="Percent 2" xfId="8" xr:uid="{7E100520-F5B1-4BD0-A113-9C2971AD9864}"/>
    <cellStyle name="Percent 3" xfId="12" xr:uid="{1589029D-8BF8-40EA-807D-B27C6E6ACD19}"/>
    <cellStyle name="Percent 3 2" xfId="16" xr:uid="{B43DBEA9-8951-47D1-9957-14B0150DD951}"/>
  </cellStyles>
  <dxfs count="1077">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top"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top"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top"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top" textRotation="0" wrapText="1"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0" formatCode="General"/>
      <fill>
        <patternFill patternType="solid">
          <fgColor rgb="FF000000"/>
          <bgColor rgb="FFFFFFCC"/>
        </patternFill>
      </fill>
      <alignment horizontal="general" vertical="bottom" textRotation="0" wrapText="1" indent="0" justifyLastLine="0" shrinkToFit="0" readingOrder="0"/>
      <border diagonalUp="0" diagonalDown="0">
        <left style="thin">
          <color indexed="64"/>
        </left>
        <right/>
        <top/>
        <bottom/>
        <vertical/>
        <horizontal/>
      </border>
    </dxf>
    <dxf>
      <numFmt numFmtId="0" formatCode="General"/>
      <fill>
        <patternFill patternType="solid">
          <fgColor rgb="FF000000"/>
          <bgColor rgb="FFFFFFCC"/>
        </patternFill>
      </fill>
      <alignment horizontal="general" vertical="bottom"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top" textRotation="0" wrapText="1"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1" formatCode="0"/>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6" tint="0.59999389629810485"/>
        </patternFill>
      </fill>
      <alignment horizontal="general" vertical="bottom" textRotation="0" wrapText="0" indent="0" justifyLastLine="0" shrinkToFit="0" readingOrder="0"/>
    </dxf>
    <dxf>
      <numFmt numFmtId="171" formatCode="#,##0.0"/>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71" formatCode="#,##0.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165" formatCode="[$-C09]dd\-mmm\-yy;@"/>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rgb="FFFFFFCC"/>
        </patternFill>
      </fill>
      <alignment horizontal="general"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numFmt numFmtId="170" formatCode="_-* #,##0_-;\-* #,##0_-;_-* 0_-;_-@_-"/>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righ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FF"/>
        <name val="Arial"/>
        <family val="2"/>
        <scheme val="none"/>
      </font>
      <numFmt numFmtId="172" formatCode="#,##0_ ;[Red]\-#,##0\ "/>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FFFFCC"/>
        </patternFill>
      </fill>
      <alignment horizontal="general"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alignment vertical="bottom" textRotation="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alignment vertical="bottom" textRotation="0" indent="0" justifyLastLine="0" shrinkToFit="0" readingOrder="0"/>
      <border diagonalUp="0" diagonalDown="0" outline="0">
        <left style="thin">
          <color indexed="64"/>
        </left>
        <right style="thin">
          <color indexed="64"/>
        </right>
        <top/>
        <bottom/>
      </border>
    </dxf>
    <dxf>
      <alignment vertical="bottom" textRotation="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249977111117893"/>
        </patternFill>
      </fill>
      <alignment horizontal="center" vertical="top" textRotation="0" wrapText="1" indent="0" justifyLastLine="0" shrinkToFit="0" readingOrder="0"/>
    </dxf>
  </dxfs>
  <tableStyles count="0" defaultTableStyle="TableStyleMedium9" defaultPivotStyle="PivotStyleLight16"/>
  <colors>
    <mruColors>
      <color rgb="FFFFFFCC"/>
      <color rgb="FFFFFF99"/>
      <color rgb="FFEAE8DA"/>
      <color rgb="FF3333FF"/>
      <color rgb="FFFFCC99"/>
      <color rgb="FF000099"/>
      <color rgb="FF003399"/>
      <color rgb="FF009900"/>
      <color rgb="FF0000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Porfolio Limit by Currency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spPr>
            <a:scene3d>
              <a:camera prst="orthographicFront"/>
              <a:lightRig rig="threePt" dir="t"/>
            </a:scene3d>
            <a:sp3d>
              <a:bevelT/>
            </a:sp3d>
          </c:spPr>
          <c:dPt>
            <c:idx val="0"/>
            <c:bubble3D val="0"/>
            <c:spPr>
              <a:solidFill>
                <a:schemeClr val="accent1"/>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1-6C1C-485E-8C35-7F2E32859715}"/>
              </c:ext>
            </c:extLst>
          </c:dPt>
          <c:dPt>
            <c:idx val="1"/>
            <c:bubble3D val="0"/>
            <c:spPr>
              <a:solidFill>
                <a:schemeClr val="accent2"/>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3-6C1C-485E-8C35-7F2E32859715}"/>
              </c:ext>
            </c:extLst>
          </c:dPt>
          <c:dPt>
            <c:idx val="2"/>
            <c:bubble3D val="0"/>
            <c:spPr>
              <a:solidFill>
                <a:schemeClr val="accent3"/>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5-6C1C-485E-8C35-7F2E32859715}"/>
              </c:ext>
            </c:extLst>
          </c:dPt>
          <c:dPt>
            <c:idx val="3"/>
            <c:bubble3D val="0"/>
            <c:spPr>
              <a:solidFill>
                <a:schemeClr val="accent4"/>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7-6C1C-485E-8C35-7F2E32859715}"/>
              </c:ext>
            </c:extLst>
          </c:dPt>
          <c:dPt>
            <c:idx val="4"/>
            <c:bubble3D val="0"/>
            <c:spPr>
              <a:solidFill>
                <a:schemeClr val="accent5"/>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9-6C1C-485E-8C35-7F2E32859715}"/>
              </c:ext>
            </c:extLst>
          </c:dPt>
          <c:dPt>
            <c:idx val="5"/>
            <c:bubble3D val="0"/>
            <c:spPr>
              <a:solidFill>
                <a:schemeClr val="accent6"/>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B-6C1C-485E-8C35-7F2E32859715}"/>
              </c:ext>
            </c:extLst>
          </c:dPt>
          <c:dPt>
            <c:idx val="6"/>
            <c:bubble3D val="0"/>
            <c:spPr>
              <a:solidFill>
                <a:schemeClr val="accent1">
                  <a:lumMod val="60000"/>
                </a:schemeClr>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D-6C1C-485E-8C35-7F2E32859715}"/>
              </c:ext>
            </c:extLst>
          </c:dPt>
          <c:dPt>
            <c:idx val="7"/>
            <c:bubble3D val="0"/>
            <c:spPr>
              <a:solidFill>
                <a:schemeClr val="accent2">
                  <a:lumMod val="60000"/>
                </a:schemeClr>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11-6C1C-485E-8C35-7F2E32859715}"/>
              </c:ext>
            </c:extLst>
          </c:dPt>
          <c:dPt>
            <c:idx val="8"/>
            <c:bubble3D val="0"/>
            <c:spPr>
              <a:solidFill>
                <a:schemeClr val="accent3">
                  <a:lumMod val="60000"/>
                </a:schemeClr>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13-6C1C-485E-8C35-7F2E32859715}"/>
              </c:ext>
            </c:extLst>
          </c:dPt>
          <c:dPt>
            <c:idx val="9"/>
            <c:bubble3D val="0"/>
            <c:spPr>
              <a:solidFill>
                <a:schemeClr val="accent4">
                  <a:lumMod val="60000"/>
                </a:schemeClr>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14-12AF-4FFA-AD52-7D89C10A0832}"/>
              </c:ext>
            </c:extLst>
          </c:dPt>
          <c:dPt>
            <c:idx val="10"/>
            <c:bubble3D val="0"/>
            <c:spPr>
              <a:solidFill>
                <a:schemeClr val="accent5">
                  <a:lumMod val="60000"/>
                </a:schemeClr>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15-924C-4F92-B952-CBA002C0DA2A}"/>
              </c:ext>
            </c:extLst>
          </c:dPt>
          <c:dPt>
            <c:idx val="11"/>
            <c:bubble3D val="0"/>
            <c:spPr>
              <a:solidFill>
                <a:schemeClr val="accent6">
                  <a:lumMod val="60000"/>
                </a:schemeClr>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19-924C-4F92-B952-CBA002C0DA2A}"/>
              </c:ext>
            </c:extLst>
          </c:dPt>
          <c:dLbls>
            <c:dLbl>
              <c:idx val="0"/>
              <c:layout>
                <c:manualLayout>
                  <c:x val="0.21298517422478375"/>
                  <c:y val="3.252155980502437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C1C-485E-8C35-7F2E32859715}"/>
                </c:ext>
              </c:extLst>
            </c:dLbl>
            <c:dLbl>
              <c:idx val="8"/>
              <c:layout>
                <c:manualLayout>
                  <c:x val="-7.3260073260073263E-2"/>
                  <c:y val="-1.818181818181819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C1C-485E-8C35-7F2E32859715}"/>
                </c:ext>
              </c:extLst>
            </c:dLbl>
            <c:dLbl>
              <c:idx val="9"/>
              <c:layout>
                <c:manualLayout>
                  <c:x val="-1.9261364722390564E-2"/>
                  <c:y val="-3.030300899887514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12AF-4FFA-AD52-7D89C10A0832}"/>
                </c:ext>
              </c:extLst>
            </c:dLbl>
            <c:dLbl>
              <c:idx val="10"/>
              <c:layout>
                <c:manualLayout>
                  <c:x val="0.14457829293330199"/>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924C-4F92-B952-CBA002C0DA2A}"/>
                </c:ext>
              </c:extLst>
            </c:dLbl>
            <c:dLbl>
              <c:idx val="11"/>
              <c:delete val="1"/>
              <c:extLst>
                <c:ext xmlns:c15="http://schemas.microsoft.com/office/drawing/2012/chart" uri="{CE6537A1-D6FC-4f65-9D91-7224C49458BB}"/>
                <c:ext xmlns:c16="http://schemas.microsoft.com/office/drawing/2014/chart" uri="{C3380CC4-5D6E-409C-BE32-E72D297353CC}">
                  <c16:uniqueId val="{00000019-924C-4F92-B952-CBA002C0DA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1"/>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#REF!</c15:sqref>
                  </c15:fullRef>
                </c:ext>
              </c:extLst>
              <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5="http://schemas.microsoft.com/office/drawing/2012/chart" uri="{02D57815-91ED-43cb-92C2-25804820EDAC}">
              <c15:categoryFilterExceptions>
                <c15:categoryFilterException>
                  <c15:sqref>#REF!</c15:sqref>
                  <c15:spPr xmlns:c15="http://schemas.microsoft.com/office/drawing/2012/chart">
                    <a:solidFill>
                      <a:schemeClr val="accent2">
                        <a:lumMod val="60000"/>
                      </a:schemeClr>
                    </a:solidFill>
                    <a:ln w="19050">
                      <a:solidFill>
                        <a:schemeClr val="lt1"/>
                      </a:solidFill>
                    </a:ln>
                    <a:effectLst/>
                    <a:scene3d>
                      <a:camera prst="orthographicFront"/>
                      <a:lightRig rig="threePt" dir="t"/>
                    </a:scene3d>
                    <a:sp3d>
                      <a:bevelT/>
                    </a:sp3d>
                  </c15:spPr>
                  <c15:bubble3D val="0"/>
                </c15:categoryFilterException>
              </c15:categoryFilterExceptions>
            </c:ext>
            <c:ext xmlns:c16="http://schemas.microsoft.com/office/drawing/2014/chart" uri="{C3380CC4-5D6E-409C-BE32-E72D297353CC}">
              <c16:uniqueId val="{00000014-6C1C-485E-8C35-7F2E32859715}"/>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Limits by Run</a:t>
            </a:r>
            <a:r>
              <a:rPr lang="en-AU" baseline="0"/>
              <a:t> off &amp; Currency</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0-C38D-4BCC-B193-F4D656F8447E}"/>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1-C38D-4BCC-B193-F4D656F8447E}"/>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2-C38D-4BCC-B193-F4D656F8447E}"/>
            </c:ext>
          </c:extLst>
        </c:ser>
        <c:ser>
          <c:idx val="3"/>
          <c:order val="3"/>
          <c:spPr>
            <a:solidFill>
              <a:schemeClr val="accent4"/>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3-C38D-4BCC-B193-F4D656F8447E}"/>
            </c:ext>
          </c:extLst>
        </c:ser>
        <c:ser>
          <c:idx val="4"/>
          <c:order val="4"/>
          <c:spPr>
            <a:solidFill>
              <a:schemeClr val="accent5"/>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4-C38D-4BCC-B193-F4D656F8447E}"/>
            </c:ext>
          </c:extLst>
        </c:ser>
        <c:ser>
          <c:idx val="5"/>
          <c:order val="5"/>
          <c:spPr>
            <a:solidFill>
              <a:schemeClr val="accent6"/>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5-C38D-4BCC-B193-F4D656F8447E}"/>
            </c:ext>
          </c:extLst>
        </c:ser>
        <c:ser>
          <c:idx val="6"/>
          <c:order val="6"/>
          <c:spPr>
            <a:solidFill>
              <a:schemeClr val="accent1">
                <a:lumMod val="60000"/>
              </a:schemeClr>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6-C38D-4BCC-B193-F4D656F8447E}"/>
            </c:ext>
          </c:extLst>
        </c:ser>
        <c:ser>
          <c:idx val="7"/>
          <c:order val="7"/>
          <c:spPr>
            <a:solidFill>
              <a:schemeClr val="accent2">
                <a:lumMod val="60000"/>
              </a:schemeClr>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7-C38D-4BCC-B193-F4D656F8447E}"/>
            </c:ext>
          </c:extLst>
        </c:ser>
        <c:ser>
          <c:idx val="8"/>
          <c:order val="8"/>
          <c:spPr>
            <a:solidFill>
              <a:schemeClr val="accent3">
                <a:lumMod val="60000"/>
              </a:schemeClr>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8-C38D-4BCC-B193-F4D656F8447E}"/>
            </c:ext>
          </c:extLst>
        </c:ser>
        <c:ser>
          <c:idx val="9"/>
          <c:order val="9"/>
          <c:spPr>
            <a:solidFill>
              <a:schemeClr val="accent4">
                <a:lumMod val="60000"/>
              </a:schemeClr>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2-BF4F-4CA8-8FDB-4D1C15E426F4}"/>
            </c:ext>
          </c:extLst>
        </c:ser>
        <c:ser>
          <c:idx val="10"/>
          <c:order val="10"/>
          <c:spPr>
            <a:solidFill>
              <a:schemeClr val="accent5">
                <a:lumMod val="60000"/>
              </a:schemeClr>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3-BF4F-4CA8-8FDB-4D1C15E426F4}"/>
            </c:ext>
          </c:extLst>
        </c:ser>
        <c:ser>
          <c:idx val="11"/>
          <c:order val="11"/>
          <c:spPr>
            <a:solidFill>
              <a:schemeClr val="accent6">
                <a:lumMod val="60000"/>
              </a:schemeClr>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#REF!</c15:sqref>
                        </c15:formulaRef>
                      </c:ext>
                    </c:extLst>
                  </c:strRef>
                </c15:cat>
              </c15:filteredCategoryTitle>
            </c:ext>
            <c:ext xmlns:c16="http://schemas.microsoft.com/office/drawing/2014/chart" uri="{C3380CC4-5D6E-409C-BE32-E72D297353CC}">
              <c16:uniqueId val="{00000001-1D71-4A7B-931C-C5E2196C53B9}"/>
            </c:ext>
          </c:extLst>
        </c:ser>
        <c:dLbls>
          <c:showLegendKey val="0"/>
          <c:showVal val="0"/>
          <c:showCatName val="0"/>
          <c:showSerName val="0"/>
          <c:showPercent val="0"/>
          <c:showBubbleSize val="0"/>
        </c:dLbls>
        <c:gapWidth val="150"/>
        <c:overlap val="100"/>
        <c:axId val="967261312"/>
        <c:axId val="967255080"/>
      </c:barChart>
      <c:catAx>
        <c:axId val="96726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255080"/>
        <c:crosses val="autoZero"/>
        <c:auto val="1"/>
        <c:lblAlgn val="ctr"/>
        <c:lblOffset val="100"/>
        <c:noMultiLvlLbl val="0"/>
      </c:catAx>
      <c:valAx>
        <c:axId val="967255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26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609599</xdr:colOff>
      <xdr:row>2</xdr:row>
      <xdr:rowOff>0</xdr:rowOff>
    </xdr:from>
    <xdr:to>
      <xdr:col>12</xdr:col>
      <xdr:colOff>409575</xdr:colOff>
      <xdr:row>28</xdr:row>
      <xdr:rowOff>57150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29</xdr:row>
      <xdr:rowOff>161924</xdr:rowOff>
    </xdr:from>
    <xdr:to>
      <xdr:col>10</xdr:col>
      <xdr:colOff>533400</xdr:colOff>
      <xdr:row>52</xdr:row>
      <xdr:rowOff>47624</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Nelly Nguyen" id="{87669A25-C658-4636-A633-BDC332A8C9E2}" userId="S::Nelly.Nguyen@assetinsure.com.au::50a42393-99a4-4833-a6fb-d3b08e56dec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A5DB391-A192-4601-96E9-20FAA9A1F0BB}" name="Table12119" displayName="Table12119" ref="A2:AY126" totalsRowShown="0" headerRowDxfId="1076" dataDxfId="1075">
  <autoFilter ref="A2:AY126" xr:uid="{078D475E-6B1E-4465-870D-90D267C8AAEA}">
    <filterColumn colId="42">
      <filters>
        <filter val="1"/>
      </filters>
    </filterColumn>
  </autoFilter>
  <sortState xmlns:xlrd2="http://schemas.microsoft.com/office/spreadsheetml/2017/richdata2" ref="A3:AN118">
    <sortCondition ref="Y2:Y118"/>
  </sortState>
  <tableColumns count="51">
    <tableColumn id="1" xr3:uid="{76175B0C-79A5-4764-9681-9E1C29E8F2C6}" name="Applicant/Borrower" dataDxfId="1074"/>
    <tableColumn id="2" xr3:uid="{E7C469DC-D402-4CCA-AFDD-A9449D4DF6A8}" name="Lead" dataDxfId="1073"/>
    <tableColumn id="3" xr3:uid="{D3A1CC78-F1ED-4B90-8F82-E8CE17F0A3B0}" name="Insured Location" dataDxfId="1072"/>
    <tableColumn id="4" xr3:uid="{9B90187F-8659-4A66-9BE8-9A96C01439AD}" name="Risk Location Roll-up Continent" dataDxfId="1071"/>
    <tableColumn id="5" xr3:uid="{818223FF-5D87-43D5-8D19-1270BAA3F835}" name="Risk Location " dataDxfId="1070"/>
    <tableColumn id="6" xr3:uid="{634BFDB2-AFEC-4602-AF97-FE6B20ED282B}" name="Sector (GICS Industry Group)" dataDxfId="1069"/>
    <tableColumn id="7" xr3:uid="{9E049413-F898-407D-B0DC-F727748A7CA6}" name="Industry (GICS)" dataDxfId="1068"/>
    <tableColumn id="8" xr3:uid="{F2EA2410-2870-4CB1-8A28-20E525B29132}" name="Sub-Industry (GICS)" dataDxfId="1067"/>
    <tableColumn id="9" xr3:uid="{108DEEA1-5ABB-4EC4-9B35-3C4353B53560}" name="Beneficiary" dataDxfId="1066"/>
    <tableColumn id="10" xr3:uid="{79B43DE4-1076-4EC1-8BFE-4A3FAAF385B9}" name="Beneficiary Roll-up" dataDxfId="1065"/>
    <tableColumn id="11" xr3:uid="{66E90E1D-0C34-45A6-AF00-3302B118A2A8}" name="Facility Type" dataDxfId="1064"/>
    <tableColumn id="12" xr3:uid="{72A0B3C2-7547-4A9B-96F7-83B0FAC03B66}" name="Treaty" dataDxfId="1063"/>
    <tableColumn id="13" xr3:uid="{8C7EC330-90EA-4D16-B06F-1DEC8DF790C2}" name="AUS/ EUR Treaty" dataDxfId="1062"/>
    <tableColumn id="14" xr3:uid="{A984620D-9CE6-4D38-B041-1C9DBF2ECF9F}" name="CEIP Type" dataDxfId="1061"/>
    <tableColumn id="40" xr3:uid="{EFA2E5DB-42EC-481A-84C7-D5B3141112A3}" name="Shadow Rating" dataDxfId="1060" dataCellStyle="Normal 3"/>
    <tableColumn id="39" xr3:uid="{8EDA0312-CDC7-4D59-9C38-F55712D93CE8}" name="Security Status" dataDxfId="1059" dataCellStyle="Normal 3"/>
    <tableColumn id="15" xr3:uid="{AB7014E7-47D6-4A60-8BD1-9BF8DD654F42}" name=" Facility CCY" dataDxfId="1058"/>
    <tableColumn id="16" xr3:uid="{CB80436E-AD0A-4F99-9564-168E5A24391F}" name="Original Limit (A$)" dataDxfId="1057"/>
    <tableColumn id="17" xr3:uid="{12977682-79CA-4816-9EC0-442082752403}" name="Amortised Limit in Original Currency" dataDxfId="1056"/>
    <tableColumn id="18" xr3:uid="{918BAFC5-5FE7-4D08-A0E1-EA9758075D87}" name="Amortised Limit A$ Balance" dataDxfId="1055"/>
    <tableColumn id="19" xr3:uid="{1C310C09-DF3A-4910-ABAA-2268EF042BEF}" name="Approx. Debt /  Facilities outstanding (Bank Limit)" dataDxfId="1054"/>
    <tableColumn id="20" xr3:uid="{608E8AA0-A994-41C8-BBBC-B6B0A074F0CA}" name="Gross Written Premium (pre-tax premium paid to HDI GS)" dataDxfId="1053"/>
    <tableColumn id="21" xr3:uid="{5FB9FDB6-20F1-4351-827C-967328E7B7B7}" name="Risk Rating" dataDxfId="1052"/>
    <tableColumn id="38" xr3:uid="{7E7E2160-D3B5-4FC6-B84D-D51F8CB57E8A}" name="Facility Gross Margin" dataDxfId="1051" dataCellStyle="Percent"/>
    <tableColumn id="22" xr3:uid="{A7A2AC0F-B6BC-4CB2-880C-B8E7C7597D67}" name="Policy Effective Date " dataDxfId="1050"/>
    <tableColumn id="23" xr3:uid="{D3CC68DF-10BF-4352-A372-526B4606687D}" name="Expiry Date" dataDxfId="1049"/>
    <tableColumn id="24" xr3:uid="{E63067B6-D7F5-4444-B77F-BB47ADD303AE}" name="Policy Expiry Date " dataDxfId="1048"/>
    <tableColumn id="25" xr3:uid="{34C22656-7DF9-4C1E-ADEA-E93BD8D1407C}" name="Original Tenor " dataDxfId="1047"/>
    <tableColumn id="26" xr3:uid="{8C3FF51A-6BDF-4924-8516-9A55411AAD7A}" name="Off Risk " dataDxfId="1046"/>
    <tableColumn id="27" xr3:uid="{0464EE25-94AE-4F8E-9E33-DBB29504E0CC}" name="Tenor Remaining Days" dataDxfId="1045"/>
    <tableColumn id="28" xr3:uid="{7DA1BBC2-F537-4530-97AE-380D1F456B3F}" name="Tenor Remaining Years" dataDxfId="1044"/>
    <tableColumn id="29" xr3:uid="{9BDBBA81-4F9E-409E-829B-A372C3E7F13D}" name="Everest" dataDxfId="1043"/>
    <tableColumn id="30" xr3:uid="{4E79AF6A-A0B2-46EE-8C60-181A0B20A9D5}" name="Docs" dataDxfId="1042"/>
    <tableColumn id="31" xr3:uid="{E2DC694E-78A1-4F7D-A57E-F7A907B97000}" name="Graile" dataDxfId="1041"/>
    <tableColumn id="32" xr3:uid="{80F8BDCF-F464-46FC-8643-2CEAD71E02F0}" name="Amortisation completed in Graile" dataDxfId="1040"/>
    <tableColumn id="33" xr3:uid="{AE25AB4D-EE3D-4B99-B869-C5A3554FE349}" name="Off risk reminder sent?" dataDxfId="1039"/>
    <tableColumn id="34" xr3:uid="{23780631-F8AB-44A4-AFAE-2162049603B5}" name="Lead Approved" dataDxfId="1038"/>
    <tableColumn id="35" xr3:uid="{E3418C83-C33A-4AA8-8D0B-05A484542B4B}" name="Project Name" dataDxfId="1037"/>
    <tableColumn id="36" xr3:uid="{6904E755-9204-4672-8B52-F783D34F9257}" name="Legal Fees (Pre Tax)" dataDxfId="1036"/>
    <tableColumn id="37" xr3:uid="{ED3B0F6E-5A20-477E-8222-7F6E504A1DA4}" name="Establishment Fees (Pre Tax)" dataDxfId="1035"/>
    <tableColumn id="41" xr3:uid="{4381A196-29C7-449F-A8ED-6CCE1E8228D6}" name="Risk Location 2" dataDxfId="1034"/>
    <tableColumn id="42" xr3:uid="{47CCE35F-AAA9-4C36-9451-CEFDD7D23B53}" name="Sector (GICS Industry Group)2" dataDxfId="1033"/>
    <tableColumn id="43" xr3:uid="{9E09B579-1E1A-4325-94FD-A962BE4CD8C5}" name="ICRC flag" dataDxfId="1032"/>
    <tableColumn id="44" xr3:uid="{A44AFDAE-E8D3-4C08-A79C-F52FC31D499F}" name="Percentage Impact" dataDxfId="1031"/>
    <tableColumn id="45" xr3:uid="{5167125C-708D-4687-A580-D5376AF085CF}" name="Total Amount" dataDxfId="1030"/>
    <tableColumn id="46" xr3:uid="{640F0228-E004-4797-B5CB-7D54979D730B}" name="Assetinsure Amount " dataDxfId="1029"/>
    <tableColumn id="47" xr3:uid="{ED41FD84-A18A-4D8D-BFA4-049B5C179B4F}" name="Reinsurance Everest Re" dataDxfId="1028"/>
    <tableColumn id="48" xr3:uid="{636A347B-1821-4BF3-931F-4F6BBB5C0A18}" name="Reinsurance Lombard" dataDxfId="1027"/>
    <tableColumn id="49" xr3:uid="{F810AC62-F869-400B-9175-A1C70BE7409D}" name="Net Impact Assetinsure" dataDxfId="1026"/>
    <tableColumn id="50" xr3:uid="{7B76C9EC-0877-494B-A298-E42F2780D0A1}" name="Previous Period (April 2021)" dataDxfId="1025"/>
    <tableColumn id="51" xr3:uid="{651C6088-D279-490F-AB1A-235BD4D9E96E}" name="Change Commentary" dataDxfId="102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4686A11-AD29-40E4-8C71-C16CDE4B0E4E}" name="Table12116" displayName="Table12116" ref="A2:AY128" totalsRowShown="0" headerRowDxfId="1023" dataDxfId="1022">
  <autoFilter ref="A2:AY128" xr:uid="{078D475E-6B1E-4465-870D-90D267C8AAEA}">
    <filterColumn colId="42">
      <filters>
        <filter val="1"/>
      </filters>
    </filterColumn>
  </autoFilter>
  <sortState xmlns:xlrd2="http://schemas.microsoft.com/office/spreadsheetml/2017/richdata2" ref="A3:AN107">
    <sortCondition ref="Y2:Y107"/>
  </sortState>
  <tableColumns count="51">
    <tableColumn id="1" xr3:uid="{F4C4931E-EDAF-45B0-A5C1-500410BAB657}" name="Applicant/Borrower" dataDxfId="1021"/>
    <tableColumn id="2" xr3:uid="{C2805D72-2CB3-4CF0-B472-9E8F6965BFBB}" name="Lead" dataDxfId="1020"/>
    <tableColumn id="3" xr3:uid="{9CB2EE57-2D22-4CFA-A746-95DAA3E54C7C}" name="Insured Location" dataDxfId="1019"/>
    <tableColumn id="4" xr3:uid="{94E405A2-19A6-4430-84BB-7F1E18527438}" name="Risk Location Roll-up Continent" dataDxfId="1018"/>
    <tableColumn id="5" xr3:uid="{AC789B3E-F277-4807-BA00-A56D0CDAD0AE}" name="Risk Location " dataDxfId="1017"/>
    <tableColumn id="6" xr3:uid="{19C10A3C-5A27-4E02-B580-A069566435F4}" name="Sector (GICS Industry Group)" dataDxfId="1016"/>
    <tableColumn id="7" xr3:uid="{94526CA4-FBC6-40B9-B586-4F3DA45BE058}" name="Industry (GICS)" dataDxfId="1015"/>
    <tableColumn id="8" xr3:uid="{29AF79C4-35CA-4715-9123-B2E2FD09CCF0}" name="Sub-Industry (GICS)" dataDxfId="1014"/>
    <tableColumn id="9" xr3:uid="{1057BD73-47B9-461C-B550-6414E9C89B52}" name="Beneficiary" dataDxfId="1013"/>
    <tableColumn id="10" xr3:uid="{F4284B0E-2174-4D70-BE1C-1B4FE282417E}" name="Beneficiary Roll-up" dataDxfId="1012"/>
    <tableColumn id="11" xr3:uid="{2CAD2D31-3B20-4D96-9AF1-B020A1B5DFFD}" name="Facility Type" dataDxfId="1011"/>
    <tableColumn id="12" xr3:uid="{A079F89E-30E5-4D6F-A162-A3E27C5CF6AB}" name="Treaty" dataDxfId="1010"/>
    <tableColumn id="13" xr3:uid="{4B5FB8F6-4A5F-4BEA-B2AC-AF1D7DBA57F4}" name="AUS/ EUR Treaty" dataDxfId="1009"/>
    <tableColumn id="14" xr3:uid="{B56C68E7-6986-4D0C-870E-44FC15830361}" name="CEIP Type" dataDxfId="1008"/>
    <tableColumn id="40" xr3:uid="{5D094045-36F8-4C37-8FAA-BB4B9FE54B57}" name="Shadow Rating" dataDxfId="1007" dataCellStyle="Normal 3"/>
    <tableColumn id="39" xr3:uid="{290A067F-1FB8-42DF-B1C1-D2EDADFDD5D4}" name="Security Status" dataDxfId="1006" dataCellStyle="Normal 3"/>
    <tableColumn id="15" xr3:uid="{FD7D9DA1-7B74-48AA-8AE2-ADA6689C3286}" name=" Facility CCY" dataDxfId="1005"/>
    <tableColumn id="16" xr3:uid="{A059117B-1DA3-4E10-8E98-5F70733C7304}" name="Original Limit (A$)" dataDxfId="1004"/>
    <tableColumn id="17" xr3:uid="{BF39D089-8E49-4A2A-9731-549DD5E0FC90}" name="Amortised Limit in Original Currency" dataDxfId="1003"/>
    <tableColumn id="18" xr3:uid="{DD1C0005-EA20-4F5B-9738-CDAE2E1D44C2}" name="Amortised Limit A$ Balance" dataDxfId="1002"/>
    <tableColumn id="19" xr3:uid="{58A22304-ADE9-4296-B9BC-8645898A260C}" name="Approx. Debt /  Facilities outstanding (Bank Limit)" dataDxfId="1001"/>
    <tableColumn id="20" xr3:uid="{EF8758A5-5A6C-4B1E-815E-4B9301E6005B}" name="Gross Written Premium (pre-tax premium paid to HDI GS)" dataDxfId="1000"/>
    <tableColumn id="21" xr3:uid="{D880A8BB-88F7-44AC-B01F-5BAE3537B414}" name="Risk Rating" dataDxfId="999"/>
    <tableColumn id="38" xr3:uid="{55297D06-D0E6-4C3F-8794-7938B143D38F}" name="Facility Gross Margin" dataDxfId="998" dataCellStyle="Percent"/>
    <tableColumn id="22" xr3:uid="{13F2EED6-4414-4CD9-A1BA-D22D07F86B9D}" name="Policy Effective Date " dataDxfId="997"/>
    <tableColumn id="23" xr3:uid="{CBAD6765-AEBC-4D74-BB27-DBDFCA0516CF}" name="Expiry Date" dataDxfId="996"/>
    <tableColumn id="24" xr3:uid="{976A00A9-C7B0-49D4-B907-72EE56B3AA34}" name="Policy Expiry Date " dataDxfId="995"/>
    <tableColumn id="25" xr3:uid="{59535EF7-B7DE-4E2F-8A95-F6D75B74B013}" name="Original Tenor " dataDxfId="994"/>
    <tableColumn id="26" xr3:uid="{FDB9CBAF-6302-4D36-BD1F-3B1D948A2E4E}" name="Off Risk " dataDxfId="993"/>
    <tableColumn id="27" xr3:uid="{87DE93EA-51B4-4064-A5FC-7CCBFD7EABDC}" name="Tenor Remaining Days" dataDxfId="992"/>
    <tableColumn id="28" xr3:uid="{FA18D6D3-5EF2-412B-8027-DA104D5998DA}" name="Tenor Remaining Years" dataDxfId="991"/>
    <tableColumn id="29" xr3:uid="{39DC4902-11E0-4156-9F4A-76B0D225D99B}" name="Everest" dataDxfId="990"/>
    <tableColumn id="30" xr3:uid="{DDA4A1E8-6A7D-4A9B-A90F-25A762A298ED}" name="Docs" dataDxfId="989"/>
    <tableColumn id="31" xr3:uid="{CFCB103A-7172-4BF3-8C1D-91C52FD4FEC0}" name="Graile" dataDxfId="988"/>
    <tableColumn id="32" xr3:uid="{AA1ACFA7-A5EE-43ED-847C-05EEDD1CE9FF}" name="Amortisation completed in Graile" dataDxfId="987"/>
    <tableColumn id="33" xr3:uid="{1FAF4890-2230-4DDF-9423-D0E6CF37AED0}" name="Off risk reminder sent?" dataDxfId="986"/>
    <tableColumn id="34" xr3:uid="{92DB7D34-20C4-4348-8A46-6C6302B6CD43}" name="Lead Approved" dataDxfId="985"/>
    <tableColumn id="35" xr3:uid="{C93A9EA0-7B58-4A4C-B652-5E55DE35209B}" name="Project Name" dataDxfId="984"/>
    <tableColumn id="36" xr3:uid="{B456AA4F-DCAD-4503-8337-2BBF37D75230}" name="Legal Fees (Pre Tax)" dataDxfId="983" dataCellStyle="Normal 3"/>
    <tableColumn id="37" xr3:uid="{0E6662ED-C97F-4563-997D-97611A8B8067}" name="Establishment Fees (Pre Tax)" dataDxfId="982" dataCellStyle="Normal 3"/>
    <tableColumn id="41" xr3:uid="{D1ED35D8-039E-4953-9334-01049BF7120A}" name="Risk Location 2" dataDxfId="981" dataCellStyle="Normal 3"/>
    <tableColumn id="42" xr3:uid="{05D47E65-6005-4E20-B1AF-4311CC10D5A6}" name="Sector (GICS Industry Group)2" dataDxfId="980" dataCellStyle="Normal 3"/>
    <tableColumn id="43" xr3:uid="{68D74400-FC81-4A9A-BB6E-60FCC0E06E08}" name="ICRC flag" dataDxfId="979" dataCellStyle="Normal 3"/>
    <tableColumn id="44" xr3:uid="{5EF5CFB0-A692-4B12-9F04-39FC4474E35B}" name="Percentage Impact" dataDxfId="978" dataCellStyle="Normal 3"/>
    <tableColumn id="45" xr3:uid="{F2F45052-FAB7-4804-AA56-A3E96DFD7F8E}" name="Total Amount" dataDxfId="977" dataCellStyle="Normal 3"/>
    <tableColumn id="46" xr3:uid="{0E7EB43F-7899-4651-8050-1470FFFD77B8}" name="Assetinsure Amount " dataDxfId="976" dataCellStyle="Normal 3"/>
    <tableColumn id="47" xr3:uid="{A7858C2F-E32E-4FC1-8575-E3D0E8DEF3E5}" name="Reinsurance Everest Re" dataDxfId="975" dataCellStyle="Normal 3"/>
    <tableColumn id="48" xr3:uid="{4378982B-506C-41D9-B393-D6D346F4E5B3}" name="Reinsurance Lombard" dataDxfId="974" dataCellStyle="Normal 3"/>
    <tableColumn id="49" xr3:uid="{927B4B3E-47FA-419A-943E-8B87359537C5}" name="Net Impact Assetinsure" dataDxfId="973" dataCellStyle="Normal 3"/>
    <tableColumn id="50" xr3:uid="{0D469991-2E79-4A73-BEC8-9181CDDB608F}" name="Previous Period (June 2021)" dataDxfId="972" dataCellStyle="Normal 3"/>
    <tableColumn id="51" xr3:uid="{82BE2E76-02B8-404E-A222-0D1AF1E19D35}" name="Change Commentary" dataDxfId="971" dataCellStyle="Normal 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452A203-6D01-4F0B-B878-A487F71A6AB7}" name="Table12125" displayName="Table12125" ref="A2:AY139" totalsRowShown="0" headerRowDxfId="970" dataDxfId="969">
  <autoFilter ref="A2:AY139" xr:uid="{078D475E-6B1E-4465-870D-90D267C8AAEA}">
    <filterColumn colId="42">
      <filters>
        <filter val="1"/>
      </filters>
    </filterColumn>
  </autoFilter>
  <sortState xmlns:xlrd2="http://schemas.microsoft.com/office/spreadsheetml/2017/richdata2" ref="A3:AN99">
    <sortCondition ref="Y2:Y99"/>
  </sortState>
  <tableColumns count="51">
    <tableColumn id="1" xr3:uid="{5EB3E484-C31C-452B-90C3-C642348DCEE5}" name="Applicant/Borrower" dataDxfId="968"/>
    <tableColumn id="2" xr3:uid="{E2B6892B-A9F6-4D0F-A32F-FFA70336D5A5}" name="Lead" dataDxfId="967"/>
    <tableColumn id="3" xr3:uid="{D011045B-1166-4328-8419-526F4B5D2639}" name="Insured Location" dataDxfId="966"/>
    <tableColumn id="4" xr3:uid="{F6C7C4D4-CCF4-48BE-A309-AAB20A21E700}" name="Risk Location Roll-up Continent" dataDxfId="965"/>
    <tableColumn id="5" xr3:uid="{B4B0C838-46A4-46F6-AB33-5DF27E993C23}" name="Risk Location " dataDxfId="964"/>
    <tableColumn id="6" xr3:uid="{E28745B8-7151-4E86-B68D-C17886694926}" name="Sector (GICS Industry Group)" dataDxfId="963"/>
    <tableColumn id="7" xr3:uid="{FA541B93-503A-4773-B91F-6FB932521B26}" name="Industry (GICS)" dataDxfId="962"/>
    <tableColumn id="8" xr3:uid="{AA0EB6F4-0A19-42C3-8EA3-131E1CEFEA5B}" name="Sub-Industry (GICS)" dataDxfId="961"/>
    <tableColumn id="9" xr3:uid="{C76F5C97-89B5-4D60-95BF-5D2F3D38EECE}" name="Beneficiary" dataDxfId="960"/>
    <tableColumn id="10" xr3:uid="{0BC8F57A-56C9-4111-9769-52D64EDEA905}" name="Beneficiary Roll-up" dataDxfId="959"/>
    <tableColumn id="11" xr3:uid="{A4861A03-7C82-4EF0-A4AC-C9FDA57CC7ED}" name="Facility Type" dataDxfId="958"/>
    <tableColumn id="12" xr3:uid="{639A0070-00F7-40A6-BAE2-6533776146B0}" name="Treaty" dataDxfId="957"/>
    <tableColumn id="13" xr3:uid="{1EE37D3D-4100-416F-85FF-75CB861ADFD4}" name="AUS/ EUR Treaty" dataDxfId="956"/>
    <tableColumn id="14" xr3:uid="{09BCEA84-58A7-437A-A4BD-B0AD56CBACFC}" name="CEIP Type" dataDxfId="955"/>
    <tableColumn id="40" xr3:uid="{5C250232-8F05-4E63-A3C2-E9D030E5087C}" name="Shadow Rating" dataDxfId="954" dataCellStyle="Normal 3"/>
    <tableColumn id="39" xr3:uid="{72A73E03-5B70-47DC-ACB8-6233FF2EE817}" name="Security Status" dataDxfId="953" dataCellStyle="Normal 3"/>
    <tableColumn id="15" xr3:uid="{191358E1-D16E-492B-B59C-7B3FEE240A46}" name=" Facility CCY" dataDxfId="952"/>
    <tableColumn id="16" xr3:uid="{9983626D-B8A4-4205-AC89-1798C73282FE}" name="Original Limit (A$)" dataDxfId="951"/>
    <tableColumn id="17" xr3:uid="{E041D13A-D6BF-4C08-A7D9-7E1344B1624E}" name="Amortised Limit in Original Currency" dataDxfId="950"/>
    <tableColumn id="18" xr3:uid="{1C42EDA0-2256-413B-A7B2-A13B8A7FDB7E}" name="Amortised Limit A$ Balance" dataDxfId="949"/>
    <tableColumn id="19" xr3:uid="{A226173E-0332-4B66-B634-89335C77BD0D}" name="Approx. Debt /  Facilities outstanding (Bank Limit)" dataDxfId="948"/>
    <tableColumn id="20" xr3:uid="{18BA6A3F-81C7-4A09-A20E-2BFF6F20AEE1}" name="Gross Written Premium (pre-tax premium paid to HDI GS)" dataDxfId="947"/>
    <tableColumn id="21" xr3:uid="{E98B9DB2-BF25-4519-9350-53D24FB3F04A}" name="Risk Rating" dataDxfId="946"/>
    <tableColumn id="38" xr3:uid="{E60EBA4D-2DCA-4486-935A-42DABEC41CC3}" name="Facility Gross Margin" dataDxfId="945" dataCellStyle="Percent"/>
    <tableColumn id="22" xr3:uid="{E2FA55D6-D392-471D-B28B-3122AE16F11B}" name="Policy Effective Date " dataDxfId="944"/>
    <tableColumn id="23" xr3:uid="{714862C5-99EF-4CEF-A3C9-C9C674E1B135}" name="Expiry Date" dataDxfId="943"/>
    <tableColumn id="24" xr3:uid="{5827871A-D007-4E61-8B83-5C8648E6203F}" name="Policy Expiry Date " dataDxfId="942"/>
    <tableColumn id="25" xr3:uid="{4806A363-75F2-4581-BDA5-D1F197FD701A}" name="Original Tenor " dataDxfId="941"/>
    <tableColumn id="26" xr3:uid="{83846B1B-BB29-44EC-A6C0-27C2EF7EA292}" name="Off Risk " dataDxfId="940"/>
    <tableColumn id="27" xr3:uid="{D95AF0EF-E480-4A8F-813C-0A65D68CCC9C}" name="Tenor Remaining Days" dataDxfId="939"/>
    <tableColumn id="28" xr3:uid="{180EBA97-3028-4337-8C81-3E79785C2217}" name="Tenor Remaining Years" dataDxfId="938"/>
    <tableColumn id="29" xr3:uid="{2C055A9E-9993-46CF-8832-93E3BD23AC16}" name="Everest" dataDxfId="937"/>
    <tableColumn id="30" xr3:uid="{C9265B8B-3FFA-4DCD-8136-B7FEB51F95B9}" name="Docs" dataDxfId="936"/>
    <tableColumn id="31" xr3:uid="{F291ADFD-1416-44D1-AFAD-D2A9508FA59B}" name="Graile" dataDxfId="935"/>
    <tableColumn id="32" xr3:uid="{E411A4AB-8CA5-4FA8-9105-EC0B9D1671A8}" name="Amortisation completed in Graile" dataDxfId="934"/>
    <tableColumn id="33" xr3:uid="{435E20C8-C864-4DDE-871D-A0E86B2CA4B7}" name="Off risk reminder sent?" dataDxfId="933"/>
    <tableColumn id="34" xr3:uid="{22CB0851-CE19-43C4-B79B-6675C691F84D}" name="Lead Approved" dataDxfId="932"/>
    <tableColumn id="35" xr3:uid="{B37A9B81-4B9A-467F-A95A-DB9F1D407936}" name="Project Name" dataDxfId="931"/>
    <tableColumn id="36" xr3:uid="{BCC8C5A8-786C-4D26-8351-494FE13033FB}" name="Legal Fees (Pre Tax)" dataDxfId="930" dataCellStyle="Normal 3"/>
    <tableColumn id="37" xr3:uid="{1BFA4225-ED5B-46EE-AF03-514AD80C7075}" name="Establishment Fees (Pre Tax)" dataDxfId="929" dataCellStyle="Normal 3"/>
    <tableColumn id="41" xr3:uid="{D5EBDC42-55D9-4DA5-A569-6134915C8D2F}" name="Risk Location 2" dataDxfId="928" dataCellStyle="Normal 3"/>
    <tableColumn id="42" xr3:uid="{8063FE81-D9EE-472E-B4C2-C07139438129}" name="Sector (GICS Industry Group)2" dataDxfId="927" dataCellStyle="Normal 3"/>
    <tableColumn id="43" xr3:uid="{CE84AA60-E028-493E-83D3-3ECE6106BA08}" name="ICRC flag" dataDxfId="926" dataCellStyle="Normal 3"/>
    <tableColumn id="44" xr3:uid="{78424A21-0C31-459D-B9B4-7DEFDD7E03C2}" name="Percentage Impact" dataDxfId="925" dataCellStyle="Normal 3"/>
    <tableColumn id="45" xr3:uid="{38405847-FA4B-48FD-B4C1-4D7D517DAD0C}" name="Total Amount" dataDxfId="924" dataCellStyle="Normal 3"/>
    <tableColumn id="46" xr3:uid="{88B595A1-EBE0-42CE-ADBC-E0F762A21B6F}" name="Assetinsure Amount " dataDxfId="923" dataCellStyle="Normal 3"/>
    <tableColumn id="47" xr3:uid="{B0D72F01-73F8-4417-BBC9-D6D225146806}" name="Reinsurance Everest Re" dataDxfId="922" dataCellStyle="Normal 3"/>
    <tableColumn id="48" xr3:uid="{6AFFB976-B68D-4509-867E-F07D07064412}" name="Reinsurance Lombard" dataDxfId="921" dataCellStyle="Normal 3"/>
    <tableColumn id="49" xr3:uid="{5AD772A7-BBBD-4EA5-8E0D-3B02A9656E08}" name="Net Impact Assetinsure" dataDxfId="920" dataCellStyle="Normal 3"/>
    <tableColumn id="50" xr3:uid="{D1BE11F7-4C9F-4B2B-A684-7E32570319E2}" name="Previous Period (September 2021)" dataDxfId="919" dataCellStyle="Normal 3"/>
    <tableColumn id="51" xr3:uid="{8E3631BC-DD6C-40CA-817A-EE184033AB25}" name="Change Commentary" dataDxfId="918" dataCellStyle="Normal 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BF929B-FEE1-4B59-9DF4-AB23820DACF9}" name="Table12126" displayName="Table12126" ref="A2:AY144" totalsRowShown="0" headerRowDxfId="917" dataDxfId="916">
  <autoFilter ref="A2:AY144" xr:uid="{078D475E-6B1E-4465-870D-90D267C8AAEA}">
    <filterColumn colId="42">
      <filters>
        <filter val="1"/>
      </filters>
    </filterColumn>
  </autoFilter>
  <sortState xmlns:xlrd2="http://schemas.microsoft.com/office/spreadsheetml/2017/richdata2" ref="A3:AN99">
    <sortCondition ref="Y2:Y99"/>
  </sortState>
  <tableColumns count="51">
    <tableColumn id="1" xr3:uid="{0E899508-EB74-487C-A2E1-BC411E004837}" name="Applicant/Borrower" dataDxfId="915"/>
    <tableColumn id="2" xr3:uid="{72ABB368-0EBD-4832-957D-4563943AAA94}" name="Lead" dataDxfId="914"/>
    <tableColumn id="3" xr3:uid="{1DDE504E-5535-49A7-97CB-8433CC888068}" name="Insured Location" dataDxfId="913"/>
    <tableColumn id="4" xr3:uid="{22D9B8F7-C452-4EFB-8BE8-DCBF2DE458D1}" name="Risk Location Roll-up Continent" dataDxfId="912"/>
    <tableColumn id="5" xr3:uid="{E1908AD8-59E6-4976-A964-5E22802C3EAF}" name="Risk Location " dataDxfId="911"/>
    <tableColumn id="6" xr3:uid="{1D5B26BB-D9F1-46E6-979B-F34AF9F00214}" name="Sector (GICS Industry Group)" dataDxfId="910"/>
    <tableColumn id="7" xr3:uid="{5F3CB557-3008-42C3-9C5F-C513C486BFB4}" name="Industry (GICS)" dataDxfId="909"/>
    <tableColumn id="8" xr3:uid="{BE6B490F-3FF6-4457-BBDC-D98FC8C64BF4}" name="Sub-Industry (GICS)" dataDxfId="908"/>
    <tableColumn id="9" xr3:uid="{BB11474B-C64A-4EAF-80C5-34C323CCAEB0}" name="Beneficiary" dataDxfId="907"/>
    <tableColumn id="10" xr3:uid="{CE12D15C-A179-4868-ADC4-4F977A69B73E}" name="Beneficiary Roll-up" dataDxfId="906"/>
    <tableColumn id="11" xr3:uid="{5A49BACB-8B15-480D-97CA-4588D9E81B26}" name="Facility Type" dataDxfId="905"/>
    <tableColumn id="12" xr3:uid="{BB7038C4-04EE-41B8-AE89-26A46691620C}" name="Treaty" dataDxfId="904"/>
    <tableColumn id="13" xr3:uid="{66CB9D4C-7943-42D7-B788-92C85FC15650}" name="AUS/ EUR Treaty" dataDxfId="903"/>
    <tableColumn id="14" xr3:uid="{C4060FA9-0365-4376-9188-7129B5AB20B8}" name="CEIP Type" dataDxfId="902"/>
    <tableColumn id="40" xr3:uid="{9A807D69-3D81-4578-9FFA-9ACEBCFC6A4C}" name="Shadow Rating" dataDxfId="901" dataCellStyle="Normal 3"/>
    <tableColumn id="39" xr3:uid="{61AF26D2-EF23-4F21-A473-0DAC3BDB2035}" name="Security Status" dataDxfId="900" dataCellStyle="Normal 3"/>
    <tableColumn id="15" xr3:uid="{7870EA55-4EEF-4D33-A427-CA256DA9124D}" name=" Facility CCY" dataDxfId="899"/>
    <tableColumn id="16" xr3:uid="{0F55AF69-8603-4365-9111-8F5A06402CAC}" name="Original Limit (A$)" dataDxfId="898"/>
    <tableColumn id="17" xr3:uid="{6E3802ED-45A2-497D-B824-0321706495C7}" name="Amortised Limit in Original Currency" dataDxfId="897"/>
    <tableColumn id="18" xr3:uid="{2E2AADE4-DD21-4FC0-B0EC-1BCB80CBD9B2}" name="Amortised Limit A$ Balance" dataDxfId="896"/>
    <tableColumn id="19" xr3:uid="{B0C4F4B9-557B-4989-A0E3-81D6ECE2BEE4}" name="Approx. Debt /  Facilities outstanding (Bank Limit)" dataDxfId="895"/>
    <tableColumn id="20" xr3:uid="{F4DA6814-B494-4EC7-AB4F-23E25B4A3BB0}" name="Gross Written Premium (pre-tax premium paid to HDI GS) (A$)" dataDxfId="894"/>
    <tableColumn id="21" xr3:uid="{8D3C79F8-E9A6-42A1-9619-D9B8F276AB2F}" name="Risk Rating" dataDxfId="893"/>
    <tableColumn id="38" xr3:uid="{8BBF087B-2A45-4202-9E7C-8286F9060EF6}" name="Facility Gross Margin" dataDxfId="892" dataCellStyle="Percent"/>
    <tableColumn id="22" xr3:uid="{7198EF37-19D5-464B-BC30-FFCCD473E57A}" name="Policy Effective Date " dataDxfId="891"/>
    <tableColumn id="23" xr3:uid="{BBB71D2B-B97C-4A9A-BE59-B2F555AEC52F}" name="Expiry Date" dataDxfId="890"/>
    <tableColumn id="24" xr3:uid="{164CCA1E-6648-450D-81CF-8682E28C9B97}" name="Policy Expiry Date " dataDxfId="889"/>
    <tableColumn id="25" xr3:uid="{CF0A49AF-FEBF-438A-9124-0FBAD837BBDC}" name="Original Tenor " dataDxfId="888"/>
    <tableColumn id="26" xr3:uid="{80D5A829-D682-441F-B92D-F908DA0437C8}" name="Off Risk " dataDxfId="887"/>
    <tableColumn id="27" xr3:uid="{A9E1296B-645D-4810-82D2-FBFF6A35B10B}" name="Tenor Remaining Days" dataDxfId="886"/>
    <tableColumn id="28" xr3:uid="{D1870812-BBA0-4C28-B374-8A9B504BFBB0}" name="Tenor Remaining Years" dataDxfId="885"/>
    <tableColumn id="29" xr3:uid="{08ADFF1E-8440-469C-A0C2-8F7168246F45}" name="Everest" dataDxfId="884"/>
    <tableColumn id="30" xr3:uid="{0F98B83B-B3E1-44C6-BC30-742EE11687AF}" name="Docs" dataDxfId="883"/>
    <tableColumn id="31" xr3:uid="{C283E4FD-AF1D-4C75-B8E2-835C63441FF0}" name="Graile" dataDxfId="882"/>
    <tableColumn id="32" xr3:uid="{FDF7D46E-F55C-42A2-A5D9-4AA3A277ACDE}" name="Amortisation completed in Graile" dataDxfId="881"/>
    <tableColumn id="33" xr3:uid="{F22E3E69-9967-49B5-95EE-D7687BEDDB2D}" name="Off risk reminder sent?" dataDxfId="880"/>
    <tableColumn id="34" xr3:uid="{E34FC274-5BD9-4331-81F2-8D0C4D987D0C}" name="Lead Approved" dataDxfId="879"/>
    <tableColumn id="35" xr3:uid="{412A028E-F037-4B83-B1B4-887852DD0C1A}" name="Project Name" dataDxfId="878"/>
    <tableColumn id="36" xr3:uid="{498D21AE-841F-40AD-B3E6-8626E4AFB31B}" name="Legal Fees (Pre Tax)" dataDxfId="877" dataCellStyle="Normal 3"/>
    <tableColumn id="37" xr3:uid="{6AC1B87B-B231-4332-9D43-511A5B9BDDCA}" name="Establishment Fees (Pre Tax)" dataDxfId="876" dataCellStyle="Normal 3"/>
    <tableColumn id="41" xr3:uid="{8F176800-AF70-4C2E-9877-1E0C593CD430}" name="Risk Location 2" dataDxfId="875" dataCellStyle="Normal 3"/>
    <tableColumn id="42" xr3:uid="{BA9EBA5A-F940-4D93-BAF4-00A2BAA9F143}" name="Sector (GICS Industry Group)2" dataDxfId="874" dataCellStyle="Normal 3"/>
    <tableColumn id="43" xr3:uid="{654040C1-EAE3-4140-B6B2-E0A1C977ED86}" name="ICRC flag" dataDxfId="873" dataCellStyle="Normal 3"/>
    <tableColumn id="44" xr3:uid="{4C366119-8D57-4ED2-B671-74B55FA2ACBD}" name="Percentage Impact" dataDxfId="872" dataCellStyle="Normal 3"/>
    <tableColumn id="45" xr3:uid="{BC45F02C-F826-4C63-A69B-FA960E6510D0}" name="Total Amount" dataDxfId="871" dataCellStyle="Normal 3"/>
    <tableColumn id="46" xr3:uid="{3B559462-08D6-452E-B537-07D500EC000B}" name="Assetinsure Amount " dataDxfId="870" dataCellStyle="Normal 3"/>
    <tableColumn id="47" xr3:uid="{FC3F0B81-59CE-497B-ADDB-6F60D41ABCAF}" name="Reinsurance Everest Re" dataDxfId="869" dataCellStyle="Normal 3"/>
    <tableColumn id="48" xr3:uid="{AD4273A6-7924-415E-BD41-7F24419C9768}" name="Reinsurance Lombard" dataDxfId="868" dataCellStyle="Normal 3"/>
    <tableColumn id="49" xr3:uid="{6D791EF1-DA83-4DFB-AE82-33F2EBEBE197}" name="Net Impact Assetinsure" dataDxfId="867" dataCellStyle="Normal 3"/>
    <tableColumn id="50" xr3:uid="{3059DB8F-BBD7-4AB8-A8FE-3A4F135F52A2}" name="Previous Period (December 2021)" dataDxfId="866" dataCellStyle="Normal 3"/>
    <tableColumn id="51" xr3:uid="{64147189-BA88-47C7-ACF4-C3BCEC23B131}" name="Change Commentary" dataDxfId="865" dataCellStyle="Normal 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32A79F9-E5EC-47D9-863A-2842ADF72FDB}" name="Table12127" displayName="Table12127" ref="A2:AY152" totalsRowShown="0" headerRowDxfId="864" dataDxfId="863">
  <autoFilter ref="A2:AY152" xr:uid="{632A79F9-E5EC-47D9-863A-2842ADF72FDB}"/>
  <sortState xmlns:xlrd2="http://schemas.microsoft.com/office/spreadsheetml/2017/richdata2" ref="A3:AN91">
    <sortCondition ref="Y2:Y91"/>
  </sortState>
  <tableColumns count="51">
    <tableColumn id="1" xr3:uid="{2BA18D07-BEBF-45E8-A8C6-CD347CC7CE25}" name="Applicant/Borrower" dataDxfId="862"/>
    <tableColumn id="2" xr3:uid="{DAD222DE-5C7A-4920-A34A-E1B3B89D5DF8}" name="Lead" dataDxfId="861"/>
    <tableColumn id="3" xr3:uid="{AD800570-FBB3-4224-B24D-107B1877EBA9}" name="Insured Location" dataDxfId="860"/>
    <tableColumn id="4" xr3:uid="{A9DC01F7-4B49-4C39-845E-E4A9CDE5F290}" name="Risk Location Roll-up Continent" dataDxfId="859"/>
    <tableColumn id="5" xr3:uid="{8E76D9B5-B5BC-43FB-9E19-A749FF616275}" name="Risk Location " dataDxfId="858"/>
    <tableColumn id="6" xr3:uid="{8AF877AE-981A-48ED-84A1-36C1B0C91C1E}" name="Sector (GICS Industry Group)" dataDxfId="857"/>
    <tableColumn id="7" xr3:uid="{4E09FE34-4639-48F7-8A74-F43E1FF6DEF5}" name="Industry (GICS)" dataDxfId="856"/>
    <tableColumn id="8" xr3:uid="{45CCF3DD-CFF1-4806-9FBB-30D0847AFDC6}" name="Sub-Industry (GICS)" dataDxfId="855"/>
    <tableColumn id="9" xr3:uid="{A73171BE-FE70-4BFC-948D-35241E20BD40}" name="Beneficiary" dataDxfId="854"/>
    <tableColumn id="10" xr3:uid="{E77F6CB6-0AC9-41AD-AC84-EADA58A8D752}" name="Beneficiary Roll-up" dataDxfId="853"/>
    <tableColumn id="11" xr3:uid="{12B34136-5647-4A67-A9EB-B42BF3B2AB6D}" name="Facility Type" dataDxfId="852"/>
    <tableColumn id="12" xr3:uid="{00C98921-1897-4D45-927A-A983CB1D0A4E}" name="Treaty" dataDxfId="851"/>
    <tableColumn id="13" xr3:uid="{89B993C3-866C-469C-B852-DC7DA8C3FAA0}" name="AUS/ EUR Treaty" dataDxfId="850"/>
    <tableColumn id="14" xr3:uid="{A226C21F-1BE7-474F-8B14-E85681974EC6}" name="CEIP Type" dataDxfId="849"/>
    <tableColumn id="40" xr3:uid="{61BFDDF2-121E-47EC-A699-8F8ED72105E9}" name="Shadow Rating" dataDxfId="848" dataCellStyle="Normal 3"/>
    <tableColumn id="39" xr3:uid="{D7D687B6-0C44-4792-8B55-A6D508B4B548}" name="Security Status" dataDxfId="847" dataCellStyle="Normal 3"/>
    <tableColumn id="15" xr3:uid="{08BDE9E8-A8A7-4DCC-9FC9-424179329068}" name=" Facility CCY" dataDxfId="846"/>
    <tableColumn id="16" xr3:uid="{2515D0CF-6F75-4583-9142-89F4B2F10AD8}" name="Original Limit (A$)" dataDxfId="845" dataCellStyle="Normal 3"/>
    <tableColumn id="17" xr3:uid="{45183D4B-AA57-439E-B25D-B121CA248E99}" name="Amortised Limit in Original Currency" dataDxfId="844" dataCellStyle="Normal 3"/>
    <tableColumn id="18" xr3:uid="{0FA2FACC-D41D-442F-B3E2-471102037EF9}" name="Amortised Limit A$ Balance" dataDxfId="843" dataCellStyle="Normal 3"/>
    <tableColumn id="19" xr3:uid="{B1FAA5E6-A7D4-4F9B-AE22-B21D283C4266}" name="Approx. Debt /  Facilities outstanding (Bank Limit) (A$)" dataDxfId="842" dataCellStyle="Normal 3"/>
    <tableColumn id="20" xr3:uid="{7147E6AA-9129-4C3C-8346-E64DB870840C}" name="Gross Written Premium (pre-tax premium paid to HDI GS) (A$)" dataDxfId="841" dataCellStyle="Normal 3"/>
    <tableColumn id="21" xr3:uid="{72C6C548-55CA-42A8-9F9C-97EF6703E887}" name="Risk Rating" dataDxfId="840"/>
    <tableColumn id="38" xr3:uid="{E2A0EFBA-45F8-4F8C-8903-7CDFF52E93EC}" name="Facility Gross Margin" dataDxfId="839" dataCellStyle="Percent"/>
    <tableColumn id="22" xr3:uid="{E4077F5C-51B1-45A5-BB24-FF4FCBC9E00B}" name="Policy Effective Date " dataDxfId="838"/>
    <tableColumn id="23" xr3:uid="{00488B85-C83B-42AA-BEDA-FEA9D66FE7C6}" name="Expiry Date" dataDxfId="837"/>
    <tableColumn id="24" xr3:uid="{7F41C6B1-4D85-4EB6-BF09-010DAF56D19A}" name="Policy Expiry Date " dataDxfId="836"/>
    <tableColumn id="25" xr3:uid="{48FB813A-818C-43E3-AF38-305A6E57591F}" name="Original Tenor " dataDxfId="835"/>
    <tableColumn id="26" xr3:uid="{680AD2D0-BFA9-4CF3-A6FD-201BB611E46C}" name="Off Risk " dataDxfId="834"/>
    <tableColumn id="27" xr3:uid="{0B350A2C-AABF-4DA1-9CD0-2F38526D539C}" name="Tenor Remaining Days" dataDxfId="833"/>
    <tableColumn id="28" xr3:uid="{FD74DE4D-37AD-46A1-8337-D57ACC40EAE9}" name="Tenor Remaining Years" dataDxfId="832"/>
    <tableColumn id="29" xr3:uid="{C7F32DD9-48E6-420D-8BF8-49569E38B87E}" name="Everest" dataDxfId="831"/>
    <tableColumn id="30" xr3:uid="{A716E8EF-72F3-4966-8E60-731CEB828749}" name="Docs" dataDxfId="830"/>
    <tableColumn id="31" xr3:uid="{6D4117B3-3808-4204-97D6-49F61163B3D1}" name="Graile" dataDxfId="829"/>
    <tableColumn id="32" xr3:uid="{FC0D0758-EE3C-4E8A-AF8F-9120C2D016CC}" name="Amortisation completed in Graile" dataDxfId="828"/>
    <tableColumn id="33" xr3:uid="{D87D45C7-F662-4E49-BA52-20274CC09E92}" name="Off risk reminder sent?" dataDxfId="827"/>
    <tableColumn id="34" xr3:uid="{469595E2-1D75-4423-B8AD-E6314AEA5481}" name="Lead Approved" dataDxfId="826"/>
    <tableColumn id="35" xr3:uid="{C2C84618-D16B-4705-88A8-2483B8360A8F}" name="Project Name" dataDxfId="825"/>
    <tableColumn id="36" xr3:uid="{B2B94C6E-6BD1-4DA8-A59A-F02D372FB0B0}" name="Legal Fees (Pre Tax)" dataDxfId="824" dataCellStyle="Normal 3"/>
    <tableColumn id="37" xr3:uid="{4844D617-EC2A-43F5-BA05-52B952087B38}" name="Establishment Fees (Pre Tax)" dataDxfId="823" dataCellStyle="Normal 3"/>
    <tableColumn id="41" xr3:uid="{7F8D71D5-89A5-46DA-9EAC-D64F80BB4FE4}" name="Risk Location 2" dataDxfId="822" dataCellStyle="Normal 3"/>
    <tableColumn id="42" xr3:uid="{D31B0BD4-9721-48FC-8FEB-C901BFD5BA84}" name="Sector (GICS Industry Group)2" dataDxfId="821" dataCellStyle="Normal 3"/>
    <tableColumn id="43" xr3:uid="{7A3C073D-7913-4A87-A463-F6C158ACAC61}" name="ICRC flag" dataDxfId="820" dataCellStyle="Normal 3"/>
    <tableColumn id="44" xr3:uid="{E0435292-ABD2-4E32-9E58-675C613C9BCE}" name="Percentage Impact" dataDxfId="819" dataCellStyle="Normal 3"/>
    <tableColumn id="45" xr3:uid="{E4ADA09C-A657-474E-A73F-96B27B082262}" name="Total Amount" dataDxfId="818" dataCellStyle="Normal 3"/>
    <tableColumn id="46" xr3:uid="{9FAEDEA6-88E5-49FA-B08E-19BB39ED8F82}" name="Assetinsure Amount " dataDxfId="817" dataCellStyle="Normal 3"/>
    <tableColumn id="47" xr3:uid="{2B5BA834-D9CA-43F6-8AE5-318C6D562CDF}" name="Reinsurance Everest Re" dataDxfId="816" dataCellStyle="Normal 3"/>
    <tableColumn id="48" xr3:uid="{FA4BD38D-0628-42EB-B096-03C0A18D2C6E}" name="Reinsurance Lombard" dataDxfId="815" dataCellStyle="Normal 3"/>
    <tableColumn id="49" xr3:uid="{D6CB2EE4-CA5C-4922-9C77-7E7666884C21}" name="Net Impact Assetinsure" dataDxfId="814" dataCellStyle="Normal 3"/>
    <tableColumn id="50" xr3:uid="{157A306B-DD47-4299-9CDA-0A87EEE3D8F5}" name="Previous Period (March 2022)" dataDxfId="813" dataCellStyle="Normal 3"/>
    <tableColumn id="51" xr3:uid="{D1FB4266-12F3-4E5F-80E0-4C56C99CE2F3}" name="Change Commentary" dataDxfId="812" dataCellStyle="Normal 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4BCEF35-531E-4B47-9384-E26C2A7E4981}" name="Table12130" displayName="Table12130" ref="A2:AY167" totalsRowShown="0" headerRowDxfId="811" dataDxfId="810">
  <autoFilter ref="A2:AY167" xr:uid="{078D475E-6B1E-4465-870D-90D267C8AAEA}"/>
  <sortState xmlns:xlrd2="http://schemas.microsoft.com/office/spreadsheetml/2017/richdata2" ref="A3:AN86">
    <sortCondition ref="Y2:Y86"/>
  </sortState>
  <tableColumns count="51">
    <tableColumn id="1" xr3:uid="{A20F942A-25EA-4C03-9A36-7046D8567B23}" name="Applicant/Borrower" dataDxfId="809"/>
    <tableColumn id="2" xr3:uid="{809E20D4-9EA2-4DC4-8B13-DC30830C7990}" name="Lead" dataDxfId="808"/>
    <tableColumn id="3" xr3:uid="{2181DE85-AB16-4F24-96DD-1D82B54F6B56}" name="Insured Location" dataDxfId="807"/>
    <tableColumn id="4" xr3:uid="{B658A0EA-5975-4CED-BBA6-9D08D02C884F}" name="Risk Location Roll-up Continent" dataDxfId="806"/>
    <tableColumn id="5" xr3:uid="{95F0A2FA-A464-4BCE-A5FF-309E94690F4B}" name="Risk Location " dataDxfId="805"/>
    <tableColumn id="6" xr3:uid="{65C93905-5830-434F-A05D-18D6383D6B11}" name="Sector (GICS Industry Group)" dataDxfId="804"/>
    <tableColumn id="7" xr3:uid="{BF088C70-E32E-45A6-8875-3B50D9E71CB7}" name="Industry (GICS)" dataDxfId="803"/>
    <tableColumn id="8" xr3:uid="{900CBBD3-A282-4638-A17F-7233990271B0}" name="Sub-Industry (GICS)" dataDxfId="802"/>
    <tableColumn id="9" xr3:uid="{730E614F-B0EB-4800-9900-E1DAB51653E6}" name="Beneficiary" dataDxfId="801"/>
    <tableColumn id="10" xr3:uid="{A7C9DB5D-59C4-4819-9453-19234839B3B0}" name="Beneficiary Roll-up" dataDxfId="800"/>
    <tableColumn id="11" xr3:uid="{DCF55388-EAEB-4092-B07A-51BFA1798245}" name="Facility Type" dataDxfId="799"/>
    <tableColumn id="12" xr3:uid="{3D3DD34F-F941-40E3-B35D-8761FE0E5CAF}" name="Treaty" dataDxfId="798"/>
    <tableColumn id="13" xr3:uid="{89BEAC91-EE58-4FF9-8ED4-388AB3A83F0F}" name="AUS/ EUR Treaty" dataDxfId="797"/>
    <tableColumn id="14" xr3:uid="{65823792-D2B9-4BA5-B835-1257EB8015C6}" name="CEIP Type" dataDxfId="796"/>
    <tableColumn id="40" xr3:uid="{D6F5F270-98A5-4EE5-93D7-26BC13CA4D54}" name="Shadow Rating" dataDxfId="795" dataCellStyle="Normal 3"/>
    <tableColumn id="39" xr3:uid="{6CAB5B19-E335-4097-A68A-222664ED8EEB}" name="Security Status" dataDxfId="794" dataCellStyle="Normal 3"/>
    <tableColumn id="15" xr3:uid="{01F74942-5521-4301-A54E-8EDC85CC4924}" name=" Facility CCY" dataDxfId="793"/>
    <tableColumn id="16" xr3:uid="{C99C152F-64D5-4917-9094-BE729A844616}" name="Original Limit (A$)" dataDxfId="792"/>
    <tableColumn id="17" xr3:uid="{AD3C621D-ABE9-4CB1-AA5A-13F832DDE3F7}" name="Amortised Limit in Original Currency" dataDxfId="791"/>
    <tableColumn id="18" xr3:uid="{48FED370-E867-4B28-ACA2-B7533937B65B}" name="Amortised Limit A$ Balance" dataDxfId="790"/>
    <tableColumn id="19" xr3:uid="{757FC6A0-82F5-444E-9599-783516DEECD3}" name="Approx. Debt /  Facilities outstanding (Bank Limit) (A$)" dataDxfId="789"/>
    <tableColumn id="20" xr3:uid="{FEEE9F9F-7BA4-408C-A067-A3F86526C8A6}" name="Gross Written Premium (pre-tax premium paid to HDI GS) (A$)" dataDxfId="788"/>
    <tableColumn id="21" xr3:uid="{2295DED7-E6FF-4479-8E46-959A302672AA}" name="Risk Rating" dataDxfId="787"/>
    <tableColumn id="38" xr3:uid="{161DAA57-5EA7-4828-B1CB-8F74857F2FC0}" name="Facility Gross Margin" dataDxfId="786" dataCellStyle="Percent"/>
    <tableColumn id="22" xr3:uid="{E83F9FDB-41E6-49C2-AE24-51894AFF5437}" name="Policy Effective Date " dataDxfId="785"/>
    <tableColumn id="23" xr3:uid="{68F3151D-C776-4915-AF21-CC4149B2DB97}" name="Expiry Date" dataDxfId="784"/>
    <tableColumn id="24" xr3:uid="{CB76DB2F-E978-42D3-9C62-22C52B4F4CED}" name="Policy Expiry Date " dataDxfId="783"/>
    <tableColumn id="25" xr3:uid="{E88EED37-3157-4A6D-B4D7-12694624435C}" name="Original Tenor " dataDxfId="782"/>
    <tableColumn id="26" xr3:uid="{7155CE07-B7F3-4B45-BD11-759C0D831A51}" name="Off Risk " dataDxfId="781"/>
    <tableColumn id="27" xr3:uid="{16E22B06-0FE7-4B75-A153-6E4A8B18658D}" name="Tenor Remaining Days" dataDxfId="780"/>
    <tableColumn id="28" xr3:uid="{596FA928-B4FE-4C14-A35A-F5BB9E4031E8}" name="Tenor Remaining Years" dataDxfId="779"/>
    <tableColumn id="29" xr3:uid="{CA238C20-ECCA-4CE3-9C1C-62C919DFC20E}" name="Everest" dataDxfId="778"/>
    <tableColumn id="30" xr3:uid="{2863563B-8233-4929-9130-3AF7DAD8B568}" name="Docs" dataDxfId="777"/>
    <tableColumn id="31" xr3:uid="{44DA8310-A0E1-402A-9A4F-20D04E2AA38D}" name="Graile" dataDxfId="776"/>
    <tableColumn id="32" xr3:uid="{B4624C92-B493-436C-A408-B2B821D31BC4}" name="Amortisation completed in Graile" dataDxfId="775"/>
    <tableColumn id="33" xr3:uid="{2BB5696E-C655-4B84-A83E-956814EAA101}" name="Off risk reminder sent?" dataDxfId="774"/>
    <tableColumn id="34" xr3:uid="{0A6528E2-C589-4069-A608-A8F60C530B87}" name="Lead Approved" dataDxfId="773"/>
    <tableColumn id="35" xr3:uid="{29BE77E5-CDB0-446A-B258-C1011E183441}" name="Project Name" dataDxfId="772"/>
    <tableColumn id="36" xr3:uid="{589B5FFD-A753-4C83-809B-79486A9A0BE2}" name="Legal Fees (Pre Tax)" dataDxfId="771" dataCellStyle="Normal 3"/>
    <tableColumn id="37" xr3:uid="{2EEC67E3-99FB-4A86-9465-FC79A9524BF9}" name="Establishment Fees (Pre Tax)" dataDxfId="770" dataCellStyle="Normal 3"/>
    <tableColumn id="41" xr3:uid="{D88A8A69-4FBE-4D0E-9B94-909B28B496BB}" name="Risk Location 2" dataDxfId="769" dataCellStyle="Normal 3"/>
    <tableColumn id="42" xr3:uid="{4EA64956-0532-4AA8-9985-1E7FDE7E4FCC}" name="Sector (GICS Industry Group)2" dataDxfId="768" dataCellStyle="Normal 3"/>
    <tableColumn id="43" xr3:uid="{C4EC7420-036F-4E04-BDBD-1FFE62015EA3}" name="ICRC flag" dataDxfId="767" dataCellStyle="Normal 3"/>
    <tableColumn id="44" xr3:uid="{BFF1C9D3-B2E8-4AD6-8459-3077CFF3C945}" name="Percentage Impact" dataDxfId="766" dataCellStyle="Normal 3"/>
    <tableColumn id="45" xr3:uid="{679F945F-3E0A-401D-AD87-175290893879}" name="Total Amount" dataDxfId="765" dataCellStyle="Normal 3"/>
    <tableColumn id="46" xr3:uid="{B7A47997-0A64-40A8-A21B-0730BAE782E0}" name="Assetinsure Amount " dataDxfId="764" dataCellStyle="Normal 3"/>
    <tableColumn id="47" xr3:uid="{08DD08E3-03E4-4853-B736-572333A3FDAD}" name="Reinsurance Everest Re" dataDxfId="763" dataCellStyle="Normal 3"/>
    <tableColumn id="48" xr3:uid="{2BA3E856-C07F-4649-AD05-894C9C322F5E}" name="Reinsurance Lombard" dataDxfId="762" dataCellStyle="Normal 3"/>
    <tableColumn id="49" xr3:uid="{FB091792-FE9D-4889-A233-64049DD9CBCB}" name="Net Impact Assetinsure" dataDxfId="761" dataCellStyle="Normal 3"/>
    <tableColumn id="50" xr3:uid="{FBBF4DF7-3D26-4AEB-9679-F6CE90A9F66D}" name="Previous Period (June 2022)" dataDxfId="760" dataCellStyle="Normal 3"/>
    <tableColumn id="51" xr3:uid="{FABDE446-2E14-485C-BAE6-086DD16A7281}" name="Change Commentary" dataDxfId="759" dataCellStyle="Normal 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F12FA27-03B0-4BD5-9483-B462EF781BDB}" name="Table12129" displayName="Table12129" ref="A2:AY177" totalsRowShown="0" headerRowDxfId="758" dataDxfId="757">
  <autoFilter ref="A2:AY177" xr:uid="{078D475E-6B1E-4465-870D-90D267C8AAEA}"/>
  <sortState xmlns:xlrd2="http://schemas.microsoft.com/office/spreadsheetml/2017/richdata2" ref="A3:AN77">
    <sortCondition ref="Y2:Y77"/>
  </sortState>
  <tableColumns count="51">
    <tableColumn id="1" xr3:uid="{39949FD6-FD0E-41DF-80DF-E4FAA6D9E2F4}" name="Applicant/Borrower" dataDxfId="756"/>
    <tableColumn id="2" xr3:uid="{102D8E7B-5FDB-4C7C-AF51-045A56FC491F}" name="Lead" dataDxfId="755"/>
    <tableColumn id="3" xr3:uid="{BD57D9B9-FFDF-49F3-BBA7-C3255B3E002E}" name="Insured Location" dataDxfId="754"/>
    <tableColumn id="4" xr3:uid="{AEDF64EF-6D53-4A56-A9DF-B6B54844D0E5}" name="Risk Location Roll-up Continent" dataDxfId="753"/>
    <tableColumn id="5" xr3:uid="{4DCEADF6-96A8-4ACF-BDE3-142468F3BB29}" name="Risk Location " dataDxfId="752"/>
    <tableColumn id="6" xr3:uid="{3EF3B115-1DC1-414B-85AC-FCB98B5F699D}" name="Sector (GICS Industry Group)" dataDxfId="751"/>
    <tableColumn id="7" xr3:uid="{01A66FEC-3F68-48C9-831E-A5AF2097E225}" name="Industry (GICS)" dataDxfId="750"/>
    <tableColumn id="8" xr3:uid="{C70131BF-AC84-4418-9D35-3824552F05FC}" name="Sub-Industry (GICS)" dataDxfId="749"/>
    <tableColumn id="9" xr3:uid="{D91D357A-C793-4494-94BD-849784B5A666}" name="Beneficiary" dataDxfId="748"/>
    <tableColumn id="10" xr3:uid="{7495A3F8-52DB-495D-895E-A19C442FDE96}" name="Beneficiary Roll-up" dataDxfId="747"/>
    <tableColumn id="11" xr3:uid="{4505EFE6-8F62-4ADB-95E0-C6814060ADA0}" name="Facility Type" dataDxfId="746"/>
    <tableColumn id="12" xr3:uid="{17150630-4876-4EFD-85EA-E846F1CAF163}" name="Treaty" dataDxfId="745"/>
    <tableColumn id="13" xr3:uid="{6A7B86ED-DA92-4BEE-9064-464DAD888075}" name="AUS/ EUR Treaty" dataDxfId="744"/>
    <tableColumn id="14" xr3:uid="{8954CBF9-B375-47B9-9343-6C5A7BBB1624}" name="CEIP Type" dataDxfId="743"/>
    <tableColumn id="40" xr3:uid="{65A73F89-A2B0-4AA3-AB5C-F69A14CAC7C0}" name="Shadow Rating" dataDxfId="742" dataCellStyle="Normal 3"/>
    <tableColumn id="39" xr3:uid="{68BA60E5-13CF-4D49-8533-7F881FF3BE76}" name="Security Status" dataDxfId="741" dataCellStyle="Normal 3"/>
    <tableColumn id="15" xr3:uid="{1A404F0B-A372-448C-A0B2-667F908440ED}" name=" Facility CCY" dataDxfId="740"/>
    <tableColumn id="16" xr3:uid="{9E4603D5-71F8-4757-937E-AF420B4204FE}" name="Original Limit (A$)" dataDxfId="739"/>
    <tableColumn id="17" xr3:uid="{5F50C73A-9942-43CB-B97A-2E6A3729F653}" name="Amortised Limit in Original Currency" dataDxfId="738"/>
    <tableColumn id="18" xr3:uid="{406F6799-7FCC-4C1B-A3A9-D57B698AF597}" name="Amortised Limit A$ Balance" dataDxfId="737"/>
    <tableColumn id="19" xr3:uid="{6252FCA3-A69C-4B38-B5EF-855E8C595C0D}" name="Approx. Debt /  Facilities outstanding (Bank Limit) (A$)" dataDxfId="736"/>
    <tableColumn id="20" xr3:uid="{15FD5399-47DD-455E-B7F4-349E01A8EFA8}" name="Gross Written Premium (pre-tax premium paid to HDI GS) (A$)" dataDxfId="735"/>
    <tableColumn id="21" xr3:uid="{CD7B23C1-2CAB-4122-9AAC-3EFE60878575}" name="Risk Rating" dataDxfId="734"/>
    <tableColumn id="38" xr3:uid="{92D8B1A0-83A6-414B-A04C-9FBCB44E9FB5}" name="Facility Gross Margin" dataDxfId="733" dataCellStyle="Percent"/>
    <tableColumn id="22" xr3:uid="{B2D93E91-393E-4DCD-8182-1644F16F6066}" name="Policy Effective Date " dataDxfId="732"/>
    <tableColumn id="23" xr3:uid="{A0BC2E5A-DB9D-4F74-B7BF-3821D2E5CFB8}" name="Expiry Date" dataDxfId="731"/>
    <tableColumn id="24" xr3:uid="{1E800713-0726-4DDC-968D-48B7B18C6971}" name="Policy Expiry Date " dataDxfId="730"/>
    <tableColumn id="25" xr3:uid="{83AA703B-89CC-4EBB-815E-0B34563CDAA8}" name="Original Tenor " dataDxfId="729"/>
    <tableColumn id="26" xr3:uid="{E3636A1A-597E-41CB-9F9F-00B9649347A2}" name="Off Risk " dataDxfId="728"/>
    <tableColumn id="27" xr3:uid="{B860A664-2FF2-46C2-BDD0-3F1971830D6B}" name="Tenor Remaining Days" dataDxfId="727">
      <calculatedColumnFormula>AA3-#REF!</calculatedColumnFormula>
    </tableColumn>
    <tableColumn id="28" xr3:uid="{6A795267-CA5D-4893-9D9C-EE6C3C8EF851}" name="Tenor Remaining Years" dataDxfId="726">
      <calculatedColumnFormula>AD3/365</calculatedColumnFormula>
    </tableColumn>
    <tableColumn id="29" xr3:uid="{AF33E856-9765-4F6C-8FE2-9A7B2B4E62C8}" name="Everest" dataDxfId="725"/>
    <tableColumn id="30" xr3:uid="{69439B22-7DE5-474B-81AB-29678510C100}" name="Docs" dataDxfId="724"/>
    <tableColumn id="31" xr3:uid="{8581F477-42EB-4F23-ADB2-35F5247CAFE2}" name="Graile" dataDxfId="723"/>
    <tableColumn id="32" xr3:uid="{0E589026-A16D-4AD0-8B96-F68581B05420}" name="Amortisation completed in Graile" dataDxfId="722"/>
    <tableColumn id="33" xr3:uid="{4AC73729-3ABC-4BD6-8B03-D352D9FF640B}" name="Off risk reminder sent?" dataDxfId="721">
      <calculatedColumnFormula>+IF(AA3-60&lt;$A$1, "SEND NOTICE", "N/A")</calculatedColumnFormula>
    </tableColumn>
    <tableColumn id="34" xr3:uid="{CC564FA5-2934-403C-AC3F-93F3834440A1}" name="Lead Approved" dataDxfId="720"/>
    <tableColumn id="35" xr3:uid="{335DD305-D92E-43F3-852E-DB578FD5935F}" name="Project Name" dataDxfId="719"/>
    <tableColumn id="36" xr3:uid="{A1ED53BF-0ADC-48C3-8ADC-067374CD4697}" name="Legal Fees (Pre Tax)" dataDxfId="718" dataCellStyle="Normal 3"/>
    <tableColumn id="37" xr3:uid="{76250F28-382E-4DF3-B3CB-4CF0AD6C711C}" name="Establishment Fees (Pre Tax)" dataDxfId="717" dataCellStyle="Normal 3"/>
    <tableColumn id="41" xr3:uid="{C662141B-C81C-42E1-BE77-DB621332DFD3}" name="Risk Location 2" dataDxfId="716" dataCellStyle="Normal 3">
      <calculatedColumnFormula>Table12129[[#This Row],[Risk Location ]]</calculatedColumnFormula>
    </tableColumn>
    <tableColumn id="42" xr3:uid="{A25019AB-3613-4A5A-8E46-A13FF6245E7C}" name="Sector (GICS Industry Group)2" dataDxfId="715" dataCellStyle="Normal 3">
      <calculatedColumnFormula>Table12129[[#This Row],[Sector (GICS Industry Group)]]</calculatedColumnFormula>
    </tableColumn>
    <tableColumn id="43" xr3:uid="{B87276A3-7470-435A-9C89-EAFF708FF637}" name="ICRC flag" dataDxfId="714" dataCellStyle="Normal 3"/>
    <tableColumn id="44" xr3:uid="{1EF08CF2-D90D-4259-AD2A-E01440196EA1}" name="Percentage Impact" dataDxfId="713" dataCellStyle="Normal 3"/>
    <tableColumn id="45" xr3:uid="{D8C126D8-D5B3-4C36-A467-74C19CE8C0E2}" name="Total Amount" dataDxfId="712" dataCellStyle="Normal 3"/>
    <tableColumn id="46" xr3:uid="{C12E57C8-D19A-4934-9F17-F7252C45EAA2}" name="Assetinsure Amount " dataDxfId="711" dataCellStyle="Normal 3"/>
    <tableColumn id="47" xr3:uid="{19413D6D-9693-4C90-BEB2-9365FE58BFE5}" name="Reinsurance Everest Re" dataDxfId="710" dataCellStyle="Normal 3"/>
    <tableColumn id="48" xr3:uid="{3FB8103F-D3A8-441B-B511-8D1317FD0640}" name="Reinsurance Lombard" dataDxfId="709" dataCellStyle="Normal 3"/>
    <tableColumn id="49" xr3:uid="{7D6A5187-F53E-4633-AFAD-34BA4A9337D1}" name="Net Impact Assetinsure" dataDxfId="708" dataCellStyle="Normal 3"/>
    <tableColumn id="50" xr3:uid="{959ADCD3-15CD-457B-A240-6F0F934710DA}" name="Previous Period (September 2022)" dataDxfId="707" dataCellStyle="Normal 3">
      <calculatedColumnFormula>+BC3</calculatedColumnFormula>
    </tableColumn>
    <tableColumn id="51" xr3:uid="{8BA5C8CE-19FD-46D2-B59A-719C4FB30687}" name="Change Commentary" dataDxfId="706" dataCellStyle="Normal 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11A365-41C5-4DD4-B871-CBF7D10431D0}" name="Table12117" displayName="Table12117" ref="A2:AZ190" totalsRowShown="0" headerRowDxfId="705" dataDxfId="704">
  <autoFilter ref="A2:AZ190" xr:uid="{078D475E-6B1E-4465-870D-90D267C8AAEA}"/>
  <sortState xmlns:xlrd2="http://schemas.microsoft.com/office/spreadsheetml/2017/richdata2" ref="A3:AO74">
    <sortCondition ref="Z2:Z74"/>
  </sortState>
  <tableColumns count="52">
    <tableColumn id="1" xr3:uid="{F6C32AE8-2FCA-4D0F-805D-51BE04BF2C27}" name="Applicant/Borrower" dataDxfId="703"/>
    <tableColumn id="2" xr3:uid="{079DD8AD-816F-49A5-8911-C0EB9E385BDB}" name="Lead" dataDxfId="702"/>
    <tableColumn id="52" xr3:uid="{0F6AB77F-2BF9-4FCD-A1B6-2C5D08C61B62}" name="TM" dataDxfId="701" dataCellStyle="Normal 3"/>
    <tableColumn id="3" xr3:uid="{92C56824-E20F-404D-962F-EB9663FFBC52}" name="Insured Location" dataDxfId="700"/>
    <tableColumn id="4" xr3:uid="{F961298C-69E2-4EA9-8B1F-9EA55AF5562D}" name="Risk Location Roll-up Continent" dataDxfId="699"/>
    <tableColumn id="5" xr3:uid="{3BD14103-5D18-4BBE-8262-E58A3047239B}" name="Risk Location " dataDxfId="698"/>
    <tableColumn id="6" xr3:uid="{568DC707-E36A-47D9-9760-E495921E159D}" name="Sector (GICS Industry Group)" dataDxfId="697"/>
    <tableColumn id="7" xr3:uid="{A0EB1560-FB70-4C6A-AC0F-A334358E5279}" name="Industry (GICS)" dataDxfId="696"/>
    <tableColumn id="8" xr3:uid="{D757467D-C3A0-4C8D-B8D6-3965F76B700F}" name="Sub-Industry (GICS)" dataDxfId="695"/>
    <tableColumn id="9" xr3:uid="{774775A7-3DE9-4481-B482-528F9CB1AFB9}" name="Beneficiary" dataDxfId="694"/>
    <tableColumn id="10" xr3:uid="{F34ED788-0FC5-41BA-851C-9EBD83CDC4E1}" name="Beneficiary Roll-up" dataDxfId="693"/>
    <tableColumn id="11" xr3:uid="{C16125DA-E061-45DA-BA5C-35F456D99ADD}" name="Facility Type" dataDxfId="692"/>
    <tableColumn id="12" xr3:uid="{288F0A57-618C-4AB1-AD21-6CCB822CEF63}" name="Treaty" dataDxfId="691"/>
    <tableColumn id="13" xr3:uid="{390DD25B-C26D-4306-A895-B09261C4CC79}" name="AUS/ EUR Treaty" dataDxfId="690"/>
    <tableColumn id="14" xr3:uid="{E5E0D4DA-7C96-4115-9E7A-BFC78AC0728C}" name="CEIP Type" dataDxfId="689"/>
    <tableColumn id="40" xr3:uid="{DBDD7452-28A1-425A-A515-B3A6A4F5E0AA}" name="Shadow Rating" dataDxfId="688" dataCellStyle="Normal 3"/>
    <tableColumn id="39" xr3:uid="{F3805FB9-656D-4C9D-A12E-5BA82DF4DC6D}" name="Security Status" dataDxfId="687" dataCellStyle="Normal 3"/>
    <tableColumn id="15" xr3:uid="{C9280114-1B1A-42CB-97D9-43DBB3659483}" name=" Facility CCY" dataDxfId="686"/>
    <tableColumn id="16" xr3:uid="{6CE1B084-87E6-4EC8-BA72-0BD094820041}" name="Original Limit (A$)" dataDxfId="685"/>
    <tableColumn id="17" xr3:uid="{FB24202A-66B3-4F0F-8215-855C5BAF71EA}" name="Amortised Limit in Original Currency" dataDxfId="684"/>
    <tableColumn id="18" xr3:uid="{73E2FD74-5067-4E38-9F6B-CAAF7386CDD3}" name="Amortised Limit A$ Balance" dataDxfId="683"/>
    <tableColumn id="19" xr3:uid="{6A956F7C-C7E3-4EA3-A113-EE9D6838B9C0}" name="Approx. Debt /  Facilities outstanding (Bank Limit) (A$)" dataDxfId="682"/>
    <tableColumn id="20" xr3:uid="{80B8B642-CFF8-491C-BFE8-F3224DA24D14}" name="Gross Written Premium (pre-tax premium paid to HDI GS) (A$)" dataDxfId="681"/>
    <tableColumn id="21" xr3:uid="{E8FB58E0-305C-4F0F-B1EE-12AEA41E4B4D}" name="Risk Rating" dataDxfId="680"/>
    <tableColumn id="38" xr3:uid="{AF520988-90B9-4874-8E14-59059CDCAB50}" name="Facility Gross Margin" dataDxfId="679" dataCellStyle="Percent"/>
    <tableColumn id="22" xr3:uid="{4FEED057-FF0B-4EE3-AB50-ED0DB1A723E0}" name="Policy Effective Date " dataDxfId="678"/>
    <tableColumn id="23" xr3:uid="{19EB7E98-ED51-42B9-B296-726D0DBADC3F}" name="Expiry Date" dataDxfId="677"/>
    <tableColumn id="24" xr3:uid="{0B9FB66E-8E8B-406B-B3AE-C8049DDD2472}" name="Policy Expiry Date " dataDxfId="676"/>
    <tableColumn id="25" xr3:uid="{E3BA7C05-AE85-4C2A-A9CD-13CE3B070424}" name="Original Tenor " dataDxfId="675"/>
    <tableColumn id="26" xr3:uid="{B1787938-24B6-4442-8D4C-1C3D230B4CCC}" name="Off Risk " dataDxfId="674"/>
    <tableColumn id="27" xr3:uid="{A194D65A-A89C-4BA0-942F-C85FB3111882}" name="Tenor Remaining Days" dataDxfId="673">
      <calculatedColumnFormula>AB3-#REF!</calculatedColumnFormula>
    </tableColumn>
    <tableColumn id="28" xr3:uid="{71F36B6F-982B-4AB7-88EC-CF25A5CE4130}" name="Tenor Remaining Years" dataDxfId="672">
      <calculatedColumnFormula>AE3/365</calculatedColumnFormula>
    </tableColumn>
    <tableColumn id="29" xr3:uid="{FBAEB6F1-C7B9-46B0-9D02-B80AF4F6CEFC}" name="Everest" dataDxfId="671"/>
    <tableColumn id="30" xr3:uid="{BD558351-5990-4C10-9618-4CEE8ECFDC51}" name="Docs" dataDxfId="670"/>
    <tableColumn id="31" xr3:uid="{259F9B17-67B0-48F3-BFB9-7A83800630E3}" name="Graile" dataDxfId="669"/>
    <tableColumn id="32" xr3:uid="{FC7A8007-1F78-408C-AE2D-FB05EBA81E51}" name="Amortisation completed in Graile" dataDxfId="668"/>
    <tableColumn id="33" xr3:uid="{65BDE905-BA8E-40D4-B8DA-4992F568B66A}" name="Off risk reminder sent?" dataDxfId="667">
      <calculatedColumnFormula>+IF(AB3-60&lt;$A$1, "SEND NOTICE", "N/A")</calculatedColumnFormula>
    </tableColumn>
    <tableColumn id="34" xr3:uid="{BCE98622-81FE-4AC5-9AA8-AF801AEF96DD}" name="Lead Approved" dataDxfId="666"/>
    <tableColumn id="35" xr3:uid="{D5F851B2-4126-47AC-9B2D-458660619A9D}" name="Project Name" dataDxfId="665"/>
    <tableColumn id="36" xr3:uid="{15113B9E-FC6A-441E-A9D1-F98C2CB11B37}" name="Legal Fees (Pre Tax)" dataDxfId="664" dataCellStyle="Normal 3"/>
    <tableColumn id="37" xr3:uid="{4E973F6E-0BBA-425D-8C39-9FBDBB0CF5F1}" name="Establishment Fees (Pre Tax)" dataDxfId="663" dataCellStyle="Normal 3"/>
    <tableColumn id="41" xr3:uid="{343D5FBC-36C0-4F67-B06D-36DF47B6E5B5}" name="Risk Location 2" dataDxfId="662" dataCellStyle="Normal 3">
      <calculatedColumnFormula>Table12117[[#This Row],[Risk Location ]]</calculatedColumnFormula>
    </tableColumn>
    <tableColumn id="42" xr3:uid="{065D9A9F-A3C2-4DE4-83BB-35F96911CB92}" name="Sector (GICS Industry Group)2" dataDxfId="661" dataCellStyle="Normal 3">
      <calculatedColumnFormula>Table12117[[#This Row],[Sector (GICS Industry Group)]]</calculatedColumnFormula>
    </tableColumn>
    <tableColumn id="43" xr3:uid="{EF7F70D7-A494-448E-A25F-0DCCBE8F6409}" name="ICRC flag" dataDxfId="660" dataCellStyle="Normal 3"/>
    <tableColumn id="44" xr3:uid="{D10A4A5C-6DEE-4C2B-910C-DB50D73CF0A4}" name="Percentage Impact" dataDxfId="659" dataCellStyle="Normal 3"/>
    <tableColumn id="45" xr3:uid="{8B5C787F-5F6D-48D0-A472-6956D44B854A}" name="Total Amount" dataDxfId="658" dataCellStyle="Normal 3">
      <calculatedColumnFormula>Table12117[[#This Row],[Percentage Impact]]*Table12117[[#This Row],[Amortised Limit A$ Balance]]</calculatedColumnFormula>
    </tableColumn>
    <tableColumn id="46" xr3:uid="{86764471-17C3-4C10-B03F-C8739B6D3114}" name="Assetinsure Amount " dataDxfId="657" dataCellStyle="Normal 3">
      <calculatedColumnFormula>Table12117[[#This Row],[Amortised Limit A$ Balance]]*12%</calculatedColumnFormula>
    </tableColumn>
    <tableColumn id="47" xr3:uid="{43203539-D1A9-4FC8-8779-0AD22AC0B2A3}" name="Reinsurance Everest Re" dataDxfId="656" dataCellStyle="Normal 3">
      <calculatedColumnFormula>IF(Table12117[[#This Row],[Everest]]="Everest",Table12117[[#This Row],[Assetinsure Amount ]]*0.2)</calculatedColumnFormula>
    </tableColumn>
    <tableColumn id="48" xr3:uid="{2D4D3564-8B6E-4146-B20E-1BE16FC9D4F3}" name="Reinsurance Lombard" dataDxfId="655" dataCellStyle="Normal 3"/>
    <tableColumn id="49" xr3:uid="{ADE93991-61D8-456A-87C8-3CF937D15881}" name="Net Impact Assetinsure" dataDxfId="654" dataCellStyle="Normal 3">
      <calculatedColumnFormula>MIN(Table12117[[#This Row],[Assetinsure Amount ]]-Table12117[[#This Row],[Reinsurance Everest Re]],Table12117[[#This Row],[Total Amount]])</calculatedColumnFormula>
    </tableColumn>
    <tableColumn id="50" xr3:uid="{579874E0-00D6-411D-8BC5-8371A20509F7}" name="Previous Period (December 2022)" dataDxfId="653" dataCellStyle="Normal 3">
      <calculatedColumnFormula>+BD3</calculatedColumnFormula>
    </tableColumn>
    <tableColumn id="51" xr3:uid="{74760D67-0B5B-442A-A681-0AD3265725C7}" name="Change Commentary" dataDxfId="652" dataCellStyle="Normal 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FB1504B-8031-48CD-9E65-8132D9EF16DA}" name="Table12118" displayName="Table12118" ref="A2:BD210" totalsRowShown="0" headerRowDxfId="651" dataDxfId="650">
  <autoFilter ref="A2:BD210" xr:uid="{8FFF2D86-0C24-4C80-B020-B6AD1FE9450E}"/>
  <sortState xmlns:xlrd2="http://schemas.microsoft.com/office/spreadsheetml/2017/richdata2" ref="A3:AS71">
    <sortCondition ref="AD2:AD71"/>
  </sortState>
  <tableColumns count="56">
    <tableColumn id="1" xr3:uid="{6E293E21-C77F-4A56-A9FE-9E371912EFD4}" name="Applicant/Borrower" dataDxfId="649"/>
    <tableColumn id="2" xr3:uid="{54DA6127-442A-4492-B2B5-82C3035CB7B3}" name="Lead" dataDxfId="648"/>
    <tableColumn id="52" xr3:uid="{B27268A8-4AD8-4802-B143-877301CE91A4}" name="TM" dataDxfId="647" dataCellStyle="Normal 3"/>
    <tableColumn id="3" xr3:uid="{89001720-4864-4FAC-8FA8-C5724F2C0CAE}" name="Insured Location" dataDxfId="646"/>
    <tableColumn id="4" xr3:uid="{0BAA183E-A674-441F-B0BC-67E1D46C4C54}" name="Risk Location Roll-up Continent" dataDxfId="645"/>
    <tableColumn id="5" xr3:uid="{5E6FFA55-A4AC-42AE-9382-0D45355C4EFA}" name="Risk Location " dataDxfId="644"/>
    <tableColumn id="6" xr3:uid="{447CD5EE-68CE-498B-A42A-578EE6C84753}" name="Sector (GICS Industry Group)" dataDxfId="643"/>
    <tableColumn id="7" xr3:uid="{F25288EC-6A42-4AA3-ADFA-7948B8BF27B6}" name="Industry (GICS)" dataDxfId="642"/>
    <tableColumn id="8" xr3:uid="{99430C16-509C-4229-AB05-21D4B37A1121}" name="Sub-Industry (GICS)" dataDxfId="641"/>
    <tableColumn id="9" xr3:uid="{B23B3D73-A421-4EC1-AC5E-E8318CBDE5E1}" name="Beneficiary" dataDxfId="640"/>
    <tableColumn id="10" xr3:uid="{8DCFD367-5FD8-4F84-8DCD-23D732F97863}" name="Beneficiary Roll-up" dataDxfId="639"/>
    <tableColumn id="11" xr3:uid="{56D34BB2-516F-4948-8774-E2B63AEF7C06}" name="Facility Type" dataDxfId="638"/>
    <tableColumn id="12" xr3:uid="{17BEEE4A-F492-40DD-86D3-45D919E6CCC6}" name="Treaty" dataDxfId="637"/>
    <tableColumn id="13" xr3:uid="{D1157625-5DFD-4A23-92E2-B8075BBC5974}" name="AUS/ EUR Treaty" dataDxfId="636"/>
    <tableColumn id="14" xr3:uid="{1250B1C5-EFFD-4585-94EF-BAE3AA2E79E1}" name="CEIP Type" dataDxfId="635"/>
    <tableColumn id="53" xr3:uid="{D8CDBEDF-812E-4B3B-B8D8-37D487792616}" name="Collateral Score" dataDxfId="634" dataCellStyle="Normal 3"/>
    <tableColumn id="40" xr3:uid="{A543A129-4D57-4658-A37C-B3684FEF4C08}" name="Shadow Rating" dataDxfId="633" dataCellStyle="Normal 3"/>
    <tableColumn id="39" xr3:uid="{96561715-7456-4700-ADA2-A2520A87AA32}" name="Security Status" dataDxfId="632" dataCellStyle="Normal 3"/>
    <tableColumn id="15" xr3:uid="{447D6EA2-B88F-4144-B645-6C721DC82845}" name=" Facility CCY" dataDxfId="631"/>
    <tableColumn id="16" xr3:uid="{BBFD381D-DBA6-48F3-9A3B-5D87CF525D7C}" name="Original Limit (A$)" dataDxfId="630"/>
    <tableColumn id="17" xr3:uid="{22FEC894-EE42-48F3-ABA9-6D87F7C5DE18}" name="Amortised Limit in Original Currency" dataDxfId="629"/>
    <tableColumn id="18" xr3:uid="{E4423C3B-C48C-4418-820C-E6D4EF5748BD}" name="Amortised Limit A$ Balance" dataDxfId="628"/>
    <tableColumn id="19" xr3:uid="{4BCBEE4F-A4F8-47A4-B90B-C8A250AFA5BF}" name="Approx. Debt /  Facilities outstanding (Bank Limit) (A$)" dataDxfId="627"/>
    <tableColumn id="20" xr3:uid="{A572AF52-3E81-4BDE-884A-B836D42A6CCC}" name="Gross Written Premium (pre-tax premium paid to HDI GS) (A$)" dataDxfId="626"/>
    <tableColumn id="55" xr3:uid="{C3D190A8-0CFA-4EC0-90AA-F348EBDF108E}" name="Direct / Broker" dataDxfId="625" dataCellStyle="Normal 3"/>
    <tableColumn id="54" xr3:uid="{E62784EF-5108-4D54-A077-CCFE104AEE78}" name="Bokerage %" dataDxfId="624" dataCellStyle="Percent"/>
    <tableColumn id="21" xr3:uid="{2FCD75E9-9F1A-417E-B067-C22F5FB08AAA}" name="Risk Rating" dataDxfId="623"/>
    <tableColumn id="38" xr3:uid="{3CEE9272-25E5-4300-A106-DC73688FA768}" name="Facility Gross Margin" dataDxfId="622" dataCellStyle="Percent"/>
    <tableColumn id="57" xr3:uid="{18B92F45-5EF1-49BD-B274-950BB06F66B7}" name="Premium Rate" dataDxfId="621" dataCellStyle="Percent"/>
    <tableColumn id="22" xr3:uid="{8B659782-4C60-40E5-982F-9D506882A404}" name="Policy Effective Date " dataDxfId="620"/>
    <tableColumn id="23" xr3:uid="{AB708667-3FC7-4D5B-8A47-BD20833042FA}" name="Expiry Date" dataDxfId="619"/>
    <tableColumn id="24" xr3:uid="{D99846F3-FE09-432D-B127-053B5656C0E4}" name="Policy Expiry Date " dataDxfId="618"/>
    <tableColumn id="25" xr3:uid="{B9C33192-D2B1-4EC2-B740-9D80B4815175}" name="Original Tenor " dataDxfId="617"/>
    <tableColumn id="26" xr3:uid="{F04BD252-610A-42A8-BDC7-6BCEE88E96D7}" name="Off Risk " dataDxfId="616"/>
    <tableColumn id="27" xr3:uid="{6FB7920A-23C5-4D6A-8C63-4F35A45E16E5}" name="Tenor Remaining Days" dataDxfId="615">
      <calculatedColumnFormula>AF3-#REF!</calculatedColumnFormula>
    </tableColumn>
    <tableColumn id="28" xr3:uid="{459042CE-5B1E-4E0B-B530-0059C1717337}" name="Tenor Remaining Years" dataDxfId="614">
      <calculatedColumnFormula>AI3/365</calculatedColumnFormula>
    </tableColumn>
    <tableColumn id="29" xr3:uid="{1B2A5D77-886F-4545-96E8-8D73D088B47E}" name="Everest" dataDxfId="613"/>
    <tableColumn id="30" xr3:uid="{03287163-1973-4186-8BC3-9819EF9F3B88}" name="Docs" dataDxfId="612"/>
    <tableColumn id="31" xr3:uid="{C414C5D3-DDB9-4F08-BFC7-A4E9552E5BC5}" name="Graile" dataDxfId="611"/>
    <tableColumn id="32" xr3:uid="{B077A693-43F8-47B7-B754-C4B10F3DA601}" name="Amortisation completed in Graile" dataDxfId="610"/>
    <tableColumn id="33" xr3:uid="{45F46C8C-9909-4246-AD71-666A4E8FC2DF}" name="Off risk reminder sent?" dataDxfId="609">
      <calculatedColumnFormula>+IF(AF3-60&lt;$A$1, "SEND NOTICE", "N/A")</calculatedColumnFormula>
    </tableColumn>
    <tableColumn id="34" xr3:uid="{324E0160-74CA-4E93-99E7-1BD948DD2F4B}" name="Lead Approved" dataDxfId="608"/>
    <tableColumn id="35" xr3:uid="{E0DF32F4-7870-4440-9596-902F1E03C66D}" name="Project Name" dataDxfId="607"/>
    <tableColumn id="36" xr3:uid="{49E79D1F-BBFC-4D47-8E9B-2E519239904A}" name="Legal Fees (Pre Tax)" dataDxfId="606" dataCellStyle="Normal 3"/>
    <tableColumn id="37" xr3:uid="{845BF25B-86ED-4900-BE9C-C1B01A478520}" name="Establishment Fees (Pre Tax)" dataDxfId="605" dataCellStyle="Normal 3"/>
    <tableColumn id="41" xr3:uid="{9CC6343C-8DC4-42D5-AB9E-3334B642B56D}" name="Risk Location 2" dataDxfId="604" dataCellStyle="Normal 3">
      <calculatedColumnFormula>Table12118[[#This Row],[Risk Location ]]</calculatedColumnFormula>
    </tableColumn>
    <tableColumn id="42" xr3:uid="{777D032B-63CA-4173-B119-937473C48005}" name="Sector (GICS Industry Group)2" dataDxfId="603" dataCellStyle="Normal 3">
      <calculatedColumnFormula>Table12118[[#This Row],[Sector (GICS Industry Group)]]</calculatedColumnFormula>
    </tableColumn>
    <tableColumn id="43" xr3:uid="{6B0D00B0-7DE5-44B7-87CD-E5BAE61ACE16}" name="ICRC flag" dataDxfId="602" dataCellStyle="Normal 3"/>
    <tableColumn id="44" xr3:uid="{013A134B-F2D0-4CB0-8864-3F0E3B218437}" name="Percentage Impact" dataDxfId="601" dataCellStyle="Normal 3"/>
    <tableColumn id="45" xr3:uid="{3DBFAFCE-1B59-4AED-8EF9-9936AE477668}" name="Total Amount" dataDxfId="600" dataCellStyle="Normal 3">
      <calculatedColumnFormula>Table12118[[#This Row],[Percentage Impact]]*Table12118[[#This Row],[Amortised Limit A$ Balance]]</calculatedColumnFormula>
    </tableColumn>
    <tableColumn id="46" xr3:uid="{993E8C64-D2AB-4B4D-A788-4428CA0B9649}" name="Assetinsure Amount " dataDxfId="599" dataCellStyle="Normal 3">
      <calculatedColumnFormula>Table12118[[#This Row],[Amortised Limit A$ Balance]]*12%</calculatedColumnFormula>
    </tableColumn>
    <tableColumn id="47" xr3:uid="{B88206E6-7D1A-421C-AA97-11FAA2B0446B}" name="Reinsurance Everest Re" dataDxfId="598" dataCellStyle="Normal 3">
      <calculatedColumnFormula>IF(Table12118[[#This Row],[Everest]]="Everest",Table12118[[#This Row],[Assetinsure Amount ]]*0.2)</calculatedColumnFormula>
    </tableColumn>
    <tableColumn id="48" xr3:uid="{39944EB5-68EE-4A8E-8B48-A83F7E926F44}" name="Reinsurance Lombard" dataDxfId="597" dataCellStyle="Normal 3"/>
    <tableColumn id="49" xr3:uid="{A50595D3-D58A-4BBD-9FA7-CBDFDA6CB36D}" name="Net Impact Assetinsure" dataDxfId="596" dataCellStyle="Normal 3">
      <calculatedColumnFormula>MIN(Table12118[[#This Row],[Assetinsure Amount ]]-Table12118[[#This Row],[Reinsurance Everest Re]],Table12118[[#This Row],[Total Amount]])</calculatedColumnFormula>
    </tableColumn>
    <tableColumn id="50" xr3:uid="{DACC6FE9-E7B9-4CC9-878D-55B64CE137E3}" name="Previous Period (Mar 2023)" dataDxfId="595" dataCellStyle="Normal 3">
      <calculatedColumnFormula>+BH3</calculatedColumnFormula>
    </tableColumn>
    <tableColumn id="51" xr3:uid="{9B00EA1F-E876-4CD7-BFEA-6E784D15C8F7}" name="Change Commentary" dataDxfId="594" dataCellStyle="Normal 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J25" dT="2022-10-19T05:22:50.17" personId="{87669A25-C658-4636-A633-BDC332A8C9E2}" id="{FB401B0A-05AC-494E-8A75-EE469FB13332}">
    <text>GW has confirmed we are awaiting extension (Sep 22)</text>
  </threadedComment>
</ThreadedComments>
</file>

<file path=xl/threadedComments/threadedComment2.xml><?xml version="1.0" encoding="utf-8"?>
<ThreadedComments xmlns="http://schemas.microsoft.com/office/spreadsheetml/2018/threadedcomments" xmlns:x="http://schemas.openxmlformats.org/spreadsheetml/2006/main">
  <threadedComment ref="AJ22" dT="2022-10-19T05:22:50.17" personId="{87669A25-C658-4636-A633-BDC332A8C9E2}" id="{A7591A82-D2A8-4AE0-8337-5E29A1DDE89B}">
    <text>GW has confirmed we are awaiting extension (Sep 22)</text>
  </threadedComment>
</ThreadedComments>
</file>

<file path=xl/threadedComments/threadedComment3.xml><?xml version="1.0" encoding="utf-8"?>
<ThreadedComments xmlns="http://schemas.microsoft.com/office/spreadsheetml/2018/threadedcomments" xmlns:x="http://schemas.openxmlformats.org/spreadsheetml/2006/main">
  <threadedComment ref="AK20" dT="2022-10-19T05:22:50.17" personId="{87669A25-C658-4636-A633-BDC332A8C9E2}" id="{6700DA4A-8D06-4C9B-BBB1-F9F6D0EB7C0D}">
    <text>GW has confirmed we are awaiting extension (Sep 22)</text>
  </threadedComment>
</ThreadedComments>
</file>

<file path=xl/threadedComments/threadedComment4.xml><?xml version="1.0" encoding="utf-8"?>
<ThreadedComments xmlns="http://schemas.microsoft.com/office/spreadsheetml/2018/threadedcomments" xmlns:x="http://schemas.openxmlformats.org/spreadsheetml/2006/main">
  <threadedComment ref="AO19" dT="2022-10-19T05:22:50.17" personId="{87669A25-C658-4636-A633-BDC332A8C9E2}" id="{5FE909AD-231B-4D12-A4C6-0AA9818EB2EF}">
    <text>GW has confirmed we are awaiting extension (Sep 22)</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5" Type="http://schemas.microsoft.com/office/2017/10/relationships/threadedComment" Target="../threadedComments/threadedComment1.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2.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5" Type="http://schemas.microsoft.com/office/2017/10/relationships/threadedComment" Target="../threadedComments/threadedComment3.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5" Type="http://schemas.microsoft.com/office/2017/10/relationships/threadedComment" Target="../threadedComments/threadedComment4.xml"/><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A450B-1D6D-4BAB-8EFE-EE56AA7C3461}">
  <dimension ref="A1:AS244"/>
  <sheetViews>
    <sheetView tabSelected="1" zoomScale="85" zoomScaleNormal="85" workbookViewId="0">
      <pane xSplit="1" ySplit="2" topLeftCell="J3" activePane="bottomRight" state="frozen"/>
      <selection pane="topRight" activeCell="B1" sqref="B1"/>
      <selection pane="bottomLeft" activeCell="A3" sqref="A3"/>
      <selection pane="bottomRight" activeCell="Q3" sqref="Q3"/>
    </sheetView>
  </sheetViews>
  <sheetFormatPr defaultColWidth="9.140625" defaultRowHeight="12.75" outlineLevelCol="1" x14ac:dyDescent="0.2"/>
  <cols>
    <col min="1" max="1" width="48" style="21" bestFit="1" customWidth="1"/>
    <col min="2" max="2" width="7.85546875" style="21" bestFit="1" customWidth="1"/>
    <col min="3" max="3" width="6" style="21" bestFit="1" customWidth="1"/>
    <col min="4" max="4" width="14.42578125" style="11" bestFit="1" customWidth="1"/>
    <col min="5" max="5" width="17.28515625" style="11" bestFit="1" customWidth="1"/>
    <col min="6" max="6" width="15.5703125" style="11" bestFit="1" customWidth="1"/>
    <col min="7" max="7" width="35.85546875" style="11" bestFit="1" customWidth="1"/>
    <col min="8" max="8" width="34.42578125" style="11" bestFit="1" customWidth="1" outlineLevel="1"/>
    <col min="9" max="9" width="34.140625" style="11" bestFit="1" customWidth="1"/>
    <col min="10" max="10" width="34" style="21" bestFit="1" customWidth="1"/>
    <col min="11" max="11" width="20.85546875" style="11" bestFit="1" customWidth="1"/>
    <col min="12" max="12" width="14.85546875" style="11" bestFit="1" customWidth="1"/>
    <col min="13" max="13" width="9.85546875" style="11" bestFit="1" customWidth="1" outlineLevel="1"/>
    <col min="14" max="14" width="9" style="11" bestFit="1" customWidth="1"/>
    <col min="15" max="15" width="21" style="11" bestFit="1" customWidth="1"/>
    <col min="16" max="16" width="12.140625" style="11" bestFit="1" customWidth="1"/>
    <col min="17" max="17" width="10.7109375" style="11" bestFit="1" customWidth="1"/>
    <col min="18" max="18" width="42.42578125" style="11" bestFit="1" customWidth="1"/>
    <col min="19" max="19" width="17.7109375" style="19" bestFit="1" customWidth="1"/>
    <col min="20" max="20" width="15.85546875" style="11" bestFit="1" customWidth="1"/>
    <col min="21" max="21" width="12.42578125" style="293" bestFit="1" customWidth="1"/>
    <col min="22" max="22" width="12.42578125" style="154" bestFit="1" customWidth="1"/>
    <col min="23" max="23" width="16.42578125" style="154" bestFit="1" customWidth="1"/>
    <col min="24" max="24" width="19.28515625" style="154" bestFit="1" customWidth="1"/>
    <col min="25" max="25" width="9.7109375" style="154" bestFit="1" customWidth="1"/>
    <col min="26" max="26" width="10.85546875" style="154" bestFit="1" customWidth="1"/>
    <col min="27" max="27" width="13.42578125" style="154" bestFit="1" customWidth="1"/>
    <col min="28" max="28" width="9.85546875" style="154" bestFit="1" customWidth="1"/>
    <col min="29" max="29" width="11.5703125" style="154" bestFit="1" customWidth="1"/>
    <col min="30" max="30" width="11" style="154" bestFit="1" customWidth="1"/>
    <col min="31" max="31" width="13.7109375" style="399" bestFit="1" customWidth="1"/>
    <col min="32" max="32" width="13.7109375" style="154" bestFit="1" customWidth="1"/>
    <col min="33" max="33" width="10.5703125" style="154" bestFit="1" customWidth="1"/>
    <col min="34" max="34" width="10.140625" style="19" bestFit="1" customWidth="1"/>
    <col min="35" max="35" width="10.28515625" style="11" bestFit="1" customWidth="1"/>
    <col min="36" max="36" width="12" style="11" bestFit="1" customWidth="1"/>
    <col min="37" max="37" width="9.85546875" style="19" bestFit="1" customWidth="1"/>
    <col min="38" max="38" width="23.7109375" style="11" customWidth="1" outlineLevel="1"/>
    <col min="39" max="39" width="17.85546875" style="11" customWidth="1" outlineLevel="1"/>
    <col min="40" max="40" width="39" style="11" customWidth="1" outlineLevel="1"/>
    <col min="41" max="41" width="37.42578125" style="11" bestFit="1" customWidth="1"/>
    <col min="42" max="42" width="9.140625" style="11"/>
    <col min="43" max="43" width="14.85546875" style="229" bestFit="1" customWidth="1"/>
    <col min="44" max="44" width="9.140625" style="11"/>
    <col min="45" max="45" width="9.140625" style="409"/>
    <col min="46" max="16384" width="9.140625" style="11"/>
  </cols>
  <sheetData>
    <row r="1" spans="1:43" x14ac:dyDescent="0.2">
      <c r="A1" s="126">
        <v>45291</v>
      </c>
      <c r="B1" s="125"/>
      <c r="C1" s="125"/>
      <c r="D1" s="124"/>
      <c r="E1" s="124"/>
      <c r="F1" s="124"/>
      <c r="N1" s="124"/>
      <c r="V1" s="11"/>
      <c r="W1" s="11"/>
      <c r="X1" s="356"/>
      <c r="Y1" s="361"/>
      <c r="Z1" s="11"/>
      <c r="AA1" s="11"/>
      <c r="AB1" s="11"/>
      <c r="AC1" s="11"/>
      <c r="AD1" s="11"/>
      <c r="AE1" s="20"/>
      <c r="AF1" s="11"/>
      <c r="AG1" s="11"/>
      <c r="AM1" s="195"/>
      <c r="AN1" s="196"/>
    </row>
    <row r="2" spans="1:43" s="288" customFormat="1" ht="76.5" x14ac:dyDescent="0.2">
      <c r="A2" s="279" t="s">
        <v>14</v>
      </c>
      <c r="B2" s="279" t="s">
        <v>63</v>
      </c>
      <c r="C2" s="279" t="s">
        <v>1140</v>
      </c>
      <c r="D2" s="279" t="s">
        <v>84</v>
      </c>
      <c r="E2" s="279" t="s">
        <v>468</v>
      </c>
      <c r="F2" s="279" t="s">
        <v>467</v>
      </c>
      <c r="G2" s="279" t="s">
        <v>81</v>
      </c>
      <c r="H2" s="279" t="s">
        <v>82</v>
      </c>
      <c r="I2" s="279" t="s">
        <v>83</v>
      </c>
      <c r="J2" s="279" t="s">
        <v>2</v>
      </c>
      <c r="K2" s="279" t="s">
        <v>217</v>
      </c>
      <c r="L2" s="279" t="s">
        <v>39</v>
      </c>
      <c r="M2" s="279" t="s">
        <v>5</v>
      </c>
      <c r="N2" s="279" t="s">
        <v>427</v>
      </c>
      <c r="O2" s="279" t="s">
        <v>41</v>
      </c>
      <c r="P2" s="279" t="s">
        <v>1263</v>
      </c>
      <c r="Q2" s="279" t="s">
        <v>535</v>
      </c>
      <c r="R2" s="279" t="s">
        <v>536</v>
      </c>
      <c r="S2" s="279" t="s">
        <v>403</v>
      </c>
      <c r="T2" s="279" t="s">
        <v>479</v>
      </c>
      <c r="U2" s="407" t="s">
        <v>430</v>
      </c>
      <c r="V2" s="279" t="s">
        <v>431</v>
      </c>
      <c r="W2" s="279" t="s">
        <v>783</v>
      </c>
      <c r="X2" s="279" t="s">
        <v>754</v>
      </c>
      <c r="Y2" s="279" t="s">
        <v>1292</v>
      </c>
      <c r="Z2" s="279" t="s">
        <v>1293</v>
      </c>
      <c r="AA2" s="279" t="s">
        <v>12</v>
      </c>
      <c r="AB2" s="279" t="s">
        <v>573</v>
      </c>
      <c r="AC2" s="279" t="s">
        <v>1294</v>
      </c>
      <c r="AD2" s="279" t="s">
        <v>471</v>
      </c>
      <c r="AE2" s="279" t="s">
        <v>433</v>
      </c>
      <c r="AF2" s="279" t="s">
        <v>15</v>
      </c>
      <c r="AG2" s="279" t="s">
        <v>17</v>
      </c>
      <c r="AH2" s="279" t="s">
        <v>18</v>
      </c>
      <c r="AI2" s="279" t="s">
        <v>434</v>
      </c>
      <c r="AJ2" s="279" t="s">
        <v>435</v>
      </c>
      <c r="AK2" s="279" t="s">
        <v>436</v>
      </c>
      <c r="AL2" s="279" t="s">
        <v>324</v>
      </c>
      <c r="AM2" s="281" t="s">
        <v>612</v>
      </c>
      <c r="AN2" s="281" t="s">
        <v>613</v>
      </c>
      <c r="AO2" s="285" t="s">
        <v>893</v>
      </c>
      <c r="AQ2" s="285" t="s">
        <v>898</v>
      </c>
    </row>
    <row r="3" spans="1:43" s="229" customFormat="1" x14ac:dyDescent="0.2">
      <c r="A3" s="269" t="s">
        <v>30</v>
      </c>
      <c r="B3" s="337" t="s">
        <v>1333</v>
      </c>
      <c r="C3" s="337" t="s">
        <v>1142</v>
      </c>
      <c r="D3" s="133" t="s">
        <v>34</v>
      </c>
      <c r="E3" s="413" t="s">
        <v>34</v>
      </c>
      <c r="F3" s="145" t="s">
        <v>34</v>
      </c>
      <c r="G3" s="133" t="s">
        <v>545</v>
      </c>
      <c r="H3" s="133" t="s">
        <v>85</v>
      </c>
      <c r="I3" s="133" t="s">
        <v>99</v>
      </c>
      <c r="J3" s="133" t="s">
        <v>232</v>
      </c>
      <c r="K3" s="133" t="s">
        <v>21</v>
      </c>
      <c r="L3" s="269" t="s">
        <v>139</v>
      </c>
      <c r="M3" s="270" t="s">
        <v>191</v>
      </c>
      <c r="N3" s="270" t="s">
        <v>323</v>
      </c>
      <c r="O3" s="270" t="s">
        <v>43</v>
      </c>
      <c r="P3" s="270">
        <v>3</v>
      </c>
      <c r="Q3" s="270" t="s">
        <v>538</v>
      </c>
      <c r="R3" s="270" t="s">
        <v>534</v>
      </c>
      <c r="S3" s="135" t="s">
        <v>8</v>
      </c>
      <c r="T3" s="62">
        <v>25000</v>
      </c>
      <c r="U3" s="62">
        <v>15721.115</v>
      </c>
      <c r="V3" s="62">
        <v>15721.115</v>
      </c>
      <c r="W3" s="62">
        <v>35886.676079999997</v>
      </c>
      <c r="X3" s="62">
        <v>2555012.69</v>
      </c>
      <c r="Y3" s="62" t="s">
        <v>16</v>
      </c>
      <c r="Z3" s="366">
        <v>0</v>
      </c>
      <c r="AA3" s="61" t="s">
        <v>11</v>
      </c>
      <c r="AB3" s="181">
        <v>0.05</v>
      </c>
      <c r="AC3" s="181">
        <v>1.6500000000000001E-2</v>
      </c>
      <c r="AD3" s="351">
        <v>42152</v>
      </c>
      <c r="AE3" s="351">
        <v>45441</v>
      </c>
      <c r="AF3" s="271">
        <v>45441</v>
      </c>
      <c r="AG3" s="272">
        <v>3290</v>
      </c>
      <c r="AH3" s="139" t="s">
        <v>10</v>
      </c>
      <c r="AI3" s="272">
        <v>150</v>
      </c>
      <c r="AJ3" s="273">
        <v>0.41095890410958902</v>
      </c>
      <c r="AK3" s="274" t="s">
        <v>436</v>
      </c>
      <c r="AL3" s="269" t="s">
        <v>328</v>
      </c>
      <c r="AM3" s="323" t="s">
        <v>34</v>
      </c>
      <c r="AN3" s="324" t="s">
        <v>545</v>
      </c>
      <c r="AO3" s="272" t="s">
        <v>926</v>
      </c>
      <c r="AP3" s="276"/>
      <c r="AQ3" s="272"/>
    </row>
    <row r="4" spans="1:43" ht="39.950000000000003" customHeight="1" x14ac:dyDescent="0.2">
      <c r="A4" s="13" t="s">
        <v>1286</v>
      </c>
      <c r="B4" s="337" t="s">
        <v>1438</v>
      </c>
      <c r="C4" s="337" t="s">
        <v>1142</v>
      </c>
      <c r="D4" s="133" t="s">
        <v>38</v>
      </c>
      <c r="E4" s="131" t="s">
        <v>540</v>
      </c>
      <c r="F4" s="77" t="s">
        <v>90</v>
      </c>
      <c r="G4" s="14" t="s">
        <v>102</v>
      </c>
      <c r="H4" s="14" t="s">
        <v>102</v>
      </c>
      <c r="I4" s="66" t="s">
        <v>110</v>
      </c>
      <c r="J4" s="66" t="s">
        <v>142</v>
      </c>
      <c r="K4" s="66" t="s">
        <v>218</v>
      </c>
      <c r="L4" s="13" t="s">
        <v>101</v>
      </c>
      <c r="M4" s="65" t="s">
        <v>191</v>
      </c>
      <c r="N4" s="13" t="s">
        <v>323</v>
      </c>
      <c r="O4" s="13" t="s">
        <v>43</v>
      </c>
      <c r="P4" s="65">
        <v>0</v>
      </c>
      <c r="Q4" s="13" t="s">
        <v>531</v>
      </c>
      <c r="R4" s="65" t="s">
        <v>534</v>
      </c>
      <c r="S4" s="64" t="s">
        <v>59</v>
      </c>
      <c r="T4" s="62">
        <v>40728.300869537823</v>
      </c>
      <c r="U4" s="62">
        <v>25000</v>
      </c>
      <c r="V4" s="62">
        <v>40728.300869537823</v>
      </c>
      <c r="W4" s="62">
        <v>81456.601739075646</v>
      </c>
      <c r="X4" s="62">
        <v>1653727.5135588995</v>
      </c>
      <c r="Y4" s="62" t="s">
        <v>16</v>
      </c>
      <c r="Z4" s="366">
        <v>0</v>
      </c>
      <c r="AA4" s="61" t="s">
        <v>11</v>
      </c>
      <c r="AB4" s="181">
        <v>2.75E-2</v>
      </c>
      <c r="AC4" s="181">
        <v>1.379E-2</v>
      </c>
      <c r="AD4" s="60">
        <v>45086</v>
      </c>
      <c r="AE4" s="351">
        <v>46145</v>
      </c>
      <c r="AF4" s="105">
        <v>46156</v>
      </c>
      <c r="AG4" s="58">
        <v>1071</v>
      </c>
      <c r="AH4" s="59" t="s">
        <v>10</v>
      </c>
      <c r="AI4" s="58">
        <v>865</v>
      </c>
      <c r="AJ4" s="57">
        <v>2.3698630136986303</v>
      </c>
      <c r="AK4" s="56" t="s">
        <v>436</v>
      </c>
      <c r="AL4" s="13" t="s">
        <v>1392</v>
      </c>
      <c r="AM4" s="197" t="s">
        <v>90</v>
      </c>
      <c r="AN4" s="198" t="s">
        <v>102</v>
      </c>
      <c r="AO4" s="58" t="s">
        <v>1285</v>
      </c>
      <c r="AP4" s="112"/>
      <c r="AQ4" s="272" t="s">
        <v>1394</v>
      </c>
    </row>
    <row r="5" spans="1:43" ht="39.950000000000003" customHeight="1" x14ac:dyDescent="0.2">
      <c r="A5" s="269" t="s">
        <v>65</v>
      </c>
      <c r="B5" s="337" t="s">
        <v>1437</v>
      </c>
      <c r="C5" s="337" t="s">
        <v>1142</v>
      </c>
      <c r="D5" s="66" t="s">
        <v>38</v>
      </c>
      <c r="E5" s="14" t="s">
        <v>540</v>
      </c>
      <c r="F5" s="130" t="s">
        <v>35</v>
      </c>
      <c r="G5" s="66" t="s">
        <v>106</v>
      </c>
      <c r="H5" s="66" t="s">
        <v>106</v>
      </c>
      <c r="I5" s="66" t="s">
        <v>107</v>
      </c>
      <c r="J5" s="14" t="s">
        <v>300</v>
      </c>
      <c r="K5" s="66" t="s">
        <v>218</v>
      </c>
      <c r="L5" s="13" t="s">
        <v>101</v>
      </c>
      <c r="M5" s="65" t="s">
        <v>191</v>
      </c>
      <c r="N5" s="13" t="s">
        <v>323</v>
      </c>
      <c r="O5" s="65" t="s">
        <v>43</v>
      </c>
      <c r="P5" s="65">
        <v>2</v>
      </c>
      <c r="Q5" s="65" t="s">
        <v>875</v>
      </c>
      <c r="R5" s="65" t="s">
        <v>534</v>
      </c>
      <c r="S5" s="64" t="s">
        <v>66</v>
      </c>
      <c r="T5" s="73">
        <v>17896.256403817428</v>
      </c>
      <c r="U5" s="62">
        <v>1000000</v>
      </c>
      <c r="V5" s="150">
        <v>17896.256403817428</v>
      </c>
      <c r="W5" s="62">
        <v>104624.26820693265</v>
      </c>
      <c r="X5" s="76">
        <v>2499981.5310633914</v>
      </c>
      <c r="Y5" s="62" t="s">
        <v>16</v>
      </c>
      <c r="Z5" s="366">
        <v>0</v>
      </c>
      <c r="AA5" s="106" t="s">
        <v>551</v>
      </c>
      <c r="AB5" s="181">
        <v>5.9166666666666666E-2</v>
      </c>
      <c r="AC5" s="181">
        <v>3.5499999999999997E-2</v>
      </c>
      <c r="AD5" s="105">
        <v>43013</v>
      </c>
      <c r="AE5" s="60">
        <v>44839</v>
      </c>
      <c r="AF5" s="60">
        <v>45382</v>
      </c>
      <c r="AG5" s="58">
        <v>2369</v>
      </c>
      <c r="AH5" s="59" t="s">
        <v>10</v>
      </c>
      <c r="AI5" s="58">
        <v>91</v>
      </c>
      <c r="AJ5" s="57">
        <v>0.24931506849315069</v>
      </c>
      <c r="AK5" s="56"/>
      <c r="AL5" s="13" t="s">
        <v>333</v>
      </c>
      <c r="AM5" s="323" t="s">
        <v>35</v>
      </c>
      <c r="AN5" s="324" t="s">
        <v>106</v>
      </c>
      <c r="AO5" s="58" t="s">
        <v>948</v>
      </c>
      <c r="AP5" s="112"/>
      <c r="AQ5" s="272" t="s">
        <v>476</v>
      </c>
    </row>
    <row r="6" spans="1:43" ht="39.950000000000003" customHeight="1" x14ac:dyDescent="0.2">
      <c r="A6" s="14" t="s">
        <v>207</v>
      </c>
      <c r="B6" s="337" t="s">
        <v>1438</v>
      </c>
      <c r="C6" s="337" t="s">
        <v>1143</v>
      </c>
      <c r="D6" s="66" t="s">
        <v>127</v>
      </c>
      <c r="E6" s="14" t="s">
        <v>542</v>
      </c>
      <c r="F6" s="130" t="s">
        <v>127</v>
      </c>
      <c r="G6" s="14" t="s">
        <v>102</v>
      </c>
      <c r="H6" s="14" t="s">
        <v>102</v>
      </c>
      <c r="I6" s="66" t="s">
        <v>122</v>
      </c>
      <c r="J6" s="14" t="s">
        <v>158</v>
      </c>
      <c r="K6" s="66" t="s">
        <v>220</v>
      </c>
      <c r="L6" s="13" t="s">
        <v>101</v>
      </c>
      <c r="M6" s="65" t="s">
        <v>191</v>
      </c>
      <c r="N6" s="65" t="s">
        <v>59</v>
      </c>
      <c r="O6" s="65" t="s">
        <v>43</v>
      </c>
      <c r="P6" s="65">
        <v>2</v>
      </c>
      <c r="Q6" s="65" t="s">
        <v>875</v>
      </c>
      <c r="R6" s="65" t="s">
        <v>534</v>
      </c>
      <c r="S6" s="64" t="s">
        <v>59</v>
      </c>
      <c r="T6" s="62">
        <v>32582.640695630256</v>
      </c>
      <c r="U6" s="62">
        <v>20000</v>
      </c>
      <c r="V6" s="62">
        <v>32582.640695630256</v>
      </c>
      <c r="W6" s="62">
        <v>285098.10608676478</v>
      </c>
      <c r="X6" s="62">
        <v>2484968.8540093894</v>
      </c>
      <c r="Y6" s="62" t="s">
        <v>16</v>
      </c>
      <c r="Z6" s="366">
        <v>0</v>
      </c>
      <c r="AA6" s="61" t="s">
        <v>551</v>
      </c>
      <c r="AB6" s="181">
        <v>0.01</v>
      </c>
      <c r="AC6" s="181">
        <v>7.0000000000000001E-3</v>
      </c>
      <c r="AD6" s="105">
        <v>43070</v>
      </c>
      <c r="AE6" s="60">
        <v>46689</v>
      </c>
      <c r="AF6" s="60">
        <v>46689</v>
      </c>
      <c r="AG6" s="58">
        <v>3620</v>
      </c>
      <c r="AH6" s="59" t="s">
        <v>10</v>
      </c>
      <c r="AI6" s="58">
        <v>1398</v>
      </c>
      <c r="AJ6" s="57">
        <v>3.8301369863013699</v>
      </c>
      <c r="AK6" s="56"/>
      <c r="AL6" s="14" t="s">
        <v>334</v>
      </c>
      <c r="AM6" s="197" t="s">
        <v>127</v>
      </c>
      <c r="AN6" s="198" t="s">
        <v>102</v>
      </c>
      <c r="AO6" s="58" t="s">
        <v>949</v>
      </c>
      <c r="AP6" s="112"/>
      <c r="AQ6" s="272" t="s">
        <v>476</v>
      </c>
    </row>
    <row r="7" spans="1:43" ht="39.950000000000003" customHeight="1" x14ac:dyDescent="0.2">
      <c r="A7" s="14" t="s">
        <v>69</v>
      </c>
      <c r="B7" s="337" t="s">
        <v>23</v>
      </c>
      <c r="C7" s="337" t="s">
        <v>1141</v>
      </c>
      <c r="D7" s="66" t="s">
        <v>47</v>
      </c>
      <c r="E7" s="14" t="s">
        <v>469</v>
      </c>
      <c r="F7" s="77" t="s">
        <v>128</v>
      </c>
      <c r="G7" s="14" t="s">
        <v>48</v>
      </c>
      <c r="H7" s="14" t="s">
        <v>95</v>
      </c>
      <c r="I7" s="130" t="s">
        <v>447</v>
      </c>
      <c r="J7" s="14" t="s">
        <v>32</v>
      </c>
      <c r="K7" s="14" t="s">
        <v>33</v>
      </c>
      <c r="L7" s="13" t="s">
        <v>140</v>
      </c>
      <c r="M7" s="65" t="s">
        <v>191</v>
      </c>
      <c r="N7" s="13" t="s">
        <v>323</v>
      </c>
      <c r="O7" s="13" t="s">
        <v>43</v>
      </c>
      <c r="P7" s="65">
        <v>3</v>
      </c>
      <c r="Q7" s="13" t="s">
        <v>533</v>
      </c>
      <c r="R7" s="65" t="s">
        <v>534</v>
      </c>
      <c r="S7" s="64" t="s">
        <v>9</v>
      </c>
      <c r="T7" s="62">
        <v>29763.052322448922</v>
      </c>
      <c r="U7" s="62">
        <v>6929.93</v>
      </c>
      <c r="V7" s="150">
        <v>10312.793459045424</v>
      </c>
      <c r="W7" s="62">
        <v>196064.10717413228</v>
      </c>
      <c r="X7" s="76">
        <v>1515965.3491996992</v>
      </c>
      <c r="Y7" s="62" t="s">
        <v>1295</v>
      </c>
      <c r="Z7" s="367">
        <v>0.15</v>
      </c>
      <c r="AA7" s="61" t="s">
        <v>11</v>
      </c>
      <c r="AB7" s="181">
        <v>1.9833333333333331E-2</v>
      </c>
      <c r="AC7" s="181">
        <v>1.1106666666666666E-2</v>
      </c>
      <c r="AD7" s="60">
        <v>43076</v>
      </c>
      <c r="AE7" s="60">
        <v>46751</v>
      </c>
      <c r="AF7" s="60">
        <v>46751</v>
      </c>
      <c r="AG7" s="58">
        <v>3676</v>
      </c>
      <c r="AH7" s="59" t="s">
        <v>10</v>
      </c>
      <c r="AI7" s="58">
        <v>1460</v>
      </c>
      <c r="AJ7" s="57">
        <v>4</v>
      </c>
      <c r="AK7" s="56"/>
      <c r="AL7" s="14" t="s">
        <v>326</v>
      </c>
      <c r="AM7" s="197" t="s">
        <v>128</v>
      </c>
      <c r="AN7" s="198" t="s">
        <v>48</v>
      </c>
      <c r="AO7" s="58" t="s">
        <v>950</v>
      </c>
      <c r="AP7" s="112"/>
      <c r="AQ7" s="272"/>
    </row>
    <row r="8" spans="1:43" ht="39.950000000000003" customHeight="1" x14ac:dyDescent="0.2">
      <c r="A8" s="13" t="s">
        <v>144</v>
      </c>
      <c r="B8" s="337" t="s">
        <v>23</v>
      </c>
      <c r="C8" s="337" t="s">
        <v>1142</v>
      </c>
      <c r="D8" s="66" t="s">
        <v>166</v>
      </c>
      <c r="E8" s="14" t="s">
        <v>540</v>
      </c>
      <c r="F8" s="161" t="s">
        <v>36</v>
      </c>
      <c r="G8" s="14" t="s">
        <v>92</v>
      </c>
      <c r="H8" s="14" t="s">
        <v>100</v>
      </c>
      <c r="I8" s="66" t="s">
        <v>100</v>
      </c>
      <c r="J8" s="14" t="s">
        <v>145</v>
      </c>
      <c r="K8" s="66" t="s">
        <v>221</v>
      </c>
      <c r="L8" s="14" t="s">
        <v>44</v>
      </c>
      <c r="M8" s="65" t="s">
        <v>191</v>
      </c>
      <c r="N8" s="13" t="s">
        <v>59</v>
      </c>
      <c r="O8" s="13" t="s">
        <v>43</v>
      </c>
      <c r="P8" s="65">
        <v>2</v>
      </c>
      <c r="Q8" s="13" t="s">
        <v>533</v>
      </c>
      <c r="R8" s="65" t="s">
        <v>534</v>
      </c>
      <c r="S8" s="64" t="s">
        <v>9</v>
      </c>
      <c r="T8" s="62">
        <v>14881.526161224461</v>
      </c>
      <c r="U8" s="62">
        <v>8500</v>
      </c>
      <c r="V8" s="150">
        <v>12649.297237040792</v>
      </c>
      <c r="W8" s="62">
        <v>178578.31393469352</v>
      </c>
      <c r="X8" s="76">
        <v>662316.3253214123</v>
      </c>
      <c r="Y8" s="62" t="s">
        <v>1342</v>
      </c>
      <c r="Z8" s="367">
        <v>0.15</v>
      </c>
      <c r="AA8" s="61" t="s">
        <v>551</v>
      </c>
      <c r="AB8" s="181">
        <v>2.1000000000000001E-2</v>
      </c>
      <c r="AC8" s="181">
        <v>1.250004E-2</v>
      </c>
      <c r="AD8" s="60">
        <v>43279</v>
      </c>
      <c r="AE8" s="60">
        <v>45503</v>
      </c>
      <c r="AF8" s="60">
        <v>45503</v>
      </c>
      <c r="AG8" s="58">
        <v>2225</v>
      </c>
      <c r="AH8" s="59" t="s">
        <v>10</v>
      </c>
      <c r="AI8" s="58">
        <v>212</v>
      </c>
      <c r="AJ8" s="57">
        <v>0.58082191780821912</v>
      </c>
      <c r="AK8" s="56"/>
      <c r="AL8" s="13" t="s">
        <v>345</v>
      </c>
      <c r="AM8" s="197" t="s">
        <v>36</v>
      </c>
      <c r="AN8" s="198" t="s">
        <v>92</v>
      </c>
      <c r="AO8" s="58" t="s">
        <v>952</v>
      </c>
      <c r="AP8" s="112"/>
      <c r="AQ8" s="272"/>
    </row>
    <row r="9" spans="1:43" ht="39.950000000000003" customHeight="1" x14ac:dyDescent="0.2">
      <c r="A9" s="13" t="s">
        <v>153</v>
      </c>
      <c r="B9" s="337" t="s">
        <v>23</v>
      </c>
      <c r="C9" s="337" t="s">
        <v>1141</v>
      </c>
      <c r="D9" s="66" t="s">
        <v>89</v>
      </c>
      <c r="E9" s="14" t="s">
        <v>542</v>
      </c>
      <c r="F9" s="77" t="s">
        <v>127</v>
      </c>
      <c r="G9" s="14" t="s">
        <v>92</v>
      </c>
      <c r="H9" s="14" t="s">
        <v>108</v>
      </c>
      <c r="I9" s="66" t="s">
        <v>109</v>
      </c>
      <c r="J9" s="14" t="s">
        <v>220</v>
      </c>
      <c r="K9" s="14" t="s">
        <v>220</v>
      </c>
      <c r="L9" s="14" t="s">
        <v>22</v>
      </c>
      <c r="M9" s="65" t="s">
        <v>191</v>
      </c>
      <c r="N9" s="13" t="s">
        <v>59</v>
      </c>
      <c r="O9" s="13" t="s">
        <v>43</v>
      </c>
      <c r="P9" s="65">
        <v>3</v>
      </c>
      <c r="Q9" s="13" t="s">
        <v>531</v>
      </c>
      <c r="R9" s="65" t="s">
        <v>534</v>
      </c>
      <c r="S9" s="64" t="s">
        <v>9</v>
      </c>
      <c r="T9" s="62">
        <v>4313.989249198582</v>
      </c>
      <c r="U9" s="62">
        <v>844.66</v>
      </c>
      <c r="V9" s="150">
        <v>1256.9829887339852</v>
      </c>
      <c r="W9" s="62">
        <v>14664.799945331895</v>
      </c>
      <c r="X9" s="76">
        <v>222432.6833792059</v>
      </c>
      <c r="Y9" s="62" t="s">
        <v>16</v>
      </c>
      <c r="Z9" s="366">
        <v>0</v>
      </c>
      <c r="AA9" s="61" t="s">
        <v>11</v>
      </c>
      <c r="AB9" s="181">
        <v>2.2499999999999999E-2</v>
      </c>
      <c r="AC9" s="181">
        <v>1.50075E-2</v>
      </c>
      <c r="AD9" s="60">
        <v>43350</v>
      </c>
      <c r="AE9" s="60">
        <v>45894</v>
      </c>
      <c r="AF9" s="60">
        <v>45894</v>
      </c>
      <c r="AG9" s="58">
        <v>2545</v>
      </c>
      <c r="AH9" s="59" t="s">
        <v>10</v>
      </c>
      <c r="AI9" s="58">
        <v>603</v>
      </c>
      <c r="AJ9" s="57">
        <v>1.6520547945205479</v>
      </c>
      <c r="AK9" s="56"/>
      <c r="AL9" s="13" t="s">
        <v>347</v>
      </c>
      <c r="AM9" s="197" t="s">
        <v>127</v>
      </c>
      <c r="AN9" s="198" t="s">
        <v>92</v>
      </c>
      <c r="AO9" s="58" t="s">
        <v>929</v>
      </c>
      <c r="AP9" s="112"/>
      <c r="AQ9" s="272"/>
    </row>
    <row r="10" spans="1:43" ht="39.950000000000003" customHeight="1" x14ac:dyDescent="0.2">
      <c r="A10" s="13" t="s">
        <v>202</v>
      </c>
      <c r="B10" s="337" t="s">
        <v>23</v>
      </c>
      <c r="C10" s="337" t="s">
        <v>1141</v>
      </c>
      <c r="D10" s="66" t="s">
        <v>89</v>
      </c>
      <c r="E10" s="14" t="s">
        <v>542</v>
      </c>
      <c r="F10" s="77" t="s">
        <v>127</v>
      </c>
      <c r="G10" s="14" t="s">
        <v>92</v>
      </c>
      <c r="H10" s="14" t="s">
        <v>108</v>
      </c>
      <c r="I10" s="66" t="s">
        <v>109</v>
      </c>
      <c r="J10" s="14" t="s">
        <v>220</v>
      </c>
      <c r="K10" s="66" t="s">
        <v>220</v>
      </c>
      <c r="L10" s="14" t="s">
        <v>22</v>
      </c>
      <c r="M10" s="65" t="s">
        <v>191</v>
      </c>
      <c r="N10" s="13" t="s">
        <v>59</v>
      </c>
      <c r="O10" s="13" t="s">
        <v>43</v>
      </c>
      <c r="P10" s="65">
        <v>3</v>
      </c>
      <c r="Q10" s="13" t="s">
        <v>531</v>
      </c>
      <c r="R10" s="65" t="s">
        <v>534</v>
      </c>
      <c r="S10" s="64" t="s">
        <v>9</v>
      </c>
      <c r="T10" s="62">
        <v>3629.6042307226462</v>
      </c>
      <c r="U10" s="62">
        <v>773.33399999999995</v>
      </c>
      <c r="V10" s="150">
        <v>1150.8390152364357</v>
      </c>
      <c r="W10" s="62">
        <v>13426.455177758417</v>
      </c>
      <c r="X10" s="76">
        <v>193232.15274565126</v>
      </c>
      <c r="Y10" s="62" t="s">
        <v>16</v>
      </c>
      <c r="Z10" s="366">
        <v>0</v>
      </c>
      <c r="AA10" s="61" t="s">
        <v>11</v>
      </c>
      <c r="AB10" s="181">
        <v>2.2499999999999999E-2</v>
      </c>
      <c r="AC10" s="181">
        <v>1.50075E-2</v>
      </c>
      <c r="AD10" s="60">
        <v>43368</v>
      </c>
      <c r="AE10" s="60">
        <v>45955</v>
      </c>
      <c r="AF10" s="60">
        <v>45955</v>
      </c>
      <c r="AG10" s="58">
        <v>2588</v>
      </c>
      <c r="AH10" s="59" t="s">
        <v>10</v>
      </c>
      <c r="AI10" s="58">
        <v>664</v>
      </c>
      <c r="AJ10" s="57">
        <v>1.8191780821917809</v>
      </c>
      <c r="AK10" s="56"/>
      <c r="AL10" s="13" t="s">
        <v>349</v>
      </c>
      <c r="AM10" s="197" t="s">
        <v>127</v>
      </c>
      <c r="AN10" s="198" t="s">
        <v>92</v>
      </c>
      <c r="AO10" s="58" t="s">
        <v>930</v>
      </c>
      <c r="AP10" s="112"/>
      <c r="AQ10" s="272"/>
    </row>
    <row r="11" spans="1:43" ht="39.950000000000003" customHeight="1" x14ac:dyDescent="0.2">
      <c r="A11" s="14" t="s">
        <v>164</v>
      </c>
      <c r="B11" s="337" t="s">
        <v>23</v>
      </c>
      <c r="C11" s="337" t="s">
        <v>1142</v>
      </c>
      <c r="D11" s="66" t="s">
        <v>127</v>
      </c>
      <c r="E11" s="14" t="s">
        <v>542</v>
      </c>
      <c r="F11" s="77" t="s">
        <v>89</v>
      </c>
      <c r="G11" s="14" t="s">
        <v>102</v>
      </c>
      <c r="H11" s="14" t="s">
        <v>102</v>
      </c>
      <c r="I11" s="66" t="s">
        <v>122</v>
      </c>
      <c r="J11" s="14" t="s">
        <v>158</v>
      </c>
      <c r="K11" s="66" t="s">
        <v>220</v>
      </c>
      <c r="L11" s="14" t="s">
        <v>101</v>
      </c>
      <c r="M11" s="65" t="s">
        <v>191</v>
      </c>
      <c r="N11" s="13" t="s">
        <v>59</v>
      </c>
      <c r="O11" s="13" t="s">
        <v>43</v>
      </c>
      <c r="P11" s="65">
        <v>1</v>
      </c>
      <c r="Q11" s="13" t="s">
        <v>538</v>
      </c>
      <c r="R11" s="65" t="s">
        <v>534</v>
      </c>
      <c r="S11" s="64" t="s">
        <v>59</v>
      </c>
      <c r="T11" s="62">
        <v>30953.508660848744</v>
      </c>
      <c r="U11" s="62">
        <v>19000</v>
      </c>
      <c r="V11" s="79">
        <v>30953.508660848744</v>
      </c>
      <c r="W11" s="62">
        <v>283468.97405198321</v>
      </c>
      <c r="X11" s="76">
        <v>1034082.1752770449</v>
      </c>
      <c r="Y11" s="62" t="s">
        <v>16</v>
      </c>
      <c r="Z11" s="366">
        <v>0</v>
      </c>
      <c r="AA11" s="61" t="s">
        <v>11</v>
      </c>
      <c r="AB11" s="181">
        <v>9.5999999999999992E-3</v>
      </c>
      <c r="AC11" s="181">
        <v>5.2599999999999999E-3</v>
      </c>
      <c r="AD11" s="60">
        <v>43392</v>
      </c>
      <c r="AE11" s="60">
        <v>45534</v>
      </c>
      <c r="AF11" s="60">
        <v>45534</v>
      </c>
      <c r="AG11" s="58">
        <v>2143</v>
      </c>
      <c r="AH11" s="59" t="s">
        <v>10</v>
      </c>
      <c r="AI11" s="58">
        <v>243</v>
      </c>
      <c r="AJ11" s="57">
        <v>0.66575342465753429</v>
      </c>
      <c r="AK11" s="56"/>
      <c r="AL11" s="14" t="s">
        <v>353</v>
      </c>
      <c r="AM11" s="197" t="s">
        <v>89</v>
      </c>
      <c r="AN11" s="198" t="s">
        <v>102</v>
      </c>
      <c r="AO11" s="58" t="s">
        <v>927</v>
      </c>
      <c r="AP11" s="112"/>
      <c r="AQ11" s="272" t="s">
        <v>476</v>
      </c>
    </row>
    <row r="12" spans="1:43" ht="39.950000000000003" customHeight="1" x14ac:dyDescent="0.2">
      <c r="A12" s="87" t="s">
        <v>714</v>
      </c>
      <c r="B12" s="338" t="s">
        <v>1141</v>
      </c>
      <c r="C12" s="338" t="s">
        <v>1143</v>
      </c>
      <c r="D12" s="104" t="s">
        <v>34</v>
      </c>
      <c r="E12" s="103" t="s">
        <v>34</v>
      </c>
      <c r="F12" s="102" t="s">
        <v>34</v>
      </c>
      <c r="G12" s="103" t="s">
        <v>543</v>
      </c>
      <c r="H12" s="101" t="s">
        <v>136</v>
      </c>
      <c r="I12" s="101" t="s">
        <v>136</v>
      </c>
      <c r="J12" s="102" t="s">
        <v>52</v>
      </c>
      <c r="K12" s="102" t="s">
        <v>52</v>
      </c>
      <c r="L12" s="101" t="s">
        <v>7</v>
      </c>
      <c r="M12" s="100" t="s">
        <v>40</v>
      </c>
      <c r="N12" s="87"/>
      <c r="O12" s="87" t="s">
        <v>42</v>
      </c>
      <c r="P12" s="87">
        <v>0</v>
      </c>
      <c r="Q12" s="87" t="s">
        <v>531</v>
      </c>
      <c r="R12" s="87" t="s">
        <v>532</v>
      </c>
      <c r="S12" s="99" t="s">
        <v>8</v>
      </c>
      <c r="T12" s="97">
        <v>252.79</v>
      </c>
      <c r="U12" s="97">
        <v>252.79</v>
      </c>
      <c r="V12" s="155">
        <v>252.79</v>
      </c>
      <c r="W12" s="97">
        <v>252.79</v>
      </c>
      <c r="X12" s="357">
        <v>6952</v>
      </c>
      <c r="Y12" s="97"/>
      <c r="Z12" s="368"/>
      <c r="AA12" s="96" t="s">
        <v>11</v>
      </c>
      <c r="AB12" s="182">
        <v>2.75E-2</v>
      </c>
      <c r="AC12" s="182"/>
      <c r="AD12" s="95">
        <v>45261</v>
      </c>
      <c r="AE12" s="95">
        <v>45626</v>
      </c>
      <c r="AF12" s="95">
        <v>45626</v>
      </c>
      <c r="AG12" s="93">
        <v>366</v>
      </c>
      <c r="AH12" s="94" t="s">
        <v>10</v>
      </c>
      <c r="AI12" s="93">
        <v>335</v>
      </c>
      <c r="AJ12" s="92">
        <v>0.9178082191780822</v>
      </c>
      <c r="AK12" s="91"/>
      <c r="AL12" s="87" t="s">
        <v>716</v>
      </c>
      <c r="AM12" s="197" t="s">
        <v>34</v>
      </c>
      <c r="AN12" s="198" t="s">
        <v>543</v>
      </c>
      <c r="AO12" s="93"/>
      <c r="AP12" s="112"/>
      <c r="AQ12" s="272"/>
    </row>
    <row r="13" spans="1:43" ht="39.950000000000003" customHeight="1" x14ac:dyDescent="0.2">
      <c r="A13" s="87" t="s">
        <v>715</v>
      </c>
      <c r="B13" s="338" t="s">
        <v>1141</v>
      </c>
      <c r="C13" s="338" t="s">
        <v>1143</v>
      </c>
      <c r="D13" s="104" t="s">
        <v>34</v>
      </c>
      <c r="E13" s="103" t="s">
        <v>34</v>
      </c>
      <c r="F13" s="102" t="s">
        <v>34</v>
      </c>
      <c r="G13" s="103" t="s">
        <v>543</v>
      </c>
      <c r="H13" s="101" t="s">
        <v>136</v>
      </c>
      <c r="I13" s="101" t="s">
        <v>136</v>
      </c>
      <c r="J13" s="102" t="s">
        <v>52</v>
      </c>
      <c r="K13" s="102" t="s">
        <v>52</v>
      </c>
      <c r="L13" s="101" t="s">
        <v>7</v>
      </c>
      <c r="M13" s="100" t="s">
        <v>40</v>
      </c>
      <c r="N13" s="87"/>
      <c r="O13" s="87" t="s">
        <v>42</v>
      </c>
      <c r="P13" s="87">
        <v>0</v>
      </c>
      <c r="Q13" s="87" t="s">
        <v>531</v>
      </c>
      <c r="R13" s="87" t="s">
        <v>532</v>
      </c>
      <c r="S13" s="99" t="s">
        <v>8</v>
      </c>
      <c r="T13" s="97">
        <v>251.99</v>
      </c>
      <c r="U13" s="97">
        <v>251.99</v>
      </c>
      <c r="V13" s="155">
        <v>251.99</v>
      </c>
      <c r="W13" s="97">
        <v>251.99</v>
      </c>
      <c r="X13" s="357">
        <v>6930</v>
      </c>
      <c r="Y13" s="97"/>
      <c r="Z13" s="368"/>
      <c r="AA13" s="96" t="s">
        <v>11</v>
      </c>
      <c r="AB13" s="182">
        <v>2.75E-2</v>
      </c>
      <c r="AC13" s="182"/>
      <c r="AD13" s="95">
        <v>45261</v>
      </c>
      <c r="AE13" s="95">
        <v>45626</v>
      </c>
      <c r="AF13" s="95">
        <v>45626</v>
      </c>
      <c r="AG13" s="93">
        <v>366</v>
      </c>
      <c r="AH13" s="94" t="s">
        <v>10</v>
      </c>
      <c r="AI13" s="93">
        <v>335</v>
      </c>
      <c r="AJ13" s="92">
        <v>0.9178082191780822</v>
      </c>
      <c r="AK13" s="91"/>
      <c r="AL13" s="87" t="s">
        <v>717</v>
      </c>
      <c r="AM13" s="197" t="s">
        <v>34</v>
      </c>
      <c r="AN13" s="198" t="s">
        <v>543</v>
      </c>
      <c r="AO13" s="93"/>
      <c r="AP13" s="112"/>
      <c r="AQ13" s="272"/>
    </row>
    <row r="14" spans="1:43" ht="39.950000000000003" customHeight="1" x14ac:dyDescent="0.2">
      <c r="A14" s="13" t="s">
        <v>171</v>
      </c>
      <c r="B14" s="337" t="s">
        <v>1438</v>
      </c>
      <c r="C14" s="337" t="s">
        <v>1141</v>
      </c>
      <c r="D14" s="66" t="s">
        <v>87</v>
      </c>
      <c r="E14" s="14" t="s">
        <v>542</v>
      </c>
      <c r="F14" s="77" t="s">
        <v>87</v>
      </c>
      <c r="G14" s="14" t="s">
        <v>173</v>
      </c>
      <c r="H14" s="14" t="s">
        <v>174</v>
      </c>
      <c r="I14" s="14" t="s">
        <v>172</v>
      </c>
      <c r="J14" s="77" t="s">
        <v>75</v>
      </c>
      <c r="K14" s="77" t="s">
        <v>21</v>
      </c>
      <c r="L14" s="14" t="s">
        <v>29</v>
      </c>
      <c r="M14" s="65" t="s">
        <v>191</v>
      </c>
      <c r="N14" s="13" t="s">
        <v>59</v>
      </c>
      <c r="O14" s="13" t="s">
        <v>43</v>
      </c>
      <c r="P14" s="65">
        <v>3</v>
      </c>
      <c r="Q14" s="13" t="s">
        <v>538</v>
      </c>
      <c r="R14" s="13" t="s">
        <v>548</v>
      </c>
      <c r="S14" s="64" t="s">
        <v>9</v>
      </c>
      <c r="T14" s="62">
        <v>37203.815403061155</v>
      </c>
      <c r="U14" s="62">
        <v>20000</v>
      </c>
      <c r="V14" s="150">
        <v>29763.052322448922</v>
      </c>
      <c r="W14" s="62">
        <v>152949.0187635062</v>
      </c>
      <c r="X14" s="76">
        <v>2258039.0860010688</v>
      </c>
      <c r="Y14" s="62" t="s">
        <v>16</v>
      </c>
      <c r="Z14" s="366">
        <v>0</v>
      </c>
      <c r="AA14" s="61" t="s">
        <v>11</v>
      </c>
      <c r="AB14" s="181">
        <v>1.6299999999999999E-2</v>
      </c>
      <c r="AC14" s="181">
        <v>9.7799999999999988E-3</v>
      </c>
      <c r="AD14" s="60">
        <v>43448</v>
      </c>
      <c r="AE14" s="60">
        <v>45716</v>
      </c>
      <c r="AF14" s="60">
        <v>45716</v>
      </c>
      <c r="AG14" s="58">
        <v>2269</v>
      </c>
      <c r="AH14" s="75" t="s">
        <v>10</v>
      </c>
      <c r="AI14" s="58">
        <v>425</v>
      </c>
      <c r="AJ14" s="57">
        <v>1.1643835616438356</v>
      </c>
      <c r="AK14" s="56"/>
      <c r="AL14" s="13" t="s">
        <v>355</v>
      </c>
      <c r="AM14" s="197" t="s">
        <v>87</v>
      </c>
      <c r="AN14" s="198" t="s">
        <v>173</v>
      </c>
      <c r="AO14" s="58" t="s">
        <v>956</v>
      </c>
      <c r="AP14" s="112"/>
      <c r="AQ14" s="272"/>
    </row>
    <row r="15" spans="1:43" s="298" customFormat="1" ht="39.950000000000003" customHeight="1" x14ac:dyDescent="0.2">
      <c r="A15" s="269" t="s">
        <v>175</v>
      </c>
      <c r="B15" s="337" t="s">
        <v>23</v>
      </c>
      <c r="C15" s="337" t="s">
        <v>243</v>
      </c>
      <c r="D15" s="133" t="s">
        <v>34</v>
      </c>
      <c r="E15" s="131" t="s">
        <v>34</v>
      </c>
      <c r="F15" s="161" t="s">
        <v>34</v>
      </c>
      <c r="G15" s="131" t="s">
        <v>544</v>
      </c>
      <c r="H15" s="131" t="s">
        <v>178</v>
      </c>
      <c r="I15" s="131" t="s">
        <v>177</v>
      </c>
      <c r="J15" s="133" t="s">
        <v>232</v>
      </c>
      <c r="K15" s="161" t="s">
        <v>21</v>
      </c>
      <c r="L15" s="131" t="s">
        <v>29</v>
      </c>
      <c r="M15" s="270" t="s">
        <v>191</v>
      </c>
      <c r="N15" s="269" t="s">
        <v>323</v>
      </c>
      <c r="O15" s="269" t="s">
        <v>43</v>
      </c>
      <c r="P15" s="270">
        <v>4</v>
      </c>
      <c r="Q15" s="269" t="s">
        <v>531</v>
      </c>
      <c r="R15" s="270" t="s">
        <v>534</v>
      </c>
      <c r="S15" s="135" t="s">
        <v>8</v>
      </c>
      <c r="T15" s="62">
        <v>20000</v>
      </c>
      <c r="U15" s="62">
        <v>20000</v>
      </c>
      <c r="V15" s="150">
        <v>20000</v>
      </c>
      <c r="W15" s="62">
        <v>95000</v>
      </c>
      <c r="X15" s="76">
        <v>1722527.42</v>
      </c>
      <c r="Y15" s="62" t="s">
        <v>16</v>
      </c>
      <c r="Z15" s="366">
        <v>0</v>
      </c>
      <c r="AA15" s="61" t="s">
        <v>11</v>
      </c>
      <c r="AB15" s="181">
        <v>1.95E-2</v>
      </c>
      <c r="AC15" s="181">
        <v>1.482E-2</v>
      </c>
      <c r="AD15" s="271">
        <v>43480</v>
      </c>
      <c r="AE15" s="271">
        <v>45322</v>
      </c>
      <c r="AF15" s="271">
        <v>45322</v>
      </c>
      <c r="AG15" s="272">
        <v>1843</v>
      </c>
      <c r="AH15" s="139" t="s">
        <v>1</v>
      </c>
      <c r="AI15" s="272">
        <v>31</v>
      </c>
      <c r="AJ15" s="273">
        <v>8.4931506849315067E-2</v>
      </c>
      <c r="AK15" s="274"/>
      <c r="AL15" s="269" t="s">
        <v>356</v>
      </c>
      <c r="AM15" s="323" t="s">
        <v>34</v>
      </c>
      <c r="AN15" s="324" t="s">
        <v>544</v>
      </c>
      <c r="AO15" s="272" t="s">
        <v>931</v>
      </c>
      <c r="AP15" s="276"/>
      <c r="AQ15" s="272"/>
    </row>
    <row r="16" spans="1:43" ht="39.950000000000003" customHeight="1" x14ac:dyDescent="0.2">
      <c r="A16" s="269" t="s">
        <v>204</v>
      </c>
      <c r="B16" s="337" t="s">
        <v>23</v>
      </c>
      <c r="C16" s="337" t="s">
        <v>1141</v>
      </c>
      <c r="D16" s="66" t="s">
        <v>89</v>
      </c>
      <c r="E16" s="14" t="s">
        <v>542</v>
      </c>
      <c r="F16" s="77" t="s">
        <v>127</v>
      </c>
      <c r="G16" s="14" t="s">
        <v>92</v>
      </c>
      <c r="H16" s="14" t="s">
        <v>108</v>
      </c>
      <c r="I16" s="14" t="s">
        <v>109</v>
      </c>
      <c r="J16" s="14" t="s">
        <v>220</v>
      </c>
      <c r="K16" s="14" t="s">
        <v>220</v>
      </c>
      <c r="L16" s="14" t="s">
        <v>22</v>
      </c>
      <c r="M16" s="65" t="s">
        <v>191</v>
      </c>
      <c r="N16" s="13" t="s">
        <v>59</v>
      </c>
      <c r="O16" s="13" t="s">
        <v>43</v>
      </c>
      <c r="P16" s="65">
        <v>3</v>
      </c>
      <c r="Q16" s="13" t="s">
        <v>531</v>
      </c>
      <c r="R16" s="65" t="s">
        <v>534</v>
      </c>
      <c r="S16" s="64" t="s">
        <v>9</v>
      </c>
      <c r="T16" s="62">
        <v>3991.2253164404005</v>
      </c>
      <c r="U16" s="62">
        <v>840.57600000000002</v>
      </c>
      <c r="V16" s="150">
        <v>1250.9053734497413</v>
      </c>
      <c r="W16" s="62">
        <v>14592.496800567509</v>
      </c>
      <c r="X16" s="76">
        <v>182976.42993943414</v>
      </c>
      <c r="Y16" s="62" t="s">
        <v>16</v>
      </c>
      <c r="Z16" s="366">
        <v>0</v>
      </c>
      <c r="AA16" s="61" t="s">
        <v>11</v>
      </c>
      <c r="AB16" s="181">
        <v>2.2499999999999999E-2</v>
      </c>
      <c r="AC16" s="181">
        <v>1.50075E-2</v>
      </c>
      <c r="AD16" s="60">
        <v>43486</v>
      </c>
      <c r="AE16" s="60">
        <v>46041</v>
      </c>
      <c r="AF16" s="60">
        <v>46041</v>
      </c>
      <c r="AG16" s="58">
        <v>2556</v>
      </c>
      <c r="AH16" s="59" t="s">
        <v>10</v>
      </c>
      <c r="AI16" s="58">
        <v>750</v>
      </c>
      <c r="AJ16" s="57">
        <v>2.0547945205479454</v>
      </c>
      <c r="AK16" s="56"/>
      <c r="AL16" s="13" t="s">
        <v>357</v>
      </c>
      <c r="AM16" s="197" t="s">
        <v>127</v>
      </c>
      <c r="AN16" s="198" t="s">
        <v>92</v>
      </c>
      <c r="AO16" s="58" t="s">
        <v>954</v>
      </c>
      <c r="AP16" s="112"/>
      <c r="AQ16" s="272"/>
    </row>
    <row r="17" spans="1:45" ht="39.950000000000003" customHeight="1" x14ac:dyDescent="0.2">
      <c r="A17" s="131" t="s">
        <v>190</v>
      </c>
      <c r="B17" s="337" t="s">
        <v>23</v>
      </c>
      <c r="C17" s="337" t="s">
        <v>1141</v>
      </c>
      <c r="D17" s="66" t="s">
        <v>37</v>
      </c>
      <c r="E17" s="14" t="s">
        <v>540</v>
      </c>
      <c r="F17" s="161" t="s">
        <v>36</v>
      </c>
      <c r="G17" s="66" t="s">
        <v>106</v>
      </c>
      <c r="H17" s="66" t="s">
        <v>106</v>
      </c>
      <c r="I17" s="66" t="s">
        <v>107</v>
      </c>
      <c r="J17" s="14" t="s">
        <v>72</v>
      </c>
      <c r="K17" s="14" t="s">
        <v>219</v>
      </c>
      <c r="L17" s="14" t="s">
        <v>29</v>
      </c>
      <c r="M17" s="65" t="s">
        <v>191</v>
      </c>
      <c r="N17" s="13" t="s">
        <v>323</v>
      </c>
      <c r="O17" s="13" t="s">
        <v>43</v>
      </c>
      <c r="P17" s="65">
        <v>2</v>
      </c>
      <c r="Q17" s="65" t="s">
        <v>875</v>
      </c>
      <c r="R17" s="13" t="s">
        <v>548</v>
      </c>
      <c r="S17" s="64" t="s">
        <v>9</v>
      </c>
      <c r="T17" s="62">
        <v>6324.6486185203958</v>
      </c>
      <c r="U17" s="62">
        <v>2125</v>
      </c>
      <c r="V17" s="150">
        <v>3162.3243092601979</v>
      </c>
      <c r="W17" s="62">
        <v>74407.63080612231</v>
      </c>
      <c r="X17" s="76">
        <v>284795.35572569474</v>
      </c>
      <c r="Y17" s="62" t="s">
        <v>1358</v>
      </c>
      <c r="Z17" s="367">
        <v>0.15</v>
      </c>
      <c r="AA17" s="61" t="s">
        <v>551</v>
      </c>
      <c r="AB17" s="181">
        <v>2.5000000000000001E-2</v>
      </c>
      <c r="AC17" s="181">
        <v>1.7250000000000001E-2</v>
      </c>
      <c r="AD17" s="60">
        <v>43496</v>
      </c>
      <c r="AE17" s="60">
        <v>44848</v>
      </c>
      <c r="AF17" s="60">
        <v>44848</v>
      </c>
      <c r="AG17" s="58">
        <v>1353</v>
      </c>
      <c r="AH17" s="59" t="s">
        <v>1</v>
      </c>
      <c r="AI17" s="58">
        <v>-443</v>
      </c>
      <c r="AJ17" s="57">
        <v>-1.2136986301369863</v>
      </c>
      <c r="AK17" s="56"/>
      <c r="AL17" s="14" t="s">
        <v>361</v>
      </c>
      <c r="AM17" s="197" t="s">
        <v>36</v>
      </c>
      <c r="AN17" s="198" t="s">
        <v>106</v>
      </c>
      <c r="AO17" s="58" t="s">
        <v>957</v>
      </c>
      <c r="AP17" s="112"/>
      <c r="AQ17" s="272" t="s">
        <v>476</v>
      </c>
    </row>
    <row r="18" spans="1:45" ht="39.950000000000003" customHeight="1" x14ac:dyDescent="0.2">
      <c r="A18" s="131" t="s">
        <v>185</v>
      </c>
      <c r="B18" s="337" t="s">
        <v>1336</v>
      </c>
      <c r="C18" s="337" t="s">
        <v>1142</v>
      </c>
      <c r="D18" s="66" t="s">
        <v>127</v>
      </c>
      <c r="E18" s="14" t="s">
        <v>542</v>
      </c>
      <c r="F18" s="68" t="s">
        <v>127</v>
      </c>
      <c r="G18" s="14" t="s">
        <v>92</v>
      </c>
      <c r="H18" s="14" t="s">
        <v>93</v>
      </c>
      <c r="I18" s="66" t="s">
        <v>94</v>
      </c>
      <c r="J18" s="14" t="s">
        <v>165</v>
      </c>
      <c r="K18" s="14" t="s">
        <v>220</v>
      </c>
      <c r="L18" s="14" t="s">
        <v>22</v>
      </c>
      <c r="M18" s="65" t="s">
        <v>191</v>
      </c>
      <c r="N18" s="13" t="s">
        <v>59</v>
      </c>
      <c r="O18" s="13" t="s">
        <v>43</v>
      </c>
      <c r="P18" s="65">
        <v>2</v>
      </c>
      <c r="Q18" s="13" t="s">
        <v>538</v>
      </c>
      <c r="R18" s="65" t="s">
        <v>534</v>
      </c>
      <c r="S18" s="64" t="s">
        <v>59</v>
      </c>
      <c r="T18" s="62">
        <v>29324.376626067231</v>
      </c>
      <c r="U18" s="62">
        <v>18000</v>
      </c>
      <c r="V18" s="150">
        <v>29324.376626067231</v>
      </c>
      <c r="W18" s="62">
        <v>285098.10608676478</v>
      </c>
      <c r="X18" s="76">
        <v>2003386.8351697479</v>
      </c>
      <c r="Y18" s="62" t="s">
        <v>16</v>
      </c>
      <c r="Z18" s="366">
        <v>0</v>
      </c>
      <c r="AA18" s="61" t="s">
        <v>11</v>
      </c>
      <c r="AB18" s="181">
        <v>1.7999999999999999E-2</v>
      </c>
      <c r="AC18" s="181">
        <v>1.2599999999999998E-2</v>
      </c>
      <c r="AD18" s="60">
        <v>43500</v>
      </c>
      <c r="AE18" s="60">
        <v>46042</v>
      </c>
      <c r="AF18" s="60">
        <v>46042</v>
      </c>
      <c r="AG18" s="58">
        <v>2543</v>
      </c>
      <c r="AH18" s="59" t="s">
        <v>10</v>
      </c>
      <c r="AI18" s="58">
        <v>751</v>
      </c>
      <c r="AJ18" s="57">
        <v>2.0575342465753423</v>
      </c>
      <c r="AK18" s="56" t="s">
        <v>436</v>
      </c>
      <c r="AL18" s="14" t="s">
        <v>358</v>
      </c>
      <c r="AM18" s="197" t="s">
        <v>127</v>
      </c>
      <c r="AN18" s="198" t="s">
        <v>92</v>
      </c>
      <c r="AO18" s="58" t="s">
        <v>1217</v>
      </c>
      <c r="AP18" s="112"/>
      <c r="AQ18" s="272"/>
    </row>
    <row r="19" spans="1:45" ht="39.950000000000003" customHeight="1" x14ac:dyDescent="0.2">
      <c r="A19" s="350" t="s">
        <v>203</v>
      </c>
      <c r="B19" s="337" t="s">
        <v>23</v>
      </c>
      <c r="C19" s="337" t="s">
        <v>1141</v>
      </c>
      <c r="D19" s="66" t="s">
        <v>89</v>
      </c>
      <c r="E19" s="14" t="s">
        <v>542</v>
      </c>
      <c r="F19" s="77" t="s">
        <v>127</v>
      </c>
      <c r="G19" s="14" t="s">
        <v>92</v>
      </c>
      <c r="H19" s="14" t="s">
        <v>108</v>
      </c>
      <c r="I19" s="14" t="s">
        <v>109</v>
      </c>
      <c r="J19" s="14" t="s">
        <v>220</v>
      </c>
      <c r="K19" s="14" t="s">
        <v>220</v>
      </c>
      <c r="L19" s="14" t="s">
        <v>22</v>
      </c>
      <c r="M19" s="65" t="s">
        <v>191</v>
      </c>
      <c r="N19" s="13" t="s">
        <v>59</v>
      </c>
      <c r="O19" s="13" t="s">
        <v>43</v>
      </c>
      <c r="P19" s="65">
        <v>3</v>
      </c>
      <c r="Q19" s="13" t="s">
        <v>531</v>
      </c>
      <c r="R19" s="65" t="s">
        <v>534</v>
      </c>
      <c r="S19" s="64" t="s">
        <v>9</v>
      </c>
      <c r="T19" s="62">
        <v>2947.1538106476696</v>
      </c>
      <c r="U19" s="62">
        <v>652.47</v>
      </c>
      <c r="V19" s="150">
        <v>970.97493744141241</v>
      </c>
      <c r="W19" s="62">
        <v>11626.237529254389</v>
      </c>
      <c r="X19" s="76">
        <v>142360.71215186288</v>
      </c>
      <c r="Y19" s="62" t="s">
        <v>16</v>
      </c>
      <c r="Z19" s="366">
        <v>0</v>
      </c>
      <c r="AA19" s="61" t="s">
        <v>11</v>
      </c>
      <c r="AB19" s="181">
        <v>2.2499999999999999E-2</v>
      </c>
      <c r="AC19" s="181">
        <v>1.50075E-2</v>
      </c>
      <c r="AD19" s="60">
        <v>43508</v>
      </c>
      <c r="AE19" s="60">
        <v>46081</v>
      </c>
      <c r="AF19" s="60">
        <v>46081</v>
      </c>
      <c r="AG19" s="58">
        <v>2574</v>
      </c>
      <c r="AH19" s="59" t="s">
        <v>10</v>
      </c>
      <c r="AI19" s="58">
        <v>790</v>
      </c>
      <c r="AJ19" s="57">
        <v>2.1643835616438358</v>
      </c>
      <c r="AK19" s="56"/>
      <c r="AL19" s="14" t="s">
        <v>360</v>
      </c>
      <c r="AM19" s="197" t="s">
        <v>127</v>
      </c>
      <c r="AN19" s="198" t="s">
        <v>92</v>
      </c>
      <c r="AO19" s="58" t="s">
        <v>955</v>
      </c>
      <c r="AP19" s="112"/>
      <c r="AQ19" s="272"/>
    </row>
    <row r="20" spans="1:45" s="229" customFormat="1" ht="39.950000000000003" customHeight="1" x14ac:dyDescent="0.2">
      <c r="A20" s="131" t="s">
        <v>187</v>
      </c>
      <c r="B20" s="337" t="s">
        <v>1336</v>
      </c>
      <c r="C20" s="337" t="s">
        <v>1141</v>
      </c>
      <c r="D20" s="133" t="s">
        <v>34</v>
      </c>
      <c r="E20" s="131" t="s">
        <v>34</v>
      </c>
      <c r="F20" s="161" t="s">
        <v>34</v>
      </c>
      <c r="G20" s="131" t="s">
        <v>543</v>
      </c>
      <c r="H20" s="131" t="s">
        <v>97</v>
      </c>
      <c r="I20" s="131" t="s">
        <v>186</v>
      </c>
      <c r="J20" s="131" t="s">
        <v>70</v>
      </c>
      <c r="K20" s="131" t="s">
        <v>218</v>
      </c>
      <c r="L20" s="131" t="s">
        <v>139</v>
      </c>
      <c r="M20" s="270" t="s">
        <v>191</v>
      </c>
      <c r="N20" s="269" t="s">
        <v>323</v>
      </c>
      <c r="O20" s="269" t="s">
        <v>43</v>
      </c>
      <c r="P20" s="270">
        <v>4</v>
      </c>
      <c r="Q20" s="269" t="s">
        <v>538</v>
      </c>
      <c r="R20" s="270" t="s">
        <v>534</v>
      </c>
      <c r="S20" s="297" t="s">
        <v>8</v>
      </c>
      <c r="T20" s="86">
        <v>15000</v>
      </c>
      <c r="U20" s="62">
        <v>15000</v>
      </c>
      <c r="V20" s="169">
        <v>15000</v>
      </c>
      <c r="W20" s="86">
        <v>65000</v>
      </c>
      <c r="X20" s="358">
        <v>2296345.98</v>
      </c>
      <c r="Y20" s="62" t="s">
        <v>16</v>
      </c>
      <c r="Z20" s="366">
        <v>0</v>
      </c>
      <c r="AA20" s="61" t="s">
        <v>11</v>
      </c>
      <c r="AB20" s="181">
        <v>5.2499999999999998E-2</v>
      </c>
      <c r="AC20" s="181">
        <v>2.81E-2</v>
      </c>
      <c r="AD20" s="415">
        <v>43511</v>
      </c>
      <c r="AE20" s="415">
        <v>45849</v>
      </c>
      <c r="AF20" s="415">
        <v>45849</v>
      </c>
      <c r="AG20" s="272">
        <v>2339</v>
      </c>
      <c r="AH20" s="139" t="s">
        <v>10</v>
      </c>
      <c r="AI20" s="272">
        <v>558</v>
      </c>
      <c r="AJ20" s="273">
        <v>1.5287671232876712</v>
      </c>
      <c r="AK20" s="274"/>
      <c r="AL20" s="131" t="s">
        <v>359</v>
      </c>
      <c r="AM20" s="323" t="s">
        <v>34</v>
      </c>
      <c r="AN20" s="324" t="s">
        <v>543</v>
      </c>
      <c r="AO20" s="272" t="s">
        <v>958</v>
      </c>
      <c r="AP20" s="276"/>
      <c r="AQ20" s="272"/>
      <c r="AS20" s="411"/>
    </row>
    <row r="21" spans="1:45" ht="39.950000000000003" customHeight="1" x14ac:dyDescent="0.2">
      <c r="A21" s="270" t="s">
        <v>194</v>
      </c>
      <c r="B21" s="337" t="s">
        <v>23</v>
      </c>
      <c r="C21" s="337" t="s">
        <v>1141</v>
      </c>
      <c r="D21" s="66" t="s">
        <v>89</v>
      </c>
      <c r="E21" s="14" t="s">
        <v>542</v>
      </c>
      <c r="F21" s="77" t="s">
        <v>193</v>
      </c>
      <c r="G21" s="14" t="s">
        <v>92</v>
      </c>
      <c r="H21" s="66" t="s">
        <v>134</v>
      </c>
      <c r="I21" s="14" t="s">
        <v>134</v>
      </c>
      <c r="J21" s="14" t="s">
        <v>220</v>
      </c>
      <c r="K21" s="14" t="s">
        <v>220</v>
      </c>
      <c r="L21" s="14" t="s">
        <v>22</v>
      </c>
      <c r="M21" s="65" t="s">
        <v>191</v>
      </c>
      <c r="N21" s="13" t="s">
        <v>59</v>
      </c>
      <c r="O21" s="13" t="s">
        <v>43</v>
      </c>
      <c r="P21" s="65">
        <v>3</v>
      </c>
      <c r="Q21" s="13" t="s">
        <v>531</v>
      </c>
      <c r="R21" s="65" t="s">
        <v>534</v>
      </c>
      <c r="S21" s="64" t="s">
        <v>9</v>
      </c>
      <c r="T21" s="62">
        <v>22322.28924183669</v>
      </c>
      <c r="U21" s="62">
        <v>3461.54</v>
      </c>
      <c r="V21" s="169">
        <v>5151.2998068124916</v>
      </c>
      <c r="W21" s="86">
        <v>47048.538235554093</v>
      </c>
      <c r="X21" s="358">
        <v>1139087.0740269169</v>
      </c>
      <c r="Y21" s="62" t="s">
        <v>16</v>
      </c>
      <c r="Z21" s="366">
        <v>0</v>
      </c>
      <c r="AA21" s="61" t="s">
        <v>11</v>
      </c>
      <c r="AB21" s="181">
        <v>2.8500000000000001E-2</v>
      </c>
      <c r="AC21" s="181">
        <v>1.6601250000000001E-2</v>
      </c>
      <c r="AD21" s="60">
        <v>43515</v>
      </c>
      <c r="AE21" s="60">
        <v>46042</v>
      </c>
      <c r="AF21" s="60">
        <v>46042</v>
      </c>
      <c r="AG21" s="58">
        <v>2528</v>
      </c>
      <c r="AH21" s="59" t="s">
        <v>10</v>
      </c>
      <c r="AI21" s="58">
        <v>751</v>
      </c>
      <c r="AJ21" s="57">
        <v>2.0575342465753423</v>
      </c>
      <c r="AK21" s="56"/>
      <c r="AL21" s="13" t="s">
        <v>362</v>
      </c>
      <c r="AM21" s="197" t="s">
        <v>193</v>
      </c>
      <c r="AN21" s="198" t="s">
        <v>92</v>
      </c>
      <c r="AO21" s="58" t="s">
        <v>959</v>
      </c>
      <c r="AP21" s="112"/>
      <c r="AQ21" s="272"/>
    </row>
    <row r="22" spans="1:45" ht="39.950000000000003" customHeight="1" x14ac:dyDescent="0.2">
      <c r="A22" s="133" t="s">
        <v>192</v>
      </c>
      <c r="B22" s="337" t="s">
        <v>23</v>
      </c>
      <c r="C22" s="337" t="s">
        <v>1144</v>
      </c>
      <c r="D22" s="66" t="s">
        <v>149</v>
      </c>
      <c r="E22" s="14" t="s">
        <v>541</v>
      </c>
      <c r="F22" s="130" t="s">
        <v>37</v>
      </c>
      <c r="G22" s="14" t="s">
        <v>544</v>
      </c>
      <c r="H22" s="66" t="s">
        <v>178</v>
      </c>
      <c r="I22" s="66" t="s">
        <v>177</v>
      </c>
      <c r="J22" s="14" t="s">
        <v>148</v>
      </c>
      <c r="K22" s="14" t="s">
        <v>148</v>
      </c>
      <c r="L22" s="14" t="s">
        <v>29</v>
      </c>
      <c r="M22" s="65" t="s">
        <v>191</v>
      </c>
      <c r="N22" s="13" t="s">
        <v>59</v>
      </c>
      <c r="O22" s="13" t="s">
        <v>43</v>
      </c>
      <c r="P22" s="65">
        <v>5</v>
      </c>
      <c r="Q22" s="65" t="s">
        <v>875</v>
      </c>
      <c r="R22" s="65" t="s">
        <v>534</v>
      </c>
      <c r="S22" s="64" t="s">
        <v>9</v>
      </c>
      <c r="T22" s="62">
        <v>11161.144620918345</v>
      </c>
      <c r="U22" s="62">
        <v>5025</v>
      </c>
      <c r="V22" s="169">
        <v>7477.9668960152912</v>
      </c>
      <c r="W22" s="86">
        <v>44644.57848367338</v>
      </c>
      <c r="X22" s="358">
        <v>780801.81707601249</v>
      </c>
      <c r="Y22" s="62" t="s">
        <v>1359</v>
      </c>
      <c r="Z22" s="366">
        <v>0.15</v>
      </c>
      <c r="AA22" s="61" t="s">
        <v>551</v>
      </c>
      <c r="AB22" s="181">
        <v>3.5000000000000003E-2</v>
      </c>
      <c r="AC22" s="181">
        <v>2.0587000000000005E-2</v>
      </c>
      <c r="AD22" s="60">
        <v>43532</v>
      </c>
      <c r="AE22" s="271">
        <v>45884</v>
      </c>
      <c r="AF22" s="271">
        <v>45884</v>
      </c>
      <c r="AG22" s="58">
        <v>2353</v>
      </c>
      <c r="AH22" s="59" t="s">
        <v>10</v>
      </c>
      <c r="AI22" s="58">
        <v>593</v>
      </c>
      <c r="AJ22" s="57">
        <v>1.6246575342465754</v>
      </c>
      <c r="AK22" s="56"/>
      <c r="AL22" s="14" t="s">
        <v>363</v>
      </c>
      <c r="AM22" s="197" t="s">
        <v>37</v>
      </c>
      <c r="AN22" s="198" t="s">
        <v>544</v>
      </c>
      <c r="AO22" s="58" t="s">
        <v>960</v>
      </c>
      <c r="AP22" s="112"/>
      <c r="AQ22" s="272"/>
    </row>
    <row r="23" spans="1:45" ht="39.950000000000003" customHeight="1" x14ac:dyDescent="0.2">
      <c r="A23" s="133" t="s">
        <v>205</v>
      </c>
      <c r="B23" s="337" t="s">
        <v>23</v>
      </c>
      <c r="C23" s="337" t="s">
        <v>1141</v>
      </c>
      <c r="D23" s="66" t="s">
        <v>38</v>
      </c>
      <c r="E23" s="14" t="s">
        <v>540</v>
      </c>
      <c r="F23" s="161" t="s">
        <v>36</v>
      </c>
      <c r="G23" s="14" t="s">
        <v>92</v>
      </c>
      <c r="H23" s="66" t="s">
        <v>134</v>
      </c>
      <c r="I23" s="66" t="s">
        <v>134</v>
      </c>
      <c r="J23" s="66" t="s">
        <v>50</v>
      </c>
      <c r="K23" s="66" t="s">
        <v>21</v>
      </c>
      <c r="L23" s="14" t="s">
        <v>22</v>
      </c>
      <c r="M23" s="65" t="s">
        <v>191</v>
      </c>
      <c r="N23" s="13" t="s">
        <v>323</v>
      </c>
      <c r="O23" s="65" t="s">
        <v>43</v>
      </c>
      <c r="P23" s="65">
        <v>2</v>
      </c>
      <c r="Q23" s="65" t="s">
        <v>531</v>
      </c>
      <c r="R23" s="65" t="s">
        <v>534</v>
      </c>
      <c r="S23" s="83" t="s">
        <v>9</v>
      </c>
      <c r="T23" s="62">
        <v>30135.090476479534</v>
      </c>
      <c r="U23" s="62">
        <v>8927.81</v>
      </c>
      <c r="V23" s="82">
        <v>13285.943807744135</v>
      </c>
      <c r="W23" s="82">
        <v>63510.091880969492</v>
      </c>
      <c r="X23" s="62">
        <v>939491.58069472597</v>
      </c>
      <c r="Y23" s="62" t="s">
        <v>16</v>
      </c>
      <c r="Z23" s="366">
        <v>0</v>
      </c>
      <c r="AA23" s="61" t="s">
        <v>11</v>
      </c>
      <c r="AB23" s="181">
        <v>1.4E-2</v>
      </c>
      <c r="AC23" s="364">
        <v>7.7000000000000011E-3</v>
      </c>
      <c r="AD23" s="81">
        <v>43609</v>
      </c>
      <c r="AE23" s="81">
        <v>46457</v>
      </c>
      <c r="AF23" s="81">
        <v>46457</v>
      </c>
      <c r="AG23" s="58">
        <v>2849</v>
      </c>
      <c r="AH23" s="151" t="s">
        <v>10</v>
      </c>
      <c r="AI23" s="80">
        <v>1166</v>
      </c>
      <c r="AJ23" s="57">
        <v>3.1945205479452055</v>
      </c>
      <c r="AK23" s="56" t="s">
        <v>436</v>
      </c>
      <c r="AL23" s="14" t="s">
        <v>366</v>
      </c>
      <c r="AM23" s="197" t="s">
        <v>36</v>
      </c>
      <c r="AN23" s="198" t="s">
        <v>92</v>
      </c>
      <c r="AO23" s="58" t="s">
        <v>961</v>
      </c>
      <c r="AP23" s="112"/>
      <c r="AQ23" s="272"/>
    </row>
    <row r="24" spans="1:45" ht="39.950000000000003" customHeight="1" x14ac:dyDescent="0.2">
      <c r="A24" s="270" t="s">
        <v>1475</v>
      </c>
      <c r="B24" s="337" t="s">
        <v>1438</v>
      </c>
      <c r="C24" s="337" t="s">
        <v>1141</v>
      </c>
      <c r="D24" s="66" t="s">
        <v>211</v>
      </c>
      <c r="E24" s="14" t="s">
        <v>542</v>
      </c>
      <c r="F24" s="77" t="s">
        <v>211</v>
      </c>
      <c r="G24" s="14" t="s">
        <v>102</v>
      </c>
      <c r="H24" s="14" t="s">
        <v>102</v>
      </c>
      <c r="I24" s="66" t="s">
        <v>122</v>
      </c>
      <c r="J24" s="66" t="s">
        <v>212</v>
      </c>
      <c r="K24" s="66" t="s">
        <v>220</v>
      </c>
      <c r="L24" s="14" t="s">
        <v>13</v>
      </c>
      <c r="M24" s="65" t="s">
        <v>191</v>
      </c>
      <c r="N24" s="13" t="s">
        <v>59</v>
      </c>
      <c r="O24" s="65" t="s">
        <v>43</v>
      </c>
      <c r="P24" s="65">
        <v>3</v>
      </c>
      <c r="Q24" s="65" t="s">
        <v>538</v>
      </c>
      <c r="R24" s="65" t="s">
        <v>534</v>
      </c>
      <c r="S24" s="64" t="s">
        <v>59</v>
      </c>
      <c r="T24" s="62">
        <v>13077.857409208595</v>
      </c>
      <c r="U24" s="62">
        <v>8027.5</v>
      </c>
      <c r="V24" s="82">
        <v>13077.857409208595</v>
      </c>
      <c r="W24" s="82">
        <v>26155.714818417189</v>
      </c>
      <c r="X24" s="62">
        <v>798016.69140259293</v>
      </c>
      <c r="Y24" s="62" t="s">
        <v>16</v>
      </c>
      <c r="Z24" s="366">
        <v>0</v>
      </c>
      <c r="AA24" s="61" t="s">
        <v>11</v>
      </c>
      <c r="AB24" s="181">
        <v>2.5000000000000001E-2</v>
      </c>
      <c r="AC24" s="364">
        <v>1.8249999999999999E-2</v>
      </c>
      <c r="AD24" s="81">
        <v>43626</v>
      </c>
      <c r="AE24" s="60">
        <v>45301</v>
      </c>
      <c r="AF24" s="81">
        <v>46020</v>
      </c>
      <c r="AG24" s="58">
        <v>2395</v>
      </c>
      <c r="AH24" s="151" t="s">
        <v>10</v>
      </c>
      <c r="AI24" s="80">
        <v>729</v>
      </c>
      <c r="AJ24" s="57">
        <v>1.9972602739726026</v>
      </c>
      <c r="AK24" s="56"/>
      <c r="AL24" s="14" t="s">
        <v>1393</v>
      </c>
      <c r="AM24" s="197" t="s">
        <v>211</v>
      </c>
      <c r="AN24" s="198" t="s">
        <v>102</v>
      </c>
      <c r="AO24" s="58" t="s">
        <v>1117</v>
      </c>
      <c r="AP24" s="112"/>
      <c r="AQ24" s="272" t="s">
        <v>122</v>
      </c>
    </row>
    <row r="25" spans="1:45" ht="39.950000000000003" customHeight="1" x14ac:dyDescent="0.2">
      <c r="A25" s="131" t="s">
        <v>215</v>
      </c>
      <c r="B25" s="337" t="s">
        <v>1437</v>
      </c>
      <c r="C25" s="337" t="s">
        <v>1142</v>
      </c>
      <c r="D25" s="66" t="s">
        <v>38</v>
      </c>
      <c r="E25" s="14" t="s">
        <v>541</v>
      </c>
      <c r="F25" s="77" t="s">
        <v>37</v>
      </c>
      <c r="G25" s="14" t="s">
        <v>102</v>
      </c>
      <c r="H25" s="14" t="s">
        <v>102</v>
      </c>
      <c r="I25" s="66" t="s">
        <v>122</v>
      </c>
      <c r="J25" s="14" t="s">
        <v>142</v>
      </c>
      <c r="K25" s="66" t="s">
        <v>218</v>
      </c>
      <c r="L25" s="14" t="s">
        <v>101</v>
      </c>
      <c r="M25" s="65" t="s">
        <v>191</v>
      </c>
      <c r="N25" s="13" t="s">
        <v>323</v>
      </c>
      <c r="O25" s="13" t="s">
        <v>43</v>
      </c>
      <c r="P25" s="65">
        <v>2</v>
      </c>
      <c r="Q25" s="65" t="s">
        <v>875</v>
      </c>
      <c r="R25" s="65" t="s">
        <v>534</v>
      </c>
      <c r="S25" s="64" t="s">
        <v>54</v>
      </c>
      <c r="T25" s="62">
        <v>37152.37947463258</v>
      </c>
      <c r="U25" s="62">
        <v>158000</v>
      </c>
      <c r="V25" s="62">
        <v>37152.37947463258</v>
      </c>
      <c r="W25" s="62">
        <v>462975.80576080602</v>
      </c>
      <c r="X25" s="76">
        <v>603924.65733693563</v>
      </c>
      <c r="Y25" s="62" t="s">
        <v>16</v>
      </c>
      <c r="Z25" s="366">
        <v>0</v>
      </c>
      <c r="AA25" s="61" t="s">
        <v>551</v>
      </c>
      <c r="AB25" s="181">
        <v>1.6799999999999999E-2</v>
      </c>
      <c r="AC25" s="181">
        <v>9.1000000000000004E-3</v>
      </c>
      <c r="AD25" s="60">
        <v>43633</v>
      </c>
      <c r="AE25" s="60">
        <v>45412</v>
      </c>
      <c r="AF25" s="60">
        <v>45412</v>
      </c>
      <c r="AG25" s="58">
        <v>1780</v>
      </c>
      <c r="AH25" s="59" t="s">
        <v>10</v>
      </c>
      <c r="AI25" s="58">
        <v>121</v>
      </c>
      <c r="AJ25" s="57">
        <v>0.33150684931506852</v>
      </c>
      <c r="AK25" s="56" t="s">
        <v>436</v>
      </c>
      <c r="AL25" s="14" t="s">
        <v>374</v>
      </c>
      <c r="AM25" s="197" t="s">
        <v>37</v>
      </c>
      <c r="AN25" s="198" t="s">
        <v>102</v>
      </c>
      <c r="AO25" s="58" t="s">
        <v>963</v>
      </c>
      <c r="AP25" s="112"/>
      <c r="AQ25" s="272" t="s">
        <v>122</v>
      </c>
    </row>
    <row r="26" spans="1:45" ht="39.950000000000003" customHeight="1" x14ac:dyDescent="0.2">
      <c r="A26" s="131" t="s">
        <v>223</v>
      </c>
      <c r="B26" s="337" t="s">
        <v>1333</v>
      </c>
      <c r="C26" s="337" t="s">
        <v>1143</v>
      </c>
      <c r="D26" s="66" t="s">
        <v>38</v>
      </c>
      <c r="E26" s="14" t="s">
        <v>541</v>
      </c>
      <c r="F26" s="77" t="s">
        <v>229</v>
      </c>
      <c r="G26" s="14" t="s">
        <v>92</v>
      </c>
      <c r="H26" s="66" t="s">
        <v>100</v>
      </c>
      <c r="I26" s="14" t="s">
        <v>100</v>
      </c>
      <c r="J26" s="14" t="s">
        <v>230</v>
      </c>
      <c r="K26" s="66" t="s">
        <v>231</v>
      </c>
      <c r="L26" s="14" t="s">
        <v>44</v>
      </c>
      <c r="M26" s="65" t="s">
        <v>191</v>
      </c>
      <c r="N26" s="13" t="s">
        <v>323</v>
      </c>
      <c r="O26" s="13" t="s">
        <v>43</v>
      </c>
      <c r="P26" s="65">
        <v>2</v>
      </c>
      <c r="Q26" s="416" t="s">
        <v>539</v>
      </c>
      <c r="R26" s="65" t="s">
        <v>534</v>
      </c>
      <c r="S26" s="64" t="s">
        <v>9</v>
      </c>
      <c r="T26" s="62">
        <v>16369.678777346908</v>
      </c>
      <c r="U26" s="62">
        <v>7755.84</v>
      </c>
      <c r="V26" s="62">
        <v>11541.873586227113</v>
      </c>
      <c r="W26" s="62">
        <v>52990.138354888062</v>
      </c>
      <c r="X26" s="76">
        <v>811541.7069131342</v>
      </c>
      <c r="Y26" s="62" t="s">
        <v>16</v>
      </c>
      <c r="Z26" s="366">
        <v>0</v>
      </c>
      <c r="AA26" s="61" t="s">
        <v>551</v>
      </c>
      <c r="AB26" s="181">
        <v>1.7500000000000002E-2</v>
      </c>
      <c r="AC26" s="181">
        <v>8.0000000000000002E-3</v>
      </c>
      <c r="AD26" s="60">
        <v>43670</v>
      </c>
      <c r="AE26" s="60">
        <v>47992</v>
      </c>
      <c r="AF26" s="60">
        <v>47992</v>
      </c>
      <c r="AG26" s="58">
        <v>4323</v>
      </c>
      <c r="AH26" s="59" t="s">
        <v>10</v>
      </c>
      <c r="AI26" s="58">
        <v>2701</v>
      </c>
      <c r="AJ26" s="57">
        <v>7.4</v>
      </c>
      <c r="AK26" s="56"/>
      <c r="AL26" s="14" t="s">
        <v>1325</v>
      </c>
      <c r="AM26" s="197" t="s">
        <v>229</v>
      </c>
      <c r="AN26" s="198" t="s">
        <v>92</v>
      </c>
      <c r="AO26" s="58" t="s">
        <v>964</v>
      </c>
      <c r="AP26" s="112"/>
      <c r="AQ26" s="272"/>
    </row>
    <row r="27" spans="1:45" ht="39.950000000000003" customHeight="1" x14ac:dyDescent="0.2">
      <c r="A27" s="131" t="s">
        <v>247</v>
      </c>
      <c r="B27" s="337" t="s">
        <v>1437</v>
      </c>
      <c r="C27" s="337" t="s">
        <v>1142</v>
      </c>
      <c r="D27" s="66" t="s">
        <v>87</v>
      </c>
      <c r="E27" s="14" t="s">
        <v>542</v>
      </c>
      <c r="F27" s="77" t="s">
        <v>87</v>
      </c>
      <c r="G27" s="14" t="s">
        <v>48</v>
      </c>
      <c r="H27" s="66" t="s">
        <v>95</v>
      </c>
      <c r="I27" s="66" t="s">
        <v>447</v>
      </c>
      <c r="J27" s="14" t="s">
        <v>246</v>
      </c>
      <c r="K27" s="14" t="s">
        <v>219</v>
      </c>
      <c r="L27" s="14" t="s">
        <v>140</v>
      </c>
      <c r="M27" s="65" t="s">
        <v>191</v>
      </c>
      <c r="N27" s="13" t="s">
        <v>59</v>
      </c>
      <c r="O27" s="13" t="s">
        <v>43</v>
      </c>
      <c r="P27" s="65">
        <v>3</v>
      </c>
      <c r="Q27" s="13" t="s">
        <v>538</v>
      </c>
      <c r="R27" s="65" t="s">
        <v>534</v>
      </c>
      <c r="S27" s="64" t="s">
        <v>9</v>
      </c>
      <c r="T27" s="62">
        <v>29763.052322448922</v>
      </c>
      <c r="U27" s="62">
        <v>20000</v>
      </c>
      <c r="V27" s="62">
        <v>29763.052322448922</v>
      </c>
      <c r="W27" s="62">
        <v>148815.26161224462</v>
      </c>
      <c r="X27" s="76">
        <v>2027472.6663940274</v>
      </c>
      <c r="Y27" s="62" t="s">
        <v>16</v>
      </c>
      <c r="Z27" s="366">
        <v>0</v>
      </c>
      <c r="AA27" s="61" t="s">
        <v>11</v>
      </c>
      <c r="AB27" s="181">
        <v>8.6999999999999994E-3</v>
      </c>
      <c r="AC27" s="181">
        <v>5.6549999999999994E-3</v>
      </c>
      <c r="AD27" s="60">
        <v>43732</v>
      </c>
      <c r="AE27" s="60">
        <v>46598</v>
      </c>
      <c r="AF27" s="60">
        <v>46598</v>
      </c>
      <c r="AG27" s="58">
        <v>2867</v>
      </c>
      <c r="AH27" s="59" t="s">
        <v>10</v>
      </c>
      <c r="AI27" s="58">
        <v>1307</v>
      </c>
      <c r="AJ27" s="57">
        <v>3.580821917808219</v>
      </c>
      <c r="AK27" s="56" t="s">
        <v>436</v>
      </c>
      <c r="AL27" s="14" t="s">
        <v>381</v>
      </c>
      <c r="AM27" s="197" t="s">
        <v>87</v>
      </c>
      <c r="AN27" s="198" t="s">
        <v>48</v>
      </c>
      <c r="AO27" s="58" t="s">
        <v>966</v>
      </c>
      <c r="AP27" s="112"/>
      <c r="AQ27" s="272"/>
    </row>
    <row r="28" spans="1:45" ht="39.950000000000003" customHeight="1" x14ac:dyDescent="0.2">
      <c r="A28" s="131" t="s">
        <v>244</v>
      </c>
      <c r="B28" s="337" t="s">
        <v>23</v>
      </c>
      <c r="C28" s="337" t="s">
        <v>1143</v>
      </c>
      <c r="D28" s="66" t="s">
        <v>38</v>
      </c>
      <c r="E28" s="14" t="s">
        <v>541</v>
      </c>
      <c r="F28" s="77" t="s">
        <v>38</v>
      </c>
      <c r="G28" s="66" t="s">
        <v>106</v>
      </c>
      <c r="H28" s="66" t="s">
        <v>106</v>
      </c>
      <c r="I28" s="14" t="s">
        <v>245</v>
      </c>
      <c r="J28" s="14" t="s">
        <v>50</v>
      </c>
      <c r="K28" s="14" t="s">
        <v>21</v>
      </c>
      <c r="L28" s="14" t="s">
        <v>101</v>
      </c>
      <c r="M28" s="65" t="s">
        <v>191</v>
      </c>
      <c r="N28" s="13" t="s">
        <v>323</v>
      </c>
      <c r="O28" s="13" t="s">
        <v>43</v>
      </c>
      <c r="P28" s="65">
        <v>2</v>
      </c>
      <c r="Q28" s="13" t="s">
        <v>533</v>
      </c>
      <c r="R28" s="65" t="s">
        <v>534</v>
      </c>
      <c r="S28" s="64" t="s">
        <v>8</v>
      </c>
      <c r="T28" s="62">
        <v>25000</v>
      </c>
      <c r="U28" s="62">
        <v>25000</v>
      </c>
      <c r="V28" s="62">
        <v>25000</v>
      </c>
      <c r="W28" s="62">
        <v>75000</v>
      </c>
      <c r="X28" s="76">
        <v>711986.31</v>
      </c>
      <c r="Y28" s="62" t="s">
        <v>16</v>
      </c>
      <c r="Z28" s="366">
        <v>0</v>
      </c>
      <c r="AA28" s="61" t="s">
        <v>11</v>
      </c>
      <c r="AB28" s="181">
        <v>1.35E-2</v>
      </c>
      <c r="AC28" s="181">
        <v>6.0000000000000001E-3</v>
      </c>
      <c r="AD28" s="60">
        <v>43756</v>
      </c>
      <c r="AE28" s="60">
        <v>45520</v>
      </c>
      <c r="AF28" s="60">
        <v>45520</v>
      </c>
      <c r="AG28" s="58">
        <v>1765</v>
      </c>
      <c r="AH28" s="59" t="s">
        <v>10</v>
      </c>
      <c r="AI28" s="58">
        <v>229</v>
      </c>
      <c r="AJ28" s="57">
        <v>0.62739726027397258</v>
      </c>
      <c r="AK28" s="56" t="s">
        <v>436</v>
      </c>
      <c r="AL28" s="14" t="s">
        <v>371</v>
      </c>
      <c r="AM28" s="197" t="s">
        <v>38</v>
      </c>
      <c r="AN28" s="198" t="s">
        <v>106</v>
      </c>
      <c r="AO28" s="58" t="s">
        <v>968</v>
      </c>
      <c r="AP28" s="112"/>
      <c r="AQ28" s="272" t="s">
        <v>122</v>
      </c>
    </row>
    <row r="29" spans="1:45" ht="39.950000000000003" customHeight="1" x14ac:dyDescent="0.2">
      <c r="A29" s="131" t="s">
        <v>248</v>
      </c>
      <c r="B29" s="337" t="s">
        <v>1248</v>
      </c>
      <c r="C29" s="337" t="s">
        <v>243</v>
      </c>
      <c r="D29" s="66" t="s">
        <v>127</v>
      </c>
      <c r="E29" s="14" t="s">
        <v>542</v>
      </c>
      <c r="F29" s="77" t="s">
        <v>127</v>
      </c>
      <c r="G29" s="14" t="s">
        <v>891</v>
      </c>
      <c r="H29" s="66" t="s">
        <v>249</v>
      </c>
      <c r="I29" s="14" t="s">
        <v>767</v>
      </c>
      <c r="J29" s="14" t="s">
        <v>158</v>
      </c>
      <c r="K29" s="14" t="s">
        <v>220</v>
      </c>
      <c r="L29" s="14" t="s">
        <v>29</v>
      </c>
      <c r="M29" s="65" t="s">
        <v>191</v>
      </c>
      <c r="N29" s="13" t="s">
        <v>59</v>
      </c>
      <c r="O29" s="13" t="s">
        <v>43</v>
      </c>
      <c r="P29" s="65">
        <v>2</v>
      </c>
      <c r="Q29" s="13" t="s">
        <v>538</v>
      </c>
      <c r="R29" s="65" t="s">
        <v>534</v>
      </c>
      <c r="S29" s="64" t="s">
        <v>59</v>
      </c>
      <c r="T29" s="62">
        <v>16291.320347815128</v>
      </c>
      <c r="U29" s="62">
        <v>10000</v>
      </c>
      <c r="V29" s="62">
        <v>16291.320347815128</v>
      </c>
      <c r="W29" s="62">
        <v>214335.71351152746</v>
      </c>
      <c r="X29" s="76">
        <v>851804.11466293933</v>
      </c>
      <c r="Y29" s="62" t="s">
        <v>16</v>
      </c>
      <c r="Z29" s="366">
        <v>0</v>
      </c>
      <c r="AA29" s="61" t="s">
        <v>11</v>
      </c>
      <c r="AB29" s="181">
        <v>1.7500000000000002E-2</v>
      </c>
      <c r="AC29" s="181">
        <v>1.1375000000000001E-2</v>
      </c>
      <c r="AD29" s="60">
        <v>43784</v>
      </c>
      <c r="AE29" s="60">
        <v>45627</v>
      </c>
      <c r="AF29" s="60">
        <v>45627</v>
      </c>
      <c r="AG29" s="58">
        <v>1844</v>
      </c>
      <c r="AH29" s="59" t="s">
        <v>10</v>
      </c>
      <c r="AI29" s="58">
        <v>336</v>
      </c>
      <c r="AJ29" s="57">
        <v>0.92054794520547945</v>
      </c>
      <c r="AK29" s="56"/>
      <c r="AL29" s="14" t="s">
        <v>372</v>
      </c>
      <c r="AM29" s="197" t="s">
        <v>127</v>
      </c>
      <c r="AN29" s="198" t="s">
        <v>891</v>
      </c>
      <c r="AO29" s="58" t="s">
        <v>932</v>
      </c>
      <c r="AP29" s="112"/>
      <c r="AQ29" s="272"/>
    </row>
    <row r="30" spans="1:45" ht="39.950000000000003" customHeight="1" x14ac:dyDescent="0.2">
      <c r="A30" s="131" t="s">
        <v>260</v>
      </c>
      <c r="B30" s="337" t="s">
        <v>1437</v>
      </c>
      <c r="C30" s="337" t="s">
        <v>1141</v>
      </c>
      <c r="D30" s="66" t="s">
        <v>119</v>
      </c>
      <c r="E30" s="14" t="s">
        <v>542</v>
      </c>
      <c r="F30" s="77" t="s">
        <v>119</v>
      </c>
      <c r="G30" s="66" t="s">
        <v>106</v>
      </c>
      <c r="H30" s="66" t="s">
        <v>106</v>
      </c>
      <c r="I30" s="14" t="s">
        <v>263</v>
      </c>
      <c r="J30" s="14" t="s">
        <v>264</v>
      </c>
      <c r="K30" s="14" t="s">
        <v>221</v>
      </c>
      <c r="L30" s="14" t="s">
        <v>13</v>
      </c>
      <c r="M30" s="65" t="s">
        <v>191</v>
      </c>
      <c r="N30" s="13" t="s">
        <v>59</v>
      </c>
      <c r="O30" s="13" t="s">
        <v>43</v>
      </c>
      <c r="P30" s="65">
        <v>2</v>
      </c>
      <c r="Q30" s="13" t="s">
        <v>538</v>
      </c>
      <c r="R30" s="65" t="s">
        <v>534</v>
      </c>
      <c r="S30" s="64" t="s">
        <v>59</v>
      </c>
      <c r="T30" s="62">
        <v>24436.980521722693</v>
      </c>
      <c r="U30" s="62">
        <v>15000</v>
      </c>
      <c r="V30" s="62">
        <v>24436.980521722693</v>
      </c>
      <c r="W30" s="62">
        <v>79175.816890381524</v>
      </c>
      <c r="X30" s="76">
        <v>947330.40568531887</v>
      </c>
      <c r="Y30" s="62" t="s">
        <v>1342</v>
      </c>
      <c r="Z30" s="366">
        <v>0.15</v>
      </c>
      <c r="AA30" s="61" t="s">
        <v>11</v>
      </c>
      <c r="AB30" s="181">
        <v>2.1999999999999999E-2</v>
      </c>
      <c r="AC30" s="181">
        <v>1.0200000000000001E-2</v>
      </c>
      <c r="AD30" s="60">
        <v>43805</v>
      </c>
      <c r="AE30" s="60">
        <v>45306</v>
      </c>
      <c r="AF30" s="417">
        <v>45672</v>
      </c>
      <c r="AG30" s="58">
        <v>1868</v>
      </c>
      <c r="AH30" s="59" t="s">
        <v>10</v>
      </c>
      <c r="AI30" s="58">
        <v>381</v>
      </c>
      <c r="AJ30" s="57">
        <v>1.0438356164383562</v>
      </c>
      <c r="AK30" s="56"/>
      <c r="AL30" s="14" t="s">
        <v>380</v>
      </c>
      <c r="AM30" s="197" t="s">
        <v>119</v>
      </c>
      <c r="AN30" s="198" t="s">
        <v>106</v>
      </c>
      <c r="AO30" s="58" t="s">
        <v>969</v>
      </c>
      <c r="AP30" s="112"/>
      <c r="AQ30" s="272" t="s">
        <v>103</v>
      </c>
    </row>
    <row r="31" spans="1:45" ht="39.950000000000003" customHeight="1" x14ac:dyDescent="0.2">
      <c r="A31" s="131" t="s">
        <v>276</v>
      </c>
      <c r="B31" s="337" t="s">
        <v>1438</v>
      </c>
      <c r="C31" s="337" t="s">
        <v>1143</v>
      </c>
      <c r="D31" s="66" t="s">
        <v>38</v>
      </c>
      <c r="E31" s="14" t="s">
        <v>541</v>
      </c>
      <c r="F31" s="77" t="s">
        <v>274</v>
      </c>
      <c r="G31" s="14" t="s">
        <v>48</v>
      </c>
      <c r="H31" s="66" t="s">
        <v>95</v>
      </c>
      <c r="I31" s="14" t="s">
        <v>275</v>
      </c>
      <c r="J31" s="14" t="s">
        <v>50</v>
      </c>
      <c r="K31" s="14" t="s">
        <v>21</v>
      </c>
      <c r="L31" s="14" t="s">
        <v>45</v>
      </c>
      <c r="M31" s="65" t="s">
        <v>191</v>
      </c>
      <c r="N31" s="13" t="s">
        <v>323</v>
      </c>
      <c r="O31" s="13" t="s">
        <v>43</v>
      </c>
      <c r="P31" s="65">
        <v>2</v>
      </c>
      <c r="Q31" s="13" t="s">
        <v>538</v>
      </c>
      <c r="R31" s="13" t="s">
        <v>548</v>
      </c>
      <c r="S31" s="64" t="s">
        <v>9</v>
      </c>
      <c r="T31" s="62">
        <v>29763.052322448922</v>
      </c>
      <c r="U31" s="62">
        <v>20000</v>
      </c>
      <c r="V31" s="62">
        <v>29763.052322448922</v>
      </c>
      <c r="W31" s="62">
        <v>175000</v>
      </c>
      <c r="X31" s="76">
        <v>745357.60746370442</v>
      </c>
      <c r="Y31" s="62" t="s">
        <v>16</v>
      </c>
      <c r="Z31" s="366">
        <v>0</v>
      </c>
      <c r="AA31" s="61" t="s">
        <v>11</v>
      </c>
      <c r="AB31" s="181">
        <v>1.77E-2</v>
      </c>
      <c r="AC31" s="181">
        <v>1.1505000000000001E-2</v>
      </c>
      <c r="AD31" s="60">
        <v>43850</v>
      </c>
      <c r="AE31" s="60">
        <v>45562</v>
      </c>
      <c r="AF31" s="60">
        <v>45562</v>
      </c>
      <c r="AG31" s="58">
        <v>1713</v>
      </c>
      <c r="AH31" s="59" t="s">
        <v>10</v>
      </c>
      <c r="AI31" s="58">
        <v>271</v>
      </c>
      <c r="AJ31" s="57">
        <v>0.74246575342465748</v>
      </c>
      <c r="AK31" s="56" t="s">
        <v>436</v>
      </c>
      <c r="AL31" s="14" t="s">
        <v>385</v>
      </c>
      <c r="AM31" s="197" t="s">
        <v>274</v>
      </c>
      <c r="AN31" s="198" t="s">
        <v>48</v>
      </c>
      <c r="AO31" s="58" t="s">
        <v>970</v>
      </c>
      <c r="AP31" s="112"/>
      <c r="AQ31" s="272"/>
    </row>
    <row r="32" spans="1:45" ht="39.950000000000003" customHeight="1" x14ac:dyDescent="0.2">
      <c r="A32" s="131" t="s">
        <v>284</v>
      </c>
      <c r="B32" s="337" t="s">
        <v>1248</v>
      </c>
      <c r="C32" s="337" t="s">
        <v>1142</v>
      </c>
      <c r="D32" s="66" t="s">
        <v>127</v>
      </c>
      <c r="E32" s="14" t="s">
        <v>542</v>
      </c>
      <c r="F32" s="77" t="s">
        <v>88</v>
      </c>
      <c r="G32" s="14" t="s">
        <v>104</v>
      </c>
      <c r="H32" s="66" t="s">
        <v>105</v>
      </c>
      <c r="I32" s="14" t="s">
        <v>285</v>
      </c>
      <c r="J32" s="14" t="s">
        <v>286</v>
      </c>
      <c r="K32" s="14" t="s">
        <v>220</v>
      </c>
      <c r="L32" s="14" t="s">
        <v>209</v>
      </c>
      <c r="M32" s="65" t="s">
        <v>191</v>
      </c>
      <c r="N32" s="13" t="s">
        <v>59</v>
      </c>
      <c r="O32" s="13" t="s">
        <v>43</v>
      </c>
      <c r="P32" s="65">
        <v>2</v>
      </c>
      <c r="Q32" s="13" t="s">
        <v>538</v>
      </c>
      <c r="R32" s="13" t="s">
        <v>548</v>
      </c>
      <c r="S32" s="64" t="s">
        <v>59</v>
      </c>
      <c r="T32" s="62">
        <v>24436.980521722693</v>
      </c>
      <c r="U32" s="62">
        <v>11199.32</v>
      </c>
      <c r="V32" s="62">
        <v>18245.170979769293</v>
      </c>
      <c r="W32" s="62">
        <v>195495.84417378154</v>
      </c>
      <c r="X32" s="62">
        <v>926075.88571958093</v>
      </c>
      <c r="Y32" s="62" t="s">
        <v>16</v>
      </c>
      <c r="Z32" s="366">
        <v>0</v>
      </c>
      <c r="AA32" s="61" t="s">
        <v>11</v>
      </c>
      <c r="AB32" s="181">
        <v>0.01</v>
      </c>
      <c r="AC32" s="181">
        <v>6.5000000000000006E-3</v>
      </c>
      <c r="AD32" s="60">
        <v>43861</v>
      </c>
      <c r="AE32" s="60">
        <v>45868</v>
      </c>
      <c r="AF32" s="60">
        <v>45868</v>
      </c>
      <c r="AG32" s="58">
        <v>2008</v>
      </c>
      <c r="AH32" s="75" t="s">
        <v>10</v>
      </c>
      <c r="AI32" s="58">
        <v>577</v>
      </c>
      <c r="AJ32" s="57">
        <v>1.5808219178082192</v>
      </c>
      <c r="AK32" s="56"/>
      <c r="AL32" s="14" t="s">
        <v>389</v>
      </c>
      <c r="AM32" s="197" t="s">
        <v>88</v>
      </c>
      <c r="AN32" s="198" t="s">
        <v>104</v>
      </c>
      <c r="AO32" s="58" t="s">
        <v>971</v>
      </c>
      <c r="AP32" s="112"/>
      <c r="AQ32" s="272"/>
    </row>
    <row r="33" spans="1:43" ht="39.950000000000003" customHeight="1" x14ac:dyDescent="0.2">
      <c r="A33" s="131" t="s">
        <v>289</v>
      </c>
      <c r="B33" s="337" t="s">
        <v>1277</v>
      </c>
      <c r="C33" s="337" t="s">
        <v>243</v>
      </c>
      <c r="D33" s="66" t="s">
        <v>38</v>
      </c>
      <c r="E33" s="14" t="s">
        <v>540</v>
      </c>
      <c r="F33" s="77" t="s">
        <v>35</v>
      </c>
      <c r="G33" s="14" t="s">
        <v>892</v>
      </c>
      <c r="H33" s="66" t="s">
        <v>259</v>
      </c>
      <c r="I33" s="14" t="s">
        <v>258</v>
      </c>
      <c r="J33" s="133" t="s">
        <v>1088</v>
      </c>
      <c r="K33" s="14" t="s">
        <v>687</v>
      </c>
      <c r="L33" s="14" t="s">
        <v>209</v>
      </c>
      <c r="M33" s="65" t="s">
        <v>191</v>
      </c>
      <c r="N33" s="13" t="s">
        <v>323</v>
      </c>
      <c r="O33" s="13" t="s">
        <v>43</v>
      </c>
      <c r="P33" s="65">
        <v>2</v>
      </c>
      <c r="Q33" s="13" t="s">
        <v>531</v>
      </c>
      <c r="R33" s="65" t="s">
        <v>534</v>
      </c>
      <c r="S33" s="64" t="s">
        <v>9</v>
      </c>
      <c r="T33" s="62">
        <v>14881.526161224461</v>
      </c>
      <c r="U33" s="62">
        <v>10000</v>
      </c>
      <c r="V33" s="62">
        <v>14881.526161224461</v>
      </c>
      <c r="W33" s="62">
        <v>44644.57848367338</v>
      </c>
      <c r="X33" s="62">
        <v>2437338.4247597996</v>
      </c>
      <c r="Y33" s="62" t="s">
        <v>16</v>
      </c>
      <c r="Z33" s="366">
        <v>0</v>
      </c>
      <c r="AA33" s="61" t="s">
        <v>11</v>
      </c>
      <c r="AB33" s="181">
        <v>0.04</v>
      </c>
      <c r="AC33" s="181">
        <v>2.4E-2</v>
      </c>
      <c r="AD33" s="60">
        <v>44629</v>
      </c>
      <c r="AE33" s="60">
        <v>46442</v>
      </c>
      <c r="AF33" s="60">
        <v>46486</v>
      </c>
      <c r="AG33" s="58">
        <v>1858</v>
      </c>
      <c r="AH33" s="59" t="s">
        <v>10</v>
      </c>
      <c r="AI33" s="58">
        <v>1195</v>
      </c>
      <c r="AJ33" s="57">
        <v>3.2739726027397262</v>
      </c>
      <c r="AK33" s="56"/>
      <c r="AL33" s="14" t="s">
        <v>386</v>
      </c>
      <c r="AM33" s="197" t="s">
        <v>35</v>
      </c>
      <c r="AN33" s="198" t="s">
        <v>892</v>
      </c>
      <c r="AO33" s="58" t="s">
        <v>972</v>
      </c>
      <c r="AP33" s="112"/>
      <c r="AQ33" s="272"/>
    </row>
    <row r="34" spans="1:43" s="229" customFormat="1" ht="39.950000000000003" customHeight="1" x14ac:dyDescent="0.2">
      <c r="A34" s="131" t="s">
        <v>280</v>
      </c>
      <c r="B34" s="337" t="s">
        <v>23</v>
      </c>
      <c r="C34" s="337" t="s">
        <v>1144</v>
      </c>
      <c r="D34" s="133" t="s">
        <v>89</v>
      </c>
      <c r="E34" s="131" t="s">
        <v>542</v>
      </c>
      <c r="F34" s="161" t="s">
        <v>89</v>
      </c>
      <c r="G34" s="131" t="s">
        <v>891</v>
      </c>
      <c r="H34" s="133" t="s">
        <v>249</v>
      </c>
      <c r="I34" s="131" t="s">
        <v>767</v>
      </c>
      <c r="J34" s="131" t="s">
        <v>281</v>
      </c>
      <c r="K34" s="131" t="s">
        <v>256</v>
      </c>
      <c r="L34" s="131" t="s">
        <v>29</v>
      </c>
      <c r="M34" s="270" t="s">
        <v>191</v>
      </c>
      <c r="N34" s="269" t="s">
        <v>59</v>
      </c>
      <c r="O34" s="270" t="s">
        <v>43</v>
      </c>
      <c r="P34" s="270">
        <v>3</v>
      </c>
      <c r="Q34" s="270" t="s">
        <v>538</v>
      </c>
      <c r="R34" s="270" t="s">
        <v>534</v>
      </c>
      <c r="S34" s="135" t="s">
        <v>9</v>
      </c>
      <c r="T34" s="62">
        <v>11161.144620918345</v>
      </c>
      <c r="U34" s="62">
        <v>7500</v>
      </c>
      <c r="V34" s="62">
        <v>11161.144620918345</v>
      </c>
      <c r="W34" s="62">
        <v>170244.65928440783</v>
      </c>
      <c r="X34" s="62">
        <v>291745.48977029754</v>
      </c>
      <c r="Y34" s="62" t="s">
        <v>1360</v>
      </c>
      <c r="Z34" s="366">
        <v>0.15</v>
      </c>
      <c r="AA34" s="61" t="s">
        <v>11</v>
      </c>
      <c r="AB34" s="181">
        <v>2.2499999999999999E-2</v>
      </c>
      <c r="AC34" s="181">
        <v>1.4624999999999999E-2</v>
      </c>
      <c r="AD34" s="271">
        <v>43872</v>
      </c>
      <c r="AE34" s="271">
        <v>45558</v>
      </c>
      <c r="AF34" s="271">
        <v>45558</v>
      </c>
      <c r="AG34" s="272">
        <v>1687</v>
      </c>
      <c r="AH34" s="139" t="s">
        <v>10</v>
      </c>
      <c r="AI34" s="272">
        <v>267</v>
      </c>
      <c r="AJ34" s="273">
        <v>0.73150684931506849</v>
      </c>
      <c r="AK34" s="274"/>
      <c r="AL34" s="131" t="s">
        <v>387</v>
      </c>
      <c r="AM34" s="323" t="s">
        <v>89</v>
      </c>
      <c r="AN34" s="324" t="s">
        <v>891</v>
      </c>
      <c r="AO34" s="272" t="s">
        <v>973</v>
      </c>
      <c r="AP34" s="276"/>
      <c r="AQ34" s="272"/>
    </row>
    <row r="35" spans="1:43" s="229" customFormat="1" ht="39.950000000000003" customHeight="1" x14ac:dyDescent="0.2">
      <c r="A35" s="131" t="s">
        <v>282</v>
      </c>
      <c r="B35" s="337" t="s">
        <v>23</v>
      </c>
      <c r="C35" s="337" t="s">
        <v>1143</v>
      </c>
      <c r="D35" s="133" t="s">
        <v>88</v>
      </c>
      <c r="E35" s="131" t="s">
        <v>540</v>
      </c>
      <c r="F35" s="161" t="s">
        <v>49</v>
      </c>
      <c r="G35" s="131" t="s">
        <v>104</v>
      </c>
      <c r="H35" s="131" t="s">
        <v>111</v>
      </c>
      <c r="I35" s="131" t="s">
        <v>135</v>
      </c>
      <c r="J35" s="131" t="s">
        <v>283</v>
      </c>
      <c r="K35" s="131" t="s">
        <v>148</v>
      </c>
      <c r="L35" s="131" t="s">
        <v>140</v>
      </c>
      <c r="M35" s="270" t="s">
        <v>191</v>
      </c>
      <c r="N35" s="269" t="s">
        <v>59</v>
      </c>
      <c r="O35" s="269" t="s">
        <v>43</v>
      </c>
      <c r="P35" s="270">
        <v>4</v>
      </c>
      <c r="Q35" s="269" t="s">
        <v>531</v>
      </c>
      <c r="R35" s="270" t="s">
        <v>534</v>
      </c>
      <c r="S35" s="135" t="s">
        <v>9</v>
      </c>
      <c r="T35" s="62">
        <v>11161.144620918345</v>
      </c>
      <c r="U35" s="62">
        <v>7500</v>
      </c>
      <c r="V35" s="62">
        <v>11161.144620918345</v>
      </c>
      <c r="W35" s="62">
        <v>22322.28924183669</v>
      </c>
      <c r="X35" s="62">
        <v>1151641.4271270488</v>
      </c>
      <c r="Y35" s="62" t="s">
        <v>1359</v>
      </c>
      <c r="Z35" s="366">
        <v>0.15</v>
      </c>
      <c r="AA35" s="61" t="s">
        <v>11</v>
      </c>
      <c r="AB35" s="181">
        <v>3.0700000000000002E-2</v>
      </c>
      <c r="AC35" s="181">
        <v>2.1489999999999999E-2</v>
      </c>
      <c r="AD35" s="271">
        <v>43878</v>
      </c>
      <c r="AE35" s="271">
        <v>47382</v>
      </c>
      <c r="AF35" s="271">
        <v>47382</v>
      </c>
      <c r="AG35" s="272">
        <v>3505</v>
      </c>
      <c r="AH35" s="139" t="s">
        <v>10</v>
      </c>
      <c r="AI35" s="272">
        <v>2091</v>
      </c>
      <c r="AJ35" s="273">
        <v>5.7287671232876711</v>
      </c>
      <c r="AK35" s="274"/>
      <c r="AL35" s="131" t="s">
        <v>388</v>
      </c>
      <c r="AM35" s="323" t="s">
        <v>49</v>
      </c>
      <c r="AN35" s="324" t="s">
        <v>104</v>
      </c>
      <c r="AO35" s="272" t="s">
        <v>974</v>
      </c>
      <c r="AP35" s="276"/>
      <c r="AQ35" s="272"/>
    </row>
    <row r="36" spans="1:43" ht="39.950000000000003" customHeight="1" x14ac:dyDescent="0.2">
      <c r="A36" s="131" t="s">
        <v>313</v>
      </c>
      <c r="B36" s="337" t="s">
        <v>243</v>
      </c>
      <c r="C36" s="337" t="s">
        <v>243</v>
      </c>
      <c r="D36" s="66" t="s">
        <v>87</v>
      </c>
      <c r="E36" s="14" t="s">
        <v>499</v>
      </c>
      <c r="F36" s="77" t="s">
        <v>162</v>
      </c>
      <c r="G36" s="14" t="s">
        <v>891</v>
      </c>
      <c r="H36" s="66" t="s">
        <v>167</v>
      </c>
      <c r="I36" s="131" t="s">
        <v>167</v>
      </c>
      <c r="J36" s="14" t="s">
        <v>589</v>
      </c>
      <c r="K36" s="66" t="s">
        <v>218</v>
      </c>
      <c r="L36" s="14" t="s">
        <v>209</v>
      </c>
      <c r="M36" s="65" t="s">
        <v>191</v>
      </c>
      <c r="N36" s="65" t="s">
        <v>59</v>
      </c>
      <c r="O36" s="13" t="s">
        <v>43</v>
      </c>
      <c r="P36" s="65">
        <v>4</v>
      </c>
      <c r="Q36" s="13" t="s">
        <v>531</v>
      </c>
      <c r="R36" s="65" t="s">
        <v>534</v>
      </c>
      <c r="S36" s="64" t="s">
        <v>9</v>
      </c>
      <c r="T36" s="62">
        <v>22322.28924183669</v>
      </c>
      <c r="U36" s="62">
        <v>15000</v>
      </c>
      <c r="V36" s="62">
        <v>22322.28924183669</v>
      </c>
      <c r="W36" s="62">
        <v>44644.57848367338</v>
      </c>
      <c r="X36" s="62">
        <v>4167447.4234564612</v>
      </c>
      <c r="Y36" s="62" t="s">
        <v>16</v>
      </c>
      <c r="Z36" s="366">
        <v>0</v>
      </c>
      <c r="AA36" s="61" t="s">
        <v>11</v>
      </c>
      <c r="AB36" s="181">
        <v>5.3800000000000001E-2</v>
      </c>
      <c r="AC36" s="181">
        <v>2.9105800000000001E-2</v>
      </c>
      <c r="AD36" s="60">
        <v>43915</v>
      </c>
      <c r="AE36" s="60">
        <v>46372</v>
      </c>
      <c r="AF36" s="60">
        <v>46372</v>
      </c>
      <c r="AG36" s="58">
        <v>2458</v>
      </c>
      <c r="AH36" s="75" t="s">
        <v>10</v>
      </c>
      <c r="AI36" s="58">
        <v>1081</v>
      </c>
      <c r="AJ36" s="57">
        <v>2.9616438356164383</v>
      </c>
      <c r="AK36" s="56"/>
      <c r="AL36" s="14" t="s">
        <v>392</v>
      </c>
      <c r="AM36" s="197" t="s">
        <v>162</v>
      </c>
      <c r="AN36" s="198" t="s">
        <v>891</v>
      </c>
      <c r="AO36" s="58" t="s">
        <v>976</v>
      </c>
      <c r="AP36" s="112"/>
      <c r="AQ36" s="272"/>
    </row>
    <row r="37" spans="1:43" ht="39.950000000000003" customHeight="1" x14ac:dyDescent="0.2">
      <c r="A37" s="269" t="s">
        <v>306</v>
      </c>
      <c r="B37" s="337" t="s">
        <v>307</v>
      </c>
      <c r="C37" s="337" t="s">
        <v>1144</v>
      </c>
      <c r="D37" s="66" t="s">
        <v>89</v>
      </c>
      <c r="E37" s="14" t="s">
        <v>542</v>
      </c>
      <c r="F37" s="130" t="s">
        <v>308</v>
      </c>
      <c r="G37" s="14" t="s">
        <v>92</v>
      </c>
      <c r="H37" s="66" t="s">
        <v>134</v>
      </c>
      <c r="I37" s="66" t="s">
        <v>134</v>
      </c>
      <c r="J37" s="66" t="s">
        <v>311</v>
      </c>
      <c r="K37" s="66" t="s">
        <v>256</v>
      </c>
      <c r="L37" s="14" t="s">
        <v>68</v>
      </c>
      <c r="M37" s="65" t="s">
        <v>191</v>
      </c>
      <c r="N37" s="65" t="s">
        <v>59</v>
      </c>
      <c r="O37" s="13" t="s">
        <v>43</v>
      </c>
      <c r="P37" s="65">
        <v>2</v>
      </c>
      <c r="Q37" s="13" t="s">
        <v>538</v>
      </c>
      <c r="R37" s="65" t="s">
        <v>534</v>
      </c>
      <c r="S37" s="64" t="s">
        <v>9</v>
      </c>
      <c r="T37" s="62">
        <v>11905.220928979568</v>
      </c>
      <c r="U37" s="62">
        <v>2933.33</v>
      </c>
      <c r="V37" s="62">
        <v>4365.2427134504551</v>
      </c>
      <c r="W37" s="62">
        <v>62552.01495938631</v>
      </c>
      <c r="X37" s="62">
        <v>409809.17880330776</v>
      </c>
      <c r="Y37" s="62" t="s">
        <v>1360</v>
      </c>
      <c r="Z37" s="366">
        <v>0.15</v>
      </c>
      <c r="AA37" s="61" t="s">
        <v>11</v>
      </c>
      <c r="AB37" s="181">
        <v>0.02</v>
      </c>
      <c r="AC37" s="181">
        <v>1.3540000000000002E-2</v>
      </c>
      <c r="AD37" s="60">
        <v>43921</v>
      </c>
      <c r="AE37" s="60">
        <v>45660</v>
      </c>
      <c r="AF37" s="60">
        <v>45660</v>
      </c>
      <c r="AG37" s="58">
        <v>1740</v>
      </c>
      <c r="AH37" s="59" t="s">
        <v>10</v>
      </c>
      <c r="AI37" s="58">
        <v>369</v>
      </c>
      <c r="AJ37" s="57">
        <v>1.010958904109589</v>
      </c>
      <c r="AK37" s="56"/>
      <c r="AL37" s="13" t="s">
        <v>396</v>
      </c>
      <c r="AM37" s="197" t="s">
        <v>308</v>
      </c>
      <c r="AN37" s="198" t="s">
        <v>92</v>
      </c>
      <c r="AO37" s="58" t="s">
        <v>978</v>
      </c>
      <c r="AP37" s="112"/>
      <c r="AQ37" s="272"/>
    </row>
    <row r="38" spans="1:43" ht="39.950000000000003" customHeight="1" x14ac:dyDescent="0.2">
      <c r="A38" s="269" t="s">
        <v>303</v>
      </c>
      <c r="B38" s="337" t="s">
        <v>23</v>
      </c>
      <c r="C38" s="337" t="s">
        <v>1141</v>
      </c>
      <c r="D38" s="66" t="s">
        <v>38</v>
      </c>
      <c r="E38" s="14" t="s">
        <v>540</v>
      </c>
      <c r="F38" s="130" t="s">
        <v>49</v>
      </c>
      <c r="G38" s="14" t="s">
        <v>544</v>
      </c>
      <c r="H38" s="66" t="s">
        <v>304</v>
      </c>
      <c r="I38" s="14" t="s">
        <v>310</v>
      </c>
      <c r="J38" s="66" t="s">
        <v>142</v>
      </c>
      <c r="K38" s="66" t="s">
        <v>218</v>
      </c>
      <c r="L38" s="14" t="s">
        <v>29</v>
      </c>
      <c r="M38" s="65" t="s">
        <v>191</v>
      </c>
      <c r="N38" s="65" t="s">
        <v>323</v>
      </c>
      <c r="O38" s="13" t="s">
        <v>43</v>
      </c>
      <c r="P38" s="65">
        <v>3</v>
      </c>
      <c r="Q38" s="65" t="s">
        <v>875</v>
      </c>
      <c r="R38" s="65" t="s">
        <v>534</v>
      </c>
      <c r="S38" s="64" t="s">
        <v>59</v>
      </c>
      <c r="T38" s="62">
        <v>12218.490260861347</v>
      </c>
      <c r="U38" s="62">
        <v>5137.5</v>
      </c>
      <c r="V38" s="62">
        <v>8369.665828690022</v>
      </c>
      <c r="W38" s="62">
        <v>16291.320347815128</v>
      </c>
      <c r="X38" s="62">
        <v>663691.87157115561</v>
      </c>
      <c r="Y38" s="62" t="s">
        <v>16</v>
      </c>
      <c r="Z38" s="366">
        <v>0</v>
      </c>
      <c r="AA38" s="61" t="s">
        <v>551</v>
      </c>
      <c r="AB38" s="181">
        <v>2.7E-2</v>
      </c>
      <c r="AC38" s="181">
        <v>1.35E-2</v>
      </c>
      <c r="AD38" s="60">
        <v>43921</v>
      </c>
      <c r="AE38" s="60">
        <v>45691</v>
      </c>
      <c r="AF38" s="60">
        <v>45691</v>
      </c>
      <c r="AG38" s="58">
        <v>1771</v>
      </c>
      <c r="AH38" s="59" t="s">
        <v>10</v>
      </c>
      <c r="AI38" s="58">
        <v>400</v>
      </c>
      <c r="AJ38" s="57">
        <v>1.095890410958904</v>
      </c>
      <c r="AK38" s="56"/>
      <c r="AL38" s="14" t="s">
        <v>395</v>
      </c>
      <c r="AM38" s="197" t="s">
        <v>49</v>
      </c>
      <c r="AN38" s="198" t="s">
        <v>544</v>
      </c>
      <c r="AO38" s="58" t="s">
        <v>979</v>
      </c>
      <c r="AP38" s="112"/>
      <c r="AQ38" s="272"/>
    </row>
    <row r="39" spans="1:43" ht="39.950000000000003" customHeight="1" x14ac:dyDescent="0.2">
      <c r="A39" s="269" t="s">
        <v>319</v>
      </c>
      <c r="B39" s="337" t="s">
        <v>23</v>
      </c>
      <c r="C39" s="337" t="s">
        <v>1144</v>
      </c>
      <c r="D39" s="66" t="s">
        <v>89</v>
      </c>
      <c r="E39" s="14" t="s">
        <v>542</v>
      </c>
      <c r="F39" s="130" t="s">
        <v>166</v>
      </c>
      <c r="G39" s="14" t="s">
        <v>92</v>
      </c>
      <c r="H39" s="66" t="s">
        <v>134</v>
      </c>
      <c r="I39" s="14" t="s">
        <v>134</v>
      </c>
      <c r="J39" s="66" t="s">
        <v>58</v>
      </c>
      <c r="K39" s="14" t="s">
        <v>220</v>
      </c>
      <c r="L39" s="14" t="s">
        <v>68</v>
      </c>
      <c r="M39" s="65" t="s">
        <v>191</v>
      </c>
      <c r="N39" s="65" t="s">
        <v>59</v>
      </c>
      <c r="O39" s="13" t="s">
        <v>43</v>
      </c>
      <c r="P39" s="65">
        <v>3</v>
      </c>
      <c r="Q39" s="13" t="s">
        <v>539</v>
      </c>
      <c r="R39" s="65" t="s">
        <v>534</v>
      </c>
      <c r="S39" s="64" t="s">
        <v>9</v>
      </c>
      <c r="T39" s="62">
        <v>29763.052322448922</v>
      </c>
      <c r="U39" s="62">
        <v>7936.42</v>
      </c>
      <c r="V39" s="62">
        <v>11810.604185646504</v>
      </c>
      <c r="W39" s="62">
        <v>79467.349700938619</v>
      </c>
      <c r="X39" s="62">
        <v>1318567.2084469805</v>
      </c>
      <c r="Y39" s="62" t="s">
        <v>16</v>
      </c>
      <c r="Z39" s="366">
        <v>0</v>
      </c>
      <c r="AA39" s="61" t="s">
        <v>11</v>
      </c>
      <c r="AB39" s="181">
        <v>2.1999999999999999E-2</v>
      </c>
      <c r="AC39" s="181">
        <v>1.4189999999999999E-2</v>
      </c>
      <c r="AD39" s="60">
        <v>43943</v>
      </c>
      <c r="AE39" s="60">
        <v>45860</v>
      </c>
      <c r="AF39" s="60">
        <v>45860</v>
      </c>
      <c r="AG39" s="58">
        <v>1918</v>
      </c>
      <c r="AH39" s="59" t="s">
        <v>10</v>
      </c>
      <c r="AI39" s="58">
        <v>569</v>
      </c>
      <c r="AJ39" s="57">
        <v>1.558904109589041</v>
      </c>
      <c r="AK39" s="56" t="s">
        <v>436</v>
      </c>
      <c r="AL39" s="13" t="s">
        <v>402</v>
      </c>
      <c r="AM39" s="197" t="s">
        <v>166</v>
      </c>
      <c r="AN39" s="198" t="s">
        <v>92</v>
      </c>
      <c r="AO39" s="58" t="s">
        <v>934</v>
      </c>
      <c r="AP39" s="112"/>
      <c r="AQ39" s="272"/>
    </row>
    <row r="40" spans="1:43" ht="39.950000000000003" customHeight="1" x14ac:dyDescent="0.2">
      <c r="A40" s="269" t="s">
        <v>318</v>
      </c>
      <c r="B40" s="337" t="s">
        <v>1333</v>
      </c>
      <c r="C40" s="337" t="s">
        <v>1142</v>
      </c>
      <c r="D40" s="66" t="s">
        <v>38</v>
      </c>
      <c r="E40" s="14" t="s">
        <v>540</v>
      </c>
      <c r="F40" s="161" t="s">
        <v>36</v>
      </c>
      <c r="G40" s="14" t="s">
        <v>102</v>
      </c>
      <c r="H40" s="14" t="s">
        <v>102</v>
      </c>
      <c r="I40" s="130" t="s">
        <v>473</v>
      </c>
      <c r="J40" s="133" t="s">
        <v>706</v>
      </c>
      <c r="K40" s="14" t="s">
        <v>220</v>
      </c>
      <c r="L40" s="14" t="s">
        <v>101</v>
      </c>
      <c r="M40" s="65" t="s">
        <v>191</v>
      </c>
      <c r="N40" s="65" t="s">
        <v>323</v>
      </c>
      <c r="O40" s="13" t="s">
        <v>43</v>
      </c>
      <c r="P40" s="65">
        <v>2</v>
      </c>
      <c r="Q40" s="13" t="s">
        <v>531</v>
      </c>
      <c r="R40" s="65" t="s">
        <v>534</v>
      </c>
      <c r="S40" s="64" t="s">
        <v>238</v>
      </c>
      <c r="T40" s="62">
        <v>15783.893291388626</v>
      </c>
      <c r="U40" s="62">
        <v>14100</v>
      </c>
      <c r="V40" s="62">
        <v>15783.893291388626</v>
      </c>
      <c r="W40" s="62">
        <v>57874.275401758292</v>
      </c>
      <c r="X40" s="62">
        <v>875962.80069939874</v>
      </c>
      <c r="Y40" s="62" t="s">
        <v>16</v>
      </c>
      <c r="Z40" s="366">
        <v>0</v>
      </c>
      <c r="AA40" s="61" t="s">
        <v>11</v>
      </c>
      <c r="AB40" s="181">
        <v>2.3E-2</v>
      </c>
      <c r="AC40" s="181">
        <v>1.15E-2</v>
      </c>
      <c r="AD40" s="60">
        <v>43948</v>
      </c>
      <c r="AE40" s="60">
        <v>45748</v>
      </c>
      <c r="AF40" s="60">
        <v>45748</v>
      </c>
      <c r="AG40" s="58">
        <v>1801</v>
      </c>
      <c r="AH40" s="59" t="s">
        <v>10</v>
      </c>
      <c r="AI40" s="58">
        <v>457</v>
      </c>
      <c r="AJ40" s="57">
        <v>1.252054794520548</v>
      </c>
      <c r="AK40" s="56"/>
      <c r="AL40" s="14" t="s">
        <v>400</v>
      </c>
      <c r="AM40" s="197" t="s">
        <v>36</v>
      </c>
      <c r="AN40" s="198" t="s">
        <v>102</v>
      </c>
      <c r="AO40" s="58" t="s">
        <v>987</v>
      </c>
      <c r="AP40" s="112"/>
      <c r="AQ40" s="272" t="s">
        <v>473</v>
      </c>
    </row>
    <row r="41" spans="1:43" s="229" customFormat="1" ht="39.950000000000003" customHeight="1" x14ac:dyDescent="0.2">
      <c r="A41" s="269" t="s">
        <v>412</v>
      </c>
      <c r="B41" s="337" t="s">
        <v>307</v>
      </c>
      <c r="C41" s="337" t="s">
        <v>1141</v>
      </c>
      <c r="D41" s="133" t="s">
        <v>87</v>
      </c>
      <c r="E41" s="131" t="s">
        <v>469</v>
      </c>
      <c r="F41" s="145" t="s">
        <v>413</v>
      </c>
      <c r="G41" s="131" t="s">
        <v>48</v>
      </c>
      <c r="H41" s="131" t="s">
        <v>95</v>
      </c>
      <c r="I41" s="145" t="s">
        <v>448</v>
      </c>
      <c r="J41" s="131" t="s">
        <v>181</v>
      </c>
      <c r="K41" s="131" t="s">
        <v>33</v>
      </c>
      <c r="L41" s="131" t="s">
        <v>140</v>
      </c>
      <c r="M41" s="270" t="s">
        <v>191</v>
      </c>
      <c r="N41" s="269" t="s">
        <v>59</v>
      </c>
      <c r="O41" s="269" t="s">
        <v>43</v>
      </c>
      <c r="P41" s="270">
        <v>4</v>
      </c>
      <c r="Q41" s="269" t="s">
        <v>538</v>
      </c>
      <c r="R41" s="270" t="s">
        <v>534</v>
      </c>
      <c r="S41" s="135" t="s">
        <v>9</v>
      </c>
      <c r="T41" s="62">
        <v>11161.144620918345</v>
      </c>
      <c r="U41" s="62">
        <v>7500</v>
      </c>
      <c r="V41" s="62">
        <v>11161.144620918345</v>
      </c>
      <c r="W41" s="62">
        <v>37203.815403061155</v>
      </c>
      <c r="X41" s="62">
        <v>1125955.3772378336</v>
      </c>
      <c r="Y41" s="62" t="s">
        <v>16</v>
      </c>
      <c r="Z41" s="366">
        <v>0</v>
      </c>
      <c r="AA41" s="61" t="s">
        <v>11</v>
      </c>
      <c r="AB41" s="181">
        <v>3.7499999999999999E-2</v>
      </c>
      <c r="AC41" s="181">
        <v>1.4999999999999999E-2</v>
      </c>
      <c r="AD41" s="271">
        <v>43965</v>
      </c>
      <c r="AE41" s="271">
        <v>47238</v>
      </c>
      <c r="AF41" s="271">
        <v>47238</v>
      </c>
      <c r="AG41" s="272">
        <v>3274</v>
      </c>
      <c r="AH41" s="139" t="s">
        <v>10</v>
      </c>
      <c r="AI41" s="272">
        <v>1947</v>
      </c>
      <c r="AJ41" s="273">
        <v>5.3342465753424655</v>
      </c>
      <c r="AK41" s="274"/>
      <c r="AL41" s="269" t="s">
        <v>416</v>
      </c>
      <c r="AM41" s="323" t="s">
        <v>413</v>
      </c>
      <c r="AN41" s="324" t="s">
        <v>48</v>
      </c>
      <c r="AO41" s="272" t="s">
        <v>990</v>
      </c>
      <c r="AP41" s="276"/>
      <c r="AQ41" s="272"/>
    </row>
    <row r="42" spans="1:43" ht="39.950000000000003" customHeight="1" x14ac:dyDescent="0.2">
      <c r="A42" s="269" t="s">
        <v>410</v>
      </c>
      <c r="B42" s="337" t="s">
        <v>23</v>
      </c>
      <c r="C42" s="337" t="s">
        <v>1144</v>
      </c>
      <c r="D42" s="66" t="s">
        <v>34</v>
      </c>
      <c r="E42" s="14" t="s">
        <v>34</v>
      </c>
      <c r="F42" s="130" t="s">
        <v>34</v>
      </c>
      <c r="G42" s="14" t="s">
        <v>543</v>
      </c>
      <c r="H42" s="131" t="s">
        <v>133</v>
      </c>
      <c r="I42" s="130" t="s">
        <v>133</v>
      </c>
      <c r="J42" s="66" t="s">
        <v>232</v>
      </c>
      <c r="K42" s="14" t="s">
        <v>21</v>
      </c>
      <c r="L42" s="14" t="s">
        <v>44</v>
      </c>
      <c r="M42" s="65" t="s">
        <v>191</v>
      </c>
      <c r="N42" s="13" t="s">
        <v>323</v>
      </c>
      <c r="O42" s="13" t="s">
        <v>43</v>
      </c>
      <c r="P42" s="65">
        <v>2</v>
      </c>
      <c r="Q42" s="13" t="s">
        <v>533</v>
      </c>
      <c r="R42" s="65" t="s">
        <v>534</v>
      </c>
      <c r="S42" s="64" t="s">
        <v>9</v>
      </c>
      <c r="T42" s="62">
        <v>29763.052322448922</v>
      </c>
      <c r="U42" s="62">
        <v>20000</v>
      </c>
      <c r="V42" s="62">
        <v>29763.052322448922</v>
      </c>
      <c r="W42" s="62">
        <v>69496.727172918239</v>
      </c>
      <c r="X42" s="62">
        <v>983491.28312372882</v>
      </c>
      <c r="Y42" s="62" t="s">
        <v>16</v>
      </c>
      <c r="Z42" s="366">
        <v>0</v>
      </c>
      <c r="AA42" s="61" t="s">
        <v>11</v>
      </c>
      <c r="AB42" s="181">
        <v>2.1000000000000001E-2</v>
      </c>
      <c r="AC42" s="181">
        <v>1.2749999999999999E-2</v>
      </c>
      <c r="AD42" s="60">
        <v>43966</v>
      </c>
      <c r="AE42" s="60">
        <v>45823</v>
      </c>
      <c r="AF42" s="60">
        <v>45823</v>
      </c>
      <c r="AG42" s="72">
        <v>1858</v>
      </c>
      <c r="AH42" s="59" t="s">
        <v>10</v>
      </c>
      <c r="AI42" s="58">
        <v>532</v>
      </c>
      <c r="AJ42" s="57">
        <v>1.4575342465753425</v>
      </c>
      <c r="AK42" s="56" t="s">
        <v>436</v>
      </c>
      <c r="AL42" s="13" t="s">
        <v>418</v>
      </c>
      <c r="AM42" s="197" t="s">
        <v>34</v>
      </c>
      <c r="AN42" s="198" t="s">
        <v>543</v>
      </c>
      <c r="AO42" s="58" t="s">
        <v>992</v>
      </c>
      <c r="AP42" s="112"/>
      <c r="AQ42" s="272"/>
    </row>
    <row r="43" spans="1:43" s="401" customFormat="1" ht="39.950000000000003" customHeight="1" x14ac:dyDescent="0.2">
      <c r="A43" s="269" t="s">
        <v>414</v>
      </c>
      <c r="B43" s="337" t="s">
        <v>1248</v>
      </c>
      <c r="C43" s="337" t="s">
        <v>1142</v>
      </c>
      <c r="D43" s="66" t="s">
        <v>166</v>
      </c>
      <c r="E43" s="14" t="s">
        <v>542</v>
      </c>
      <c r="F43" s="130" t="s">
        <v>166</v>
      </c>
      <c r="G43" s="14" t="s">
        <v>102</v>
      </c>
      <c r="H43" s="14" t="s">
        <v>102</v>
      </c>
      <c r="I43" s="66" t="s">
        <v>122</v>
      </c>
      <c r="J43" s="66" t="s">
        <v>704</v>
      </c>
      <c r="K43" s="14" t="s">
        <v>220</v>
      </c>
      <c r="L43" s="14" t="s">
        <v>101</v>
      </c>
      <c r="M43" s="65" t="s">
        <v>191</v>
      </c>
      <c r="N43" s="13" t="s">
        <v>59</v>
      </c>
      <c r="O43" s="13" t="s">
        <v>43</v>
      </c>
      <c r="P43" s="65">
        <v>2</v>
      </c>
      <c r="Q43" s="13" t="s">
        <v>531</v>
      </c>
      <c r="R43" s="65" t="s">
        <v>534</v>
      </c>
      <c r="S43" s="64" t="s">
        <v>59</v>
      </c>
      <c r="T43" s="62">
        <v>24436.980521722693</v>
      </c>
      <c r="U43" s="62">
        <v>15000</v>
      </c>
      <c r="V43" s="62">
        <v>24436.980521722693</v>
      </c>
      <c r="W43" s="62">
        <v>86343.997843420177</v>
      </c>
      <c r="X43" s="62">
        <v>940774.87612528016</v>
      </c>
      <c r="Y43" s="62" t="s">
        <v>16</v>
      </c>
      <c r="Z43" s="366">
        <v>0</v>
      </c>
      <c r="AA43" s="61" t="s">
        <v>11</v>
      </c>
      <c r="AB43" s="181">
        <v>1.2E-2</v>
      </c>
      <c r="AC43" s="181">
        <v>7.0000000000000001E-3</v>
      </c>
      <c r="AD43" s="60">
        <v>43966</v>
      </c>
      <c r="AE43" s="60">
        <v>46523</v>
      </c>
      <c r="AF43" s="60">
        <v>46523</v>
      </c>
      <c r="AG43" s="58">
        <v>2558</v>
      </c>
      <c r="AH43" s="59" t="s">
        <v>10</v>
      </c>
      <c r="AI43" s="58">
        <v>1232</v>
      </c>
      <c r="AJ43" s="57">
        <v>3.3753424657534246</v>
      </c>
      <c r="AK43" s="56"/>
      <c r="AL43" s="13" t="s">
        <v>415</v>
      </c>
      <c r="AM43" s="197" t="s">
        <v>166</v>
      </c>
      <c r="AN43" s="198" t="s">
        <v>102</v>
      </c>
      <c r="AO43" s="58" t="s">
        <v>993</v>
      </c>
      <c r="AP43" s="112"/>
      <c r="AQ43" s="378" t="s">
        <v>122</v>
      </c>
    </row>
    <row r="44" spans="1:43" s="402" customFormat="1" ht="39.950000000000003" customHeight="1" x14ac:dyDescent="0.2">
      <c r="A44" s="269" t="s">
        <v>419</v>
      </c>
      <c r="B44" s="337" t="s">
        <v>1437</v>
      </c>
      <c r="C44" s="337" t="s">
        <v>1144</v>
      </c>
      <c r="D44" s="133" t="s">
        <v>166</v>
      </c>
      <c r="E44" s="131" t="s">
        <v>542</v>
      </c>
      <c r="F44" s="145" t="s">
        <v>166</v>
      </c>
      <c r="G44" s="131" t="s">
        <v>102</v>
      </c>
      <c r="H44" s="131" t="s">
        <v>102</v>
      </c>
      <c r="I44" s="133" t="s">
        <v>110</v>
      </c>
      <c r="J44" s="133" t="s">
        <v>145</v>
      </c>
      <c r="K44" s="131" t="s">
        <v>221</v>
      </c>
      <c r="L44" s="131" t="s">
        <v>101</v>
      </c>
      <c r="M44" s="270" t="s">
        <v>191</v>
      </c>
      <c r="N44" s="269" t="s">
        <v>59</v>
      </c>
      <c r="O44" s="269" t="s">
        <v>43</v>
      </c>
      <c r="P44" s="65">
        <v>2</v>
      </c>
      <c r="Q44" s="269" t="s">
        <v>538</v>
      </c>
      <c r="R44" s="270" t="s">
        <v>534</v>
      </c>
      <c r="S44" s="135" t="s">
        <v>59</v>
      </c>
      <c r="T44" s="62">
        <v>32582.640695630256</v>
      </c>
      <c r="U44" s="62">
        <v>20000</v>
      </c>
      <c r="V44" s="62">
        <v>32582.640695630256</v>
      </c>
      <c r="W44" s="62">
        <v>105893.58226079833</v>
      </c>
      <c r="X44" s="62">
        <v>2678746.1919649611</v>
      </c>
      <c r="Y44" s="62" t="s">
        <v>1342</v>
      </c>
      <c r="Z44" s="366">
        <v>0.10290000000000001</v>
      </c>
      <c r="AA44" s="61" t="s">
        <v>11</v>
      </c>
      <c r="AB44" s="181">
        <v>2.5000000000000001E-2</v>
      </c>
      <c r="AC44" s="181">
        <v>6.7999999999999996E-3</v>
      </c>
      <c r="AD44" s="271">
        <v>44966</v>
      </c>
      <c r="AE44" s="271">
        <v>47158</v>
      </c>
      <c r="AF44" s="271">
        <v>47169</v>
      </c>
      <c r="AG44" s="272">
        <v>2204</v>
      </c>
      <c r="AH44" s="139" t="s">
        <v>10</v>
      </c>
      <c r="AI44" s="272">
        <v>1878</v>
      </c>
      <c r="AJ44" s="273">
        <v>5.1452054794520548</v>
      </c>
      <c r="AK44" s="274" t="s">
        <v>436</v>
      </c>
      <c r="AL44" s="269" t="s">
        <v>420</v>
      </c>
      <c r="AM44" s="323" t="s">
        <v>166</v>
      </c>
      <c r="AN44" s="324" t="s">
        <v>102</v>
      </c>
      <c r="AO44" s="272" t="s">
        <v>1239</v>
      </c>
      <c r="AP44" s="294"/>
      <c r="AQ44" s="378" t="s">
        <v>1394</v>
      </c>
    </row>
    <row r="45" spans="1:43" s="401" customFormat="1" ht="39.950000000000003" customHeight="1" x14ac:dyDescent="0.2">
      <c r="A45" s="269" t="s">
        <v>421</v>
      </c>
      <c r="B45" s="337" t="s">
        <v>1438</v>
      </c>
      <c r="C45" s="337" t="s">
        <v>1142</v>
      </c>
      <c r="D45" s="66" t="s">
        <v>127</v>
      </c>
      <c r="E45" s="14" t="s">
        <v>499</v>
      </c>
      <c r="F45" s="130" t="s">
        <v>162</v>
      </c>
      <c r="G45" s="14" t="s">
        <v>475</v>
      </c>
      <c r="H45" s="131" t="s">
        <v>227</v>
      </c>
      <c r="I45" s="130" t="s">
        <v>422</v>
      </c>
      <c r="J45" s="14" t="s">
        <v>158</v>
      </c>
      <c r="K45" s="14" t="s">
        <v>220</v>
      </c>
      <c r="L45" s="14" t="s">
        <v>209</v>
      </c>
      <c r="M45" s="65" t="s">
        <v>191</v>
      </c>
      <c r="N45" s="13" t="s">
        <v>59</v>
      </c>
      <c r="O45" s="13" t="s">
        <v>43</v>
      </c>
      <c r="P45" s="65">
        <v>2</v>
      </c>
      <c r="Q45" s="13" t="s">
        <v>533</v>
      </c>
      <c r="R45" s="65" t="s">
        <v>534</v>
      </c>
      <c r="S45" s="64" t="s">
        <v>9</v>
      </c>
      <c r="T45" s="62">
        <v>29763.052322448922</v>
      </c>
      <c r="U45" s="62">
        <v>23084.1</v>
      </c>
      <c r="V45" s="62">
        <v>34352.663805832155</v>
      </c>
      <c r="W45" s="62">
        <v>520853.41564285615</v>
      </c>
      <c r="X45" s="62">
        <v>1583640.5537600415</v>
      </c>
      <c r="Y45" s="62" t="s">
        <v>16</v>
      </c>
      <c r="Z45" s="366">
        <v>0</v>
      </c>
      <c r="AA45" s="61" t="s">
        <v>11</v>
      </c>
      <c r="AB45" s="181">
        <v>1.7500000000000002E-2</v>
      </c>
      <c r="AC45" s="181">
        <v>0.01</v>
      </c>
      <c r="AD45" s="60">
        <v>44530</v>
      </c>
      <c r="AE45" s="60">
        <v>46386</v>
      </c>
      <c r="AF45" s="60">
        <v>46386</v>
      </c>
      <c r="AG45" s="72">
        <v>1857</v>
      </c>
      <c r="AH45" s="59" t="s">
        <v>10</v>
      </c>
      <c r="AI45" s="58">
        <v>1095</v>
      </c>
      <c r="AJ45" s="57">
        <v>3</v>
      </c>
      <c r="AK45" s="56" t="s">
        <v>436</v>
      </c>
      <c r="AL45" s="13" t="s">
        <v>423</v>
      </c>
      <c r="AM45" s="197" t="s">
        <v>162</v>
      </c>
      <c r="AN45" s="198" t="s">
        <v>475</v>
      </c>
      <c r="AO45" s="58" t="s">
        <v>995</v>
      </c>
      <c r="AP45" s="112"/>
      <c r="AQ45" s="378"/>
    </row>
    <row r="46" spans="1:43" s="403" customFormat="1" ht="39.950000000000003" customHeight="1" x14ac:dyDescent="0.2">
      <c r="A46" s="269" t="s">
        <v>424</v>
      </c>
      <c r="B46" s="337" t="s">
        <v>67</v>
      </c>
      <c r="C46" s="337" t="s">
        <v>1142</v>
      </c>
      <c r="D46" s="66" t="s">
        <v>87</v>
      </c>
      <c r="E46" s="14" t="s">
        <v>541</v>
      </c>
      <c r="F46" s="130" t="s">
        <v>425</v>
      </c>
      <c r="G46" s="14" t="s">
        <v>439</v>
      </c>
      <c r="H46" s="131" t="s">
        <v>445</v>
      </c>
      <c r="I46" s="68" t="s">
        <v>463</v>
      </c>
      <c r="J46" s="14" t="s">
        <v>589</v>
      </c>
      <c r="K46" s="66" t="s">
        <v>218</v>
      </c>
      <c r="L46" s="65" t="s">
        <v>45</v>
      </c>
      <c r="M46" s="65" t="s">
        <v>191</v>
      </c>
      <c r="N46" s="65" t="s">
        <v>59</v>
      </c>
      <c r="O46" s="13" t="s">
        <v>43</v>
      </c>
      <c r="P46" s="65">
        <v>2</v>
      </c>
      <c r="Q46" s="65" t="s">
        <v>875</v>
      </c>
      <c r="R46" s="65" t="s">
        <v>534</v>
      </c>
      <c r="S46" s="64" t="s">
        <v>9</v>
      </c>
      <c r="T46" s="62">
        <v>14881.526161224461</v>
      </c>
      <c r="U46" s="62">
        <v>10000</v>
      </c>
      <c r="V46" s="62">
        <v>14881.526161224461</v>
      </c>
      <c r="W46" s="62">
        <v>86312.851735101867</v>
      </c>
      <c r="X46" s="62">
        <v>1126683.2178008531</v>
      </c>
      <c r="Y46" s="62" t="s">
        <v>16</v>
      </c>
      <c r="Z46" s="366">
        <v>0</v>
      </c>
      <c r="AA46" s="61" t="s">
        <v>551</v>
      </c>
      <c r="AB46" s="181">
        <v>2.2499999999999999E-2</v>
      </c>
      <c r="AC46" s="181">
        <v>1.4062499999999999E-2</v>
      </c>
      <c r="AD46" s="60">
        <v>44006</v>
      </c>
      <c r="AE46" s="60">
        <v>47634</v>
      </c>
      <c r="AF46" s="60">
        <v>47634</v>
      </c>
      <c r="AG46" s="72">
        <v>3629</v>
      </c>
      <c r="AH46" s="59" t="s">
        <v>10</v>
      </c>
      <c r="AI46" s="58">
        <v>2343</v>
      </c>
      <c r="AJ46" s="57">
        <v>6.419178082191781</v>
      </c>
      <c r="AK46" s="56"/>
      <c r="AL46" s="13" t="s">
        <v>426</v>
      </c>
      <c r="AM46" s="197" t="s">
        <v>425</v>
      </c>
      <c r="AN46" s="198" t="s">
        <v>439</v>
      </c>
      <c r="AO46" s="58" t="s">
        <v>996</v>
      </c>
      <c r="AP46" s="112"/>
      <c r="AQ46" s="378"/>
    </row>
    <row r="47" spans="1:43" s="401" customFormat="1" ht="39.950000000000003" customHeight="1" x14ac:dyDescent="0.2">
      <c r="A47" s="65" t="s">
        <v>1390</v>
      </c>
      <c r="B47" s="65" t="s">
        <v>1333</v>
      </c>
      <c r="C47" s="65" t="s">
        <v>243</v>
      </c>
      <c r="D47" s="65" t="s">
        <v>34</v>
      </c>
      <c r="E47" s="13" t="s">
        <v>34</v>
      </c>
      <c r="F47" s="148" t="s">
        <v>34</v>
      </c>
      <c r="G47" s="65" t="s">
        <v>233</v>
      </c>
      <c r="H47" s="65" t="s">
        <v>443</v>
      </c>
      <c r="I47" s="65" t="s">
        <v>234</v>
      </c>
      <c r="J47" s="65" t="s">
        <v>706</v>
      </c>
      <c r="K47" s="65" t="s">
        <v>220</v>
      </c>
      <c r="L47" s="65" t="s">
        <v>29</v>
      </c>
      <c r="M47" s="65" t="s">
        <v>191</v>
      </c>
      <c r="N47" s="65" t="s">
        <v>323</v>
      </c>
      <c r="O47" s="65" t="s">
        <v>43</v>
      </c>
      <c r="P47" s="65">
        <v>2</v>
      </c>
      <c r="Q47" s="65" t="s">
        <v>538</v>
      </c>
      <c r="R47" s="65" t="s">
        <v>534</v>
      </c>
      <c r="S47" s="64" t="s">
        <v>8</v>
      </c>
      <c r="T47" s="62">
        <v>15000</v>
      </c>
      <c r="U47" s="62">
        <v>15000</v>
      </c>
      <c r="V47" s="62">
        <v>15000</v>
      </c>
      <c r="W47" s="62">
        <v>97000</v>
      </c>
      <c r="X47" s="62">
        <v>435675.34</v>
      </c>
      <c r="Y47" s="62" t="s">
        <v>16</v>
      </c>
      <c r="Z47" s="65">
        <v>0</v>
      </c>
      <c r="AA47" s="65" t="s">
        <v>11</v>
      </c>
      <c r="AB47" s="65">
        <v>1.4500000000000001E-2</v>
      </c>
      <c r="AC47" s="65">
        <v>8.6999999999999994E-3</v>
      </c>
      <c r="AD47" s="81">
        <v>45146</v>
      </c>
      <c r="AE47" s="81">
        <v>46617</v>
      </c>
      <c r="AF47" s="81">
        <v>46617</v>
      </c>
      <c r="AG47" s="65">
        <v>1472</v>
      </c>
      <c r="AH47" s="65" t="s">
        <v>10</v>
      </c>
      <c r="AI47" s="65">
        <v>1326</v>
      </c>
      <c r="AJ47" s="65">
        <v>3.6328767123287671</v>
      </c>
      <c r="AK47" s="65"/>
      <c r="AL47" s="65" t="s">
        <v>1391</v>
      </c>
      <c r="AM47" s="65" t="s">
        <v>34</v>
      </c>
      <c r="AN47" s="65" t="s">
        <v>233</v>
      </c>
      <c r="AO47" s="65" t="s">
        <v>1389</v>
      </c>
      <c r="AP47" s="400"/>
      <c r="AQ47" s="270"/>
    </row>
    <row r="48" spans="1:43" s="404" customFormat="1" ht="39.950000000000003" customHeight="1" x14ac:dyDescent="0.2">
      <c r="A48" s="132" t="s">
        <v>520</v>
      </c>
      <c r="B48" s="337" t="s">
        <v>307</v>
      </c>
      <c r="C48" s="337" t="s">
        <v>1141</v>
      </c>
      <c r="D48" s="133" t="s">
        <v>87</v>
      </c>
      <c r="E48" s="131" t="s">
        <v>469</v>
      </c>
      <c r="F48" s="145" t="s">
        <v>413</v>
      </c>
      <c r="G48" s="133" t="s">
        <v>48</v>
      </c>
      <c r="H48" s="131" t="s">
        <v>95</v>
      </c>
      <c r="I48" s="145" t="s">
        <v>448</v>
      </c>
      <c r="J48" s="14" t="s">
        <v>246</v>
      </c>
      <c r="K48" s="133" t="s">
        <v>219</v>
      </c>
      <c r="L48" s="133" t="s">
        <v>45</v>
      </c>
      <c r="M48" s="134" t="s">
        <v>191</v>
      </c>
      <c r="N48" s="134" t="s">
        <v>59</v>
      </c>
      <c r="O48" s="132" t="s">
        <v>43</v>
      </c>
      <c r="P48" s="65">
        <v>4</v>
      </c>
      <c r="Q48" s="132" t="s">
        <v>538</v>
      </c>
      <c r="R48" s="270" t="s">
        <v>534</v>
      </c>
      <c r="S48" s="135" t="s">
        <v>9</v>
      </c>
      <c r="T48" s="136">
        <v>14881.526161224461</v>
      </c>
      <c r="U48" s="62">
        <v>10000</v>
      </c>
      <c r="V48" s="136">
        <v>14881.526161224461</v>
      </c>
      <c r="W48" s="136">
        <v>148815.26161224462</v>
      </c>
      <c r="X48" s="62">
        <v>1817464.7180220892</v>
      </c>
      <c r="Y48" s="62" t="s">
        <v>16</v>
      </c>
      <c r="Z48" s="366">
        <v>0</v>
      </c>
      <c r="AA48" s="147" t="s">
        <v>11</v>
      </c>
      <c r="AB48" s="181">
        <v>3.7499999999999999E-2</v>
      </c>
      <c r="AC48" s="181">
        <v>2.4375000000000001E-2</v>
      </c>
      <c r="AD48" s="137">
        <v>44039</v>
      </c>
      <c r="AE48" s="137">
        <v>47238</v>
      </c>
      <c r="AF48" s="137">
        <v>47238</v>
      </c>
      <c r="AG48" s="138">
        <v>3200</v>
      </c>
      <c r="AH48" s="139" t="s">
        <v>10</v>
      </c>
      <c r="AI48" s="138">
        <v>1947</v>
      </c>
      <c r="AJ48" s="140">
        <v>5.3342465753424655</v>
      </c>
      <c r="AK48" s="274"/>
      <c r="AL48" s="132" t="s">
        <v>519</v>
      </c>
      <c r="AM48" s="197" t="s">
        <v>413</v>
      </c>
      <c r="AN48" s="198" t="s">
        <v>48</v>
      </c>
      <c r="AO48" s="138" t="s">
        <v>991</v>
      </c>
      <c r="AP48" s="112"/>
      <c r="AQ48" s="378"/>
    </row>
    <row r="49" spans="1:45" s="401" customFormat="1" ht="39.950000000000003" customHeight="1" x14ac:dyDescent="0.2">
      <c r="A49" s="269" t="s">
        <v>492</v>
      </c>
      <c r="B49" s="337" t="s">
        <v>1337</v>
      </c>
      <c r="C49" s="337" t="s">
        <v>1142</v>
      </c>
      <c r="D49" s="66" t="s">
        <v>34</v>
      </c>
      <c r="E49" s="14" t="s">
        <v>34</v>
      </c>
      <c r="F49" s="130" t="s">
        <v>34</v>
      </c>
      <c r="G49" s="14" t="s">
        <v>102</v>
      </c>
      <c r="H49" s="14" t="s">
        <v>102</v>
      </c>
      <c r="I49" s="66" t="s">
        <v>122</v>
      </c>
      <c r="J49" s="66" t="s">
        <v>70</v>
      </c>
      <c r="K49" s="66" t="s">
        <v>218</v>
      </c>
      <c r="L49" s="65" t="s">
        <v>101</v>
      </c>
      <c r="M49" s="65" t="s">
        <v>191</v>
      </c>
      <c r="N49" s="65" t="s">
        <v>323</v>
      </c>
      <c r="O49" s="13" t="s">
        <v>43</v>
      </c>
      <c r="P49" s="65">
        <v>2</v>
      </c>
      <c r="Q49" s="13" t="s">
        <v>531</v>
      </c>
      <c r="R49" s="65" t="s">
        <v>534</v>
      </c>
      <c r="S49" s="64" t="s">
        <v>8</v>
      </c>
      <c r="T49" s="62">
        <v>25000</v>
      </c>
      <c r="U49" s="62">
        <v>25000</v>
      </c>
      <c r="V49" s="62">
        <v>25000</v>
      </c>
      <c r="W49" s="62">
        <v>50000</v>
      </c>
      <c r="X49" s="62">
        <v>1166537.21</v>
      </c>
      <c r="Y49" s="62" t="s">
        <v>16</v>
      </c>
      <c r="Z49" s="366">
        <v>0</v>
      </c>
      <c r="AA49" s="61" t="s">
        <v>11</v>
      </c>
      <c r="AB49" s="181">
        <v>1.7999999999999999E-2</v>
      </c>
      <c r="AC49" s="181">
        <v>1.29E-2</v>
      </c>
      <c r="AD49" s="60">
        <v>44064</v>
      </c>
      <c r="AE49" s="60">
        <v>45674</v>
      </c>
      <c r="AF49" s="60">
        <v>45674</v>
      </c>
      <c r="AG49" s="72">
        <v>1611</v>
      </c>
      <c r="AH49" s="59" t="s">
        <v>10</v>
      </c>
      <c r="AI49" s="58">
        <v>383</v>
      </c>
      <c r="AJ49" s="57">
        <v>1.0493150684931507</v>
      </c>
      <c r="AK49" s="56" t="s">
        <v>436</v>
      </c>
      <c r="AL49" s="13" t="s">
        <v>478</v>
      </c>
      <c r="AM49" s="197" t="s">
        <v>34</v>
      </c>
      <c r="AN49" s="198" t="s">
        <v>102</v>
      </c>
      <c r="AO49" s="58" t="s">
        <v>998</v>
      </c>
      <c r="AP49" s="112"/>
      <c r="AQ49" s="378" t="s">
        <v>122</v>
      </c>
    </row>
    <row r="50" spans="1:45" s="404" customFormat="1" ht="39.950000000000003" customHeight="1" x14ac:dyDescent="0.2">
      <c r="A50" s="269" t="s">
        <v>497</v>
      </c>
      <c r="B50" s="337" t="s">
        <v>1333</v>
      </c>
      <c r="C50" s="337" t="s">
        <v>1142</v>
      </c>
      <c r="D50" s="133" t="s">
        <v>34</v>
      </c>
      <c r="E50" s="131" t="s">
        <v>34</v>
      </c>
      <c r="F50" s="161" t="s">
        <v>34</v>
      </c>
      <c r="G50" s="131" t="s">
        <v>92</v>
      </c>
      <c r="H50" s="131" t="s">
        <v>100</v>
      </c>
      <c r="I50" s="131" t="s">
        <v>100</v>
      </c>
      <c r="J50" s="133" t="s">
        <v>232</v>
      </c>
      <c r="K50" s="133" t="s">
        <v>21</v>
      </c>
      <c r="L50" s="270" t="s">
        <v>44</v>
      </c>
      <c r="M50" s="270" t="s">
        <v>191</v>
      </c>
      <c r="N50" s="270" t="s">
        <v>323</v>
      </c>
      <c r="O50" s="269" t="s">
        <v>43</v>
      </c>
      <c r="P50" s="270">
        <v>5</v>
      </c>
      <c r="Q50" s="269" t="s">
        <v>531</v>
      </c>
      <c r="R50" s="270" t="s">
        <v>534</v>
      </c>
      <c r="S50" s="135" t="s">
        <v>8</v>
      </c>
      <c r="T50" s="62">
        <v>14909.57</v>
      </c>
      <c r="U50" s="62">
        <v>14909.57</v>
      </c>
      <c r="V50" s="62">
        <v>14909.57</v>
      </c>
      <c r="W50" s="62">
        <v>93608.577000000005</v>
      </c>
      <c r="X50" s="296">
        <v>1277678.81</v>
      </c>
      <c r="Y50" s="62" t="s">
        <v>16</v>
      </c>
      <c r="Z50" s="366">
        <v>0</v>
      </c>
      <c r="AA50" s="61" t="s">
        <v>11</v>
      </c>
      <c r="AB50" s="181">
        <v>3.5000000000000003E-2</v>
      </c>
      <c r="AC50" s="181">
        <v>1.4999999999999999E-2</v>
      </c>
      <c r="AD50" s="271">
        <v>44097</v>
      </c>
      <c r="AE50" s="271">
        <v>45277</v>
      </c>
      <c r="AF50" s="271">
        <v>45643</v>
      </c>
      <c r="AG50" s="272">
        <v>1547</v>
      </c>
      <c r="AH50" s="139" t="s">
        <v>10</v>
      </c>
      <c r="AI50" s="272">
        <v>352</v>
      </c>
      <c r="AJ50" s="273">
        <v>0.96438356164383565</v>
      </c>
      <c r="AK50" s="274"/>
      <c r="AL50" s="269" t="s">
        <v>486</v>
      </c>
      <c r="AM50" s="323" t="s">
        <v>34</v>
      </c>
      <c r="AN50" s="324" t="s">
        <v>92</v>
      </c>
      <c r="AO50" s="272" t="s">
        <v>1000</v>
      </c>
      <c r="AP50" s="276"/>
      <c r="AQ50" s="378"/>
    </row>
    <row r="51" spans="1:45" s="401" customFormat="1" ht="39.950000000000003" customHeight="1" x14ac:dyDescent="0.2">
      <c r="A51" s="131" t="s">
        <v>511</v>
      </c>
      <c r="B51" s="337" t="s">
        <v>1336</v>
      </c>
      <c r="C51" s="337" t="s">
        <v>1144</v>
      </c>
      <c r="D51" s="133" t="s">
        <v>127</v>
      </c>
      <c r="E51" s="131" t="s">
        <v>542</v>
      </c>
      <c r="F51" s="161" t="s">
        <v>127</v>
      </c>
      <c r="G51" s="14" t="s">
        <v>892</v>
      </c>
      <c r="H51" s="131" t="s">
        <v>259</v>
      </c>
      <c r="I51" s="14" t="s">
        <v>258</v>
      </c>
      <c r="J51" s="66" t="s">
        <v>158</v>
      </c>
      <c r="K51" s="66" t="s">
        <v>220</v>
      </c>
      <c r="L51" s="13" t="s">
        <v>45</v>
      </c>
      <c r="M51" s="65" t="s">
        <v>191</v>
      </c>
      <c r="N51" s="134" t="s">
        <v>59</v>
      </c>
      <c r="O51" s="132" t="s">
        <v>43</v>
      </c>
      <c r="P51" s="65">
        <v>4</v>
      </c>
      <c r="Q51" s="132" t="s">
        <v>533</v>
      </c>
      <c r="R51" s="13" t="s">
        <v>548</v>
      </c>
      <c r="S51" s="135" t="s">
        <v>59</v>
      </c>
      <c r="T51" s="136">
        <v>24436.980521722693</v>
      </c>
      <c r="U51" s="62">
        <v>15000</v>
      </c>
      <c r="V51" s="136">
        <v>24436.980521722693</v>
      </c>
      <c r="W51" s="136">
        <v>345375.99137368071</v>
      </c>
      <c r="X51" s="136">
        <v>1116175.344067391</v>
      </c>
      <c r="Y51" s="62" t="s">
        <v>16</v>
      </c>
      <c r="Z51" s="366">
        <v>0</v>
      </c>
      <c r="AA51" s="61" t="s">
        <v>11</v>
      </c>
      <c r="AB51" s="181">
        <v>1.17E-2</v>
      </c>
      <c r="AC51" s="181">
        <v>7.6050000000000006E-3</v>
      </c>
      <c r="AD51" s="137">
        <v>44146</v>
      </c>
      <c r="AE51" s="137">
        <v>46640</v>
      </c>
      <c r="AF51" s="137">
        <v>46640</v>
      </c>
      <c r="AG51" s="138">
        <v>2495</v>
      </c>
      <c r="AH51" s="59" t="s">
        <v>10</v>
      </c>
      <c r="AI51" s="138">
        <v>1349</v>
      </c>
      <c r="AJ51" s="140">
        <v>3.6958904109589041</v>
      </c>
      <c r="AK51" s="56"/>
      <c r="AL51" s="132" t="s">
        <v>512</v>
      </c>
      <c r="AM51" s="197" t="s">
        <v>127</v>
      </c>
      <c r="AN51" s="198" t="s">
        <v>892</v>
      </c>
      <c r="AO51" s="138" t="s">
        <v>935</v>
      </c>
      <c r="AP51" s="112"/>
      <c r="AQ51" s="378"/>
    </row>
    <row r="52" spans="1:45" s="401" customFormat="1" ht="39.950000000000003" customHeight="1" x14ac:dyDescent="0.2">
      <c r="A52" s="131" t="s">
        <v>508</v>
      </c>
      <c r="B52" s="337" t="s">
        <v>307</v>
      </c>
      <c r="C52" s="337" t="s">
        <v>1141</v>
      </c>
      <c r="D52" s="66" t="s">
        <v>162</v>
      </c>
      <c r="E52" s="14" t="s">
        <v>499</v>
      </c>
      <c r="F52" s="130" t="s">
        <v>162</v>
      </c>
      <c r="G52" s="14" t="s">
        <v>102</v>
      </c>
      <c r="H52" s="14" t="s">
        <v>102</v>
      </c>
      <c r="I52" s="130" t="s">
        <v>103</v>
      </c>
      <c r="J52" s="131" t="s">
        <v>509</v>
      </c>
      <c r="K52" s="133" t="s">
        <v>222</v>
      </c>
      <c r="L52" s="65" t="s">
        <v>101</v>
      </c>
      <c r="M52" s="134" t="s">
        <v>191</v>
      </c>
      <c r="N52" s="134" t="s">
        <v>59</v>
      </c>
      <c r="O52" s="132" t="s">
        <v>43</v>
      </c>
      <c r="P52" s="65">
        <v>2</v>
      </c>
      <c r="Q52" s="132" t="s">
        <v>531</v>
      </c>
      <c r="R52" s="65" t="s">
        <v>534</v>
      </c>
      <c r="S52" s="135" t="s">
        <v>9</v>
      </c>
      <c r="T52" s="136">
        <v>29763.052322448922</v>
      </c>
      <c r="U52" s="62">
        <v>20000</v>
      </c>
      <c r="V52" s="136">
        <v>29763.052322448922</v>
      </c>
      <c r="W52" s="136">
        <v>111611.44620918346</v>
      </c>
      <c r="X52" s="136">
        <v>764347</v>
      </c>
      <c r="Y52" s="136" t="s">
        <v>1295</v>
      </c>
      <c r="Z52" s="365">
        <v>0.15</v>
      </c>
      <c r="AA52" s="61" t="s">
        <v>11</v>
      </c>
      <c r="AB52" s="181">
        <v>1.6E-2</v>
      </c>
      <c r="AC52" s="181">
        <v>1.12E-2</v>
      </c>
      <c r="AD52" s="137">
        <v>44148</v>
      </c>
      <c r="AE52" s="137">
        <v>45734</v>
      </c>
      <c r="AF52" s="137">
        <v>45734</v>
      </c>
      <c r="AG52" s="58">
        <v>1587</v>
      </c>
      <c r="AH52" s="59" t="s">
        <v>10</v>
      </c>
      <c r="AI52" s="138">
        <v>443</v>
      </c>
      <c r="AJ52" s="140">
        <v>1.2136986301369863</v>
      </c>
      <c r="AK52" s="56" t="s">
        <v>436</v>
      </c>
      <c r="AL52" s="132" t="s">
        <v>510</v>
      </c>
      <c r="AM52" s="197" t="s">
        <v>162</v>
      </c>
      <c r="AN52" s="198" t="s">
        <v>102</v>
      </c>
      <c r="AO52" s="138" t="s">
        <v>1001</v>
      </c>
      <c r="AP52" s="112"/>
      <c r="AQ52" s="378" t="s">
        <v>103</v>
      </c>
    </row>
    <row r="53" spans="1:45" ht="39.950000000000003" customHeight="1" x14ac:dyDescent="0.2">
      <c r="A53" s="132" t="s">
        <v>513</v>
      </c>
      <c r="B53" s="337" t="s">
        <v>1437</v>
      </c>
      <c r="C53" s="337" t="s">
        <v>1144</v>
      </c>
      <c r="D53" s="133" t="s">
        <v>88</v>
      </c>
      <c r="E53" s="131" t="s">
        <v>542</v>
      </c>
      <c r="F53" s="145" t="s">
        <v>88</v>
      </c>
      <c r="G53" s="66" t="s">
        <v>106</v>
      </c>
      <c r="H53" s="66" t="s">
        <v>106</v>
      </c>
      <c r="I53" s="66" t="s">
        <v>107</v>
      </c>
      <c r="J53" s="133" t="s">
        <v>61</v>
      </c>
      <c r="K53" s="133" t="s">
        <v>220</v>
      </c>
      <c r="L53" s="14" t="s">
        <v>101</v>
      </c>
      <c r="M53" s="134" t="s">
        <v>191</v>
      </c>
      <c r="N53" s="134" t="s">
        <v>59</v>
      </c>
      <c r="O53" s="132" t="s">
        <v>43</v>
      </c>
      <c r="P53" s="65">
        <v>2</v>
      </c>
      <c r="Q53" s="132" t="s">
        <v>533</v>
      </c>
      <c r="R53" s="13" t="s">
        <v>548</v>
      </c>
      <c r="S53" s="135" t="s">
        <v>59</v>
      </c>
      <c r="T53" s="136">
        <v>4887.3961043445388</v>
      </c>
      <c r="U53" s="62">
        <v>3000</v>
      </c>
      <c r="V53" s="136">
        <v>4887.3961043445388</v>
      </c>
      <c r="W53" s="136">
        <v>32582.640695630256</v>
      </c>
      <c r="X53" s="136">
        <v>188967.91211041203</v>
      </c>
      <c r="Y53" s="62" t="s">
        <v>16</v>
      </c>
      <c r="Z53" s="366">
        <v>0</v>
      </c>
      <c r="AA53" s="61" t="s">
        <v>11</v>
      </c>
      <c r="AB53" s="181">
        <v>0.01</v>
      </c>
      <c r="AC53" s="181">
        <v>7.0000000000000001E-3</v>
      </c>
      <c r="AD53" s="137">
        <v>44159</v>
      </c>
      <c r="AE53" s="137">
        <v>45792</v>
      </c>
      <c r="AF53" s="137">
        <v>45792</v>
      </c>
      <c r="AG53" s="138">
        <v>1634</v>
      </c>
      <c r="AH53" s="139" t="s">
        <v>10</v>
      </c>
      <c r="AI53" s="138">
        <v>501</v>
      </c>
      <c r="AJ53" s="140">
        <v>1.3726027397260274</v>
      </c>
      <c r="AK53" s="56"/>
      <c r="AL53" s="132" t="s">
        <v>514</v>
      </c>
      <c r="AM53" s="197" t="s">
        <v>88</v>
      </c>
      <c r="AN53" s="198" t="s">
        <v>106</v>
      </c>
      <c r="AO53" s="138" t="s">
        <v>1002</v>
      </c>
      <c r="AP53" s="112"/>
      <c r="AQ53" s="272" t="s">
        <v>103</v>
      </c>
    </row>
    <row r="54" spans="1:45" ht="39.950000000000003" customHeight="1" x14ac:dyDescent="0.2">
      <c r="A54" s="132" t="s">
        <v>524</v>
      </c>
      <c r="B54" s="337" t="s">
        <v>1333</v>
      </c>
      <c r="C54" s="337" t="s">
        <v>1141</v>
      </c>
      <c r="D54" s="133" t="s">
        <v>37</v>
      </c>
      <c r="E54" s="131" t="s">
        <v>541</v>
      </c>
      <c r="F54" s="145" t="s">
        <v>152</v>
      </c>
      <c r="G54" s="14" t="s">
        <v>102</v>
      </c>
      <c r="H54" s="14" t="s">
        <v>102</v>
      </c>
      <c r="I54" s="130" t="s">
        <v>473</v>
      </c>
      <c r="J54" s="146" t="s">
        <v>526</v>
      </c>
      <c r="K54" s="133" t="s">
        <v>221</v>
      </c>
      <c r="L54" s="14" t="s">
        <v>101</v>
      </c>
      <c r="M54" s="134" t="s">
        <v>191</v>
      </c>
      <c r="N54" s="134" t="s">
        <v>323</v>
      </c>
      <c r="O54" s="132" t="s">
        <v>43</v>
      </c>
      <c r="P54" s="65">
        <v>2</v>
      </c>
      <c r="Q54" s="132" t="s">
        <v>533</v>
      </c>
      <c r="R54" s="65" t="s">
        <v>534</v>
      </c>
      <c r="S54" s="135" t="s">
        <v>488</v>
      </c>
      <c r="T54" s="136">
        <v>26754.184681193892</v>
      </c>
      <c r="U54" s="62">
        <v>2600000</v>
      </c>
      <c r="V54" s="136">
        <v>26754.184681193892</v>
      </c>
      <c r="W54" s="136">
        <v>72030.497218598946</v>
      </c>
      <c r="X54" s="136">
        <v>566071.09004646679</v>
      </c>
      <c r="Y54" s="136" t="s">
        <v>1342</v>
      </c>
      <c r="Z54" s="365">
        <v>0.15</v>
      </c>
      <c r="AA54" s="147" t="s">
        <v>11</v>
      </c>
      <c r="AB54" s="181">
        <v>0.01</v>
      </c>
      <c r="AC54" s="181">
        <v>6.4999999999999997E-3</v>
      </c>
      <c r="AD54" s="137">
        <v>44166</v>
      </c>
      <c r="AE54" s="137">
        <v>45504</v>
      </c>
      <c r="AF54" s="137">
        <v>45504</v>
      </c>
      <c r="AG54" s="138">
        <v>1339</v>
      </c>
      <c r="AH54" s="139" t="s">
        <v>10</v>
      </c>
      <c r="AI54" s="138">
        <v>213</v>
      </c>
      <c r="AJ54" s="140">
        <v>0.58356164383561648</v>
      </c>
      <c r="AK54" s="56" t="s">
        <v>436</v>
      </c>
      <c r="AL54" s="132" t="s">
        <v>525</v>
      </c>
      <c r="AM54" s="197" t="s">
        <v>152</v>
      </c>
      <c r="AN54" s="198" t="s">
        <v>102</v>
      </c>
      <c r="AO54" s="138" t="s">
        <v>1003</v>
      </c>
      <c r="AP54" s="112"/>
      <c r="AQ54" s="272" t="s">
        <v>473</v>
      </c>
    </row>
    <row r="55" spans="1:45" ht="39.950000000000003" customHeight="1" x14ac:dyDescent="0.2">
      <c r="A55" s="131" t="s">
        <v>155</v>
      </c>
      <c r="B55" s="337" t="s">
        <v>1438</v>
      </c>
      <c r="C55" s="337" t="s">
        <v>1141</v>
      </c>
      <c r="D55" s="133" t="s">
        <v>87</v>
      </c>
      <c r="E55" s="131" t="s">
        <v>542</v>
      </c>
      <c r="F55" s="145" t="s">
        <v>87</v>
      </c>
      <c r="G55" s="14" t="s">
        <v>102</v>
      </c>
      <c r="H55" s="14" t="s">
        <v>102</v>
      </c>
      <c r="I55" s="66" t="s">
        <v>122</v>
      </c>
      <c r="J55" s="133" t="s">
        <v>705</v>
      </c>
      <c r="K55" s="133" t="s">
        <v>220</v>
      </c>
      <c r="L55" s="66" t="s">
        <v>101</v>
      </c>
      <c r="M55" s="134" t="s">
        <v>191</v>
      </c>
      <c r="N55" s="134" t="s">
        <v>59</v>
      </c>
      <c r="O55" s="132" t="s">
        <v>43</v>
      </c>
      <c r="P55" s="65">
        <v>3</v>
      </c>
      <c r="Q55" s="132" t="s">
        <v>533</v>
      </c>
      <c r="R55" s="65" t="s">
        <v>534</v>
      </c>
      <c r="S55" s="135" t="s">
        <v>156</v>
      </c>
      <c r="T55" s="136">
        <v>9465.2362978257806</v>
      </c>
      <c r="U55" s="62">
        <v>5000</v>
      </c>
      <c r="V55" s="136">
        <v>9465.2362978257806</v>
      </c>
      <c r="W55" s="136">
        <v>68149.701344345624</v>
      </c>
      <c r="X55" s="136">
        <v>451245.67526254622</v>
      </c>
      <c r="Y55" s="62" t="s">
        <v>16</v>
      </c>
      <c r="Z55" s="366">
        <v>0</v>
      </c>
      <c r="AA55" s="147" t="s">
        <v>11</v>
      </c>
      <c r="AB55" s="181">
        <v>1.7999999999999999E-2</v>
      </c>
      <c r="AC55" s="181">
        <v>7.28E-3</v>
      </c>
      <c r="AD55" s="137">
        <v>44211</v>
      </c>
      <c r="AE55" s="137">
        <v>46029</v>
      </c>
      <c r="AF55" s="137">
        <v>46029</v>
      </c>
      <c r="AG55" s="138">
        <v>1819</v>
      </c>
      <c r="AH55" s="172" t="s">
        <v>10</v>
      </c>
      <c r="AI55" s="138">
        <v>738</v>
      </c>
      <c r="AJ55" s="140">
        <v>2.021917808219178</v>
      </c>
      <c r="AK55" s="56"/>
      <c r="AL55" s="131" t="s">
        <v>1361</v>
      </c>
      <c r="AM55" s="197" t="s">
        <v>87</v>
      </c>
      <c r="AN55" s="198" t="s">
        <v>102</v>
      </c>
      <c r="AO55" s="138" t="s">
        <v>1004</v>
      </c>
      <c r="AP55" s="112"/>
      <c r="AQ55" s="272" t="s">
        <v>122</v>
      </c>
    </row>
    <row r="56" spans="1:45" ht="39.950000000000003" customHeight="1" x14ac:dyDescent="0.2">
      <c r="A56" s="132" t="s">
        <v>528</v>
      </c>
      <c r="B56" s="337" t="s">
        <v>1437</v>
      </c>
      <c r="C56" s="337" t="s">
        <v>243</v>
      </c>
      <c r="D56" s="133" t="s">
        <v>34</v>
      </c>
      <c r="E56" s="131" t="s">
        <v>34</v>
      </c>
      <c r="F56" s="161" t="s">
        <v>34</v>
      </c>
      <c r="G56" s="14" t="s">
        <v>102</v>
      </c>
      <c r="H56" s="14" t="s">
        <v>102</v>
      </c>
      <c r="I56" s="130" t="s">
        <v>103</v>
      </c>
      <c r="J56" s="66" t="s">
        <v>70</v>
      </c>
      <c r="K56" s="66" t="s">
        <v>218</v>
      </c>
      <c r="L56" s="13" t="s">
        <v>101</v>
      </c>
      <c r="M56" s="65" t="s">
        <v>191</v>
      </c>
      <c r="N56" s="65" t="s">
        <v>323</v>
      </c>
      <c r="O56" s="13" t="s">
        <v>43</v>
      </c>
      <c r="P56" s="65">
        <v>2</v>
      </c>
      <c r="Q56" s="13" t="s">
        <v>533</v>
      </c>
      <c r="R56" s="65" t="s">
        <v>534</v>
      </c>
      <c r="S56" s="64" t="s">
        <v>8</v>
      </c>
      <c r="T56" s="136">
        <v>30000</v>
      </c>
      <c r="U56" s="62">
        <v>29059.561000000002</v>
      </c>
      <c r="V56" s="136">
        <v>29059.561000000002</v>
      </c>
      <c r="W56" s="136">
        <v>319000</v>
      </c>
      <c r="X56" s="136">
        <v>2099009.8600000003</v>
      </c>
      <c r="Y56" s="62" t="s">
        <v>16</v>
      </c>
      <c r="Z56" s="366">
        <v>0</v>
      </c>
      <c r="AA56" s="61" t="s">
        <v>11</v>
      </c>
      <c r="AB56" s="181">
        <v>3.4000000000000002E-2</v>
      </c>
      <c r="AC56" s="181">
        <v>1.8700000000000001E-2</v>
      </c>
      <c r="AD56" s="137">
        <v>44218</v>
      </c>
      <c r="AE56" s="137">
        <v>45693</v>
      </c>
      <c r="AF56" s="137">
        <v>45693</v>
      </c>
      <c r="AG56" s="58">
        <v>1476</v>
      </c>
      <c r="AH56" s="59" t="s">
        <v>10</v>
      </c>
      <c r="AI56" s="138">
        <v>402</v>
      </c>
      <c r="AJ56" s="140">
        <v>1.1013698630136985</v>
      </c>
      <c r="AK56" s="56" t="s">
        <v>436</v>
      </c>
      <c r="AL56" s="132" t="s">
        <v>529</v>
      </c>
      <c r="AM56" s="197" t="s">
        <v>34</v>
      </c>
      <c r="AN56" s="198" t="s">
        <v>102</v>
      </c>
      <c r="AO56" s="138" t="s">
        <v>911</v>
      </c>
      <c r="AP56" s="112"/>
      <c r="AQ56" s="272" t="s">
        <v>1395</v>
      </c>
    </row>
    <row r="57" spans="1:45" ht="39.950000000000003" customHeight="1" x14ac:dyDescent="0.2">
      <c r="A57" s="131" t="s">
        <v>554</v>
      </c>
      <c r="B57" s="337" t="s">
        <v>1438</v>
      </c>
      <c r="C57" s="337" t="s">
        <v>1143</v>
      </c>
      <c r="D57" s="133" t="s">
        <v>88</v>
      </c>
      <c r="E57" s="131" t="s">
        <v>542</v>
      </c>
      <c r="F57" s="145" t="s">
        <v>88</v>
      </c>
      <c r="G57" s="14" t="s">
        <v>102</v>
      </c>
      <c r="H57" s="14" t="s">
        <v>102</v>
      </c>
      <c r="I57" s="14" t="s">
        <v>474</v>
      </c>
      <c r="J57" s="133" t="s">
        <v>555</v>
      </c>
      <c r="K57" s="133" t="s">
        <v>220</v>
      </c>
      <c r="L57" s="14" t="s">
        <v>101</v>
      </c>
      <c r="M57" s="134" t="s">
        <v>191</v>
      </c>
      <c r="N57" s="134" t="s">
        <v>59</v>
      </c>
      <c r="O57" s="132" t="s">
        <v>43</v>
      </c>
      <c r="P57" s="65">
        <v>2</v>
      </c>
      <c r="Q57" s="132" t="s">
        <v>533</v>
      </c>
      <c r="R57" s="13" t="s">
        <v>548</v>
      </c>
      <c r="S57" s="135" t="s">
        <v>59</v>
      </c>
      <c r="T57" s="136">
        <v>16291.320347815128</v>
      </c>
      <c r="U57" s="62">
        <v>10000</v>
      </c>
      <c r="V57" s="136">
        <v>16291.320347815128</v>
      </c>
      <c r="W57" s="136">
        <v>25000</v>
      </c>
      <c r="X57" s="136">
        <v>431170.15715536213</v>
      </c>
      <c r="Y57" s="62" t="s">
        <v>16</v>
      </c>
      <c r="Z57" s="366">
        <v>0</v>
      </c>
      <c r="AA57" s="147" t="s">
        <v>11</v>
      </c>
      <c r="AB57" s="181">
        <v>1.35E-2</v>
      </c>
      <c r="AC57" s="181">
        <v>8.6E-3</v>
      </c>
      <c r="AD57" s="137">
        <v>44225</v>
      </c>
      <c r="AE57" s="137">
        <v>45337</v>
      </c>
      <c r="AF57" s="137">
        <v>45337</v>
      </c>
      <c r="AG57" s="138">
        <v>1113</v>
      </c>
      <c r="AH57" s="139" t="s">
        <v>1</v>
      </c>
      <c r="AI57" s="138">
        <v>46</v>
      </c>
      <c r="AJ57" s="140">
        <v>0.12602739726027398</v>
      </c>
      <c r="AK57" s="56"/>
      <c r="AL57" s="131" t="s">
        <v>556</v>
      </c>
      <c r="AM57" s="197" t="s">
        <v>88</v>
      </c>
      <c r="AN57" s="198" t="s">
        <v>102</v>
      </c>
      <c r="AO57" s="138" t="s">
        <v>1005</v>
      </c>
      <c r="AP57" s="112"/>
      <c r="AQ57" s="272" t="s">
        <v>474</v>
      </c>
    </row>
    <row r="58" spans="1:45" s="229" customFormat="1" ht="39.950000000000003" customHeight="1" x14ac:dyDescent="0.2">
      <c r="A58" s="131" t="s">
        <v>557</v>
      </c>
      <c r="B58" s="337" t="s">
        <v>1437</v>
      </c>
      <c r="C58" s="337" t="s">
        <v>1144</v>
      </c>
      <c r="D58" s="133" t="s">
        <v>89</v>
      </c>
      <c r="E58" s="131" t="s">
        <v>542</v>
      </c>
      <c r="F58" s="161" t="s">
        <v>89</v>
      </c>
      <c r="G58" s="131" t="s">
        <v>547</v>
      </c>
      <c r="H58" s="131" t="s">
        <v>124</v>
      </c>
      <c r="I58" s="145" t="s">
        <v>123</v>
      </c>
      <c r="J58" s="133" t="s">
        <v>220</v>
      </c>
      <c r="K58" s="133" t="s">
        <v>220</v>
      </c>
      <c r="L58" s="131" t="s">
        <v>29</v>
      </c>
      <c r="M58" s="134" t="s">
        <v>191</v>
      </c>
      <c r="N58" s="134" t="s">
        <v>59</v>
      </c>
      <c r="O58" s="132" t="s">
        <v>43</v>
      </c>
      <c r="P58" s="65">
        <v>2</v>
      </c>
      <c r="Q58" s="167" t="s">
        <v>538</v>
      </c>
      <c r="R58" s="270" t="s">
        <v>534</v>
      </c>
      <c r="S58" s="135" t="s">
        <v>59</v>
      </c>
      <c r="T58" s="136">
        <v>16291.320347815128</v>
      </c>
      <c r="U58" s="62">
        <v>6060.61</v>
      </c>
      <c r="V58" s="136">
        <v>9873.5339013171833</v>
      </c>
      <c r="W58" s="136">
        <v>90742.65433733027</v>
      </c>
      <c r="X58" s="136">
        <v>381651.80922687927</v>
      </c>
      <c r="Y58" s="62" t="s">
        <v>16</v>
      </c>
      <c r="Z58" s="366">
        <v>0</v>
      </c>
      <c r="AA58" s="147" t="s">
        <v>11</v>
      </c>
      <c r="AB58" s="181">
        <v>1.2999999999999999E-2</v>
      </c>
      <c r="AC58" s="181">
        <v>8.0000000000000002E-3</v>
      </c>
      <c r="AD58" s="137">
        <v>44236</v>
      </c>
      <c r="AE58" s="137">
        <v>46021</v>
      </c>
      <c r="AF58" s="137">
        <v>46053</v>
      </c>
      <c r="AG58" s="138">
        <v>1818</v>
      </c>
      <c r="AH58" s="139" t="s">
        <v>10</v>
      </c>
      <c r="AI58" s="138">
        <v>762</v>
      </c>
      <c r="AJ58" s="140">
        <v>2.0876712328767124</v>
      </c>
      <c r="AK58" s="274"/>
      <c r="AL58" s="131" t="s">
        <v>558</v>
      </c>
      <c r="AM58" s="197" t="s">
        <v>89</v>
      </c>
      <c r="AN58" s="198" t="s">
        <v>547</v>
      </c>
      <c r="AO58" s="138" t="s">
        <v>1006</v>
      </c>
      <c r="AP58" s="276"/>
      <c r="AQ58" s="272"/>
    </row>
    <row r="59" spans="1:45" ht="39.950000000000003" customHeight="1" x14ac:dyDescent="0.2">
      <c r="A59" s="131" t="s">
        <v>559</v>
      </c>
      <c r="B59" s="337" t="s">
        <v>307</v>
      </c>
      <c r="C59" s="337" t="s">
        <v>1142</v>
      </c>
      <c r="D59" s="133" t="s">
        <v>560</v>
      </c>
      <c r="E59" s="131" t="s">
        <v>499</v>
      </c>
      <c r="F59" s="161" t="s">
        <v>162</v>
      </c>
      <c r="G59" s="131" t="s">
        <v>48</v>
      </c>
      <c r="H59" s="131" t="s">
        <v>120</v>
      </c>
      <c r="I59" s="66" t="s">
        <v>121</v>
      </c>
      <c r="J59" s="133" t="s">
        <v>561</v>
      </c>
      <c r="K59" s="133" t="s">
        <v>220</v>
      </c>
      <c r="L59" s="14" t="s">
        <v>29</v>
      </c>
      <c r="M59" s="134" t="s">
        <v>191</v>
      </c>
      <c r="N59" s="134" t="s">
        <v>59</v>
      </c>
      <c r="O59" s="132" t="s">
        <v>43</v>
      </c>
      <c r="P59" s="65">
        <v>2</v>
      </c>
      <c r="Q59" s="167" t="s">
        <v>533</v>
      </c>
      <c r="R59" s="65" t="s">
        <v>534</v>
      </c>
      <c r="S59" s="135" t="s">
        <v>9</v>
      </c>
      <c r="T59" s="136">
        <v>14881.526161224461</v>
      </c>
      <c r="U59" s="62">
        <v>12478</v>
      </c>
      <c r="V59" s="136">
        <v>18569.168343975882</v>
      </c>
      <c r="W59" s="136">
        <v>120922.81712826161</v>
      </c>
      <c r="X59" s="136">
        <v>1847938.1548773705</v>
      </c>
      <c r="Y59" s="62" t="s">
        <v>16</v>
      </c>
      <c r="Z59" s="366">
        <v>0</v>
      </c>
      <c r="AA59" s="147" t="s">
        <v>11</v>
      </c>
      <c r="AB59" s="181">
        <v>3.5000000000000003E-2</v>
      </c>
      <c r="AC59" s="181">
        <v>2.1499999999999998E-2</v>
      </c>
      <c r="AD59" s="137">
        <v>44246</v>
      </c>
      <c r="AE59" s="137">
        <v>46079</v>
      </c>
      <c r="AF59" s="137">
        <v>46079</v>
      </c>
      <c r="AG59" s="138">
        <v>1834</v>
      </c>
      <c r="AH59" s="139" t="s">
        <v>10</v>
      </c>
      <c r="AI59" s="138">
        <v>788</v>
      </c>
      <c r="AJ59" s="140">
        <v>2.1589041095890411</v>
      </c>
      <c r="AK59" s="56"/>
      <c r="AL59" s="131" t="s">
        <v>1362</v>
      </c>
      <c r="AM59" s="197" t="s">
        <v>162</v>
      </c>
      <c r="AN59" s="198" t="s">
        <v>48</v>
      </c>
      <c r="AO59" s="138" t="s">
        <v>1007</v>
      </c>
      <c r="AP59" s="112"/>
      <c r="AQ59" s="272"/>
    </row>
    <row r="60" spans="1:45" ht="39.950000000000003" customHeight="1" x14ac:dyDescent="0.2">
      <c r="A60" s="131" t="s">
        <v>566</v>
      </c>
      <c r="B60" s="337" t="s">
        <v>23</v>
      </c>
      <c r="C60" s="337" t="s">
        <v>243</v>
      </c>
      <c r="D60" s="133" t="s">
        <v>88</v>
      </c>
      <c r="E60" s="131" t="s">
        <v>542</v>
      </c>
      <c r="F60" s="161" t="s">
        <v>166</v>
      </c>
      <c r="G60" s="131" t="s">
        <v>92</v>
      </c>
      <c r="H60" s="131" t="s">
        <v>134</v>
      </c>
      <c r="I60" s="66" t="s">
        <v>134</v>
      </c>
      <c r="J60" s="133" t="s">
        <v>61</v>
      </c>
      <c r="K60" s="133" t="s">
        <v>220</v>
      </c>
      <c r="L60" s="14" t="s">
        <v>68</v>
      </c>
      <c r="M60" s="134" t="s">
        <v>191</v>
      </c>
      <c r="N60" s="134" t="s">
        <v>59</v>
      </c>
      <c r="O60" s="132" t="s">
        <v>43</v>
      </c>
      <c r="P60" s="65">
        <v>3</v>
      </c>
      <c r="Q60" s="167" t="s">
        <v>538</v>
      </c>
      <c r="R60" s="167" t="s">
        <v>548</v>
      </c>
      <c r="S60" s="135" t="s">
        <v>9</v>
      </c>
      <c r="T60" s="136">
        <v>7440.7630806122306</v>
      </c>
      <c r="U60" s="62">
        <v>5000</v>
      </c>
      <c r="V60" s="136">
        <v>7440.7630806122306</v>
      </c>
      <c r="W60" s="136">
        <v>141374.49853163239</v>
      </c>
      <c r="X60" s="136">
        <v>247482.78612944734</v>
      </c>
      <c r="Y60" s="62" t="s">
        <v>16</v>
      </c>
      <c r="Z60" s="366">
        <v>0</v>
      </c>
      <c r="AA60" s="147" t="s">
        <v>11</v>
      </c>
      <c r="AB60" s="181">
        <v>3.4000000000000002E-2</v>
      </c>
      <c r="AC60" s="181">
        <v>1.32E-2</v>
      </c>
      <c r="AD60" s="137">
        <v>44274</v>
      </c>
      <c r="AE60" s="137">
        <v>45545</v>
      </c>
      <c r="AF60" s="137">
        <v>45545</v>
      </c>
      <c r="AG60" s="175">
        <v>1272</v>
      </c>
      <c r="AH60" s="176" t="s">
        <v>10</v>
      </c>
      <c r="AI60" s="175">
        <v>254</v>
      </c>
      <c r="AJ60" s="177">
        <v>0.69589041095890414</v>
      </c>
      <c r="AK60" s="173"/>
      <c r="AL60" s="168" t="s">
        <v>1363</v>
      </c>
      <c r="AM60" s="197" t="s">
        <v>166</v>
      </c>
      <c r="AN60" s="198" t="s">
        <v>92</v>
      </c>
      <c r="AO60" s="175" t="s">
        <v>936</v>
      </c>
      <c r="AP60" s="112"/>
      <c r="AQ60" s="272"/>
    </row>
    <row r="61" spans="1:45" ht="39.950000000000003" customHeight="1" x14ac:dyDescent="0.2">
      <c r="A61" s="131" t="s">
        <v>575</v>
      </c>
      <c r="B61" s="337" t="s">
        <v>23</v>
      </c>
      <c r="C61" s="337" t="s">
        <v>1141</v>
      </c>
      <c r="D61" s="133" t="s">
        <v>37</v>
      </c>
      <c r="E61" s="131" t="s">
        <v>540</v>
      </c>
      <c r="F61" s="161" t="s">
        <v>36</v>
      </c>
      <c r="G61" s="131" t="s">
        <v>104</v>
      </c>
      <c r="H61" s="14" t="s">
        <v>111</v>
      </c>
      <c r="I61" s="66" t="s">
        <v>135</v>
      </c>
      <c r="J61" s="133" t="s">
        <v>77</v>
      </c>
      <c r="K61" s="133" t="s">
        <v>220</v>
      </c>
      <c r="L61" s="14" t="s">
        <v>29</v>
      </c>
      <c r="M61" s="134" t="s">
        <v>191</v>
      </c>
      <c r="N61" s="134" t="s">
        <v>323</v>
      </c>
      <c r="O61" s="132" t="s">
        <v>43</v>
      </c>
      <c r="P61" s="65">
        <v>4</v>
      </c>
      <c r="Q61" s="167" t="s">
        <v>531</v>
      </c>
      <c r="R61" s="167" t="s">
        <v>548</v>
      </c>
      <c r="S61" s="135" t="s">
        <v>9</v>
      </c>
      <c r="T61" s="136">
        <v>16369.678777346908</v>
      </c>
      <c r="U61" s="62">
        <v>5637.5</v>
      </c>
      <c r="V61" s="136">
        <v>8389.4603733902895</v>
      </c>
      <c r="W61" s="136">
        <v>74407.63080612231</v>
      </c>
      <c r="X61" s="136">
        <v>987423.02698010276</v>
      </c>
      <c r="Y61" s="62" t="s">
        <v>1342</v>
      </c>
      <c r="Z61" s="366">
        <v>0.15</v>
      </c>
      <c r="AA61" s="147" t="s">
        <v>11</v>
      </c>
      <c r="AB61" s="181">
        <v>3.7999999999999999E-2</v>
      </c>
      <c r="AC61" s="181">
        <v>2.6249999999999999E-2</v>
      </c>
      <c r="AD61" s="137">
        <v>44285</v>
      </c>
      <c r="AE61" s="137">
        <v>45413</v>
      </c>
      <c r="AF61" s="174">
        <v>45413</v>
      </c>
      <c r="AG61" s="175">
        <v>1129</v>
      </c>
      <c r="AH61" s="176" t="s">
        <v>10</v>
      </c>
      <c r="AI61" s="175">
        <v>122</v>
      </c>
      <c r="AJ61" s="177">
        <v>0.33424657534246577</v>
      </c>
      <c r="AK61" s="173"/>
      <c r="AL61" s="168" t="s">
        <v>1364</v>
      </c>
      <c r="AM61" s="197" t="s">
        <v>36</v>
      </c>
      <c r="AN61" s="198" t="s">
        <v>104</v>
      </c>
      <c r="AO61" s="138" t="s">
        <v>981</v>
      </c>
      <c r="AP61" s="112"/>
      <c r="AQ61" s="272"/>
    </row>
    <row r="62" spans="1:45" ht="39.950000000000003" customHeight="1" x14ac:dyDescent="0.2">
      <c r="A62" s="131" t="s">
        <v>578</v>
      </c>
      <c r="B62" s="337" t="s">
        <v>23</v>
      </c>
      <c r="C62" s="337" t="s">
        <v>1144</v>
      </c>
      <c r="D62" s="133" t="s">
        <v>149</v>
      </c>
      <c r="E62" s="131" t="s">
        <v>496</v>
      </c>
      <c r="F62" s="161" t="s">
        <v>125</v>
      </c>
      <c r="G62" s="131" t="s">
        <v>104</v>
      </c>
      <c r="H62" s="14" t="s">
        <v>111</v>
      </c>
      <c r="I62" s="66" t="s">
        <v>450</v>
      </c>
      <c r="J62" s="133" t="s">
        <v>283</v>
      </c>
      <c r="K62" s="133" t="s">
        <v>148</v>
      </c>
      <c r="L62" s="14" t="s">
        <v>209</v>
      </c>
      <c r="M62" s="134" t="s">
        <v>191</v>
      </c>
      <c r="N62" s="134" t="s">
        <v>59</v>
      </c>
      <c r="O62" s="132" t="s">
        <v>43</v>
      </c>
      <c r="P62" s="65">
        <v>4</v>
      </c>
      <c r="Q62" s="167" t="s">
        <v>531</v>
      </c>
      <c r="R62" s="167" t="s">
        <v>548</v>
      </c>
      <c r="S62" s="135" t="s">
        <v>9</v>
      </c>
      <c r="T62" s="136">
        <v>22322.28924183669</v>
      </c>
      <c r="U62" s="62">
        <v>15000</v>
      </c>
      <c r="V62" s="136">
        <v>22322.28924183669</v>
      </c>
      <c r="W62" s="136">
        <v>119052.20928979569</v>
      </c>
      <c r="X62" s="136">
        <v>1172276.0917760981</v>
      </c>
      <c r="Y62" s="136" t="s">
        <v>1321</v>
      </c>
      <c r="Z62" s="365">
        <v>0.15</v>
      </c>
      <c r="AA62" s="147" t="s">
        <v>11</v>
      </c>
      <c r="AB62" s="185">
        <v>0.03</v>
      </c>
      <c r="AC62" s="185">
        <v>2.01E-2</v>
      </c>
      <c r="AD62" s="137">
        <v>44328</v>
      </c>
      <c r="AE62" s="137">
        <v>46505</v>
      </c>
      <c r="AF62" s="137">
        <v>46505</v>
      </c>
      <c r="AG62" s="175">
        <v>2178</v>
      </c>
      <c r="AH62" s="176" t="s">
        <v>10</v>
      </c>
      <c r="AI62" s="138">
        <v>1214</v>
      </c>
      <c r="AJ62" s="140">
        <v>3.3260273972602739</v>
      </c>
      <c r="AK62" s="184"/>
      <c r="AL62" s="188" t="s">
        <v>579</v>
      </c>
      <c r="AM62" s="197" t="s">
        <v>125</v>
      </c>
      <c r="AN62" s="198" t="s">
        <v>104</v>
      </c>
      <c r="AO62" s="138" t="s">
        <v>983</v>
      </c>
      <c r="AP62" s="112"/>
      <c r="AQ62" s="272"/>
    </row>
    <row r="63" spans="1:45" ht="39.950000000000003" customHeight="1" x14ac:dyDescent="0.2">
      <c r="A63" s="131" t="s">
        <v>586</v>
      </c>
      <c r="B63" s="337" t="s">
        <v>1437</v>
      </c>
      <c r="C63" s="337" t="s">
        <v>1141</v>
      </c>
      <c r="D63" s="133" t="s">
        <v>38</v>
      </c>
      <c r="E63" s="131" t="s">
        <v>541</v>
      </c>
      <c r="F63" s="161" t="s">
        <v>229</v>
      </c>
      <c r="G63" s="14" t="s">
        <v>102</v>
      </c>
      <c r="H63" s="14" t="s">
        <v>102</v>
      </c>
      <c r="I63" s="14" t="s">
        <v>474</v>
      </c>
      <c r="J63" s="133" t="s">
        <v>142</v>
      </c>
      <c r="K63" s="66" t="s">
        <v>218</v>
      </c>
      <c r="L63" s="14" t="s">
        <v>209</v>
      </c>
      <c r="M63" s="134" t="s">
        <v>191</v>
      </c>
      <c r="N63" s="134" t="s">
        <v>323</v>
      </c>
      <c r="O63" s="132" t="s">
        <v>43</v>
      </c>
      <c r="P63" s="65">
        <v>3</v>
      </c>
      <c r="Q63" s="167" t="s">
        <v>531</v>
      </c>
      <c r="R63" s="65" t="s">
        <v>534</v>
      </c>
      <c r="S63" s="135" t="s">
        <v>9</v>
      </c>
      <c r="T63" s="136">
        <v>11161.144620918345</v>
      </c>
      <c r="U63" s="62">
        <v>7500</v>
      </c>
      <c r="V63" s="136">
        <v>11161.144620918345</v>
      </c>
      <c r="W63" s="136">
        <v>13951.430776147932</v>
      </c>
      <c r="X63" s="136">
        <v>1032266.3631271855</v>
      </c>
      <c r="Y63" s="62" t="s">
        <v>16</v>
      </c>
      <c r="Z63" s="366">
        <v>0</v>
      </c>
      <c r="AA63" s="147" t="s">
        <v>11</v>
      </c>
      <c r="AB63" s="185">
        <v>0.06</v>
      </c>
      <c r="AC63" s="185">
        <v>3.6899999999999995E-2</v>
      </c>
      <c r="AD63" s="137">
        <v>44349</v>
      </c>
      <c r="AE63" s="137">
        <v>45419</v>
      </c>
      <c r="AF63" s="137">
        <v>45419</v>
      </c>
      <c r="AG63" s="175">
        <v>1071</v>
      </c>
      <c r="AH63" s="176" t="s">
        <v>10</v>
      </c>
      <c r="AI63" s="138">
        <v>128</v>
      </c>
      <c r="AJ63" s="140">
        <v>0.35068493150684932</v>
      </c>
      <c r="AK63" s="184"/>
      <c r="AL63" s="188" t="s">
        <v>580</v>
      </c>
      <c r="AM63" s="197" t="s">
        <v>229</v>
      </c>
      <c r="AN63" s="198" t="s">
        <v>102</v>
      </c>
      <c r="AO63" s="58" t="s">
        <v>984</v>
      </c>
      <c r="AP63" s="112"/>
      <c r="AQ63" s="272" t="s">
        <v>474</v>
      </c>
    </row>
    <row r="64" spans="1:45" s="229" customFormat="1" ht="39.950000000000003" customHeight="1" x14ac:dyDescent="0.2">
      <c r="A64" s="131" t="s">
        <v>587</v>
      </c>
      <c r="B64" s="337" t="s">
        <v>243</v>
      </c>
      <c r="C64" s="337" t="s">
        <v>1142</v>
      </c>
      <c r="D64" s="133" t="s">
        <v>588</v>
      </c>
      <c r="E64" s="131" t="s">
        <v>499</v>
      </c>
      <c r="F64" s="161" t="s">
        <v>162</v>
      </c>
      <c r="G64" s="131" t="s">
        <v>233</v>
      </c>
      <c r="H64" s="131" t="s">
        <v>443</v>
      </c>
      <c r="I64" s="131" t="s">
        <v>234</v>
      </c>
      <c r="J64" s="133" t="s">
        <v>589</v>
      </c>
      <c r="K64" s="133" t="s">
        <v>218</v>
      </c>
      <c r="L64" s="131" t="s">
        <v>209</v>
      </c>
      <c r="M64" s="134" t="s">
        <v>191</v>
      </c>
      <c r="N64" s="134" t="s">
        <v>59</v>
      </c>
      <c r="O64" s="132" t="s">
        <v>43</v>
      </c>
      <c r="P64" s="270">
        <v>2</v>
      </c>
      <c r="Q64" s="167" t="s">
        <v>531</v>
      </c>
      <c r="R64" s="65" t="s">
        <v>534</v>
      </c>
      <c r="S64" s="135" t="s">
        <v>9</v>
      </c>
      <c r="T64" s="136">
        <v>40214.937453912848</v>
      </c>
      <c r="U64" s="62">
        <v>27023.396000000001</v>
      </c>
      <c r="V64" s="136">
        <v>40214.937453912848</v>
      </c>
      <c r="W64" s="136">
        <v>215782.12933775468</v>
      </c>
      <c r="X64" s="136">
        <v>3928501.61826924</v>
      </c>
      <c r="Y64" s="62" t="s">
        <v>16</v>
      </c>
      <c r="Z64" s="366">
        <v>0</v>
      </c>
      <c r="AA64" s="147" t="s">
        <v>11</v>
      </c>
      <c r="AB64" s="185">
        <v>5.7500000000000002E-2</v>
      </c>
      <c r="AC64" s="185">
        <v>3.1625000000000007E-2</v>
      </c>
      <c r="AD64" s="137">
        <v>44365</v>
      </c>
      <c r="AE64" s="137">
        <v>46107</v>
      </c>
      <c r="AF64" s="137">
        <v>46107</v>
      </c>
      <c r="AG64" s="175">
        <v>1743</v>
      </c>
      <c r="AH64" s="176" t="s">
        <v>10</v>
      </c>
      <c r="AI64" s="138">
        <v>816</v>
      </c>
      <c r="AJ64" s="140">
        <v>2.2356164383561645</v>
      </c>
      <c r="AK64" s="184" t="s">
        <v>436</v>
      </c>
      <c r="AL64" s="188" t="s">
        <v>581</v>
      </c>
      <c r="AM64" s="323" t="s">
        <v>162</v>
      </c>
      <c r="AN64" s="324" t="s">
        <v>233</v>
      </c>
      <c r="AO64" s="272" t="s">
        <v>985</v>
      </c>
      <c r="AP64" s="276"/>
      <c r="AQ64" s="272"/>
      <c r="AS64" s="411"/>
    </row>
    <row r="65" spans="1:45" ht="39.950000000000003" customHeight="1" x14ac:dyDescent="0.2">
      <c r="A65" s="131" t="s">
        <v>1404</v>
      </c>
      <c r="B65" s="337" t="s">
        <v>67</v>
      </c>
      <c r="C65" s="337" t="s">
        <v>243</v>
      </c>
      <c r="D65" s="133" t="s">
        <v>127</v>
      </c>
      <c r="E65" s="131" t="s">
        <v>542</v>
      </c>
      <c r="F65" s="161" t="s">
        <v>166</v>
      </c>
      <c r="G65" s="131" t="s">
        <v>891</v>
      </c>
      <c r="H65" s="131" t="s">
        <v>167</v>
      </c>
      <c r="I65" s="131" t="s">
        <v>167</v>
      </c>
      <c r="J65" s="133" t="s">
        <v>677</v>
      </c>
      <c r="K65" s="66" t="s">
        <v>218</v>
      </c>
      <c r="L65" s="14" t="s">
        <v>209</v>
      </c>
      <c r="M65" s="134" t="s">
        <v>191</v>
      </c>
      <c r="N65" s="134" t="s">
        <v>59</v>
      </c>
      <c r="O65" s="132" t="s">
        <v>43</v>
      </c>
      <c r="P65" s="65">
        <v>2</v>
      </c>
      <c r="Q65" s="167" t="s">
        <v>539</v>
      </c>
      <c r="R65" s="65" t="s">
        <v>534</v>
      </c>
      <c r="S65" s="135" t="s">
        <v>59</v>
      </c>
      <c r="T65" s="136">
        <v>40728.300869537823</v>
      </c>
      <c r="U65" s="62">
        <v>25000</v>
      </c>
      <c r="V65" s="136">
        <v>40728.300869537823</v>
      </c>
      <c r="W65" s="136">
        <v>244369.80521722694</v>
      </c>
      <c r="X65" s="136">
        <v>2955133.1009832644</v>
      </c>
      <c r="Y65" s="62" t="s">
        <v>16</v>
      </c>
      <c r="Z65" s="366">
        <v>0</v>
      </c>
      <c r="AA65" s="147" t="s">
        <v>11</v>
      </c>
      <c r="AB65" s="185">
        <v>0.03</v>
      </c>
      <c r="AC65" s="185">
        <v>1.4999999999999999E-2</v>
      </c>
      <c r="AD65" s="137">
        <v>45184</v>
      </c>
      <c r="AE65" s="137">
        <v>46996</v>
      </c>
      <c r="AF65" s="137">
        <v>46996</v>
      </c>
      <c r="AG65" s="175">
        <v>1813</v>
      </c>
      <c r="AH65" s="176" t="s">
        <v>10</v>
      </c>
      <c r="AI65" s="138">
        <v>1705</v>
      </c>
      <c r="AJ65" s="140">
        <v>4.6712328767123283</v>
      </c>
      <c r="AK65" s="184" t="s">
        <v>436</v>
      </c>
      <c r="AL65" s="188" t="s">
        <v>1406</v>
      </c>
      <c r="AM65" s="197" t="s">
        <v>166</v>
      </c>
      <c r="AN65" s="198" t="s">
        <v>891</v>
      </c>
      <c r="AO65" s="58" t="s">
        <v>1405</v>
      </c>
      <c r="AP65" s="112"/>
      <c r="AQ65" s="272"/>
    </row>
    <row r="66" spans="1:45" ht="39.950000000000003" customHeight="1" x14ac:dyDescent="0.2">
      <c r="A66" s="131" t="s">
        <v>594</v>
      </c>
      <c r="B66" s="337" t="s">
        <v>1336</v>
      </c>
      <c r="C66" s="337" t="s">
        <v>1144</v>
      </c>
      <c r="D66" s="133" t="s">
        <v>588</v>
      </c>
      <c r="E66" s="131" t="s">
        <v>499</v>
      </c>
      <c r="F66" s="412" t="s">
        <v>162</v>
      </c>
      <c r="G66" s="188" t="s">
        <v>233</v>
      </c>
      <c r="H66" s="131" t="s">
        <v>443</v>
      </c>
      <c r="I66" s="131" t="s">
        <v>234</v>
      </c>
      <c r="J66" s="133" t="s">
        <v>589</v>
      </c>
      <c r="K66" s="133" t="s">
        <v>218</v>
      </c>
      <c r="L66" s="168" t="s">
        <v>209</v>
      </c>
      <c r="M66" s="194" t="s">
        <v>191</v>
      </c>
      <c r="N66" s="134" t="s">
        <v>59</v>
      </c>
      <c r="O66" s="167" t="s">
        <v>43</v>
      </c>
      <c r="P66" s="65">
        <v>2</v>
      </c>
      <c r="Q66" s="167" t="s">
        <v>531</v>
      </c>
      <c r="R66" s="65" t="s">
        <v>534</v>
      </c>
      <c r="S66" s="135" t="s">
        <v>9</v>
      </c>
      <c r="T66" s="136">
        <v>22322.28924183669</v>
      </c>
      <c r="U66" s="62">
        <v>15000</v>
      </c>
      <c r="V66" s="136">
        <v>22322.28924183669</v>
      </c>
      <c r="W66" s="136">
        <v>103873.05260534673</v>
      </c>
      <c r="X66" s="136">
        <v>1891988.3503246382</v>
      </c>
      <c r="Y66" s="62" t="s">
        <v>16</v>
      </c>
      <c r="Z66" s="366">
        <v>0</v>
      </c>
      <c r="AA66" s="147" t="s">
        <v>11</v>
      </c>
      <c r="AB66" s="185">
        <v>4.4999999999999998E-2</v>
      </c>
      <c r="AC66" s="185">
        <v>2.0497499999999998E-2</v>
      </c>
      <c r="AD66" s="137">
        <v>44372</v>
      </c>
      <c r="AE66" s="137">
        <v>46112</v>
      </c>
      <c r="AF66" s="137">
        <v>46112</v>
      </c>
      <c r="AG66" s="138">
        <v>1741</v>
      </c>
      <c r="AH66" s="139" t="s">
        <v>10</v>
      </c>
      <c r="AI66" s="138">
        <v>821</v>
      </c>
      <c r="AJ66" s="140">
        <v>2.2493150684931509</v>
      </c>
      <c r="AK66" s="184"/>
      <c r="AL66" s="188" t="s">
        <v>583</v>
      </c>
      <c r="AM66" s="197" t="s">
        <v>162</v>
      </c>
      <c r="AN66" s="198" t="s">
        <v>233</v>
      </c>
      <c r="AO66" s="58" t="s">
        <v>1009</v>
      </c>
      <c r="AP66" s="112"/>
      <c r="AQ66" s="272"/>
    </row>
    <row r="67" spans="1:45" ht="39.950000000000003" customHeight="1" x14ac:dyDescent="0.2">
      <c r="A67" s="131" t="s">
        <v>595</v>
      </c>
      <c r="B67" s="337" t="s">
        <v>1437</v>
      </c>
      <c r="C67" s="337" t="s">
        <v>243</v>
      </c>
      <c r="D67" s="192" t="s">
        <v>38</v>
      </c>
      <c r="E67" s="188" t="s">
        <v>540</v>
      </c>
      <c r="F67" s="161" t="s">
        <v>36</v>
      </c>
      <c r="G67" s="14" t="s">
        <v>102</v>
      </c>
      <c r="H67" s="14" t="s">
        <v>102</v>
      </c>
      <c r="I67" s="14" t="s">
        <v>474</v>
      </c>
      <c r="J67" s="133" t="s">
        <v>142</v>
      </c>
      <c r="K67" s="133" t="s">
        <v>218</v>
      </c>
      <c r="L67" s="168" t="s">
        <v>209</v>
      </c>
      <c r="M67" s="194" t="s">
        <v>191</v>
      </c>
      <c r="N67" s="134" t="s">
        <v>323</v>
      </c>
      <c r="O67" s="167" t="s">
        <v>43</v>
      </c>
      <c r="P67" s="65">
        <v>2</v>
      </c>
      <c r="Q67" s="167" t="s">
        <v>538</v>
      </c>
      <c r="R67" s="65" t="s">
        <v>534</v>
      </c>
      <c r="S67" s="135" t="s">
        <v>9</v>
      </c>
      <c r="T67" s="136">
        <v>22322.28924183669</v>
      </c>
      <c r="U67" s="62">
        <v>15000</v>
      </c>
      <c r="V67" s="136">
        <v>22322.28924183669</v>
      </c>
      <c r="W67" s="136">
        <v>44644.57848367338</v>
      </c>
      <c r="X67" s="136">
        <v>3254899.8429388846</v>
      </c>
      <c r="Y67" s="62" t="s">
        <v>16</v>
      </c>
      <c r="Z67" s="366">
        <v>0</v>
      </c>
      <c r="AA67" s="147" t="s">
        <v>11</v>
      </c>
      <c r="AB67" s="185">
        <v>7.85E-2</v>
      </c>
      <c r="AC67" s="185">
        <v>4.1000000000000002E-2</v>
      </c>
      <c r="AD67" s="137">
        <v>44377</v>
      </c>
      <c r="AE67" s="137">
        <v>45825</v>
      </c>
      <c r="AF67" s="137">
        <v>45831</v>
      </c>
      <c r="AG67" s="138">
        <v>1455</v>
      </c>
      <c r="AH67" s="139" t="s">
        <v>10</v>
      </c>
      <c r="AI67" s="138">
        <v>540</v>
      </c>
      <c r="AJ67" s="140">
        <v>1.4794520547945205</v>
      </c>
      <c r="AK67" s="184"/>
      <c r="AL67" s="188" t="s">
        <v>1365</v>
      </c>
      <c r="AM67" s="197" t="s">
        <v>36</v>
      </c>
      <c r="AN67" s="198" t="s">
        <v>102</v>
      </c>
      <c r="AO67" s="58" t="s">
        <v>1010</v>
      </c>
      <c r="AP67" s="112"/>
      <c r="AQ67" s="272" t="s">
        <v>474</v>
      </c>
    </row>
    <row r="68" spans="1:45" ht="39.950000000000003" customHeight="1" x14ac:dyDescent="0.2">
      <c r="A68" s="131" t="s">
        <v>596</v>
      </c>
      <c r="B68" s="337" t="s">
        <v>1248</v>
      </c>
      <c r="C68" s="337" t="s">
        <v>1142</v>
      </c>
      <c r="D68" s="133" t="s">
        <v>166</v>
      </c>
      <c r="E68" s="131" t="s">
        <v>542</v>
      </c>
      <c r="F68" s="161" t="s">
        <v>166</v>
      </c>
      <c r="G68" s="14" t="s">
        <v>102</v>
      </c>
      <c r="H68" s="14" t="s">
        <v>102</v>
      </c>
      <c r="I68" s="130" t="s">
        <v>103</v>
      </c>
      <c r="J68" s="133" t="s">
        <v>597</v>
      </c>
      <c r="K68" s="192" t="s">
        <v>220</v>
      </c>
      <c r="L68" s="168" t="s">
        <v>101</v>
      </c>
      <c r="M68" s="194" t="s">
        <v>191</v>
      </c>
      <c r="N68" s="134" t="s">
        <v>59</v>
      </c>
      <c r="O68" s="167" t="s">
        <v>43</v>
      </c>
      <c r="P68" s="65">
        <v>1</v>
      </c>
      <c r="Q68" s="167" t="s">
        <v>538</v>
      </c>
      <c r="R68" s="65" t="s">
        <v>534</v>
      </c>
      <c r="S68" s="135" t="s">
        <v>59</v>
      </c>
      <c r="T68" s="136">
        <v>35840.904765193285</v>
      </c>
      <c r="U68" s="62">
        <v>22000</v>
      </c>
      <c r="V68" s="136">
        <v>35840.904765193285</v>
      </c>
      <c r="W68" s="136">
        <v>302366.90565544879</v>
      </c>
      <c r="X68" s="136">
        <v>1772036.5481435643</v>
      </c>
      <c r="Y68" s="62" t="s">
        <v>16</v>
      </c>
      <c r="Z68" s="366">
        <v>0</v>
      </c>
      <c r="AA68" s="147" t="s">
        <v>11</v>
      </c>
      <c r="AB68" s="185">
        <v>1.4500000000000001E-2</v>
      </c>
      <c r="AC68" s="185">
        <v>8.6E-3</v>
      </c>
      <c r="AD68" s="137">
        <v>44376</v>
      </c>
      <c r="AE68" s="137">
        <v>46565</v>
      </c>
      <c r="AF68" s="137">
        <v>46565</v>
      </c>
      <c r="AG68" s="138">
        <v>2190</v>
      </c>
      <c r="AH68" s="139" t="s">
        <v>10</v>
      </c>
      <c r="AI68" s="138">
        <v>1274</v>
      </c>
      <c r="AJ68" s="140">
        <v>3.4904109589041097</v>
      </c>
      <c r="AK68" s="184" t="s">
        <v>436</v>
      </c>
      <c r="AL68" s="188" t="s">
        <v>585</v>
      </c>
      <c r="AM68" s="197" t="s">
        <v>166</v>
      </c>
      <c r="AN68" s="198" t="s">
        <v>102</v>
      </c>
      <c r="AO68" s="58" t="s">
        <v>1011</v>
      </c>
      <c r="AP68" s="112"/>
      <c r="AQ68" s="272" t="s">
        <v>103</v>
      </c>
    </row>
    <row r="69" spans="1:45" ht="39.950000000000003" customHeight="1" x14ac:dyDescent="0.2">
      <c r="A69" s="131" t="s">
        <v>625</v>
      </c>
      <c r="B69" s="337" t="s">
        <v>1336</v>
      </c>
      <c r="C69" s="337" t="s">
        <v>1144</v>
      </c>
      <c r="D69" s="133" t="s">
        <v>127</v>
      </c>
      <c r="E69" s="131" t="s">
        <v>542</v>
      </c>
      <c r="F69" s="161" t="s">
        <v>88</v>
      </c>
      <c r="G69" s="131" t="s">
        <v>233</v>
      </c>
      <c r="H69" s="131" t="s">
        <v>443</v>
      </c>
      <c r="I69" s="131" t="s">
        <v>234</v>
      </c>
      <c r="J69" s="133" t="s">
        <v>165</v>
      </c>
      <c r="K69" s="192" t="s">
        <v>220</v>
      </c>
      <c r="L69" s="168" t="s">
        <v>140</v>
      </c>
      <c r="M69" s="194" t="s">
        <v>191</v>
      </c>
      <c r="N69" s="134" t="s">
        <v>59</v>
      </c>
      <c r="O69" s="167" t="s">
        <v>43</v>
      </c>
      <c r="P69" s="65">
        <v>3</v>
      </c>
      <c r="Q69" s="167" t="s">
        <v>538</v>
      </c>
      <c r="R69" s="65" t="s">
        <v>534</v>
      </c>
      <c r="S69" s="135" t="s">
        <v>59</v>
      </c>
      <c r="T69" s="136">
        <v>16291.320347815128</v>
      </c>
      <c r="U69" s="62">
        <v>10000</v>
      </c>
      <c r="V69" s="136">
        <v>16291.320347815128</v>
      </c>
      <c r="W69" s="136">
        <v>81456.601739075646</v>
      </c>
      <c r="X69" s="136">
        <v>1546628.9274972547</v>
      </c>
      <c r="Y69" s="62" t="s">
        <v>16</v>
      </c>
      <c r="Z69" s="366">
        <v>0</v>
      </c>
      <c r="AA69" s="147" t="s">
        <v>11</v>
      </c>
      <c r="AB69" s="185">
        <v>2.5000000000000001E-2</v>
      </c>
      <c r="AC69" s="185">
        <v>1.4999999999999999E-2</v>
      </c>
      <c r="AD69" s="137">
        <v>44341</v>
      </c>
      <c r="AE69" s="137">
        <v>46837</v>
      </c>
      <c r="AF69" s="137">
        <v>46853</v>
      </c>
      <c r="AG69" s="138">
        <v>2513</v>
      </c>
      <c r="AH69" s="139" t="s">
        <v>10</v>
      </c>
      <c r="AI69" s="138">
        <v>1562</v>
      </c>
      <c r="AJ69" s="140">
        <v>4.279452054794521</v>
      </c>
      <c r="AK69" s="184"/>
      <c r="AL69" s="188" t="s">
        <v>626</v>
      </c>
      <c r="AM69" s="197" t="s">
        <v>88</v>
      </c>
      <c r="AN69" s="198" t="s">
        <v>233</v>
      </c>
      <c r="AO69" s="58" t="s">
        <v>937</v>
      </c>
      <c r="AP69" s="112"/>
      <c r="AQ69" s="272"/>
    </row>
    <row r="70" spans="1:45" ht="39.950000000000003" customHeight="1" x14ac:dyDescent="0.2">
      <c r="A70" s="131" t="s">
        <v>630</v>
      </c>
      <c r="B70" s="337" t="s">
        <v>23</v>
      </c>
      <c r="C70" s="337" t="s">
        <v>1144</v>
      </c>
      <c r="D70" s="133" t="s">
        <v>89</v>
      </c>
      <c r="E70" s="131" t="s">
        <v>542</v>
      </c>
      <c r="F70" s="161" t="s">
        <v>87</v>
      </c>
      <c r="G70" s="188" t="s">
        <v>92</v>
      </c>
      <c r="H70" s="131" t="s">
        <v>134</v>
      </c>
      <c r="I70" s="66" t="s">
        <v>134</v>
      </c>
      <c r="J70" s="133" t="s">
        <v>631</v>
      </c>
      <c r="K70" s="192" t="s">
        <v>256</v>
      </c>
      <c r="L70" s="168" t="s">
        <v>140</v>
      </c>
      <c r="M70" s="194" t="s">
        <v>191</v>
      </c>
      <c r="N70" s="134" t="s">
        <v>59</v>
      </c>
      <c r="O70" s="167" t="s">
        <v>43</v>
      </c>
      <c r="P70" s="65">
        <v>4</v>
      </c>
      <c r="Q70" s="167" t="s">
        <v>533</v>
      </c>
      <c r="R70" s="65" t="s">
        <v>534</v>
      </c>
      <c r="S70" s="135" t="s">
        <v>9</v>
      </c>
      <c r="T70" s="136">
        <v>22322.28924183669</v>
      </c>
      <c r="U70" s="62">
        <v>15000</v>
      </c>
      <c r="V70" s="136">
        <v>22322.28924183669</v>
      </c>
      <c r="W70" s="136">
        <v>186019.07701530575</v>
      </c>
      <c r="X70" s="136">
        <v>809562.19606622029</v>
      </c>
      <c r="Y70" s="136" t="s">
        <v>1360</v>
      </c>
      <c r="Z70" s="365">
        <v>0.15</v>
      </c>
      <c r="AA70" s="147" t="s">
        <v>11</v>
      </c>
      <c r="AB70" s="185">
        <v>1.9E-2</v>
      </c>
      <c r="AC70" s="185">
        <v>9.5999999999999992E-3</v>
      </c>
      <c r="AD70" s="137">
        <v>44385</v>
      </c>
      <c r="AE70" s="137">
        <v>46386</v>
      </c>
      <c r="AF70" s="137">
        <v>46386</v>
      </c>
      <c r="AG70" s="138">
        <v>2002</v>
      </c>
      <c r="AH70" s="139" t="s">
        <v>10</v>
      </c>
      <c r="AI70" s="138">
        <v>1095</v>
      </c>
      <c r="AJ70" s="140">
        <v>3</v>
      </c>
      <c r="AK70" s="184"/>
      <c r="AL70" s="188" t="s">
        <v>1366</v>
      </c>
      <c r="AM70" s="197" t="s">
        <v>87</v>
      </c>
      <c r="AN70" s="198" t="s">
        <v>92</v>
      </c>
      <c r="AO70" s="58" t="s">
        <v>1012</v>
      </c>
      <c r="AP70" s="112"/>
      <c r="AQ70" s="272"/>
    </row>
    <row r="71" spans="1:45" ht="39.950000000000003" customHeight="1" x14ac:dyDescent="0.2">
      <c r="A71" s="131" t="s">
        <v>639</v>
      </c>
      <c r="B71" s="337" t="s">
        <v>1438</v>
      </c>
      <c r="C71" s="337" t="s">
        <v>243</v>
      </c>
      <c r="D71" s="133" t="s">
        <v>38</v>
      </c>
      <c r="E71" s="131" t="s">
        <v>540</v>
      </c>
      <c r="F71" s="161" t="s">
        <v>35</v>
      </c>
      <c r="G71" s="14" t="s">
        <v>892</v>
      </c>
      <c r="H71" s="188" t="s">
        <v>259</v>
      </c>
      <c r="I71" s="188" t="s">
        <v>258</v>
      </c>
      <c r="J71" s="133" t="s">
        <v>638</v>
      </c>
      <c r="K71" s="192" t="s">
        <v>687</v>
      </c>
      <c r="L71" s="168" t="s">
        <v>139</v>
      </c>
      <c r="M71" s="194" t="s">
        <v>191</v>
      </c>
      <c r="N71" s="134" t="s">
        <v>323</v>
      </c>
      <c r="O71" s="167" t="s">
        <v>43</v>
      </c>
      <c r="P71" s="65">
        <v>2</v>
      </c>
      <c r="Q71" s="167" t="s">
        <v>538</v>
      </c>
      <c r="R71" s="65" t="s">
        <v>534</v>
      </c>
      <c r="S71" s="135" t="s">
        <v>9</v>
      </c>
      <c r="T71" s="136">
        <v>29763.052322448922</v>
      </c>
      <c r="U71" s="62">
        <v>14999.999999999998</v>
      </c>
      <c r="V71" s="136">
        <v>22322.28924183669</v>
      </c>
      <c r="W71" s="136">
        <v>59526.104644897845</v>
      </c>
      <c r="X71" s="136">
        <v>1948557.2724984086</v>
      </c>
      <c r="Y71" s="136" t="s">
        <v>16</v>
      </c>
      <c r="Z71" s="365">
        <v>0</v>
      </c>
      <c r="AA71" s="147" t="s">
        <v>11</v>
      </c>
      <c r="AB71" s="185">
        <v>3.3300000000000003E-2</v>
      </c>
      <c r="AC71" s="185">
        <v>1.8315000000000005E-2</v>
      </c>
      <c r="AD71" s="137">
        <v>44425</v>
      </c>
      <c r="AE71" s="137">
        <v>46240</v>
      </c>
      <c r="AF71" s="137">
        <v>46270</v>
      </c>
      <c r="AG71" s="138">
        <v>1846</v>
      </c>
      <c r="AH71" s="139" t="s">
        <v>10</v>
      </c>
      <c r="AI71" s="138">
        <v>979</v>
      </c>
      <c r="AJ71" s="140">
        <v>2.6821917808219178</v>
      </c>
      <c r="AK71" s="184" t="s">
        <v>436</v>
      </c>
      <c r="AL71" s="188" t="s">
        <v>1372</v>
      </c>
      <c r="AM71" s="197" t="s">
        <v>35</v>
      </c>
      <c r="AN71" s="198" t="s">
        <v>892</v>
      </c>
      <c r="AO71" s="58" t="s">
        <v>1015</v>
      </c>
      <c r="AP71" s="112"/>
      <c r="AQ71" s="272"/>
    </row>
    <row r="72" spans="1:45" s="229" customFormat="1" ht="39.950000000000003" customHeight="1" x14ac:dyDescent="0.2">
      <c r="A72" s="131" t="s">
        <v>641</v>
      </c>
      <c r="B72" s="337" t="s">
        <v>1438</v>
      </c>
      <c r="C72" s="337" t="s">
        <v>1144</v>
      </c>
      <c r="D72" s="133" t="s">
        <v>38</v>
      </c>
      <c r="E72" s="131" t="s">
        <v>540</v>
      </c>
      <c r="F72" s="161" t="s">
        <v>35</v>
      </c>
      <c r="G72" s="188" t="s">
        <v>475</v>
      </c>
      <c r="H72" s="131" t="s">
        <v>138</v>
      </c>
      <c r="I72" s="66" t="s">
        <v>138</v>
      </c>
      <c r="J72" s="133" t="s">
        <v>638</v>
      </c>
      <c r="K72" s="192" t="s">
        <v>687</v>
      </c>
      <c r="L72" s="168" t="s">
        <v>209</v>
      </c>
      <c r="M72" s="194" t="s">
        <v>191</v>
      </c>
      <c r="N72" s="134" t="s">
        <v>323</v>
      </c>
      <c r="O72" s="167" t="s">
        <v>43</v>
      </c>
      <c r="P72" s="65">
        <v>2</v>
      </c>
      <c r="Q72" s="167" t="s">
        <v>538</v>
      </c>
      <c r="R72" s="65" t="s">
        <v>534</v>
      </c>
      <c r="S72" s="135" t="s">
        <v>9</v>
      </c>
      <c r="T72" s="136">
        <v>11161.144620918345</v>
      </c>
      <c r="U72" s="62">
        <v>7500</v>
      </c>
      <c r="V72" s="136">
        <v>11161.144620918345</v>
      </c>
      <c r="W72" s="136">
        <v>22322.28924183669</v>
      </c>
      <c r="X72" s="136">
        <v>1612691.6441078852</v>
      </c>
      <c r="Y72" s="136" t="s">
        <v>16</v>
      </c>
      <c r="Z72" s="365">
        <v>0</v>
      </c>
      <c r="AA72" s="147" t="s">
        <v>11</v>
      </c>
      <c r="AB72" s="185">
        <v>6.7500000000000004E-2</v>
      </c>
      <c r="AC72" s="185">
        <v>3.6855000000000006E-2</v>
      </c>
      <c r="AD72" s="137">
        <v>44434</v>
      </c>
      <c r="AE72" s="137">
        <v>45791</v>
      </c>
      <c r="AF72" s="137">
        <v>45821</v>
      </c>
      <c r="AG72" s="138">
        <v>1388</v>
      </c>
      <c r="AH72" s="139" t="s">
        <v>10</v>
      </c>
      <c r="AI72" s="138">
        <v>530</v>
      </c>
      <c r="AJ72" s="140">
        <v>1.452054794520548</v>
      </c>
      <c r="AK72" s="184"/>
      <c r="AL72" s="188" t="s">
        <v>634</v>
      </c>
      <c r="AM72" s="197" t="s">
        <v>35</v>
      </c>
      <c r="AN72" s="198" t="s">
        <v>475</v>
      </c>
      <c r="AO72" s="58" t="s">
        <v>1220</v>
      </c>
      <c r="AP72" s="276"/>
      <c r="AQ72" s="272"/>
    </row>
    <row r="73" spans="1:45" ht="39.950000000000003" customHeight="1" x14ac:dyDescent="0.2">
      <c r="A73" s="131" t="s">
        <v>642</v>
      </c>
      <c r="B73" s="337" t="s">
        <v>1437</v>
      </c>
      <c r="C73" s="337" t="s">
        <v>1142</v>
      </c>
      <c r="D73" s="133" t="s">
        <v>588</v>
      </c>
      <c r="E73" s="131" t="s">
        <v>499</v>
      </c>
      <c r="F73" s="161" t="s">
        <v>643</v>
      </c>
      <c r="G73" s="131" t="s">
        <v>891</v>
      </c>
      <c r="H73" s="133" t="s">
        <v>167</v>
      </c>
      <c r="I73" s="131" t="s">
        <v>167</v>
      </c>
      <c r="J73" s="133" t="s">
        <v>589</v>
      </c>
      <c r="K73" s="192" t="s">
        <v>218</v>
      </c>
      <c r="L73" s="168" t="s">
        <v>209</v>
      </c>
      <c r="M73" s="194" t="s">
        <v>191</v>
      </c>
      <c r="N73" s="134" t="s">
        <v>59</v>
      </c>
      <c r="O73" s="167" t="s">
        <v>43</v>
      </c>
      <c r="P73" s="65">
        <v>2</v>
      </c>
      <c r="Q73" s="167" t="s">
        <v>538</v>
      </c>
      <c r="R73" s="270" t="s">
        <v>534</v>
      </c>
      <c r="S73" s="135" t="s">
        <v>644</v>
      </c>
      <c r="T73" s="136">
        <v>43466.768101013913</v>
      </c>
      <c r="U73" s="62">
        <v>38615.945</v>
      </c>
      <c r="V73" s="136">
        <v>43038.726315807893</v>
      </c>
      <c r="W73" s="136">
        <v>180554.26749651934</v>
      </c>
      <c r="X73" s="136">
        <v>4150591.8106357539</v>
      </c>
      <c r="Y73" s="62" t="s">
        <v>16</v>
      </c>
      <c r="Z73" s="366">
        <v>0</v>
      </c>
      <c r="AA73" s="147" t="s">
        <v>11</v>
      </c>
      <c r="AB73" s="185">
        <v>5.7500000000000002E-2</v>
      </c>
      <c r="AC73" s="185">
        <v>2.89225E-2</v>
      </c>
      <c r="AD73" s="137">
        <v>44433</v>
      </c>
      <c r="AE73" s="137">
        <v>46142</v>
      </c>
      <c r="AF73" s="137">
        <v>46142</v>
      </c>
      <c r="AG73" s="138">
        <v>1710</v>
      </c>
      <c r="AH73" s="139" t="s">
        <v>10</v>
      </c>
      <c r="AI73" s="138">
        <v>851</v>
      </c>
      <c r="AJ73" s="140">
        <v>2.3315068493150686</v>
      </c>
      <c r="AK73" s="184" t="s">
        <v>436</v>
      </c>
      <c r="AL73" s="188" t="s">
        <v>635</v>
      </c>
      <c r="AM73" s="323" t="s">
        <v>643</v>
      </c>
      <c r="AN73" s="324" t="s">
        <v>891</v>
      </c>
      <c r="AO73" s="58" t="s">
        <v>1019</v>
      </c>
      <c r="AP73" s="112"/>
      <c r="AQ73" s="272"/>
    </row>
    <row r="74" spans="1:45" s="229" customFormat="1" ht="39.950000000000003" customHeight="1" x14ac:dyDescent="0.2">
      <c r="A74" s="131" t="s">
        <v>655</v>
      </c>
      <c r="B74" s="337" t="s">
        <v>23</v>
      </c>
      <c r="C74" s="337" t="s">
        <v>1142</v>
      </c>
      <c r="D74" s="133" t="s">
        <v>34</v>
      </c>
      <c r="E74" s="131" t="s">
        <v>34</v>
      </c>
      <c r="F74" s="161" t="s">
        <v>34</v>
      </c>
      <c r="G74" s="188" t="s">
        <v>475</v>
      </c>
      <c r="H74" s="131" t="s">
        <v>227</v>
      </c>
      <c r="I74" s="14" t="s">
        <v>228</v>
      </c>
      <c r="J74" s="133" t="s">
        <v>656</v>
      </c>
      <c r="K74" s="192" t="s">
        <v>656</v>
      </c>
      <c r="L74" s="168" t="s">
        <v>209</v>
      </c>
      <c r="M74" s="194" t="s">
        <v>191</v>
      </c>
      <c r="N74" s="134" t="s">
        <v>323</v>
      </c>
      <c r="O74" s="167" t="s">
        <v>43</v>
      </c>
      <c r="P74" s="65">
        <v>4</v>
      </c>
      <c r="Q74" s="167" t="s">
        <v>531</v>
      </c>
      <c r="R74" s="65" t="s">
        <v>534</v>
      </c>
      <c r="S74" s="135" t="s">
        <v>8</v>
      </c>
      <c r="T74" s="136">
        <v>15000</v>
      </c>
      <c r="U74" s="62">
        <v>25000</v>
      </c>
      <c r="V74" s="136">
        <v>25000</v>
      </c>
      <c r="W74" s="136">
        <v>72688</v>
      </c>
      <c r="X74" s="136">
        <v>1465806.08</v>
      </c>
      <c r="Y74" s="136" t="s">
        <v>1358</v>
      </c>
      <c r="Z74" s="365">
        <v>0.125</v>
      </c>
      <c r="AA74" s="147" t="s">
        <v>11</v>
      </c>
      <c r="AB74" s="185">
        <v>3.5000000000000003E-2</v>
      </c>
      <c r="AC74" s="185">
        <v>2.2750000000000003E-2</v>
      </c>
      <c r="AD74" s="137">
        <v>44466</v>
      </c>
      <c r="AE74" s="137">
        <v>45473</v>
      </c>
      <c r="AF74" s="137">
        <v>45473</v>
      </c>
      <c r="AG74" s="138">
        <v>1008</v>
      </c>
      <c r="AH74" s="139" t="s">
        <v>10</v>
      </c>
      <c r="AI74" s="138">
        <v>182</v>
      </c>
      <c r="AJ74" s="140">
        <v>0.49863013698630138</v>
      </c>
      <c r="AK74" s="184" t="s">
        <v>436</v>
      </c>
      <c r="AL74" s="188" t="s">
        <v>650</v>
      </c>
      <c r="AM74" s="197" t="s">
        <v>34</v>
      </c>
      <c r="AN74" s="198" t="s">
        <v>475</v>
      </c>
      <c r="AO74" s="58" t="s">
        <v>1022</v>
      </c>
      <c r="AP74" s="276"/>
      <c r="AQ74" s="272"/>
    </row>
    <row r="75" spans="1:45" ht="39.950000000000003" customHeight="1" x14ac:dyDescent="0.2">
      <c r="A75" s="131" t="s">
        <v>76</v>
      </c>
      <c r="B75" s="337" t="s">
        <v>1438</v>
      </c>
      <c r="C75" s="337" t="s">
        <v>1142</v>
      </c>
      <c r="D75" s="133" t="s">
        <v>34</v>
      </c>
      <c r="E75" s="131" t="s">
        <v>34</v>
      </c>
      <c r="F75" s="161" t="s">
        <v>34</v>
      </c>
      <c r="G75" s="131" t="s">
        <v>104</v>
      </c>
      <c r="H75" s="131" t="s">
        <v>111</v>
      </c>
      <c r="I75" s="133" t="s">
        <v>112</v>
      </c>
      <c r="J75" s="133" t="s">
        <v>232</v>
      </c>
      <c r="K75" s="131" t="s">
        <v>21</v>
      </c>
      <c r="L75" s="269" t="s">
        <v>29</v>
      </c>
      <c r="M75" s="270" t="s">
        <v>191</v>
      </c>
      <c r="N75" s="269" t="s">
        <v>323</v>
      </c>
      <c r="O75" s="269" t="s">
        <v>43</v>
      </c>
      <c r="P75" s="65">
        <v>2</v>
      </c>
      <c r="Q75" s="167" t="s">
        <v>533</v>
      </c>
      <c r="R75" s="167" t="s">
        <v>548</v>
      </c>
      <c r="S75" s="135" t="s">
        <v>9</v>
      </c>
      <c r="T75" s="136">
        <v>29763.052322448922</v>
      </c>
      <c r="U75" s="62">
        <v>20000</v>
      </c>
      <c r="V75" s="136">
        <v>29763.052322448922</v>
      </c>
      <c r="W75" s="136">
        <v>110569.73937789774</v>
      </c>
      <c r="X75" s="136">
        <v>841981.27853693452</v>
      </c>
      <c r="Y75" s="62" t="s">
        <v>16</v>
      </c>
      <c r="Z75" s="366">
        <v>0</v>
      </c>
      <c r="AA75" s="147" t="s">
        <v>11</v>
      </c>
      <c r="AB75" s="185">
        <v>1.9E-2</v>
      </c>
      <c r="AC75" s="185">
        <v>1.3299999999999999E-2</v>
      </c>
      <c r="AD75" s="137">
        <v>44827</v>
      </c>
      <c r="AE75" s="137">
        <v>45877</v>
      </c>
      <c r="AF75" s="137">
        <v>45877</v>
      </c>
      <c r="AG75" s="138">
        <v>1051</v>
      </c>
      <c r="AH75" s="139" t="s">
        <v>10</v>
      </c>
      <c r="AI75" s="138">
        <v>586</v>
      </c>
      <c r="AJ75" s="140">
        <v>1.6054794520547946</v>
      </c>
      <c r="AK75" s="184" t="s">
        <v>436</v>
      </c>
      <c r="AL75" s="188" t="s">
        <v>651</v>
      </c>
      <c r="AM75" s="197" t="s">
        <v>34</v>
      </c>
      <c r="AN75" s="198" t="s">
        <v>104</v>
      </c>
      <c r="AO75" s="58" t="s">
        <v>1023</v>
      </c>
      <c r="AP75" s="112"/>
      <c r="AQ75" s="272"/>
    </row>
    <row r="76" spans="1:45" s="229" customFormat="1" ht="39.950000000000003" customHeight="1" x14ac:dyDescent="0.2">
      <c r="A76" s="131" t="s">
        <v>678</v>
      </c>
      <c r="B76" s="337" t="s">
        <v>1336</v>
      </c>
      <c r="C76" s="337" t="s">
        <v>1141</v>
      </c>
      <c r="D76" s="133" t="s">
        <v>127</v>
      </c>
      <c r="E76" s="131" t="s">
        <v>542</v>
      </c>
      <c r="F76" s="161" t="s">
        <v>308</v>
      </c>
      <c r="G76" s="131" t="s">
        <v>891</v>
      </c>
      <c r="H76" s="133" t="s">
        <v>167</v>
      </c>
      <c r="I76" s="131" t="s">
        <v>167</v>
      </c>
      <c r="J76" s="133" t="s">
        <v>677</v>
      </c>
      <c r="K76" s="192" t="s">
        <v>218</v>
      </c>
      <c r="L76" s="168" t="s">
        <v>209</v>
      </c>
      <c r="M76" s="270" t="s">
        <v>191</v>
      </c>
      <c r="N76" s="134" t="s">
        <v>59</v>
      </c>
      <c r="O76" s="269" t="s">
        <v>43</v>
      </c>
      <c r="P76" s="270">
        <v>3</v>
      </c>
      <c r="Q76" s="167" t="s">
        <v>538</v>
      </c>
      <c r="R76" s="65" t="s">
        <v>534</v>
      </c>
      <c r="S76" s="135" t="s">
        <v>1462</v>
      </c>
      <c r="T76" s="136">
        <v>39863.362371246541</v>
      </c>
      <c r="U76" s="62">
        <v>275807.14293999999</v>
      </c>
      <c r="V76" s="136">
        <v>39863.362371246541</v>
      </c>
      <c r="W76" s="136">
        <v>122087.02427095541</v>
      </c>
      <c r="X76" s="136">
        <v>2283822.9733201596</v>
      </c>
      <c r="Y76" s="62" t="s">
        <v>16</v>
      </c>
      <c r="Z76" s="366">
        <v>0</v>
      </c>
      <c r="AA76" s="147" t="s">
        <v>11</v>
      </c>
      <c r="AB76" s="185">
        <v>0.03</v>
      </c>
      <c r="AC76" s="185">
        <v>1.4999999999999999E-2</v>
      </c>
      <c r="AD76" s="137">
        <v>44476</v>
      </c>
      <c r="AE76" s="137">
        <v>46251</v>
      </c>
      <c r="AF76" s="137">
        <v>46256</v>
      </c>
      <c r="AG76" s="138">
        <v>1781</v>
      </c>
      <c r="AH76" s="139" t="s">
        <v>10</v>
      </c>
      <c r="AI76" s="138">
        <v>965</v>
      </c>
      <c r="AJ76" s="140">
        <v>2.6438356164383561</v>
      </c>
      <c r="AK76" s="184" t="s">
        <v>436</v>
      </c>
      <c r="AL76" s="188" t="s">
        <v>673</v>
      </c>
      <c r="AM76" s="323" t="s">
        <v>308</v>
      </c>
      <c r="AN76" s="324" t="s">
        <v>891</v>
      </c>
      <c r="AO76" s="272" t="s">
        <v>1024</v>
      </c>
      <c r="AP76" s="276"/>
      <c r="AQ76" s="272"/>
      <c r="AS76" s="411"/>
    </row>
    <row r="77" spans="1:45" s="229" customFormat="1" ht="39.950000000000003" customHeight="1" x14ac:dyDescent="0.2">
      <c r="A77" s="131" t="s">
        <v>693</v>
      </c>
      <c r="B77" s="337" t="s">
        <v>1438</v>
      </c>
      <c r="C77" s="337" t="s">
        <v>243</v>
      </c>
      <c r="D77" s="133" t="s">
        <v>34</v>
      </c>
      <c r="E77" s="131" t="s">
        <v>34</v>
      </c>
      <c r="F77" s="161" t="s">
        <v>34</v>
      </c>
      <c r="G77" s="131" t="s">
        <v>475</v>
      </c>
      <c r="H77" s="131" t="s">
        <v>227</v>
      </c>
      <c r="I77" s="14" t="s">
        <v>228</v>
      </c>
      <c r="J77" s="133" t="s">
        <v>70</v>
      </c>
      <c r="K77" s="192" t="s">
        <v>218</v>
      </c>
      <c r="L77" s="168" t="s">
        <v>209</v>
      </c>
      <c r="M77" s="65" t="s">
        <v>191</v>
      </c>
      <c r="N77" s="134" t="s">
        <v>323</v>
      </c>
      <c r="O77" s="13" t="s">
        <v>43</v>
      </c>
      <c r="P77" s="65">
        <v>2</v>
      </c>
      <c r="Q77" s="167" t="s">
        <v>538</v>
      </c>
      <c r="R77" s="65" t="s">
        <v>534</v>
      </c>
      <c r="S77" s="135" t="s">
        <v>8</v>
      </c>
      <c r="T77" s="136">
        <v>15000</v>
      </c>
      <c r="U77" s="62">
        <v>15000</v>
      </c>
      <c r="V77" s="136">
        <v>15000</v>
      </c>
      <c r="W77" s="136">
        <v>41500</v>
      </c>
      <c r="X77" s="136">
        <v>1397273.98</v>
      </c>
      <c r="Y77" s="62" t="s">
        <v>16</v>
      </c>
      <c r="Z77" s="366">
        <v>0</v>
      </c>
      <c r="AA77" s="147" t="s">
        <v>11</v>
      </c>
      <c r="AB77" s="185">
        <v>0.04</v>
      </c>
      <c r="AC77" s="185">
        <v>1.6500000000000001E-2</v>
      </c>
      <c r="AD77" s="137">
        <v>44515</v>
      </c>
      <c r="AE77" s="137">
        <v>46309</v>
      </c>
      <c r="AF77" s="137">
        <v>46320</v>
      </c>
      <c r="AG77" s="138">
        <v>1806</v>
      </c>
      <c r="AH77" s="139" t="s">
        <v>10</v>
      </c>
      <c r="AI77" s="138">
        <v>1029</v>
      </c>
      <c r="AJ77" s="140">
        <v>2.8191780821917809</v>
      </c>
      <c r="AK77" s="184"/>
      <c r="AL77" s="188" t="s">
        <v>689</v>
      </c>
      <c r="AM77" s="197" t="s">
        <v>34</v>
      </c>
      <c r="AN77" s="198" t="s">
        <v>475</v>
      </c>
      <c r="AO77" s="58" t="s">
        <v>1026</v>
      </c>
      <c r="AP77" s="276"/>
      <c r="AQ77" s="272"/>
    </row>
    <row r="78" spans="1:45" ht="39.950000000000003" customHeight="1" x14ac:dyDescent="0.2">
      <c r="A78" s="131" t="s">
        <v>695</v>
      </c>
      <c r="B78" s="337" t="s">
        <v>23</v>
      </c>
      <c r="C78" s="337" t="s">
        <v>1144</v>
      </c>
      <c r="D78" s="133" t="s">
        <v>149</v>
      </c>
      <c r="E78" s="131" t="s">
        <v>542</v>
      </c>
      <c r="F78" s="161" t="s">
        <v>166</v>
      </c>
      <c r="G78" s="14" t="s">
        <v>102</v>
      </c>
      <c r="H78" s="14" t="s">
        <v>102</v>
      </c>
      <c r="I78" s="130" t="s">
        <v>103</v>
      </c>
      <c r="J78" s="133" t="s">
        <v>148</v>
      </c>
      <c r="K78" s="133" t="s">
        <v>148</v>
      </c>
      <c r="L78" s="168" t="s">
        <v>101</v>
      </c>
      <c r="M78" s="65" t="s">
        <v>191</v>
      </c>
      <c r="N78" s="134" t="s">
        <v>59</v>
      </c>
      <c r="O78" s="13" t="s">
        <v>43</v>
      </c>
      <c r="P78" s="65">
        <v>2</v>
      </c>
      <c r="Q78" s="167" t="s">
        <v>538</v>
      </c>
      <c r="R78" s="65" t="s">
        <v>534</v>
      </c>
      <c r="S78" s="135" t="s">
        <v>59</v>
      </c>
      <c r="T78" s="136">
        <v>10182.075217384456</v>
      </c>
      <c r="U78" s="62">
        <v>6250</v>
      </c>
      <c r="V78" s="136">
        <v>10182.075217384456</v>
      </c>
      <c r="W78" s="136">
        <v>114039.2424347059</v>
      </c>
      <c r="X78" s="136">
        <v>735018.49773531919</v>
      </c>
      <c r="Y78" s="136" t="s">
        <v>1359</v>
      </c>
      <c r="Z78" s="365">
        <v>0.15</v>
      </c>
      <c r="AA78" s="147" t="s">
        <v>11</v>
      </c>
      <c r="AB78" s="185">
        <v>1.6500000000000001E-2</v>
      </c>
      <c r="AC78" s="185">
        <v>8.0000000000000002E-3</v>
      </c>
      <c r="AD78" s="137">
        <v>44498</v>
      </c>
      <c r="AE78" s="137">
        <v>46920</v>
      </c>
      <c r="AF78" s="137">
        <v>46920</v>
      </c>
      <c r="AG78" s="138">
        <v>2423</v>
      </c>
      <c r="AH78" s="139" t="s">
        <v>10</v>
      </c>
      <c r="AI78" s="138">
        <v>1629</v>
      </c>
      <c r="AJ78" s="140">
        <v>4.463013698630137</v>
      </c>
      <c r="AK78" s="184"/>
      <c r="AL78" s="188" t="s">
        <v>691</v>
      </c>
      <c r="AM78" s="197" t="s">
        <v>166</v>
      </c>
      <c r="AN78" s="198" t="s">
        <v>102</v>
      </c>
      <c r="AO78" s="58" t="s">
        <v>1028</v>
      </c>
      <c r="AP78" s="112"/>
      <c r="AQ78" s="272" t="s">
        <v>103</v>
      </c>
    </row>
    <row r="79" spans="1:45" s="229" customFormat="1" ht="39.950000000000003" customHeight="1" x14ac:dyDescent="0.2">
      <c r="A79" s="131" t="s">
        <v>696</v>
      </c>
      <c r="B79" s="337" t="s">
        <v>1337</v>
      </c>
      <c r="C79" s="337" t="s">
        <v>1144</v>
      </c>
      <c r="D79" s="133" t="s">
        <v>38</v>
      </c>
      <c r="E79" s="131" t="s">
        <v>540</v>
      </c>
      <c r="F79" s="161" t="s">
        <v>49</v>
      </c>
      <c r="G79" s="131" t="s">
        <v>48</v>
      </c>
      <c r="H79" s="131" t="s">
        <v>95</v>
      </c>
      <c r="I79" s="145" t="s">
        <v>447</v>
      </c>
      <c r="J79" s="133" t="s">
        <v>142</v>
      </c>
      <c r="K79" s="192" t="s">
        <v>218</v>
      </c>
      <c r="L79" s="269" t="s">
        <v>29</v>
      </c>
      <c r="M79" s="270" t="s">
        <v>191</v>
      </c>
      <c r="N79" s="134" t="s">
        <v>323</v>
      </c>
      <c r="O79" s="269" t="s">
        <v>43</v>
      </c>
      <c r="P79" s="270">
        <v>2</v>
      </c>
      <c r="Q79" s="167" t="s">
        <v>531</v>
      </c>
      <c r="R79" s="270" t="s">
        <v>534</v>
      </c>
      <c r="S79" s="135" t="s">
        <v>9</v>
      </c>
      <c r="T79" s="136">
        <v>14881.526161224461</v>
      </c>
      <c r="U79" s="136">
        <v>7150</v>
      </c>
      <c r="V79" s="136">
        <v>10640.291205275489</v>
      </c>
      <c r="W79" s="136">
        <v>23385.255389832069</v>
      </c>
      <c r="X79" s="136">
        <v>956967.20985179662</v>
      </c>
      <c r="Y79" s="62" t="s">
        <v>16</v>
      </c>
      <c r="Z79" s="366">
        <v>0</v>
      </c>
      <c r="AA79" s="147" t="s">
        <v>11</v>
      </c>
      <c r="AB79" s="185">
        <v>0.06</v>
      </c>
      <c r="AC79" s="185">
        <v>0.03</v>
      </c>
      <c r="AD79" s="137">
        <v>44519</v>
      </c>
      <c r="AE79" s="137">
        <v>46125</v>
      </c>
      <c r="AF79" s="137">
        <v>46125</v>
      </c>
      <c r="AG79" s="138">
        <v>1607</v>
      </c>
      <c r="AH79" s="139" t="s">
        <v>10</v>
      </c>
      <c r="AI79" s="138">
        <v>834</v>
      </c>
      <c r="AJ79" s="140">
        <v>2.2849315068493152</v>
      </c>
      <c r="AK79" s="184"/>
      <c r="AL79" s="188" t="s">
        <v>748</v>
      </c>
      <c r="AM79" s="323" t="s">
        <v>49</v>
      </c>
      <c r="AN79" s="324" t="s">
        <v>48</v>
      </c>
      <c r="AO79" s="272" t="s">
        <v>1029</v>
      </c>
      <c r="AP79" s="276"/>
      <c r="AQ79" s="272"/>
      <c r="AS79" s="411"/>
    </row>
    <row r="80" spans="1:45" ht="39.950000000000003" customHeight="1" x14ac:dyDescent="0.2">
      <c r="A80" s="131" t="s">
        <v>698</v>
      </c>
      <c r="B80" s="337" t="s">
        <v>23</v>
      </c>
      <c r="C80" s="337" t="s">
        <v>1143</v>
      </c>
      <c r="D80" s="133" t="s">
        <v>37</v>
      </c>
      <c r="E80" s="131" t="s">
        <v>540</v>
      </c>
      <c r="F80" s="161" t="s">
        <v>36</v>
      </c>
      <c r="G80" s="131" t="s">
        <v>543</v>
      </c>
      <c r="H80" s="131" t="s">
        <v>133</v>
      </c>
      <c r="I80" s="131" t="s">
        <v>133</v>
      </c>
      <c r="J80" s="133" t="s">
        <v>236</v>
      </c>
      <c r="K80" s="192" t="s">
        <v>21</v>
      </c>
      <c r="L80" s="13" t="s">
        <v>29</v>
      </c>
      <c r="M80" s="65" t="s">
        <v>191</v>
      </c>
      <c r="N80" s="134" t="s">
        <v>323</v>
      </c>
      <c r="O80" s="13" t="s">
        <v>43</v>
      </c>
      <c r="P80" s="65">
        <v>2</v>
      </c>
      <c r="Q80" s="167" t="s">
        <v>538</v>
      </c>
      <c r="R80" s="167" t="s">
        <v>548</v>
      </c>
      <c r="S80" s="135" t="s">
        <v>9</v>
      </c>
      <c r="T80" s="136">
        <v>22322.28924183669</v>
      </c>
      <c r="U80" s="62">
        <v>11250</v>
      </c>
      <c r="V80" s="136">
        <v>16741.716931377519</v>
      </c>
      <c r="W80" s="136">
        <v>66966.867725510077</v>
      </c>
      <c r="X80" s="136">
        <v>739139.36175723688</v>
      </c>
      <c r="Y80" s="62" t="s">
        <v>16</v>
      </c>
      <c r="Z80" s="366">
        <v>0</v>
      </c>
      <c r="AA80" s="147" t="s">
        <v>11</v>
      </c>
      <c r="AB80" s="185">
        <v>1.4E-2</v>
      </c>
      <c r="AC80" s="185">
        <v>7.7000000000000002E-3</v>
      </c>
      <c r="AD80" s="137">
        <v>44524</v>
      </c>
      <c r="AE80" s="137">
        <v>46493</v>
      </c>
      <c r="AF80" s="137">
        <v>46493</v>
      </c>
      <c r="AG80" s="138">
        <v>1970</v>
      </c>
      <c r="AH80" s="139" t="s">
        <v>10</v>
      </c>
      <c r="AI80" s="138">
        <v>1202</v>
      </c>
      <c r="AJ80" s="140">
        <v>3.2931506849315069</v>
      </c>
      <c r="AK80" s="184"/>
      <c r="AL80" s="188" t="s">
        <v>699</v>
      </c>
      <c r="AM80" s="197" t="s">
        <v>36</v>
      </c>
      <c r="AN80" s="198" t="s">
        <v>543</v>
      </c>
      <c r="AO80" s="58" t="s">
        <v>1030</v>
      </c>
      <c r="AP80" s="112"/>
      <c r="AQ80" s="272"/>
    </row>
    <row r="81" spans="1:45" s="229" customFormat="1" ht="39.950000000000003" customHeight="1" x14ac:dyDescent="0.2">
      <c r="A81" s="131" t="s">
        <v>701</v>
      </c>
      <c r="B81" s="337" t="s">
        <v>1438</v>
      </c>
      <c r="C81" s="337" t="s">
        <v>243</v>
      </c>
      <c r="D81" s="133" t="s">
        <v>38</v>
      </c>
      <c r="E81" s="131" t="s">
        <v>540</v>
      </c>
      <c r="F81" s="161" t="s">
        <v>35</v>
      </c>
      <c r="G81" s="14" t="s">
        <v>892</v>
      </c>
      <c r="H81" s="188" t="s">
        <v>259</v>
      </c>
      <c r="I81" s="188" t="s">
        <v>258</v>
      </c>
      <c r="J81" s="133" t="s">
        <v>50</v>
      </c>
      <c r="K81" s="192" t="s">
        <v>21</v>
      </c>
      <c r="L81" s="168" t="s">
        <v>139</v>
      </c>
      <c r="M81" s="194" t="s">
        <v>191</v>
      </c>
      <c r="N81" s="134" t="s">
        <v>323</v>
      </c>
      <c r="O81" s="167" t="s">
        <v>43</v>
      </c>
      <c r="P81" s="65">
        <v>2</v>
      </c>
      <c r="Q81" s="167" t="s">
        <v>538</v>
      </c>
      <c r="R81" s="65" t="s">
        <v>534</v>
      </c>
      <c r="S81" s="135" t="s">
        <v>9</v>
      </c>
      <c r="T81" s="136">
        <v>7440.7630806122306</v>
      </c>
      <c r="U81" s="62">
        <v>4755</v>
      </c>
      <c r="V81" s="136">
        <v>7076.1656896622308</v>
      </c>
      <c r="W81" s="136">
        <v>52085.341564285613</v>
      </c>
      <c r="X81" s="136">
        <v>456894.49127420975</v>
      </c>
      <c r="Y81" s="62" t="s">
        <v>16</v>
      </c>
      <c r="Z81" s="366">
        <v>0</v>
      </c>
      <c r="AA81" s="147" t="s">
        <v>11</v>
      </c>
      <c r="AB81" s="185">
        <v>3.3300000000000003E-2</v>
      </c>
      <c r="AC81" s="185">
        <v>1.9980000000000001E-2</v>
      </c>
      <c r="AD81" s="137">
        <v>44526</v>
      </c>
      <c r="AE81" s="137">
        <v>46271</v>
      </c>
      <c r="AF81" s="137">
        <v>46271</v>
      </c>
      <c r="AG81" s="138">
        <v>1746</v>
      </c>
      <c r="AH81" s="139" t="s">
        <v>10</v>
      </c>
      <c r="AI81" s="138">
        <v>980</v>
      </c>
      <c r="AJ81" s="140">
        <v>2.6849315068493151</v>
      </c>
      <c r="AK81" s="184"/>
      <c r="AL81" s="188" t="s">
        <v>700</v>
      </c>
      <c r="AM81" s="197" t="s">
        <v>35</v>
      </c>
      <c r="AN81" s="198" t="s">
        <v>892</v>
      </c>
      <c r="AO81" s="58" t="s">
        <v>1016</v>
      </c>
      <c r="AP81" s="276"/>
      <c r="AQ81" s="272"/>
    </row>
    <row r="82" spans="1:45" ht="39.950000000000003" customHeight="1" x14ac:dyDescent="0.2">
      <c r="A82" s="131" t="s">
        <v>702</v>
      </c>
      <c r="B82" s="337" t="s">
        <v>243</v>
      </c>
      <c r="C82" s="337" t="s">
        <v>243</v>
      </c>
      <c r="D82" s="133" t="s">
        <v>38</v>
      </c>
      <c r="E82" s="131" t="s">
        <v>34</v>
      </c>
      <c r="F82" s="161" t="s">
        <v>34</v>
      </c>
      <c r="G82" s="131" t="s">
        <v>891</v>
      </c>
      <c r="H82" s="133" t="s">
        <v>167</v>
      </c>
      <c r="I82" s="131" t="s">
        <v>167</v>
      </c>
      <c r="J82" s="133" t="s">
        <v>706</v>
      </c>
      <c r="K82" s="192" t="s">
        <v>220</v>
      </c>
      <c r="L82" s="168" t="s">
        <v>209</v>
      </c>
      <c r="M82" s="194" t="s">
        <v>191</v>
      </c>
      <c r="N82" s="134" t="s">
        <v>323</v>
      </c>
      <c r="O82" s="167" t="s">
        <v>43</v>
      </c>
      <c r="P82" s="65">
        <v>2</v>
      </c>
      <c r="Q82" s="167" t="s">
        <v>538</v>
      </c>
      <c r="R82" s="270" t="s">
        <v>534</v>
      </c>
      <c r="S82" s="135" t="s">
        <v>8</v>
      </c>
      <c r="T82" s="136">
        <v>30000</v>
      </c>
      <c r="U82" s="136">
        <v>30000</v>
      </c>
      <c r="V82" s="136">
        <v>30000</v>
      </c>
      <c r="W82" s="136">
        <v>205000</v>
      </c>
      <c r="X82" s="136">
        <v>1385102.9100000001</v>
      </c>
      <c r="Y82" s="62" t="s">
        <v>16</v>
      </c>
      <c r="Z82" s="366">
        <v>0</v>
      </c>
      <c r="AA82" s="147" t="s">
        <v>11</v>
      </c>
      <c r="AB82" s="185">
        <v>1.9E-2</v>
      </c>
      <c r="AC82" s="185">
        <v>1.0800000000000001E-2</v>
      </c>
      <c r="AD82" s="137">
        <v>44533</v>
      </c>
      <c r="AE82" s="137">
        <v>46390</v>
      </c>
      <c r="AF82" s="137">
        <v>46390</v>
      </c>
      <c r="AG82" s="138">
        <v>1858</v>
      </c>
      <c r="AH82" s="139" t="s">
        <v>10</v>
      </c>
      <c r="AI82" s="138">
        <v>1099</v>
      </c>
      <c r="AJ82" s="140">
        <v>3.010958904109589</v>
      </c>
      <c r="AK82" s="184" t="s">
        <v>436</v>
      </c>
      <c r="AL82" s="188" t="s">
        <v>703</v>
      </c>
      <c r="AM82" s="323" t="s">
        <v>34</v>
      </c>
      <c r="AN82" s="324" t="s">
        <v>891</v>
      </c>
      <c r="AO82" s="58" t="s">
        <v>1221</v>
      </c>
      <c r="AP82" s="112"/>
      <c r="AQ82" s="272"/>
    </row>
    <row r="83" spans="1:45" s="229" customFormat="1" ht="39.950000000000003" customHeight="1" x14ac:dyDescent="0.2">
      <c r="A83" s="131" t="s">
        <v>713</v>
      </c>
      <c r="B83" s="337" t="s">
        <v>1438</v>
      </c>
      <c r="C83" s="337" t="s">
        <v>243</v>
      </c>
      <c r="D83" s="133" t="s">
        <v>38</v>
      </c>
      <c r="E83" s="131" t="s">
        <v>34</v>
      </c>
      <c r="F83" s="161" t="s">
        <v>295</v>
      </c>
      <c r="G83" s="131" t="s">
        <v>544</v>
      </c>
      <c r="H83" s="131" t="s">
        <v>201</v>
      </c>
      <c r="I83" s="145" t="s">
        <v>200</v>
      </c>
      <c r="J83" s="133" t="s">
        <v>1088</v>
      </c>
      <c r="K83" s="192" t="s">
        <v>687</v>
      </c>
      <c r="L83" s="168" t="s">
        <v>209</v>
      </c>
      <c r="M83" s="194" t="s">
        <v>191</v>
      </c>
      <c r="N83" s="134" t="s">
        <v>323</v>
      </c>
      <c r="O83" s="167" t="s">
        <v>43</v>
      </c>
      <c r="P83" s="270">
        <v>2</v>
      </c>
      <c r="Q83" s="167" t="s">
        <v>538</v>
      </c>
      <c r="R83" s="270" t="s">
        <v>534</v>
      </c>
      <c r="S83" s="135" t="s">
        <v>297</v>
      </c>
      <c r="T83" s="136">
        <v>12083.1486</v>
      </c>
      <c r="U83" s="62">
        <v>12083.1486</v>
      </c>
      <c r="V83" s="136">
        <v>12083.1486</v>
      </c>
      <c r="W83" s="136">
        <v>24166.296999999999</v>
      </c>
      <c r="X83" s="136">
        <v>1628181.34</v>
      </c>
      <c r="Y83" s="136" t="s">
        <v>16</v>
      </c>
      <c r="Z83" s="365">
        <v>0</v>
      </c>
      <c r="AA83" s="147" t="s">
        <v>11</v>
      </c>
      <c r="AB83" s="185">
        <v>4.2500000000000003E-2</v>
      </c>
      <c r="AC83" s="185">
        <v>2.5500000000000002E-2</v>
      </c>
      <c r="AD83" s="137">
        <v>44540</v>
      </c>
      <c r="AE83" s="137">
        <v>46691</v>
      </c>
      <c r="AF83" s="137">
        <v>46691</v>
      </c>
      <c r="AG83" s="138">
        <v>2152</v>
      </c>
      <c r="AH83" s="139" t="s">
        <v>10</v>
      </c>
      <c r="AI83" s="138">
        <v>1400</v>
      </c>
      <c r="AJ83" s="140">
        <v>3.8356164383561642</v>
      </c>
      <c r="AK83" s="184"/>
      <c r="AL83" s="188" t="s">
        <v>707</v>
      </c>
      <c r="AM83" s="323" t="s">
        <v>295</v>
      </c>
      <c r="AN83" s="324" t="s">
        <v>544</v>
      </c>
      <c r="AO83" s="272" t="s">
        <v>1031</v>
      </c>
      <c r="AP83" s="276"/>
      <c r="AQ83" s="272"/>
    </row>
    <row r="84" spans="1:45" ht="39.950000000000003" customHeight="1" x14ac:dyDescent="0.2">
      <c r="A84" s="131" t="s">
        <v>718</v>
      </c>
      <c r="B84" s="337" t="s">
        <v>23</v>
      </c>
      <c r="C84" s="337" t="s">
        <v>1144</v>
      </c>
      <c r="D84" s="133" t="s">
        <v>88</v>
      </c>
      <c r="E84" s="131" t="s">
        <v>499</v>
      </c>
      <c r="F84" s="161" t="s">
        <v>162</v>
      </c>
      <c r="G84" s="131" t="s">
        <v>92</v>
      </c>
      <c r="H84" s="131" t="s">
        <v>134</v>
      </c>
      <c r="I84" s="130" t="s">
        <v>134</v>
      </c>
      <c r="J84" s="133" t="s">
        <v>61</v>
      </c>
      <c r="K84" s="192" t="s">
        <v>220</v>
      </c>
      <c r="L84" s="13" t="s">
        <v>68</v>
      </c>
      <c r="M84" s="194" t="s">
        <v>191</v>
      </c>
      <c r="N84" s="134" t="s">
        <v>59</v>
      </c>
      <c r="O84" s="167" t="s">
        <v>43</v>
      </c>
      <c r="P84" s="65">
        <v>3</v>
      </c>
      <c r="Q84" s="167" t="s">
        <v>533</v>
      </c>
      <c r="R84" s="167" t="s">
        <v>548</v>
      </c>
      <c r="S84" s="135" t="s">
        <v>9</v>
      </c>
      <c r="T84" s="136">
        <v>11161.144620918345</v>
      </c>
      <c r="U84" s="62">
        <v>6150</v>
      </c>
      <c r="V84" s="136">
        <v>9152.1385891530426</v>
      </c>
      <c r="W84" s="136">
        <v>223222.89241836692</v>
      </c>
      <c r="X84" s="136">
        <v>343273.68187663308</v>
      </c>
      <c r="Y84" s="62" t="s">
        <v>16</v>
      </c>
      <c r="Z84" s="366">
        <v>0</v>
      </c>
      <c r="AA84" s="147" t="s">
        <v>11</v>
      </c>
      <c r="AB84" s="185">
        <v>1.375E-2</v>
      </c>
      <c r="AC84" s="185">
        <v>8.5000000000000006E-3</v>
      </c>
      <c r="AD84" s="137">
        <v>44550</v>
      </c>
      <c r="AE84" s="137">
        <v>46200</v>
      </c>
      <c r="AF84" s="137">
        <v>46200</v>
      </c>
      <c r="AG84" s="138">
        <v>1651</v>
      </c>
      <c r="AH84" s="139" t="s">
        <v>10</v>
      </c>
      <c r="AI84" s="138">
        <v>909</v>
      </c>
      <c r="AJ84" s="140">
        <v>2.4904109589041097</v>
      </c>
      <c r="AK84" s="184"/>
      <c r="AL84" s="188" t="s">
        <v>1367</v>
      </c>
      <c r="AM84" s="197" t="s">
        <v>162</v>
      </c>
      <c r="AN84" s="198" t="s">
        <v>92</v>
      </c>
      <c r="AO84" s="58" t="s">
        <v>1032</v>
      </c>
      <c r="AP84" s="112"/>
      <c r="AQ84" s="272"/>
    </row>
    <row r="85" spans="1:45" ht="39.950000000000003" customHeight="1" x14ac:dyDescent="0.2">
      <c r="A85" s="131" t="s">
        <v>720</v>
      </c>
      <c r="B85" s="337" t="s">
        <v>1336</v>
      </c>
      <c r="C85" s="337" t="s">
        <v>1144</v>
      </c>
      <c r="D85" s="133" t="s">
        <v>127</v>
      </c>
      <c r="E85" s="131" t="s">
        <v>499</v>
      </c>
      <c r="F85" s="161" t="s">
        <v>162</v>
      </c>
      <c r="G85" s="131" t="s">
        <v>233</v>
      </c>
      <c r="H85" s="131" t="s">
        <v>443</v>
      </c>
      <c r="I85" s="131" t="s">
        <v>234</v>
      </c>
      <c r="J85" s="133" t="s">
        <v>677</v>
      </c>
      <c r="K85" s="192" t="s">
        <v>218</v>
      </c>
      <c r="L85" s="168" t="s">
        <v>209</v>
      </c>
      <c r="M85" s="194" t="s">
        <v>191</v>
      </c>
      <c r="N85" s="134" t="s">
        <v>59</v>
      </c>
      <c r="O85" s="167" t="s">
        <v>43</v>
      </c>
      <c r="P85" s="65">
        <v>2</v>
      </c>
      <c r="Q85" s="167" t="s">
        <v>538</v>
      </c>
      <c r="R85" s="65" t="s">
        <v>534</v>
      </c>
      <c r="S85" s="135" t="s">
        <v>59</v>
      </c>
      <c r="T85" s="136">
        <v>32582.640695630256</v>
      </c>
      <c r="U85" s="62">
        <v>20000</v>
      </c>
      <c r="V85" s="136">
        <v>32582.640695630256</v>
      </c>
      <c r="W85" s="136">
        <v>58210.717955232089</v>
      </c>
      <c r="X85" s="136">
        <v>1494174.3786111646</v>
      </c>
      <c r="Y85" s="62" t="s">
        <v>16</v>
      </c>
      <c r="Z85" s="366">
        <v>0</v>
      </c>
      <c r="AA85" s="147" t="s">
        <v>11</v>
      </c>
      <c r="AB85" s="185">
        <v>0.03</v>
      </c>
      <c r="AC85" s="185">
        <v>1.4999999999999999E-2</v>
      </c>
      <c r="AD85" s="137">
        <v>44547</v>
      </c>
      <c r="AE85" s="137">
        <v>46280</v>
      </c>
      <c r="AF85" s="137">
        <v>46285</v>
      </c>
      <c r="AG85" s="138">
        <v>1739</v>
      </c>
      <c r="AH85" s="139" t="s">
        <v>10</v>
      </c>
      <c r="AI85" s="138">
        <v>994</v>
      </c>
      <c r="AJ85" s="140">
        <v>2.7232876712328768</v>
      </c>
      <c r="AK85" s="184"/>
      <c r="AL85" s="188" t="s">
        <v>1368</v>
      </c>
      <c r="AM85" s="197" t="s">
        <v>162</v>
      </c>
      <c r="AN85" s="198" t="s">
        <v>233</v>
      </c>
      <c r="AO85" s="58" t="s">
        <v>1033</v>
      </c>
      <c r="AP85" s="112"/>
      <c r="AQ85" s="272"/>
    </row>
    <row r="86" spans="1:45" ht="39.950000000000003" customHeight="1" x14ac:dyDescent="0.2">
      <c r="A86" s="131" t="s">
        <v>721</v>
      </c>
      <c r="B86" s="337" t="s">
        <v>1248</v>
      </c>
      <c r="C86" s="337" t="s">
        <v>1144</v>
      </c>
      <c r="D86" s="133" t="s">
        <v>38</v>
      </c>
      <c r="E86" s="131" t="s">
        <v>541</v>
      </c>
      <c r="F86" s="161" t="s">
        <v>37</v>
      </c>
      <c r="G86" s="131" t="s">
        <v>233</v>
      </c>
      <c r="H86" s="131" t="s">
        <v>443</v>
      </c>
      <c r="I86" s="131" t="s">
        <v>234</v>
      </c>
      <c r="J86" s="133" t="s">
        <v>142</v>
      </c>
      <c r="K86" s="192" t="s">
        <v>218</v>
      </c>
      <c r="L86" s="168" t="s">
        <v>209</v>
      </c>
      <c r="M86" s="194" t="s">
        <v>191</v>
      </c>
      <c r="N86" s="134" t="s">
        <v>323</v>
      </c>
      <c r="O86" s="167" t="s">
        <v>43</v>
      </c>
      <c r="P86" s="65">
        <v>3</v>
      </c>
      <c r="Q86" s="167" t="s">
        <v>538</v>
      </c>
      <c r="R86" s="65" t="s">
        <v>534</v>
      </c>
      <c r="S86" s="135" t="s">
        <v>54</v>
      </c>
      <c r="T86" s="136">
        <v>22863.00275362005</v>
      </c>
      <c r="U86" s="62">
        <v>120000</v>
      </c>
      <c r="V86" s="136">
        <v>22863.00275362005</v>
      </c>
      <c r="W86" s="136">
        <v>32661.432423517919</v>
      </c>
      <c r="X86" s="136">
        <v>1224631.343606849</v>
      </c>
      <c r="Y86" s="62" t="s">
        <v>16</v>
      </c>
      <c r="Z86" s="366">
        <v>0</v>
      </c>
      <c r="AA86" s="147" t="s">
        <v>11</v>
      </c>
      <c r="AB86" s="185">
        <v>2.1999999999999999E-2</v>
      </c>
      <c r="AC86" s="185">
        <v>1.0999999999999999E-2</v>
      </c>
      <c r="AD86" s="137">
        <v>44550</v>
      </c>
      <c r="AE86" s="137">
        <v>46316</v>
      </c>
      <c r="AF86" s="137">
        <v>46316</v>
      </c>
      <c r="AG86" s="138">
        <v>1767</v>
      </c>
      <c r="AH86" s="139" t="s">
        <v>10</v>
      </c>
      <c r="AI86" s="138">
        <v>1025</v>
      </c>
      <c r="AJ86" s="140">
        <v>2.8082191780821919</v>
      </c>
      <c r="AK86" s="184" t="s">
        <v>436</v>
      </c>
      <c r="AL86" s="188" t="s">
        <v>722</v>
      </c>
      <c r="AM86" s="197" t="s">
        <v>37</v>
      </c>
      <c r="AN86" s="198" t="s">
        <v>233</v>
      </c>
      <c r="AO86" s="58" t="s">
        <v>938</v>
      </c>
      <c r="AP86" s="112"/>
      <c r="AQ86" s="272"/>
    </row>
    <row r="87" spans="1:45" ht="39.950000000000003" customHeight="1" x14ac:dyDescent="0.2">
      <c r="A87" s="131" t="s">
        <v>723</v>
      </c>
      <c r="B87" s="337" t="s">
        <v>23</v>
      </c>
      <c r="C87" s="337" t="s">
        <v>1143</v>
      </c>
      <c r="D87" s="133" t="s">
        <v>127</v>
      </c>
      <c r="E87" s="131" t="s">
        <v>542</v>
      </c>
      <c r="F87" s="161" t="s">
        <v>91</v>
      </c>
      <c r="G87" s="131" t="s">
        <v>233</v>
      </c>
      <c r="H87" s="131" t="s">
        <v>443</v>
      </c>
      <c r="I87" s="131" t="s">
        <v>234</v>
      </c>
      <c r="J87" s="133" t="s">
        <v>165</v>
      </c>
      <c r="K87" s="192" t="s">
        <v>220</v>
      </c>
      <c r="L87" s="223" t="s">
        <v>140</v>
      </c>
      <c r="M87" s="194" t="s">
        <v>191</v>
      </c>
      <c r="N87" s="134" t="s">
        <v>59</v>
      </c>
      <c r="O87" s="167" t="s">
        <v>43</v>
      </c>
      <c r="P87" s="65">
        <v>2</v>
      </c>
      <c r="Q87" s="167" t="s">
        <v>538</v>
      </c>
      <c r="R87" s="65" t="s">
        <v>534</v>
      </c>
      <c r="S87" s="135" t="s">
        <v>59</v>
      </c>
      <c r="T87" s="136">
        <v>32582.640695630256</v>
      </c>
      <c r="U87" s="62">
        <v>20000</v>
      </c>
      <c r="V87" s="136">
        <v>32582.640695630256</v>
      </c>
      <c r="W87" s="136">
        <v>555045.28425006138</v>
      </c>
      <c r="X87" s="136">
        <v>2773511.2902737935</v>
      </c>
      <c r="Y87" s="62" t="s">
        <v>16</v>
      </c>
      <c r="Z87" s="366">
        <v>0</v>
      </c>
      <c r="AA87" s="147" t="s">
        <v>11</v>
      </c>
      <c r="AB87" s="185">
        <v>2.5000000000000001E-2</v>
      </c>
      <c r="AC87" s="185">
        <v>1.4999999999999999E-2</v>
      </c>
      <c r="AD87" s="137">
        <v>44545</v>
      </c>
      <c r="AE87" s="137">
        <v>46951</v>
      </c>
      <c r="AF87" s="137">
        <v>46951</v>
      </c>
      <c r="AG87" s="138">
        <v>2407</v>
      </c>
      <c r="AH87" s="139" t="s">
        <v>10</v>
      </c>
      <c r="AI87" s="138">
        <v>1660</v>
      </c>
      <c r="AJ87" s="140">
        <v>4.5479452054794525</v>
      </c>
      <c r="AK87" s="56" t="s">
        <v>436</v>
      </c>
      <c r="AL87" s="188" t="s">
        <v>710</v>
      </c>
      <c r="AM87" s="197" t="s">
        <v>91</v>
      </c>
      <c r="AN87" s="198" t="s">
        <v>233</v>
      </c>
      <c r="AO87" s="58" t="s">
        <v>1283</v>
      </c>
      <c r="AP87" s="112"/>
      <c r="AQ87" s="272"/>
    </row>
    <row r="88" spans="1:45" s="229" customFormat="1" ht="39.950000000000003" customHeight="1" x14ac:dyDescent="0.2">
      <c r="A88" s="131" t="s">
        <v>725</v>
      </c>
      <c r="B88" s="337" t="s">
        <v>23</v>
      </c>
      <c r="C88" s="337" t="s">
        <v>243</v>
      </c>
      <c r="D88" s="66" t="s">
        <v>37</v>
      </c>
      <c r="E88" s="14" t="s">
        <v>542</v>
      </c>
      <c r="F88" s="77" t="s">
        <v>87</v>
      </c>
      <c r="G88" s="14" t="s">
        <v>102</v>
      </c>
      <c r="H88" s="14" t="s">
        <v>102</v>
      </c>
      <c r="I88" s="14" t="s">
        <v>474</v>
      </c>
      <c r="J88" s="14" t="s">
        <v>79</v>
      </c>
      <c r="K88" s="14" t="s">
        <v>222</v>
      </c>
      <c r="L88" s="168" t="s">
        <v>209</v>
      </c>
      <c r="M88" s="65" t="s">
        <v>191</v>
      </c>
      <c r="N88" s="13" t="s">
        <v>323</v>
      </c>
      <c r="O88" s="13" t="s">
        <v>43</v>
      </c>
      <c r="P88" s="65">
        <v>2</v>
      </c>
      <c r="Q88" s="13" t="s">
        <v>531</v>
      </c>
      <c r="R88" s="13" t="s">
        <v>548</v>
      </c>
      <c r="S88" s="64" t="s">
        <v>9</v>
      </c>
      <c r="T88" s="62">
        <v>29763.052322448922</v>
      </c>
      <c r="U88" s="62">
        <v>20000</v>
      </c>
      <c r="V88" s="62">
        <v>29763.052322448922</v>
      </c>
      <c r="W88" s="62">
        <v>223222.89241836692</v>
      </c>
      <c r="X88" s="62">
        <v>1738294.537517064</v>
      </c>
      <c r="Y88" s="62" t="s">
        <v>1360</v>
      </c>
      <c r="Z88" s="366">
        <v>0.125</v>
      </c>
      <c r="AA88" s="61" t="s">
        <v>11</v>
      </c>
      <c r="AB88" s="181">
        <v>2.0799999999999999E-2</v>
      </c>
      <c r="AC88" s="181">
        <v>1.2895999999999999E-2</v>
      </c>
      <c r="AD88" s="60">
        <v>44560</v>
      </c>
      <c r="AE88" s="60">
        <v>46350</v>
      </c>
      <c r="AF88" s="60">
        <v>46350</v>
      </c>
      <c r="AG88" s="58">
        <v>1791</v>
      </c>
      <c r="AH88" s="59" t="s">
        <v>10</v>
      </c>
      <c r="AI88" s="58">
        <v>1059</v>
      </c>
      <c r="AJ88" s="57">
        <v>2.9013698630136986</v>
      </c>
      <c r="AK88" s="56" t="s">
        <v>436</v>
      </c>
      <c r="AL88" s="14" t="s">
        <v>1396</v>
      </c>
      <c r="AM88" s="197" t="s">
        <v>87</v>
      </c>
      <c r="AN88" s="198" t="s">
        <v>102</v>
      </c>
      <c r="AO88" s="58" t="s">
        <v>1034</v>
      </c>
      <c r="AP88" s="276"/>
      <c r="AQ88" s="272" t="s">
        <v>474</v>
      </c>
    </row>
    <row r="89" spans="1:45" ht="39.950000000000003" customHeight="1" x14ac:dyDescent="0.2">
      <c r="A89" s="131" t="s">
        <v>726</v>
      </c>
      <c r="B89" s="337" t="s">
        <v>307</v>
      </c>
      <c r="C89" s="337" t="s">
        <v>1142</v>
      </c>
      <c r="D89" s="133" t="s">
        <v>38</v>
      </c>
      <c r="E89" s="131" t="s">
        <v>540</v>
      </c>
      <c r="F89" s="161" t="s">
        <v>35</v>
      </c>
      <c r="G89" s="131" t="s">
        <v>892</v>
      </c>
      <c r="H89" s="188" t="s">
        <v>259</v>
      </c>
      <c r="I89" s="188" t="s">
        <v>459</v>
      </c>
      <c r="J89" s="133" t="s">
        <v>142</v>
      </c>
      <c r="K89" s="192" t="s">
        <v>218</v>
      </c>
      <c r="L89" s="168" t="s">
        <v>209</v>
      </c>
      <c r="M89" s="194" t="s">
        <v>191</v>
      </c>
      <c r="N89" s="134" t="s">
        <v>323</v>
      </c>
      <c r="O89" s="167" t="s">
        <v>43</v>
      </c>
      <c r="P89" s="65">
        <v>2</v>
      </c>
      <c r="Q89" s="167" t="s">
        <v>538</v>
      </c>
      <c r="R89" s="270" t="s">
        <v>534</v>
      </c>
      <c r="S89" s="135" t="s">
        <v>9</v>
      </c>
      <c r="T89" s="136">
        <v>22322.28924183669</v>
      </c>
      <c r="U89" s="62">
        <v>15000</v>
      </c>
      <c r="V89" s="62">
        <v>22322.28924183669</v>
      </c>
      <c r="W89" s="62">
        <v>29763.052322448922</v>
      </c>
      <c r="X89" s="62">
        <v>2361898.6857067663</v>
      </c>
      <c r="Y89" s="62" t="s">
        <v>16</v>
      </c>
      <c r="Z89" s="366">
        <v>0</v>
      </c>
      <c r="AA89" s="61" t="s">
        <v>11</v>
      </c>
      <c r="AB89" s="181">
        <v>0.04</v>
      </c>
      <c r="AC89" s="181">
        <v>0.02</v>
      </c>
      <c r="AD89" s="271">
        <v>44559</v>
      </c>
      <c r="AE89" s="271">
        <v>46705</v>
      </c>
      <c r="AF89" s="271">
        <v>46705</v>
      </c>
      <c r="AG89" s="138">
        <v>2147</v>
      </c>
      <c r="AH89" s="139" t="s">
        <v>10</v>
      </c>
      <c r="AI89" s="138">
        <v>1414</v>
      </c>
      <c r="AJ89" s="140">
        <v>3.8739726027397259</v>
      </c>
      <c r="AK89" s="184"/>
      <c r="AL89" s="188" t="s">
        <v>711</v>
      </c>
      <c r="AM89" s="323" t="s">
        <v>35</v>
      </c>
      <c r="AN89" s="324" t="s">
        <v>892</v>
      </c>
      <c r="AO89" s="58" t="s">
        <v>1035</v>
      </c>
      <c r="AP89" s="112"/>
      <c r="AQ89" s="272"/>
    </row>
    <row r="90" spans="1:45" ht="39.950000000000003" customHeight="1" x14ac:dyDescent="0.2">
      <c r="A90" s="269" t="s">
        <v>729</v>
      </c>
      <c r="B90" s="337" t="s">
        <v>23</v>
      </c>
      <c r="C90" s="337" t="s">
        <v>1141</v>
      </c>
      <c r="D90" s="66" t="s">
        <v>37</v>
      </c>
      <c r="E90" s="14" t="s">
        <v>540</v>
      </c>
      <c r="F90" s="161" t="s">
        <v>36</v>
      </c>
      <c r="G90" s="66" t="s">
        <v>106</v>
      </c>
      <c r="H90" s="66" t="s">
        <v>106</v>
      </c>
      <c r="I90" s="66" t="s">
        <v>107</v>
      </c>
      <c r="J90" s="14" t="s">
        <v>72</v>
      </c>
      <c r="K90" s="66" t="s">
        <v>219</v>
      </c>
      <c r="L90" s="13" t="s">
        <v>29</v>
      </c>
      <c r="M90" s="65" t="s">
        <v>191</v>
      </c>
      <c r="N90" s="13" t="s">
        <v>323</v>
      </c>
      <c r="O90" s="13" t="s">
        <v>43</v>
      </c>
      <c r="P90" s="65">
        <v>2</v>
      </c>
      <c r="Q90" s="65" t="s">
        <v>875</v>
      </c>
      <c r="R90" s="13" t="s">
        <v>548</v>
      </c>
      <c r="S90" s="64" t="s">
        <v>9</v>
      </c>
      <c r="T90" s="62">
        <v>22322.28924183669</v>
      </c>
      <c r="U90" s="62">
        <v>12750</v>
      </c>
      <c r="V90" s="150">
        <v>18973.945855561189</v>
      </c>
      <c r="W90" s="62">
        <v>178578.31393469352</v>
      </c>
      <c r="X90" s="76">
        <v>1113866.7266173908</v>
      </c>
      <c r="Y90" s="62" t="s">
        <v>1358</v>
      </c>
      <c r="Z90" s="367">
        <v>0.15</v>
      </c>
      <c r="AA90" s="61" t="s">
        <v>551</v>
      </c>
      <c r="AB90" s="181">
        <v>2.3E-2</v>
      </c>
      <c r="AC90" s="181">
        <v>1.7250000000000001E-2</v>
      </c>
      <c r="AD90" s="60">
        <v>44554</v>
      </c>
      <c r="AE90" s="60">
        <v>45799</v>
      </c>
      <c r="AF90" s="60">
        <v>45799</v>
      </c>
      <c r="AG90" s="58">
        <v>1246</v>
      </c>
      <c r="AH90" s="59" t="s">
        <v>10</v>
      </c>
      <c r="AI90" s="58">
        <v>508</v>
      </c>
      <c r="AJ90" s="57">
        <v>1.3917808219178083</v>
      </c>
      <c r="AK90" s="56"/>
      <c r="AL90" s="13" t="s">
        <v>1369</v>
      </c>
      <c r="AM90" s="197" t="s">
        <v>36</v>
      </c>
      <c r="AN90" s="198" t="s">
        <v>106</v>
      </c>
      <c r="AO90" s="58" t="s">
        <v>939</v>
      </c>
      <c r="AP90" s="112"/>
      <c r="AQ90" s="272" t="s">
        <v>476</v>
      </c>
    </row>
    <row r="91" spans="1:45" s="229" customFormat="1" ht="39.950000000000003" customHeight="1" x14ac:dyDescent="0.2">
      <c r="A91" s="131" t="s">
        <v>732</v>
      </c>
      <c r="B91" s="337" t="s">
        <v>1336</v>
      </c>
      <c r="C91" s="337" t="s">
        <v>1142</v>
      </c>
      <c r="D91" s="133" t="s">
        <v>89</v>
      </c>
      <c r="E91" s="131" t="s">
        <v>542</v>
      </c>
      <c r="F91" s="161" t="s">
        <v>211</v>
      </c>
      <c r="G91" s="131" t="s">
        <v>233</v>
      </c>
      <c r="H91" s="131" t="s">
        <v>443</v>
      </c>
      <c r="I91" s="131" t="s">
        <v>234</v>
      </c>
      <c r="J91" s="133" t="s">
        <v>60</v>
      </c>
      <c r="K91" s="192" t="s">
        <v>220</v>
      </c>
      <c r="L91" s="168" t="s">
        <v>209</v>
      </c>
      <c r="M91" s="194" t="s">
        <v>191</v>
      </c>
      <c r="N91" s="134" t="s">
        <v>59</v>
      </c>
      <c r="O91" s="167" t="s">
        <v>43</v>
      </c>
      <c r="P91" s="270">
        <v>3</v>
      </c>
      <c r="Q91" s="167" t="s">
        <v>538</v>
      </c>
      <c r="R91" s="270" t="s">
        <v>534</v>
      </c>
      <c r="S91" s="135" t="s">
        <v>59</v>
      </c>
      <c r="T91" s="136">
        <v>16291.320347815128</v>
      </c>
      <c r="U91" s="62">
        <v>10000</v>
      </c>
      <c r="V91" s="136">
        <v>16291.320347815128</v>
      </c>
      <c r="W91" s="136">
        <v>65165.281391260512</v>
      </c>
      <c r="X91" s="136">
        <v>416661.36791472358</v>
      </c>
      <c r="Y91" s="62" t="s">
        <v>16</v>
      </c>
      <c r="Z91" s="366">
        <v>0</v>
      </c>
      <c r="AA91" s="147" t="s">
        <v>11</v>
      </c>
      <c r="AB91" s="185">
        <v>3.2500000000000001E-2</v>
      </c>
      <c r="AC91" s="185">
        <v>2.1125000000000001E-2</v>
      </c>
      <c r="AD91" s="137">
        <v>44487</v>
      </c>
      <c r="AE91" s="137">
        <v>46929</v>
      </c>
      <c r="AF91" s="137">
        <v>46929</v>
      </c>
      <c r="AG91" s="138">
        <v>2443</v>
      </c>
      <c r="AH91" s="139" t="s">
        <v>10</v>
      </c>
      <c r="AI91" s="138">
        <v>1638</v>
      </c>
      <c r="AJ91" s="140">
        <v>4.4876712328767123</v>
      </c>
      <c r="AK91" s="184"/>
      <c r="AL91" s="188" t="s">
        <v>712</v>
      </c>
      <c r="AM91" s="323" t="s">
        <v>211</v>
      </c>
      <c r="AN91" s="324" t="s">
        <v>233</v>
      </c>
      <c r="AO91" s="272" t="s">
        <v>940</v>
      </c>
      <c r="AP91" s="276"/>
      <c r="AQ91" s="272"/>
      <c r="AS91" s="411"/>
    </row>
    <row r="92" spans="1:45" ht="39.950000000000003" customHeight="1" x14ac:dyDescent="0.2">
      <c r="A92" s="131" t="s">
        <v>744</v>
      </c>
      <c r="B92" s="337" t="s">
        <v>1437</v>
      </c>
      <c r="C92" s="337" t="s">
        <v>1141</v>
      </c>
      <c r="D92" s="133" t="s">
        <v>119</v>
      </c>
      <c r="E92" s="131" t="s">
        <v>542</v>
      </c>
      <c r="F92" s="161" t="s">
        <v>119</v>
      </c>
      <c r="G92" s="14" t="s">
        <v>102</v>
      </c>
      <c r="H92" s="14" t="s">
        <v>102</v>
      </c>
      <c r="I92" s="66" t="s">
        <v>122</v>
      </c>
      <c r="J92" s="133" t="s">
        <v>745</v>
      </c>
      <c r="K92" s="192" t="s">
        <v>220</v>
      </c>
      <c r="L92" s="168" t="s">
        <v>101</v>
      </c>
      <c r="M92" s="194" t="s">
        <v>191</v>
      </c>
      <c r="N92" s="134" t="s">
        <v>59</v>
      </c>
      <c r="O92" s="167" t="s">
        <v>43</v>
      </c>
      <c r="P92" s="65">
        <v>2</v>
      </c>
      <c r="Q92" s="167" t="s">
        <v>538</v>
      </c>
      <c r="R92" s="65" t="s">
        <v>534</v>
      </c>
      <c r="S92" s="135" t="s">
        <v>59</v>
      </c>
      <c r="T92" s="136">
        <v>13049.771172928962</v>
      </c>
      <c r="U92" s="62">
        <v>8010.26</v>
      </c>
      <c r="V92" s="136">
        <v>13049.771172928962</v>
      </c>
      <c r="W92" s="136">
        <v>48873.961043445386</v>
      </c>
      <c r="X92" s="136">
        <v>665283.4684038558</v>
      </c>
      <c r="Y92" s="62" t="s">
        <v>16</v>
      </c>
      <c r="Z92" s="366">
        <v>0</v>
      </c>
      <c r="AA92" s="147" t="s">
        <v>11</v>
      </c>
      <c r="AB92" s="185">
        <v>1.7999999999999999E-2</v>
      </c>
      <c r="AC92" s="185">
        <v>9.4000000000000004E-3</v>
      </c>
      <c r="AD92" s="137">
        <v>44591</v>
      </c>
      <c r="AE92" s="137">
        <v>46416</v>
      </c>
      <c r="AF92" s="137">
        <v>46416</v>
      </c>
      <c r="AG92" s="138">
        <v>1826</v>
      </c>
      <c r="AH92" s="139" t="s">
        <v>10</v>
      </c>
      <c r="AI92" s="138">
        <v>1125</v>
      </c>
      <c r="AJ92" s="140">
        <v>3.0821917808219177</v>
      </c>
      <c r="AK92" s="184"/>
      <c r="AL92" s="188" t="s">
        <v>742</v>
      </c>
      <c r="AM92" s="197" t="s">
        <v>119</v>
      </c>
      <c r="AN92" s="198" t="s">
        <v>102</v>
      </c>
      <c r="AO92" s="58" t="s">
        <v>1036</v>
      </c>
      <c r="AP92" s="112"/>
      <c r="AQ92" s="272" t="s">
        <v>122</v>
      </c>
    </row>
    <row r="93" spans="1:45" s="229" customFormat="1" ht="39.950000000000003" customHeight="1" x14ac:dyDescent="0.2">
      <c r="A93" s="131" t="s">
        <v>751</v>
      </c>
      <c r="B93" s="337" t="s">
        <v>1437</v>
      </c>
      <c r="C93" s="337" t="s">
        <v>243</v>
      </c>
      <c r="D93" s="133" t="s">
        <v>746</v>
      </c>
      <c r="E93" s="131" t="s">
        <v>542</v>
      </c>
      <c r="F93" s="145" t="s">
        <v>746</v>
      </c>
      <c r="G93" s="133" t="s">
        <v>106</v>
      </c>
      <c r="H93" s="133" t="s">
        <v>106</v>
      </c>
      <c r="I93" s="131" t="s">
        <v>263</v>
      </c>
      <c r="J93" s="133" t="s">
        <v>747</v>
      </c>
      <c r="K93" s="192" t="s">
        <v>221</v>
      </c>
      <c r="L93" s="168" t="s">
        <v>101</v>
      </c>
      <c r="M93" s="194" t="s">
        <v>191</v>
      </c>
      <c r="N93" s="134" t="s">
        <v>59</v>
      </c>
      <c r="O93" s="167" t="s">
        <v>43</v>
      </c>
      <c r="P93" s="270">
        <v>2</v>
      </c>
      <c r="Q93" s="167" t="s">
        <v>538</v>
      </c>
      <c r="R93" s="270" t="s">
        <v>534</v>
      </c>
      <c r="S93" s="135" t="s">
        <v>59</v>
      </c>
      <c r="T93" s="136">
        <v>17183.599221529032</v>
      </c>
      <c r="U93" s="62">
        <v>10547.701999999999</v>
      </c>
      <c r="V93" s="230">
        <v>17183.599221529032</v>
      </c>
      <c r="W93" s="136">
        <v>144992.75109555465</v>
      </c>
      <c r="X93" s="136">
        <v>1130285.7127776037</v>
      </c>
      <c r="Y93" s="136" t="s">
        <v>1342</v>
      </c>
      <c r="Z93" s="365">
        <v>0.15</v>
      </c>
      <c r="AA93" s="147" t="s">
        <v>11</v>
      </c>
      <c r="AB93" s="185">
        <v>1.8499999999999999E-2</v>
      </c>
      <c r="AC93" s="185">
        <v>9.4000000000000004E-3</v>
      </c>
      <c r="AD93" s="137">
        <v>45216</v>
      </c>
      <c r="AE93" s="137">
        <v>47703</v>
      </c>
      <c r="AF93" s="137">
        <v>47703</v>
      </c>
      <c r="AG93" s="138">
        <v>2488</v>
      </c>
      <c r="AH93" s="139" t="s">
        <v>10</v>
      </c>
      <c r="AI93" s="138">
        <v>2412</v>
      </c>
      <c r="AJ93" s="140">
        <v>6.6082191780821917</v>
      </c>
      <c r="AK93" s="184"/>
      <c r="AL93" s="188" t="s">
        <v>1371</v>
      </c>
      <c r="AM93" s="323" t="s">
        <v>746</v>
      </c>
      <c r="AN93" s="324" t="s">
        <v>106</v>
      </c>
      <c r="AO93" s="272" t="s">
        <v>1476</v>
      </c>
      <c r="AP93" s="276"/>
      <c r="AQ93" s="272" t="s">
        <v>474</v>
      </c>
      <c r="AS93" s="411"/>
    </row>
    <row r="94" spans="1:45" s="229" customFormat="1" ht="39.950000000000003" customHeight="1" x14ac:dyDescent="0.2">
      <c r="A94" s="131" t="s">
        <v>750</v>
      </c>
      <c r="B94" s="337" t="s">
        <v>1437</v>
      </c>
      <c r="C94" s="337" t="s">
        <v>243</v>
      </c>
      <c r="D94" s="133" t="s">
        <v>746</v>
      </c>
      <c r="E94" s="131" t="s">
        <v>806</v>
      </c>
      <c r="F94" s="145" t="s">
        <v>874</v>
      </c>
      <c r="G94" s="133" t="s">
        <v>106</v>
      </c>
      <c r="H94" s="133" t="s">
        <v>106</v>
      </c>
      <c r="I94" s="131" t="s">
        <v>263</v>
      </c>
      <c r="J94" s="133" t="s">
        <v>747</v>
      </c>
      <c r="K94" s="192" t="s">
        <v>221</v>
      </c>
      <c r="L94" s="168" t="s">
        <v>101</v>
      </c>
      <c r="M94" s="194" t="s">
        <v>191</v>
      </c>
      <c r="N94" s="134" t="s">
        <v>59</v>
      </c>
      <c r="O94" s="167" t="s">
        <v>43</v>
      </c>
      <c r="P94" s="270">
        <v>2</v>
      </c>
      <c r="Q94" s="167" t="s">
        <v>538</v>
      </c>
      <c r="R94" s="270" t="s">
        <v>534</v>
      </c>
      <c r="S94" s="135" t="s">
        <v>59</v>
      </c>
      <c r="T94" s="136">
        <v>7253.3813001936596</v>
      </c>
      <c r="U94" s="62">
        <v>4452.2979999999998</v>
      </c>
      <c r="V94" s="136">
        <v>7253.3813001936596</v>
      </c>
      <c r="W94" s="136">
        <v>144992.75109555465</v>
      </c>
      <c r="X94" s="136">
        <v>476105.08872587036</v>
      </c>
      <c r="Y94" s="136" t="s">
        <v>1342</v>
      </c>
      <c r="Z94" s="365">
        <v>0.15</v>
      </c>
      <c r="AA94" s="147" t="s">
        <v>11</v>
      </c>
      <c r="AB94" s="185">
        <v>1.8499999999999999E-2</v>
      </c>
      <c r="AC94" s="185">
        <v>9.4000000000000004E-3</v>
      </c>
      <c r="AD94" s="137">
        <v>45216</v>
      </c>
      <c r="AE94" s="137">
        <v>47703</v>
      </c>
      <c r="AF94" s="137">
        <v>47703</v>
      </c>
      <c r="AG94" s="138">
        <v>2488</v>
      </c>
      <c r="AH94" s="139" t="s">
        <v>10</v>
      </c>
      <c r="AI94" s="138">
        <v>2412</v>
      </c>
      <c r="AJ94" s="140">
        <v>6.6082191780821917</v>
      </c>
      <c r="AK94" s="184"/>
      <c r="AL94" s="188" t="s">
        <v>1371</v>
      </c>
      <c r="AM94" s="323" t="s">
        <v>874</v>
      </c>
      <c r="AN94" s="324" t="s">
        <v>106</v>
      </c>
      <c r="AO94" s="272" t="s">
        <v>1477</v>
      </c>
      <c r="AP94" s="276"/>
      <c r="AQ94" s="272" t="s">
        <v>474</v>
      </c>
      <c r="AS94" s="411"/>
    </row>
    <row r="95" spans="1:45" ht="39.950000000000003" customHeight="1" x14ac:dyDescent="0.2">
      <c r="A95" s="131" t="s">
        <v>753</v>
      </c>
      <c r="B95" s="337" t="s">
        <v>243</v>
      </c>
      <c r="C95" s="337" t="s">
        <v>243</v>
      </c>
      <c r="D95" s="133" t="s">
        <v>588</v>
      </c>
      <c r="E95" s="131" t="s">
        <v>499</v>
      </c>
      <c r="F95" s="145" t="s">
        <v>162</v>
      </c>
      <c r="G95" s="14" t="s">
        <v>891</v>
      </c>
      <c r="H95" s="66" t="s">
        <v>167</v>
      </c>
      <c r="I95" s="131" t="s">
        <v>167</v>
      </c>
      <c r="J95" s="14" t="s">
        <v>589</v>
      </c>
      <c r="K95" s="192" t="s">
        <v>218</v>
      </c>
      <c r="L95" s="168" t="s">
        <v>209</v>
      </c>
      <c r="M95" s="194" t="s">
        <v>191</v>
      </c>
      <c r="N95" s="134" t="s">
        <v>59</v>
      </c>
      <c r="O95" s="167" t="s">
        <v>43</v>
      </c>
      <c r="P95" s="65">
        <v>2</v>
      </c>
      <c r="Q95" s="167" t="s">
        <v>531</v>
      </c>
      <c r="R95" s="65" t="s">
        <v>534</v>
      </c>
      <c r="S95" s="135" t="s">
        <v>9</v>
      </c>
      <c r="T95" s="136">
        <v>29763.052322448922</v>
      </c>
      <c r="U95" s="62">
        <v>20000</v>
      </c>
      <c r="V95" s="136">
        <v>29763.052322448922</v>
      </c>
      <c r="W95" s="136">
        <v>59526.104644897845</v>
      </c>
      <c r="X95" s="136">
        <v>1071826.058055304</v>
      </c>
      <c r="Y95" s="62" t="s">
        <v>16</v>
      </c>
      <c r="Z95" s="366">
        <v>0</v>
      </c>
      <c r="AA95" s="147" t="s">
        <v>11</v>
      </c>
      <c r="AB95" s="185">
        <v>3.4849999999999999E-2</v>
      </c>
      <c r="AC95" s="185">
        <v>1.9010674999999998E-2</v>
      </c>
      <c r="AD95" s="137">
        <v>44634</v>
      </c>
      <c r="AE95" s="137">
        <v>45316</v>
      </c>
      <c r="AF95" s="137">
        <v>45337</v>
      </c>
      <c r="AG95" s="138">
        <v>704</v>
      </c>
      <c r="AH95" s="139" t="s">
        <v>1</v>
      </c>
      <c r="AI95" s="138">
        <v>46</v>
      </c>
      <c r="AJ95" s="140">
        <v>0.12602739726027398</v>
      </c>
      <c r="AK95" s="184" t="s">
        <v>436</v>
      </c>
      <c r="AL95" s="188" t="s">
        <v>755</v>
      </c>
      <c r="AM95" s="197" t="s">
        <v>162</v>
      </c>
      <c r="AN95" s="198" t="s">
        <v>891</v>
      </c>
      <c r="AO95" s="58" t="s">
        <v>941</v>
      </c>
      <c r="AP95" s="112"/>
      <c r="AQ95" s="272"/>
    </row>
    <row r="96" spans="1:45" ht="39.950000000000003" customHeight="1" x14ac:dyDescent="0.2">
      <c r="A96" s="131" t="s">
        <v>756</v>
      </c>
      <c r="B96" s="337" t="s">
        <v>1336</v>
      </c>
      <c r="C96" s="337" t="s">
        <v>1144</v>
      </c>
      <c r="D96" s="133" t="s">
        <v>684</v>
      </c>
      <c r="E96" s="131" t="s">
        <v>542</v>
      </c>
      <c r="F96" s="145" t="s">
        <v>308</v>
      </c>
      <c r="G96" s="14" t="s">
        <v>891</v>
      </c>
      <c r="H96" s="66" t="s">
        <v>167</v>
      </c>
      <c r="I96" s="131" t="s">
        <v>167</v>
      </c>
      <c r="J96" s="133" t="s">
        <v>677</v>
      </c>
      <c r="K96" s="192" t="s">
        <v>218</v>
      </c>
      <c r="L96" s="168" t="s">
        <v>209</v>
      </c>
      <c r="M96" s="194" t="s">
        <v>191</v>
      </c>
      <c r="N96" s="134" t="s">
        <v>59</v>
      </c>
      <c r="O96" s="167" t="s">
        <v>43</v>
      </c>
      <c r="P96" s="65">
        <v>2</v>
      </c>
      <c r="Q96" s="167" t="s">
        <v>533</v>
      </c>
      <c r="R96" s="65" t="s">
        <v>534</v>
      </c>
      <c r="S96" s="135" t="s">
        <v>487</v>
      </c>
      <c r="T96" s="136">
        <v>22506.389924288269</v>
      </c>
      <c r="U96" s="62">
        <v>155787.27299999999</v>
      </c>
      <c r="V96" s="136">
        <v>22506.389924288269</v>
      </c>
      <c r="W96" s="136">
        <v>45012.779848576538</v>
      </c>
      <c r="X96" s="136">
        <v>1506091.8939605281</v>
      </c>
      <c r="Y96" s="62" t="s">
        <v>16</v>
      </c>
      <c r="Z96" s="366">
        <v>0</v>
      </c>
      <c r="AA96" s="147" t="s">
        <v>11</v>
      </c>
      <c r="AB96" s="185">
        <v>2.8500000000000001E-2</v>
      </c>
      <c r="AC96" s="185">
        <v>1.4250000000000001E-2</v>
      </c>
      <c r="AD96" s="137">
        <v>44651</v>
      </c>
      <c r="AE96" s="137">
        <v>46418</v>
      </c>
      <c r="AF96" s="137">
        <v>46433</v>
      </c>
      <c r="AG96" s="138">
        <v>1783</v>
      </c>
      <c r="AH96" s="139" t="s">
        <v>10</v>
      </c>
      <c r="AI96" s="138">
        <v>1142</v>
      </c>
      <c r="AJ96" s="140">
        <v>3.128767123287671</v>
      </c>
      <c r="AK96" s="184" t="s">
        <v>436</v>
      </c>
      <c r="AL96" s="188" t="s">
        <v>757</v>
      </c>
      <c r="AM96" s="197" t="s">
        <v>308</v>
      </c>
      <c r="AN96" s="198" t="s">
        <v>891</v>
      </c>
      <c r="AO96" s="58" t="s">
        <v>1039</v>
      </c>
      <c r="AP96" s="112"/>
      <c r="AQ96" s="272"/>
    </row>
    <row r="97" spans="1:43" ht="39.950000000000003" customHeight="1" x14ac:dyDescent="0.2">
      <c r="A97" s="131" t="s">
        <v>758</v>
      </c>
      <c r="B97" s="337" t="s">
        <v>23</v>
      </c>
      <c r="C97" s="337" t="s">
        <v>1141</v>
      </c>
      <c r="D97" s="133" t="s">
        <v>34</v>
      </c>
      <c r="E97" s="131" t="s">
        <v>34</v>
      </c>
      <c r="F97" s="145" t="s">
        <v>34</v>
      </c>
      <c r="G97" s="14" t="s">
        <v>102</v>
      </c>
      <c r="H97" s="14" t="s">
        <v>102</v>
      </c>
      <c r="I97" s="131" t="s">
        <v>477</v>
      </c>
      <c r="J97" s="133" t="s">
        <v>760</v>
      </c>
      <c r="K97" s="192" t="s">
        <v>33</v>
      </c>
      <c r="L97" s="168" t="s">
        <v>101</v>
      </c>
      <c r="M97" s="194" t="s">
        <v>191</v>
      </c>
      <c r="N97" s="134" t="s">
        <v>323</v>
      </c>
      <c r="O97" s="167" t="s">
        <v>43</v>
      </c>
      <c r="P97" s="65">
        <v>2</v>
      </c>
      <c r="Q97" s="167" t="s">
        <v>533</v>
      </c>
      <c r="R97" s="65" t="s">
        <v>534</v>
      </c>
      <c r="S97" s="135" t="s">
        <v>8</v>
      </c>
      <c r="T97" s="136">
        <v>11100</v>
      </c>
      <c r="U97" s="62">
        <v>11100</v>
      </c>
      <c r="V97" s="136">
        <v>11100</v>
      </c>
      <c r="W97" s="136">
        <v>48000</v>
      </c>
      <c r="X97" s="136">
        <v>417129.53</v>
      </c>
      <c r="Y97" s="136" t="s">
        <v>1295</v>
      </c>
      <c r="Z97" s="365">
        <v>0.1</v>
      </c>
      <c r="AA97" s="147" t="s">
        <v>11</v>
      </c>
      <c r="AB97" s="185">
        <v>2.1499999999999998E-2</v>
      </c>
      <c r="AC97" s="185">
        <v>1.1287499999999999E-2</v>
      </c>
      <c r="AD97" s="137">
        <v>44651</v>
      </c>
      <c r="AE97" s="137">
        <v>46386</v>
      </c>
      <c r="AF97" s="137">
        <v>46386</v>
      </c>
      <c r="AG97" s="138">
        <v>1736</v>
      </c>
      <c r="AH97" s="139" t="s">
        <v>10</v>
      </c>
      <c r="AI97" s="138">
        <v>1095</v>
      </c>
      <c r="AJ97" s="140">
        <v>3</v>
      </c>
      <c r="AK97" s="184"/>
      <c r="AL97" s="188" t="s">
        <v>1397</v>
      </c>
      <c r="AM97" s="197" t="s">
        <v>34</v>
      </c>
      <c r="AN97" s="198" t="s">
        <v>102</v>
      </c>
      <c r="AO97" s="58" t="s">
        <v>1040</v>
      </c>
      <c r="AP97" s="112"/>
      <c r="AQ97" s="272" t="s">
        <v>473</v>
      </c>
    </row>
    <row r="98" spans="1:43" ht="39.950000000000003" customHeight="1" x14ac:dyDescent="0.2">
      <c r="A98" s="131" t="s">
        <v>781</v>
      </c>
      <c r="B98" s="337" t="s">
        <v>307</v>
      </c>
      <c r="C98" s="337" t="s">
        <v>1144</v>
      </c>
      <c r="D98" s="133" t="s">
        <v>588</v>
      </c>
      <c r="E98" s="131" t="s">
        <v>542</v>
      </c>
      <c r="F98" s="145" t="s">
        <v>87</v>
      </c>
      <c r="G98" s="14" t="s">
        <v>102</v>
      </c>
      <c r="H98" s="14" t="s">
        <v>102</v>
      </c>
      <c r="I98" s="131" t="s">
        <v>477</v>
      </c>
      <c r="J98" s="14" t="s">
        <v>589</v>
      </c>
      <c r="K98" s="192" t="s">
        <v>218</v>
      </c>
      <c r="L98" s="168" t="s">
        <v>209</v>
      </c>
      <c r="M98" s="194" t="s">
        <v>191</v>
      </c>
      <c r="N98" s="134" t="s">
        <v>59</v>
      </c>
      <c r="O98" s="167" t="s">
        <v>43</v>
      </c>
      <c r="P98" s="65">
        <v>2</v>
      </c>
      <c r="Q98" s="167" t="s">
        <v>533</v>
      </c>
      <c r="R98" s="65" t="s">
        <v>534</v>
      </c>
      <c r="S98" s="135" t="s">
        <v>156</v>
      </c>
      <c r="T98" s="136">
        <v>18930.472595651561</v>
      </c>
      <c r="U98" s="62">
        <v>10000</v>
      </c>
      <c r="V98" s="136">
        <v>18930.472595651561</v>
      </c>
      <c r="W98" s="136">
        <v>75721.890382606245</v>
      </c>
      <c r="X98" s="136">
        <v>778344.51616296056</v>
      </c>
      <c r="Y98" s="62" t="s">
        <v>16</v>
      </c>
      <c r="Z98" s="366">
        <v>0</v>
      </c>
      <c r="AA98" s="147" t="s">
        <v>11</v>
      </c>
      <c r="AB98" s="185">
        <v>0.03</v>
      </c>
      <c r="AC98" s="185">
        <v>1.3100000000000001E-2</v>
      </c>
      <c r="AD98" s="137">
        <v>44663</v>
      </c>
      <c r="AE98" s="137">
        <v>45749</v>
      </c>
      <c r="AF98" s="137">
        <v>45764</v>
      </c>
      <c r="AG98" s="138">
        <v>1102</v>
      </c>
      <c r="AH98" s="139" t="s">
        <v>10</v>
      </c>
      <c r="AI98" s="138">
        <v>473</v>
      </c>
      <c r="AJ98" s="140">
        <v>1.295890410958904</v>
      </c>
      <c r="AK98" s="184"/>
      <c r="AL98" s="188" t="s">
        <v>1398</v>
      </c>
      <c r="AM98" s="197" t="s">
        <v>87</v>
      </c>
      <c r="AN98" s="198" t="s">
        <v>102</v>
      </c>
      <c r="AO98" s="58" t="s">
        <v>1042</v>
      </c>
      <c r="AP98" s="112"/>
      <c r="AQ98" s="272" t="s">
        <v>474</v>
      </c>
    </row>
    <row r="99" spans="1:43" s="229" customFormat="1" ht="39.950000000000003" customHeight="1" x14ac:dyDescent="0.2">
      <c r="A99" s="131" t="s">
        <v>782</v>
      </c>
      <c r="B99" s="337" t="s">
        <v>23</v>
      </c>
      <c r="C99" s="337" t="s">
        <v>1143</v>
      </c>
      <c r="D99" s="133" t="s">
        <v>88</v>
      </c>
      <c r="E99" s="131" t="s">
        <v>542</v>
      </c>
      <c r="F99" s="145" t="s">
        <v>193</v>
      </c>
      <c r="G99" s="131" t="s">
        <v>92</v>
      </c>
      <c r="H99" s="66" t="s">
        <v>134</v>
      </c>
      <c r="I99" s="131" t="s">
        <v>134</v>
      </c>
      <c r="J99" s="133" t="s">
        <v>286</v>
      </c>
      <c r="K99" s="192" t="s">
        <v>220</v>
      </c>
      <c r="L99" s="168" t="s">
        <v>209</v>
      </c>
      <c r="M99" s="194" t="s">
        <v>191</v>
      </c>
      <c r="N99" s="134" t="s">
        <v>59</v>
      </c>
      <c r="O99" s="167" t="s">
        <v>43</v>
      </c>
      <c r="P99" s="65">
        <v>3</v>
      </c>
      <c r="Q99" s="167" t="s">
        <v>531</v>
      </c>
      <c r="R99" s="65" t="s">
        <v>534</v>
      </c>
      <c r="S99" s="135" t="s">
        <v>9</v>
      </c>
      <c r="T99" s="136">
        <v>11161.144620918345</v>
      </c>
      <c r="U99" s="62">
        <v>5762.95</v>
      </c>
      <c r="V99" s="136">
        <v>8576.149119082851</v>
      </c>
      <c r="W99" s="136">
        <v>159610.80450289388</v>
      </c>
      <c r="X99" s="136">
        <v>622070.02653926739</v>
      </c>
      <c r="Y99" s="62" t="s">
        <v>16</v>
      </c>
      <c r="Z99" s="366">
        <v>0</v>
      </c>
      <c r="AA99" s="147" t="s">
        <v>11</v>
      </c>
      <c r="AB99" s="185">
        <v>2.5000000000000001E-2</v>
      </c>
      <c r="AC99" s="185">
        <v>1.5699999999999999E-2</v>
      </c>
      <c r="AD99" s="137">
        <v>44650</v>
      </c>
      <c r="AE99" s="137">
        <v>47421</v>
      </c>
      <c r="AF99" s="137">
        <v>47421</v>
      </c>
      <c r="AG99" s="138">
        <v>2772</v>
      </c>
      <c r="AH99" s="139" t="s">
        <v>10</v>
      </c>
      <c r="AI99" s="138">
        <v>2130</v>
      </c>
      <c r="AJ99" s="140">
        <v>5.8356164383561646</v>
      </c>
      <c r="AK99" s="184"/>
      <c r="AL99" s="188" t="s">
        <v>1370</v>
      </c>
      <c r="AM99" s="197" t="s">
        <v>193</v>
      </c>
      <c r="AN99" s="198" t="s">
        <v>92</v>
      </c>
      <c r="AO99" s="58" t="s">
        <v>1043</v>
      </c>
      <c r="AP99" s="276"/>
      <c r="AQ99" s="272"/>
    </row>
    <row r="100" spans="1:43" ht="39.950000000000003" customHeight="1" x14ac:dyDescent="0.2">
      <c r="A100" s="131" t="s">
        <v>785</v>
      </c>
      <c r="B100" s="337" t="s">
        <v>1437</v>
      </c>
      <c r="C100" s="337" t="s">
        <v>243</v>
      </c>
      <c r="D100" s="133" t="s">
        <v>746</v>
      </c>
      <c r="E100" s="131" t="s">
        <v>542</v>
      </c>
      <c r="F100" s="145" t="s">
        <v>746</v>
      </c>
      <c r="G100" s="133" t="s">
        <v>106</v>
      </c>
      <c r="H100" s="133" t="s">
        <v>106</v>
      </c>
      <c r="I100" s="131" t="s">
        <v>263</v>
      </c>
      <c r="J100" s="133" t="s">
        <v>747</v>
      </c>
      <c r="K100" s="192" t="s">
        <v>221</v>
      </c>
      <c r="L100" s="168" t="s">
        <v>101</v>
      </c>
      <c r="M100" s="194" t="s">
        <v>191</v>
      </c>
      <c r="N100" s="134" t="s">
        <v>59</v>
      </c>
      <c r="O100" s="167" t="s">
        <v>43</v>
      </c>
      <c r="P100" s="65">
        <v>2</v>
      </c>
      <c r="Q100" s="167" t="s">
        <v>533</v>
      </c>
      <c r="R100" s="270" t="s">
        <v>534</v>
      </c>
      <c r="S100" s="135" t="s">
        <v>59</v>
      </c>
      <c r="T100" s="136">
        <v>32361.078738899971</v>
      </c>
      <c r="U100" s="62">
        <v>19714</v>
      </c>
      <c r="V100" s="136">
        <v>32116.708933682745</v>
      </c>
      <c r="W100" s="136">
        <v>324360.18812499923</v>
      </c>
      <c r="X100" s="136">
        <v>2281264.7747002444</v>
      </c>
      <c r="Y100" s="136" t="s">
        <v>1342</v>
      </c>
      <c r="Z100" s="365">
        <v>0.15</v>
      </c>
      <c r="AA100" s="147" t="s">
        <v>11</v>
      </c>
      <c r="AB100" s="185">
        <v>1.55E-2</v>
      </c>
      <c r="AC100" s="185">
        <v>8.3700000000000007E-3</v>
      </c>
      <c r="AD100" s="137">
        <v>44678</v>
      </c>
      <c r="AE100" s="137">
        <v>48096</v>
      </c>
      <c r="AF100" s="137">
        <v>48113</v>
      </c>
      <c r="AG100" s="138">
        <v>3436</v>
      </c>
      <c r="AH100" s="139" t="s">
        <v>10</v>
      </c>
      <c r="AI100" s="138">
        <v>2822</v>
      </c>
      <c r="AJ100" s="140">
        <v>7.7315068493150685</v>
      </c>
      <c r="AK100" s="184" t="s">
        <v>436</v>
      </c>
      <c r="AL100" s="188" t="s">
        <v>779</v>
      </c>
      <c r="AM100" s="197" t="s">
        <v>746</v>
      </c>
      <c r="AN100" s="198" t="s">
        <v>106</v>
      </c>
      <c r="AO100" s="58" t="s">
        <v>1044</v>
      </c>
      <c r="AP100" s="112"/>
      <c r="AQ100" s="272" t="s">
        <v>474</v>
      </c>
    </row>
    <row r="101" spans="1:43" ht="39.950000000000003" customHeight="1" x14ac:dyDescent="0.2">
      <c r="A101" s="131" t="s">
        <v>786</v>
      </c>
      <c r="B101" s="337" t="s">
        <v>23</v>
      </c>
      <c r="C101" s="337" t="s">
        <v>1141</v>
      </c>
      <c r="D101" s="133" t="s">
        <v>797</v>
      </c>
      <c r="E101" s="131" t="s">
        <v>541</v>
      </c>
      <c r="F101" s="145" t="s">
        <v>38</v>
      </c>
      <c r="G101" s="131" t="s">
        <v>543</v>
      </c>
      <c r="H101" s="66" t="s">
        <v>133</v>
      </c>
      <c r="I101" s="131" t="s">
        <v>133</v>
      </c>
      <c r="J101" s="133" t="s">
        <v>50</v>
      </c>
      <c r="K101" s="192" t="s">
        <v>21</v>
      </c>
      <c r="L101" s="168" t="s">
        <v>209</v>
      </c>
      <c r="M101" s="194" t="s">
        <v>191</v>
      </c>
      <c r="N101" s="134" t="s">
        <v>323</v>
      </c>
      <c r="O101" s="167" t="s">
        <v>43</v>
      </c>
      <c r="P101" s="65">
        <v>2</v>
      </c>
      <c r="Q101" s="167" t="s">
        <v>538</v>
      </c>
      <c r="R101" s="65" t="s">
        <v>534</v>
      </c>
      <c r="S101" s="135" t="s">
        <v>9</v>
      </c>
      <c r="T101" s="136">
        <v>29763.052322448922</v>
      </c>
      <c r="U101" s="62">
        <v>20000</v>
      </c>
      <c r="V101" s="136">
        <v>29763.052322448922</v>
      </c>
      <c r="W101" s="136">
        <v>89289.15696734676</v>
      </c>
      <c r="X101" s="136">
        <v>3073433.5605112393</v>
      </c>
      <c r="Y101" s="62" t="s">
        <v>16</v>
      </c>
      <c r="Z101" s="366">
        <v>0</v>
      </c>
      <c r="AA101" s="147" t="s">
        <v>11</v>
      </c>
      <c r="AB101" s="185">
        <v>3.7499999999999999E-2</v>
      </c>
      <c r="AC101" s="185">
        <v>2.2800000000000001E-2</v>
      </c>
      <c r="AD101" s="137">
        <v>44686</v>
      </c>
      <c r="AE101" s="137">
        <v>46437</v>
      </c>
      <c r="AF101" s="137">
        <v>46465</v>
      </c>
      <c r="AG101" s="138">
        <v>1780</v>
      </c>
      <c r="AH101" s="139" t="s">
        <v>10</v>
      </c>
      <c r="AI101" s="138">
        <v>1174</v>
      </c>
      <c r="AJ101" s="140">
        <v>3.2164383561643834</v>
      </c>
      <c r="AK101" s="184" t="s">
        <v>436</v>
      </c>
      <c r="AL101" s="188" t="s">
        <v>792</v>
      </c>
      <c r="AM101" s="197" t="s">
        <v>38</v>
      </c>
      <c r="AN101" s="198" t="s">
        <v>543</v>
      </c>
      <c r="AO101" s="58" t="s">
        <v>1045</v>
      </c>
      <c r="AP101" s="112"/>
      <c r="AQ101" s="272"/>
    </row>
    <row r="102" spans="1:43" ht="39.950000000000003" customHeight="1" x14ac:dyDescent="0.2">
      <c r="A102" s="131" t="s">
        <v>787</v>
      </c>
      <c r="B102" s="337" t="s">
        <v>1336</v>
      </c>
      <c r="C102" s="337" t="s">
        <v>1142</v>
      </c>
      <c r="D102" s="133" t="s">
        <v>34</v>
      </c>
      <c r="E102" s="131" t="s">
        <v>34</v>
      </c>
      <c r="F102" s="145" t="s">
        <v>34</v>
      </c>
      <c r="G102" s="131" t="s">
        <v>547</v>
      </c>
      <c r="H102" s="66" t="s">
        <v>265</v>
      </c>
      <c r="I102" s="131" t="s">
        <v>456</v>
      </c>
      <c r="J102" s="133" t="s">
        <v>656</v>
      </c>
      <c r="K102" s="192" t="s">
        <v>656</v>
      </c>
      <c r="L102" s="168" t="s">
        <v>140</v>
      </c>
      <c r="M102" s="194" t="s">
        <v>191</v>
      </c>
      <c r="N102" s="134" t="s">
        <v>323</v>
      </c>
      <c r="O102" s="167" t="s">
        <v>43</v>
      </c>
      <c r="P102" s="65">
        <v>2</v>
      </c>
      <c r="Q102" s="167" t="s">
        <v>533</v>
      </c>
      <c r="R102" s="65" t="s">
        <v>534</v>
      </c>
      <c r="S102" s="135" t="s">
        <v>8</v>
      </c>
      <c r="T102" s="136">
        <v>10000</v>
      </c>
      <c r="U102" s="62">
        <v>7601.5259999999998</v>
      </c>
      <c r="V102" s="136">
        <v>7601.5259999999998</v>
      </c>
      <c r="W102" s="136">
        <v>88100</v>
      </c>
      <c r="X102" s="136">
        <v>698431.06</v>
      </c>
      <c r="Y102" s="136" t="s">
        <v>16</v>
      </c>
      <c r="Z102" s="365">
        <v>0</v>
      </c>
      <c r="AA102" s="147" t="s">
        <v>11</v>
      </c>
      <c r="AB102" s="185">
        <v>1.7999999999999999E-2</v>
      </c>
      <c r="AC102" s="185">
        <v>1.0799999999999999E-2</v>
      </c>
      <c r="AD102" s="137">
        <v>44694</v>
      </c>
      <c r="AE102" s="137">
        <v>47026</v>
      </c>
      <c r="AF102" s="137">
        <v>47047</v>
      </c>
      <c r="AG102" s="138">
        <v>2354</v>
      </c>
      <c r="AH102" s="139" t="s">
        <v>10</v>
      </c>
      <c r="AI102" s="138">
        <v>1756</v>
      </c>
      <c r="AJ102" s="140">
        <v>4.8109589041095893</v>
      </c>
      <c r="AK102" s="184"/>
      <c r="AL102" s="188" t="s">
        <v>791</v>
      </c>
      <c r="AM102" s="197" t="s">
        <v>34</v>
      </c>
      <c r="AN102" s="198" t="s">
        <v>547</v>
      </c>
      <c r="AO102" s="58" t="s">
        <v>1046</v>
      </c>
      <c r="AP102" s="112"/>
      <c r="AQ102" s="272"/>
    </row>
    <row r="103" spans="1:43" ht="39.950000000000003" customHeight="1" x14ac:dyDescent="0.2">
      <c r="A103" s="131" t="s">
        <v>793</v>
      </c>
      <c r="B103" s="337" t="s">
        <v>1438</v>
      </c>
      <c r="C103" s="337" t="s">
        <v>243</v>
      </c>
      <c r="D103" s="133" t="s">
        <v>38</v>
      </c>
      <c r="E103" s="131" t="s">
        <v>540</v>
      </c>
      <c r="F103" s="145" t="s">
        <v>35</v>
      </c>
      <c r="G103" s="131" t="s">
        <v>104</v>
      </c>
      <c r="H103" s="66" t="s">
        <v>105</v>
      </c>
      <c r="I103" s="131" t="s">
        <v>799</v>
      </c>
      <c r="J103" s="133" t="s">
        <v>1088</v>
      </c>
      <c r="K103" s="192" t="s">
        <v>687</v>
      </c>
      <c r="L103" s="168" t="s">
        <v>209</v>
      </c>
      <c r="M103" s="194" t="s">
        <v>191</v>
      </c>
      <c r="N103" s="134" t="s">
        <v>323</v>
      </c>
      <c r="O103" s="167" t="s">
        <v>43</v>
      </c>
      <c r="P103" s="65">
        <v>2</v>
      </c>
      <c r="Q103" s="167" t="s">
        <v>538</v>
      </c>
      <c r="R103" s="65" t="s">
        <v>534</v>
      </c>
      <c r="S103" s="135" t="s">
        <v>9</v>
      </c>
      <c r="T103" s="136">
        <v>14881.526161224461</v>
      </c>
      <c r="U103" s="62">
        <v>10000</v>
      </c>
      <c r="V103" s="136">
        <v>14881.526161224461</v>
      </c>
      <c r="W103" s="136">
        <v>29763.052322448922</v>
      </c>
      <c r="X103" s="136">
        <v>1612818.1370802557</v>
      </c>
      <c r="Y103" s="136" t="s">
        <v>16</v>
      </c>
      <c r="Z103" s="365">
        <v>0</v>
      </c>
      <c r="AA103" s="147" t="s">
        <v>11</v>
      </c>
      <c r="AB103" s="185">
        <v>0.04</v>
      </c>
      <c r="AC103" s="185">
        <v>2.2000000000000002E-2</v>
      </c>
      <c r="AD103" s="137">
        <v>44700</v>
      </c>
      <c r="AE103" s="137">
        <v>46630</v>
      </c>
      <c r="AF103" s="137">
        <v>46630</v>
      </c>
      <c r="AG103" s="138">
        <v>1931</v>
      </c>
      <c r="AH103" s="139" t="s">
        <v>10</v>
      </c>
      <c r="AI103" s="138">
        <v>1339</v>
      </c>
      <c r="AJ103" s="140">
        <v>3.6684931506849314</v>
      </c>
      <c r="AK103" s="184"/>
      <c r="AL103" s="188" t="s">
        <v>1373</v>
      </c>
      <c r="AM103" s="197" t="s">
        <v>35</v>
      </c>
      <c r="AN103" s="198" t="s">
        <v>104</v>
      </c>
      <c r="AO103" s="58" t="s">
        <v>1048</v>
      </c>
      <c r="AP103" s="112"/>
      <c r="AQ103" s="272"/>
    </row>
    <row r="104" spans="1:43" ht="39.950000000000003" customHeight="1" x14ac:dyDescent="0.2">
      <c r="A104" s="131" t="s">
        <v>794</v>
      </c>
      <c r="B104" s="337" t="s">
        <v>1437</v>
      </c>
      <c r="C104" s="337" t="s">
        <v>1142</v>
      </c>
      <c r="D104" s="133" t="s">
        <v>34</v>
      </c>
      <c r="E104" s="131" t="s">
        <v>34</v>
      </c>
      <c r="F104" s="145" t="s">
        <v>34</v>
      </c>
      <c r="G104" s="14" t="s">
        <v>102</v>
      </c>
      <c r="H104" s="14" t="s">
        <v>102</v>
      </c>
      <c r="I104" s="14" t="s">
        <v>474</v>
      </c>
      <c r="J104" s="133" t="s">
        <v>70</v>
      </c>
      <c r="K104" s="192" t="s">
        <v>218</v>
      </c>
      <c r="L104" s="168" t="s">
        <v>101</v>
      </c>
      <c r="M104" s="194" t="s">
        <v>191</v>
      </c>
      <c r="N104" s="134" t="s">
        <v>323</v>
      </c>
      <c r="O104" s="167" t="s">
        <v>43</v>
      </c>
      <c r="P104" s="65">
        <v>2</v>
      </c>
      <c r="Q104" s="167" t="s">
        <v>531</v>
      </c>
      <c r="R104" s="65" t="s">
        <v>534</v>
      </c>
      <c r="S104" s="135" t="s">
        <v>8</v>
      </c>
      <c r="T104" s="136">
        <v>16000</v>
      </c>
      <c r="U104" s="62">
        <v>30000</v>
      </c>
      <c r="V104" s="136">
        <v>30000</v>
      </c>
      <c r="W104" s="136">
        <v>120000</v>
      </c>
      <c r="X104" s="136">
        <v>1084602.47</v>
      </c>
      <c r="Y104" s="62" t="s">
        <v>16</v>
      </c>
      <c r="Z104" s="366">
        <v>0</v>
      </c>
      <c r="AA104" s="147" t="s">
        <v>11</v>
      </c>
      <c r="AB104" s="185">
        <v>0.02</v>
      </c>
      <c r="AC104" s="185">
        <v>0.01</v>
      </c>
      <c r="AD104" s="137">
        <v>44698</v>
      </c>
      <c r="AE104" s="137">
        <v>46338</v>
      </c>
      <c r="AF104" s="137">
        <v>46352</v>
      </c>
      <c r="AG104" s="138">
        <v>1655</v>
      </c>
      <c r="AH104" s="139" t="s">
        <v>10</v>
      </c>
      <c r="AI104" s="138">
        <v>1061</v>
      </c>
      <c r="AJ104" s="140">
        <v>2.9068493150684933</v>
      </c>
      <c r="AK104" s="184" t="s">
        <v>436</v>
      </c>
      <c r="AL104" s="188" t="s">
        <v>790</v>
      </c>
      <c r="AM104" s="197" t="s">
        <v>34</v>
      </c>
      <c r="AN104" s="198" t="s">
        <v>102</v>
      </c>
      <c r="AO104" s="58" t="s">
        <v>1049</v>
      </c>
      <c r="AP104" s="112"/>
      <c r="AQ104" s="272" t="s">
        <v>474</v>
      </c>
    </row>
    <row r="105" spans="1:43" ht="39.950000000000003" customHeight="1" x14ac:dyDescent="0.2">
      <c r="A105" s="131" t="s">
        <v>807</v>
      </c>
      <c r="B105" s="337" t="s">
        <v>1438</v>
      </c>
      <c r="C105" s="337" t="s">
        <v>243</v>
      </c>
      <c r="D105" s="133" t="s">
        <v>38</v>
      </c>
      <c r="E105" s="131" t="s">
        <v>540</v>
      </c>
      <c r="F105" s="145" t="s">
        <v>35</v>
      </c>
      <c r="G105" s="131" t="s">
        <v>104</v>
      </c>
      <c r="H105" s="66" t="s">
        <v>105</v>
      </c>
      <c r="I105" s="131" t="s">
        <v>799</v>
      </c>
      <c r="J105" s="133" t="s">
        <v>142</v>
      </c>
      <c r="K105" s="192" t="s">
        <v>218</v>
      </c>
      <c r="L105" s="168" t="s">
        <v>209</v>
      </c>
      <c r="M105" s="194" t="s">
        <v>191</v>
      </c>
      <c r="N105" s="134" t="s">
        <v>323</v>
      </c>
      <c r="O105" s="167" t="s">
        <v>43</v>
      </c>
      <c r="P105" s="65">
        <v>2</v>
      </c>
      <c r="Q105" s="167" t="s">
        <v>538</v>
      </c>
      <c r="R105" s="65" t="s">
        <v>534</v>
      </c>
      <c r="S105" s="135" t="s">
        <v>9</v>
      </c>
      <c r="T105" s="136">
        <v>7440.7630806122306</v>
      </c>
      <c r="U105" s="62">
        <v>5000</v>
      </c>
      <c r="V105" s="136">
        <v>7440.7630806122306</v>
      </c>
      <c r="W105" s="136">
        <v>11072.991044360402</v>
      </c>
      <c r="X105" s="136">
        <v>801771.03257061599</v>
      </c>
      <c r="Y105" s="62" t="s">
        <v>16</v>
      </c>
      <c r="Z105" s="366">
        <v>0</v>
      </c>
      <c r="AA105" s="147" t="s">
        <v>11</v>
      </c>
      <c r="AB105" s="185">
        <v>0.04</v>
      </c>
      <c r="AC105" s="185">
        <v>2.2000000000000002E-2</v>
      </c>
      <c r="AD105" s="137">
        <v>44708</v>
      </c>
      <c r="AE105" s="137">
        <v>46531</v>
      </c>
      <c r="AF105" s="137">
        <v>46545</v>
      </c>
      <c r="AG105" s="138">
        <v>1838</v>
      </c>
      <c r="AH105" s="139" t="s">
        <v>10</v>
      </c>
      <c r="AI105" s="138">
        <v>1254</v>
      </c>
      <c r="AJ105" s="140">
        <v>3.4356164383561643</v>
      </c>
      <c r="AK105" s="184"/>
      <c r="AL105" s="188" t="s">
        <v>1374</v>
      </c>
      <c r="AM105" s="197" t="s">
        <v>35</v>
      </c>
      <c r="AN105" s="198" t="s">
        <v>104</v>
      </c>
      <c r="AO105" s="58" t="s">
        <v>1047</v>
      </c>
      <c r="AP105" s="112"/>
      <c r="AQ105" s="272"/>
    </row>
    <row r="106" spans="1:43" ht="39.950000000000003" customHeight="1" x14ac:dyDescent="0.2">
      <c r="A106" s="131" t="s">
        <v>795</v>
      </c>
      <c r="B106" s="337" t="s">
        <v>1337</v>
      </c>
      <c r="C106" s="337" t="s">
        <v>1142</v>
      </c>
      <c r="D106" s="133" t="s">
        <v>38</v>
      </c>
      <c r="E106" s="131" t="s">
        <v>540</v>
      </c>
      <c r="F106" s="145" t="s">
        <v>35</v>
      </c>
      <c r="G106" s="14" t="s">
        <v>892</v>
      </c>
      <c r="H106" s="66" t="s">
        <v>259</v>
      </c>
      <c r="I106" s="131" t="s">
        <v>459</v>
      </c>
      <c r="J106" s="133" t="s">
        <v>1088</v>
      </c>
      <c r="K106" s="192" t="s">
        <v>687</v>
      </c>
      <c r="L106" s="168" t="s">
        <v>209</v>
      </c>
      <c r="M106" s="194" t="s">
        <v>191</v>
      </c>
      <c r="N106" s="134" t="s">
        <v>323</v>
      </c>
      <c r="O106" s="167" t="s">
        <v>43</v>
      </c>
      <c r="P106" s="65">
        <v>2</v>
      </c>
      <c r="Q106" s="167" t="s">
        <v>531</v>
      </c>
      <c r="R106" s="65" t="s">
        <v>534</v>
      </c>
      <c r="S106" s="135" t="s">
        <v>9</v>
      </c>
      <c r="T106" s="136">
        <v>14881.526161224461</v>
      </c>
      <c r="U106" s="62">
        <v>15000</v>
      </c>
      <c r="V106" s="136">
        <v>22322.28924183669</v>
      </c>
      <c r="W106" s="136">
        <v>29763.052322448922</v>
      </c>
      <c r="X106" s="136">
        <v>4528169.3673635544</v>
      </c>
      <c r="Y106" s="136" t="s">
        <v>16</v>
      </c>
      <c r="Z106" s="365">
        <v>0</v>
      </c>
      <c r="AA106" s="147" t="s">
        <v>11</v>
      </c>
      <c r="AB106" s="185">
        <v>6.5000000000000002E-2</v>
      </c>
      <c r="AC106" s="185">
        <v>3.4125000000000003E-2</v>
      </c>
      <c r="AD106" s="137">
        <v>44712</v>
      </c>
      <c r="AE106" s="137">
        <v>46879</v>
      </c>
      <c r="AF106" s="137">
        <v>46920</v>
      </c>
      <c r="AG106" s="138">
        <v>2209</v>
      </c>
      <c r="AH106" s="139" t="s">
        <v>10</v>
      </c>
      <c r="AI106" s="138">
        <v>1629</v>
      </c>
      <c r="AJ106" s="140">
        <v>4.463013698630137</v>
      </c>
      <c r="AK106" s="184"/>
      <c r="AL106" s="188" t="s">
        <v>1375</v>
      </c>
      <c r="AM106" s="197" t="s">
        <v>35</v>
      </c>
      <c r="AN106" s="198" t="s">
        <v>892</v>
      </c>
      <c r="AO106" s="58" t="s">
        <v>1050</v>
      </c>
      <c r="AP106" s="112"/>
      <c r="AQ106" s="272"/>
    </row>
    <row r="107" spans="1:43" ht="39.950000000000003" customHeight="1" x14ac:dyDescent="0.2">
      <c r="A107" s="131" t="s">
        <v>796</v>
      </c>
      <c r="B107" s="337" t="s">
        <v>1437</v>
      </c>
      <c r="C107" s="337" t="s">
        <v>1144</v>
      </c>
      <c r="D107" s="133" t="s">
        <v>38</v>
      </c>
      <c r="E107" s="131" t="s">
        <v>541</v>
      </c>
      <c r="F107" s="145" t="s">
        <v>229</v>
      </c>
      <c r="G107" s="14" t="s">
        <v>102</v>
      </c>
      <c r="H107" s="14" t="s">
        <v>102</v>
      </c>
      <c r="I107" s="130" t="s">
        <v>473</v>
      </c>
      <c r="J107" s="133" t="s">
        <v>142</v>
      </c>
      <c r="K107" s="192" t="s">
        <v>218</v>
      </c>
      <c r="L107" s="168" t="s">
        <v>29</v>
      </c>
      <c r="M107" s="194" t="s">
        <v>191</v>
      </c>
      <c r="N107" s="134" t="s">
        <v>323</v>
      </c>
      <c r="O107" s="167" t="s">
        <v>43</v>
      </c>
      <c r="P107" s="65">
        <v>2</v>
      </c>
      <c r="Q107" s="167" t="s">
        <v>531</v>
      </c>
      <c r="R107" s="65" t="s">
        <v>534</v>
      </c>
      <c r="S107" s="135" t="s">
        <v>9</v>
      </c>
      <c r="T107" s="136">
        <v>26042.670782142806</v>
      </c>
      <c r="U107" s="62">
        <v>17500</v>
      </c>
      <c r="V107" s="136">
        <v>26042.670782142806</v>
      </c>
      <c r="W107" s="136">
        <v>37203.815403061155</v>
      </c>
      <c r="X107" s="136">
        <v>2462506.4487233432</v>
      </c>
      <c r="Y107" s="62" t="s">
        <v>1360</v>
      </c>
      <c r="Z107" s="366">
        <v>0.15</v>
      </c>
      <c r="AA107" s="147" t="s">
        <v>11</v>
      </c>
      <c r="AB107" s="185">
        <v>9.3899999999999997E-2</v>
      </c>
      <c r="AC107" s="185">
        <v>4.8000000000000001E-2</v>
      </c>
      <c r="AD107" s="137">
        <v>44712</v>
      </c>
      <c r="AE107" s="137">
        <v>46517</v>
      </c>
      <c r="AF107" s="137">
        <v>46531</v>
      </c>
      <c r="AG107" s="138">
        <v>1820</v>
      </c>
      <c r="AH107" s="139" t="s">
        <v>10</v>
      </c>
      <c r="AI107" s="138">
        <v>1240</v>
      </c>
      <c r="AJ107" s="140">
        <v>3.3972602739726026</v>
      </c>
      <c r="AK107" s="184" t="s">
        <v>436</v>
      </c>
      <c r="AL107" s="188" t="s">
        <v>871</v>
      </c>
      <c r="AM107" s="197" t="s">
        <v>229</v>
      </c>
      <c r="AN107" s="198" t="s">
        <v>102</v>
      </c>
      <c r="AO107" s="58" t="s">
        <v>1051</v>
      </c>
      <c r="AP107" s="112"/>
      <c r="AQ107" s="272" t="s">
        <v>473</v>
      </c>
    </row>
    <row r="108" spans="1:43" ht="39.950000000000003" customHeight="1" x14ac:dyDescent="0.2">
      <c r="A108" s="131" t="s">
        <v>808</v>
      </c>
      <c r="B108" s="337" t="s">
        <v>23</v>
      </c>
      <c r="C108" s="337" t="s">
        <v>1141</v>
      </c>
      <c r="D108" s="133" t="s">
        <v>149</v>
      </c>
      <c r="E108" s="131" t="s">
        <v>542</v>
      </c>
      <c r="F108" s="145" t="s">
        <v>166</v>
      </c>
      <c r="G108" s="66" t="s">
        <v>106</v>
      </c>
      <c r="H108" s="66" t="s">
        <v>106</v>
      </c>
      <c r="I108" s="66" t="s">
        <v>107</v>
      </c>
      <c r="J108" s="14" t="s">
        <v>148</v>
      </c>
      <c r="K108" s="66" t="s">
        <v>148</v>
      </c>
      <c r="L108" s="168" t="s">
        <v>101</v>
      </c>
      <c r="M108" s="194" t="s">
        <v>191</v>
      </c>
      <c r="N108" s="134" t="s">
        <v>59</v>
      </c>
      <c r="O108" s="167" t="s">
        <v>43</v>
      </c>
      <c r="P108" s="65">
        <v>2</v>
      </c>
      <c r="Q108" s="167" t="s">
        <v>531</v>
      </c>
      <c r="R108" s="65" t="s">
        <v>534</v>
      </c>
      <c r="S108" s="135" t="s">
        <v>59</v>
      </c>
      <c r="T108" s="136">
        <v>16291.320347815128</v>
      </c>
      <c r="U108" s="62">
        <v>10000</v>
      </c>
      <c r="V108" s="136">
        <v>16291.320347815128</v>
      </c>
      <c r="W108" s="136">
        <v>81456.601739075646</v>
      </c>
      <c r="X108" s="136">
        <v>846169.7289380068</v>
      </c>
      <c r="Y108" s="136" t="s">
        <v>1359</v>
      </c>
      <c r="Z108" s="365">
        <v>0.15</v>
      </c>
      <c r="AA108" s="147" t="s">
        <v>11</v>
      </c>
      <c r="AB108" s="185">
        <v>3.7999999999999999E-2</v>
      </c>
      <c r="AC108" s="185">
        <v>2.546E-2</v>
      </c>
      <c r="AD108" s="137">
        <v>44726</v>
      </c>
      <c r="AE108" s="137">
        <v>45819</v>
      </c>
      <c r="AF108" s="137">
        <v>45819</v>
      </c>
      <c r="AG108" s="138">
        <v>1094</v>
      </c>
      <c r="AH108" s="139" t="s">
        <v>10</v>
      </c>
      <c r="AI108" s="138">
        <v>528</v>
      </c>
      <c r="AJ108" s="140">
        <v>1.4465753424657535</v>
      </c>
      <c r="AK108" s="184"/>
      <c r="AL108" s="188" t="s">
        <v>1376</v>
      </c>
      <c r="AM108" s="197" t="s">
        <v>166</v>
      </c>
      <c r="AN108" s="198" t="s">
        <v>106</v>
      </c>
      <c r="AO108" s="58" t="s">
        <v>1052</v>
      </c>
      <c r="AP108" s="112"/>
      <c r="AQ108" s="272" t="s">
        <v>103</v>
      </c>
    </row>
    <row r="109" spans="1:43" ht="39.950000000000003" customHeight="1" x14ac:dyDescent="0.2">
      <c r="A109" s="131" t="s">
        <v>809</v>
      </c>
      <c r="B109" s="337" t="s">
        <v>23</v>
      </c>
      <c r="C109" s="337" t="s">
        <v>1142</v>
      </c>
      <c r="D109" s="133" t="s">
        <v>34</v>
      </c>
      <c r="E109" s="131" t="s">
        <v>34</v>
      </c>
      <c r="F109" s="145" t="s">
        <v>34</v>
      </c>
      <c r="G109" s="131" t="s">
        <v>439</v>
      </c>
      <c r="H109" s="66" t="s">
        <v>444</v>
      </c>
      <c r="I109" s="66" t="s">
        <v>444</v>
      </c>
      <c r="J109" s="133" t="s">
        <v>656</v>
      </c>
      <c r="K109" s="192" t="s">
        <v>656</v>
      </c>
      <c r="L109" s="168" t="s">
        <v>209</v>
      </c>
      <c r="M109" s="194" t="s">
        <v>191</v>
      </c>
      <c r="N109" s="134" t="s">
        <v>323</v>
      </c>
      <c r="O109" s="167" t="s">
        <v>43</v>
      </c>
      <c r="P109" s="65">
        <v>4</v>
      </c>
      <c r="Q109" s="167" t="s">
        <v>531</v>
      </c>
      <c r="R109" s="65" t="s">
        <v>534</v>
      </c>
      <c r="S109" s="135" t="s">
        <v>8</v>
      </c>
      <c r="T109" s="136">
        <v>10000</v>
      </c>
      <c r="U109" s="62">
        <v>10000</v>
      </c>
      <c r="V109" s="136">
        <v>10000</v>
      </c>
      <c r="W109" s="136">
        <v>51000</v>
      </c>
      <c r="X109" s="136">
        <v>558704.54</v>
      </c>
      <c r="Y109" s="136" t="s">
        <v>1358</v>
      </c>
      <c r="Z109" s="365">
        <v>0.125</v>
      </c>
      <c r="AA109" s="147" t="s">
        <v>11</v>
      </c>
      <c r="AB109" s="185">
        <v>0.04</v>
      </c>
      <c r="AC109" s="185">
        <v>1.7000000000000001E-2</v>
      </c>
      <c r="AD109" s="137">
        <v>44735</v>
      </c>
      <c r="AE109" s="137">
        <v>45900</v>
      </c>
      <c r="AF109" s="137">
        <v>45900</v>
      </c>
      <c r="AG109" s="138">
        <v>1166</v>
      </c>
      <c r="AH109" s="139" t="s">
        <v>10</v>
      </c>
      <c r="AI109" s="138">
        <v>609</v>
      </c>
      <c r="AJ109" s="140">
        <v>1.6684931506849314</v>
      </c>
      <c r="AK109" s="184"/>
      <c r="AL109" s="188" t="s">
        <v>813</v>
      </c>
      <c r="AM109" s="197" t="s">
        <v>34</v>
      </c>
      <c r="AN109" s="198" t="s">
        <v>439</v>
      </c>
      <c r="AO109" s="58" t="s">
        <v>1053</v>
      </c>
      <c r="AP109" s="112"/>
      <c r="AQ109" s="272"/>
    </row>
    <row r="110" spans="1:43" ht="39.950000000000003" customHeight="1" x14ac:dyDescent="0.2">
      <c r="A110" s="131" t="s">
        <v>235</v>
      </c>
      <c r="B110" s="337" t="s">
        <v>23</v>
      </c>
      <c r="C110" s="337" t="s">
        <v>1144</v>
      </c>
      <c r="D110" s="133" t="s">
        <v>37</v>
      </c>
      <c r="E110" s="131" t="s">
        <v>542</v>
      </c>
      <c r="F110" s="145" t="s">
        <v>91</v>
      </c>
      <c r="G110" s="14" t="s">
        <v>173</v>
      </c>
      <c r="H110" s="66" t="s">
        <v>174</v>
      </c>
      <c r="I110" s="14" t="s">
        <v>172</v>
      </c>
      <c r="J110" s="133" t="s">
        <v>236</v>
      </c>
      <c r="K110" s="192" t="s">
        <v>21</v>
      </c>
      <c r="L110" s="168" t="s">
        <v>139</v>
      </c>
      <c r="M110" s="194" t="s">
        <v>191</v>
      </c>
      <c r="N110" s="134" t="s">
        <v>323</v>
      </c>
      <c r="O110" s="167" t="s">
        <v>43</v>
      </c>
      <c r="P110" s="65">
        <v>2</v>
      </c>
      <c r="Q110" s="167" t="s">
        <v>533</v>
      </c>
      <c r="R110" s="65" t="s">
        <v>534</v>
      </c>
      <c r="S110" s="135" t="s">
        <v>59</v>
      </c>
      <c r="T110" s="136">
        <v>32582.640695630256</v>
      </c>
      <c r="U110" s="62">
        <v>20000</v>
      </c>
      <c r="V110" s="136">
        <v>32582.640695630256</v>
      </c>
      <c r="W110" s="136">
        <v>162913.20347815129</v>
      </c>
      <c r="X110" s="136">
        <v>625699.2906710247</v>
      </c>
      <c r="Y110" s="62" t="s">
        <v>16</v>
      </c>
      <c r="Z110" s="366">
        <v>0</v>
      </c>
      <c r="AA110" s="147" t="s">
        <v>11</v>
      </c>
      <c r="AB110" s="185">
        <v>1.0999999999999999E-2</v>
      </c>
      <c r="AC110" s="185">
        <v>7.0179999999999999E-3</v>
      </c>
      <c r="AD110" s="137">
        <v>44742</v>
      </c>
      <c r="AE110" s="137">
        <v>45827</v>
      </c>
      <c r="AF110" s="137">
        <v>45827</v>
      </c>
      <c r="AG110" s="138">
        <v>1086</v>
      </c>
      <c r="AH110" s="139" t="s">
        <v>10</v>
      </c>
      <c r="AI110" s="138">
        <v>536</v>
      </c>
      <c r="AJ110" s="140">
        <v>1.4684931506849315</v>
      </c>
      <c r="AK110" s="184" t="s">
        <v>436</v>
      </c>
      <c r="AL110" s="188" t="s">
        <v>1246</v>
      </c>
      <c r="AM110" s="197" t="s">
        <v>91</v>
      </c>
      <c r="AN110" s="198" t="s">
        <v>173</v>
      </c>
      <c r="AO110" s="58" t="s">
        <v>1054</v>
      </c>
      <c r="AP110" s="112"/>
      <c r="AQ110" s="272"/>
    </row>
    <row r="111" spans="1:43" ht="39.950000000000003" customHeight="1" x14ac:dyDescent="0.2">
      <c r="A111" s="131" t="s">
        <v>810</v>
      </c>
      <c r="B111" s="337" t="s">
        <v>23</v>
      </c>
      <c r="C111" s="337" t="s">
        <v>243</v>
      </c>
      <c r="D111" s="133" t="s">
        <v>149</v>
      </c>
      <c r="E111" s="131" t="s">
        <v>499</v>
      </c>
      <c r="F111" s="161" t="s">
        <v>162</v>
      </c>
      <c r="G111" s="131" t="s">
        <v>92</v>
      </c>
      <c r="H111" s="66" t="s">
        <v>134</v>
      </c>
      <c r="I111" s="131" t="s">
        <v>134</v>
      </c>
      <c r="J111" s="14" t="s">
        <v>148</v>
      </c>
      <c r="K111" s="66" t="s">
        <v>148</v>
      </c>
      <c r="L111" s="168" t="s">
        <v>68</v>
      </c>
      <c r="M111" s="194" t="s">
        <v>191</v>
      </c>
      <c r="N111" s="134" t="s">
        <v>59</v>
      </c>
      <c r="O111" s="167" t="s">
        <v>43</v>
      </c>
      <c r="P111" s="65">
        <v>2</v>
      </c>
      <c r="Q111" s="167" t="s">
        <v>531</v>
      </c>
      <c r="R111" s="65" t="s">
        <v>534</v>
      </c>
      <c r="S111" s="135" t="s">
        <v>9</v>
      </c>
      <c r="T111" s="136">
        <v>22322.28924183669</v>
      </c>
      <c r="U111" s="62">
        <v>15000</v>
      </c>
      <c r="V111" s="136">
        <v>22322.28924183669</v>
      </c>
      <c r="W111" s="136">
        <v>178578.31393469352</v>
      </c>
      <c r="X111" s="136">
        <v>647983.15363617672</v>
      </c>
      <c r="Y111" s="136" t="s">
        <v>1378</v>
      </c>
      <c r="Z111" s="365">
        <v>0.15</v>
      </c>
      <c r="AA111" s="147" t="s">
        <v>11</v>
      </c>
      <c r="AB111" s="185">
        <v>2.4E-2</v>
      </c>
      <c r="AC111" s="185">
        <v>0.01</v>
      </c>
      <c r="AD111" s="137">
        <v>44741</v>
      </c>
      <c r="AE111" s="137">
        <v>46527</v>
      </c>
      <c r="AF111" s="137">
        <v>46527</v>
      </c>
      <c r="AG111" s="138">
        <v>1787</v>
      </c>
      <c r="AH111" s="139" t="s">
        <v>10</v>
      </c>
      <c r="AI111" s="138">
        <v>1236</v>
      </c>
      <c r="AJ111" s="140">
        <v>3.3863013698630136</v>
      </c>
      <c r="AK111" s="184"/>
      <c r="AL111" s="188" t="s">
        <v>1377</v>
      </c>
      <c r="AM111" s="197" t="s">
        <v>162</v>
      </c>
      <c r="AN111" s="198" t="s">
        <v>92</v>
      </c>
      <c r="AO111" s="58" t="s">
        <v>1055</v>
      </c>
      <c r="AP111" s="112"/>
      <c r="AQ111" s="272"/>
    </row>
    <row r="112" spans="1:43" ht="39.950000000000003" customHeight="1" x14ac:dyDescent="0.2">
      <c r="A112" s="131" t="s">
        <v>811</v>
      </c>
      <c r="B112" s="337" t="s">
        <v>307</v>
      </c>
      <c r="C112" s="337" t="s">
        <v>1143</v>
      </c>
      <c r="D112" s="133" t="s">
        <v>162</v>
      </c>
      <c r="E112" s="131" t="s">
        <v>499</v>
      </c>
      <c r="F112" s="161" t="s">
        <v>162</v>
      </c>
      <c r="G112" s="14" t="s">
        <v>102</v>
      </c>
      <c r="H112" s="14" t="s">
        <v>102</v>
      </c>
      <c r="I112" s="66" t="s">
        <v>110</v>
      </c>
      <c r="J112" s="131" t="s">
        <v>509</v>
      </c>
      <c r="K112" s="133" t="s">
        <v>222</v>
      </c>
      <c r="L112" s="168" t="s">
        <v>101</v>
      </c>
      <c r="M112" s="194" t="s">
        <v>191</v>
      </c>
      <c r="N112" s="134" t="s">
        <v>59</v>
      </c>
      <c r="O112" s="167" t="s">
        <v>43</v>
      </c>
      <c r="P112" s="65">
        <v>2</v>
      </c>
      <c r="Q112" s="167" t="s">
        <v>538</v>
      </c>
      <c r="R112" s="65" t="s">
        <v>534</v>
      </c>
      <c r="S112" s="135" t="s">
        <v>9</v>
      </c>
      <c r="T112" s="136">
        <v>14881.526161224461</v>
      </c>
      <c r="U112" s="62">
        <v>10000</v>
      </c>
      <c r="V112" s="136">
        <v>14881.526161224461</v>
      </c>
      <c r="W112" s="136">
        <v>104914.75943663245</v>
      </c>
      <c r="X112" s="136">
        <v>901578.67545160861</v>
      </c>
      <c r="Y112" s="136" t="s">
        <v>1295</v>
      </c>
      <c r="Z112" s="365">
        <v>0.15</v>
      </c>
      <c r="AA112" s="147" t="s">
        <v>11</v>
      </c>
      <c r="AB112" s="185">
        <v>2.75E-2</v>
      </c>
      <c r="AC112" s="185">
        <v>1.72E-2</v>
      </c>
      <c r="AD112" s="137">
        <v>44735</v>
      </c>
      <c r="AE112" s="137">
        <v>46420</v>
      </c>
      <c r="AF112" s="137">
        <v>46420</v>
      </c>
      <c r="AG112" s="138">
        <v>1686</v>
      </c>
      <c r="AH112" s="139" t="s">
        <v>10</v>
      </c>
      <c r="AI112" s="138">
        <v>1129</v>
      </c>
      <c r="AJ112" s="140">
        <v>3.0931506849315067</v>
      </c>
      <c r="AK112" s="184"/>
      <c r="AL112" s="188" t="s">
        <v>1379</v>
      </c>
      <c r="AM112" s="197" t="s">
        <v>162</v>
      </c>
      <c r="AN112" s="198" t="s">
        <v>102</v>
      </c>
      <c r="AO112" s="58" t="s">
        <v>1056</v>
      </c>
      <c r="AP112" s="112"/>
      <c r="AQ112" s="272" t="s">
        <v>1394</v>
      </c>
    </row>
    <row r="113" spans="1:45" ht="39.950000000000003" customHeight="1" x14ac:dyDescent="0.2">
      <c r="A113" s="131" t="s">
        <v>835</v>
      </c>
      <c r="B113" s="337" t="s">
        <v>67</v>
      </c>
      <c r="C113" s="337" t="s">
        <v>243</v>
      </c>
      <c r="D113" s="133" t="s">
        <v>684</v>
      </c>
      <c r="E113" s="131" t="s">
        <v>542</v>
      </c>
      <c r="F113" s="161" t="s">
        <v>193</v>
      </c>
      <c r="G113" s="14" t="s">
        <v>891</v>
      </c>
      <c r="H113" s="66" t="s">
        <v>167</v>
      </c>
      <c r="I113" s="131" t="s">
        <v>167</v>
      </c>
      <c r="J113" s="14" t="s">
        <v>589</v>
      </c>
      <c r="K113" s="66" t="s">
        <v>218</v>
      </c>
      <c r="L113" s="168" t="s">
        <v>209</v>
      </c>
      <c r="M113" s="194" t="s">
        <v>191</v>
      </c>
      <c r="N113" s="134" t="s">
        <v>59</v>
      </c>
      <c r="O113" s="167" t="s">
        <v>43</v>
      </c>
      <c r="P113" s="65">
        <v>2</v>
      </c>
      <c r="Q113" s="167" t="s">
        <v>531</v>
      </c>
      <c r="R113" s="65" t="s">
        <v>534</v>
      </c>
      <c r="S113" s="135" t="s">
        <v>823</v>
      </c>
      <c r="T113" s="136">
        <v>12250.262431246932</v>
      </c>
      <c r="U113" s="62">
        <v>7000</v>
      </c>
      <c r="V113" s="136">
        <v>12250.262431246932</v>
      </c>
      <c r="W113" s="136">
        <v>14000</v>
      </c>
      <c r="X113" s="136">
        <v>936514.6424849286</v>
      </c>
      <c r="Y113" s="62" t="s">
        <v>16</v>
      </c>
      <c r="Z113" s="366">
        <v>0</v>
      </c>
      <c r="AA113" s="147" t="s">
        <v>11</v>
      </c>
      <c r="AB113" s="185">
        <v>0.03</v>
      </c>
      <c r="AC113" s="185">
        <v>1.6500000000000001E-2</v>
      </c>
      <c r="AD113" s="137">
        <v>44743</v>
      </c>
      <c r="AE113" s="137">
        <v>46569</v>
      </c>
      <c r="AF113" s="137">
        <v>46569</v>
      </c>
      <c r="AG113" s="138">
        <v>1827</v>
      </c>
      <c r="AH113" s="139" t="s">
        <v>10</v>
      </c>
      <c r="AI113" s="138">
        <v>1278</v>
      </c>
      <c r="AJ113" s="140">
        <v>3.5013698630136987</v>
      </c>
      <c r="AK113" s="184" t="s">
        <v>436</v>
      </c>
      <c r="AL113" s="188" t="s">
        <v>831</v>
      </c>
      <c r="AM113" s="197" t="s">
        <v>193</v>
      </c>
      <c r="AN113" s="198" t="s">
        <v>891</v>
      </c>
      <c r="AO113" s="58" t="s">
        <v>1057</v>
      </c>
      <c r="AP113" s="112"/>
      <c r="AQ113" s="272"/>
    </row>
    <row r="114" spans="1:45" ht="39.950000000000003" customHeight="1" x14ac:dyDescent="0.2">
      <c r="A114" s="131" t="s">
        <v>834</v>
      </c>
      <c r="B114" s="337" t="s">
        <v>67</v>
      </c>
      <c r="C114" s="337" t="s">
        <v>243</v>
      </c>
      <c r="D114" s="133" t="s">
        <v>684</v>
      </c>
      <c r="E114" s="131" t="s">
        <v>542</v>
      </c>
      <c r="F114" s="161" t="s">
        <v>193</v>
      </c>
      <c r="G114" s="14" t="s">
        <v>891</v>
      </c>
      <c r="H114" s="66" t="s">
        <v>167</v>
      </c>
      <c r="I114" s="131" t="s">
        <v>167</v>
      </c>
      <c r="J114" s="14" t="s">
        <v>589</v>
      </c>
      <c r="K114" s="66" t="s">
        <v>218</v>
      </c>
      <c r="L114" s="168" t="s">
        <v>209</v>
      </c>
      <c r="M114" s="194" t="s">
        <v>191</v>
      </c>
      <c r="N114" s="134" t="s">
        <v>59</v>
      </c>
      <c r="O114" s="167" t="s">
        <v>43</v>
      </c>
      <c r="P114" s="65">
        <v>2</v>
      </c>
      <c r="Q114" s="167" t="s">
        <v>531</v>
      </c>
      <c r="R114" s="65" t="s">
        <v>534</v>
      </c>
      <c r="S114" s="135" t="s">
        <v>823</v>
      </c>
      <c r="T114" s="136">
        <v>12250.262431246932</v>
      </c>
      <c r="U114" s="62">
        <v>7000</v>
      </c>
      <c r="V114" s="136">
        <v>12250.262431246932</v>
      </c>
      <c r="W114" s="136">
        <v>14000</v>
      </c>
      <c r="X114" s="136">
        <v>2540266.0263489494</v>
      </c>
      <c r="Y114" s="62" t="s">
        <v>16</v>
      </c>
      <c r="Z114" s="366">
        <v>0</v>
      </c>
      <c r="AA114" s="147" t="s">
        <v>11</v>
      </c>
      <c r="AB114" s="185">
        <v>7.2900000000000006E-2</v>
      </c>
      <c r="AC114" s="185">
        <v>0.03</v>
      </c>
      <c r="AD114" s="137">
        <v>44743</v>
      </c>
      <c r="AE114" s="137">
        <v>46569</v>
      </c>
      <c r="AF114" s="137">
        <v>46569</v>
      </c>
      <c r="AG114" s="138">
        <v>1827</v>
      </c>
      <c r="AH114" s="139" t="s">
        <v>10</v>
      </c>
      <c r="AI114" s="138">
        <v>1278</v>
      </c>
      <c r="AJ114" s="140">
        <v>3.5013698630136987</v>
      </c>
      <c r="AK114" s="184" t="s">
        <v>436</v>
      </c>
      <c r="AL114" s="188" t="s">
        <v>832</v>
      </c>
      <c r="AM114" s="197" t="s">
        <v>193</v>
      </c>
      <c r="AN114" s="198" t="s">
        <v>891</v>
      </c>
      <c r="AO114" s="58" t="s">
        <v>1058</v>
      </c>
      <c r="AP114" s="112"/>
      <c r="AQ114" s="272"/>
    </row>
    <row r="115" spans="1:45" s="229" customFormat="1" ht="39.950000000000003" customHeight="1" x14ac:dyDescent="0.2">
      <c r="A115" s="131" t="s">
        <v>836</v>
      </c>
      <c r="B115" s="337" t="s">
        <v>243</v>
      </c>
      <c r="C115" s="337" t="s">
        <v>243</v>
      </c>
      <c r="D115" s="133" t="s">
        <v>588</v>
      </c>
      <c r="E115" s="131" t="s">
        <v>499</v>
      </c>
      <c r="F115" s="161" t="s">
        <v>162</v>
      </c>
      <c r="G115" s="131" t="s">
        <v>233</v>
      </c>
      <c r="H115" s="133" t="s">
        <v>443</v>
      </c>
      <c r="I115" s="131" t="s">
        <v>234</v>
      </c>
      <c r="J115" s="131" t="s">
        <v>589</v>
      </c>
      <c r="K115" s="133" t="s">
        <v>218</v>
      </c>
      <c r="L115" s="168" t="s">
        <v>209</v>
      </c>
      <c r="M115" s="194" t="s">
        <v>191</v>
      </c>
      <c r="N115" s="134" t="s">
        <v>59</v>
      </c>
      <c r="O115" s="167" t="s">
        <v>43</v>
      </c>
      <c r="P115" s="270">
        <v>2</v>
      </c>
      <c r="Q115" s="167" t="s">
        <v>531</v>
      </c>
      <c r="R115" s="270" t="s">
        <v>534</v>
      </c>
      <c r="S115" s="135" t="s">
        <v>9</v>
      </c>
      <c r="T115" s="136">
        <v>17113.755085408131</v>
      </c>
      <c r="U115" s="62">
        <v>11500</v>
      </c>
      <c r="V115" s="136">
        <v>17113.755085408131</v>
      </c>
      <c r="W115" s="136">
        <v>34500</v>
      </c>
      <c r="X115" s="136">
        <v>1024712.2623433294</v>
      </c>
      <c r="Y115" s="62" t="s">
        <v>16</v>
      </c>
      <c r="Z115" s="366">
        <v>0</v>
      </c>
      <c r="AA115" s="147" t="s">
        <v>11</v>
      </c>
      <c r="AB115" s="185">
        <v>7.3999999999999996E-2</v>
      </c>
      <c r="AC115" s="185">
        <v>4.0599999999999997E-2</v>
      </c>
      <c r="AD115" s="137">
        <v>44760</v>
      </c>
      <c r="AE115" s="137">
        <v>46674</v>
      </c>
      <c r="AF115" s="137">
        <v>46674</v>
      </c>
      <c r="AG115" s="138">
        <v>1915</v>
      </c>
      <c r="AH115" s="139" t="s">
        <v>10</v>
      </c>
      <c r="AI115" s="138">
        <v>1383</v>
      </c>
      <c r="AJ115" s="140">
        <v>3.7890410958904108</v>
      </c>
      <c r="AK115" s="184"/>
      <c r="AL115" s="188" t="s">
        <v>829</v>
      </c>
      <c r="AM115" s="323" t="s">
        <v>162</v>
      </c>
      <c r="AN115" s="324" t="s">
        <v>233</v>
      </c>
      <c r="AO115" s="272" t="s">
        <v>1059</v>
      </c>
      <c r="AP115" s="276"/>
      <c r="AQ115" s="272"/>
      <c r="AS115" s="411"/>
    </row>
    <row r="116" spans="1:45" ht="39.950000000000003" customHeight="1" x14ac:dyDescent="0.2">
      <c r="A116" s="131" t="s">
        <v>833</v>
      </c>
      <c r="B116" s="337" t="s">
        <v>1437</v>
      </c>
      <c r="C116" s="337" t="s">
        <v>1142</v>
      </c>
      <c r="D116" s="133" t="s">
        <v>824</v>
      </c>
      <c r="E116" s="131" t="s">
        <v>542</v>
      </c>
      <c r="F116" s="161" t="s">
        <v>89</v>
      </c>
      <c r="G116" s="131" t="s">
        <v>233</v>
      </c>
      <c r="H116" s="131" t="s">
        <v>443</v>
      </c>
      <c r="I116" s="131" t="s">
        <v>234</v>
      </c>
      <c r="J116" s="66" t="s">
        <v>145</v>
      </c>
      <c r="K116" s="192" t="s">
        <v>221</v>
      </c>
      <c r="L116" s="168" t="s">
        <v>139</v>
      </c>
      <c r="M116" s="194" t="s">
        <v>191</v>
      </c>
      <c r="N116" s="134" t="s">
        <v>59</v>
      </c>
      <c r="O116" s="167" t="s">
        <v>43</v>
      </c>
      <c r="P116" s="65">
        <v>2</v>
      </c>
      <c r="Q116" s="167" t="s">
        <v>538</v>
      </c>
      <c r="R116" s="65" t="s">
        <v>534</v>
      </c>
      <c r="S116" s="135" t="s">
        <v>59</v>
      </c>
      <c r="T116" s="136">
        <v>16291.320347815128</v>
      </c>
      <c r="U116" s="62">
        <v>10000</v>
      </c>
      <c r="V116" s="136">
        <v>16291.320347815128</v>
      </c>
      <c r="W116" s="136">
        <v>137500</v>
      </c>
      <c r="X116" s="136">
        <v>1303282.9665986064</v>
      </c>
      <c r="Y116" s="136" t="s">
        <v>1342</v>
      </c>
      <c r="Z116" s="365">
        <v>0.15</v>
      </c>
      <c r="AA116" s="147" t="s">
        <v>11</v>
      </c>
      <c r="AB116" s="185">
        <v>1.95E-2</v>
      </c>
      <c r="AC116" s="185">
        <v>1.2675000000000001E-2</v>
      </c>
      <c r="AD116" s="137">
        <v>44762</v>
      </c>
      <c r="AE116" s="137">
        <v>47299</v>
      </c>
      <c r="AF116" s="137">
        <v>47330</v>
      </c>
      <c r="AG116" s="138">
        <v>2569</v>
      </c>
      <c r="AH116" s="139" t="s">
        <v>10</v>
      </c>
      <c r="AI116" s="138">
        <v>2039</v>
      </c>
      <c r="AJ116" s="140">
        <v>5.5863013698630137</v>
      </c>
      <c r="AK116" s="184"/>
      <c r="AL116" s="188" t="s">
        <v>1380</v>
      </c>
      <c r="AM116" s="197" t="s">
        <v>89</v>
      </c>
      <c r="AN116" s="198" t="s">
        <v>233</v>
      </c>
      <c r="AO116" s="58" t="s">
        <v>1060</v>
      </c>
      <c r="AP116" s="112"/>
      <c r="AQ116" s="272"/>
    </row>
    <row r="117" spans="1:45" ht="39.950000000000003" customHeight="1" x14ac:dyDescent="0.2">
      <c r="A117" s="131" t="s">
        <v>825</v>
      </c>
      <c r="B117" s="337" t="s">
        <v>23</v>
      </c>
      <c r="C117" s="337" t="s">
        <v>1142</v>
      </c>
      <c r="D117" s="133" t="s">
        <v>34</v>
      </c>
      <c r="E117" s="131" t="s">
        <v>34</v>
      </c>
      <c r="F117" s="161" t="s">
        <v>34</v>
      </c>
      <c r="G117" s="131" t="s">
        <v>475</v>
      </c>
      <c r="H117" s="66" t="s">
        <v>227</v>
      </c>
      <c r="I117" s="131" t="s">
        <v>827</v>
      </c>
      <c r="J117" s="14" t="s">
        <v>656</v>
      </c>
      <c r="K117" s="14" t="s">
        <v>656</v>
      </c>
      <c r="L117" s="168" t="s">
        <v>209</v>
      </c>
      <c r="M117" s="194" t="s">
        <v>191</v>
      </c>
      <c r="N117" s="134" t="s">
        <v>323</v>
      </c>
      <c r="O117" s="167" t="s">
        <v>43</v>
      </c>
      <c r="P117" s="65">
        <v>4</v>
      </c>
      <c r="Q117" s="167" t="s">
        <v>531</v>
      </c>
      <c r="R117" s="65" t="s">
        <v>534</v>
      </c>
      <c r="S117" s="135" t="s">
        <v>8</v>
      </c>
      <c r="T117" s="136">
        <v>15000</v>
      </c>
      <c r="U117" s="62">
        <v>15000</v>
      </c>
      <c r="V117" s="136">
        <v>15000</v>
      </c>
      <c r="W117" s="136">
        <v>58500</v>
      </c>
      <c r="X117" s="136">
        <v>736036.69</v>
      </c>
      <c r="Y117" s="136" t="s">
        <v>1358</v>
      </c>
      <c r="Z117" s="365">
        <v>0.15</v>
      </c>
      <c r="AA117" s="147" t="s">
        <v>11</v>
      </c>
      <c r="AB117" s="185">
        <v>3.9416666666666669E-2</v>
      </c>
      <c r="AC117" s="185">
        <v>1.7999999999999999E-2</v>
      </c>
      <c r="AD117" s="137">
        <v>44771</v>
      </c>
      <c r="AE117" s="137">
        <v>46013</v>
      </c>
      <c r="AF117" s="137">
        <v>46013</v>
      </c>
      <c r="AG117" s="138">
        <v>1243</v>
      </c>
      <c r="AH117" s="139" t="s">
        <v>10</v>
      </c>
      <c r="AI117" s="138">
        <v>722</v>
      </c>
      <c r="AJ117" s="140">
        <v>1.978082191780822</v>
      </c>
      <c r="AK117" s="184"/>
      <c r="AL117" s="188" t="s">
        <v>830</v>
      </c>
      <c r="AM117" s="197" t="s">
        <v>34</v>
      </c>
      <c r="AN117" s="198" t="s">
        <v>475</v>
      </c>
      <c r="AO117" s="58" t="s">
        <v>1061</v>
      </c>
      <c r="AP117" s="112"/>
      <c r="AQ117" s="272"/>
    </row>
    <row r="118" spans="1:45" s="293" customFormat="1" ht="39.950000000000003" customHeight="1" x14ac:dyDescent="0.2">
      <c r="A118" s="131" t="s">
        <v>841</v>
      </c>
      <c r="B118" s="337" t="s">
        <v>1437</v>
      </c>
      <c r="C118" s="337" t="s">
        <v>1143</v>
      </c>
      <c r="D118" s="133" t="s">
        <v>588</v>
      </c>
      <c r="E118" s="131" t="s">
        <v>542</v>
      </c>
      <c r="F118" s="145" t="s">
        <v>87</v>
      </c>
      <c r="G118" s="14" t="s">
        <v>102</v>
      </c>
      <c r="H118" s="14" t="s">
        <v>102</v>
      </c>
      <c r="I118" s="66" t="s">
        <v>122</v>
      </c>
      <c r="J118" s="133" t="s">
        <v>705</v>
      </c>
      <c r="K118" s="133" t="s">
        <v>220</v>
      </c>
      <c r="L118" s="168" t="s">
        <v>101</v>
      </c>
      <c r="M118" s="194" t="s">
        <v>191</v>
      </c>
      <c r="N118" s="134" t="s">
        <v>59</v>
      </c>
      <c r="O118" s="167" t="s">
        <v>43</v>
      </c>
      <c r="P118" s="65">
        <v>2</v>
      </c>
      <c r="Q118" s="167" t="s">
        <v>533</v>
      </c>
      <c r="R118" s="65" t="s">
        <v>534</v>
      </c>
      <c r="S118" s="135" t="s">
        <v>156</v>
      </c>
      <c r="T118" s="136">
        <v>28395.708893477342</v>
      </c>
      <c r="U118" s="62">
        <v>15000</v>
      </c>
      <c r="V118" s="136">
        <v>28395.708893477342</v>
      </c>
      <c r="W118" s="136">
        <v>449598.72414672456</v>
      </c>
      <c r="X118" s="136">
        <v>1139510.0676323315</v>
      </c>
      <c r="Y118" s="62" t="s">
        <v>16</v>
      </c>
      <c r="Z118" s="366">
        <v>0</v>
      </c>
      <c r="AA118" s="147" t="s">
        <v>11</v>
      </c>
      <c r="AB118" s="185">
        <v>1.4500000000000001E-2</v>
      </c>
      <c r="AC118" s="185">
        <v>8.5800000000000008E-3</v>
      </c>
      <c r="AD118" s="137">
        <v>44789</v>
      </c>
      <c r="AE118" s="137">
        <v>46680</v>
      </c>
      <c r="AF118" s="137">
        <v>46680</v>
      </c>
      <c r="AG118" s="138">
        <v>1892</v>
      </c>
      <c r="AH118" s="139" t="s">
        <v>10</v>
      </c>
      <c r="AI118" s="138">
        <v>1389</v>
      </c>
      <c r="AJ118" s="140">
        <v>3.8054794520547945</v>
      </c>
      <c r="AK118" s="184" t="s">
        <v>436</v>
      </c>
      <c r="AL118" s="188" t="s">
        <v>848</v>
      </c>
      <c r="AM118" s="197" t="s">
        <v>87</v>
      </c>
      <c r="AN118" s="198" t="s">
        <v>102</v>
      </c>
      <c r="AO118" s="58" t="s">
        <v>1062</v>
      </c>
      <c r="AP118" s="276"/>
      <c r="AQ118" s="272" t="s">
        <v>122</v>
      </c>
    </row>
    <row r="119" spans="1:45" ht="39.950000000000003" customHeight="1" x14ac:dyDescent="0.2">
      <c r="A119" s="131" t="s">
        <v>838</v>
      </c>
      <c r="B119" s="337" t="s">
        <v>1437</v>
      </c>
      <c r="C119" s="337" t="s">
        <v>1141</v>
      </c>
      <c r="D119" s="133" t="s">
        <v>211</v>
      </c>
      <c r="E119" s="131" t="s">
        <v>542</v>
      </c>
      <c r="F119" s="161" t="s">
        <v>211</v>
      </c>
      <c r="G119" s="131" t="s">
        <v>102</v>
      </c>
      <c r="H119" s="131" t="s">
        <v>102</v>
      </c>
      <c r="I119" s="131" t="s">
        <v>475</v>
      </c>
      <c r="J119" s="131" t="s">
        <v>844</v>
      </c>
      <c r="K119" s="192" t="s">
        <v>221</v>
      </c>
      <c r="L119" s="168" t="s">
        <v>101</v>
      </c>
      <c r="M119" s="194" t="s">
        <v>191</v>
      </c>
      <c r="N119" s="134" t="s">
        <v>59</v>
      </c>
      <c r="O119" s="167" t="s">
        <v>43</v>
      </c>
      <c r="P119" s="65">
        <v>2</v>
      </c>
      <c r="Q119" s="167" t="s">
        <v>538</v>
      </c>
      <c r="R119" s="270" t="s">
        <v>534</v>
      </c>
      <c r="S119" s="135" t="s">
        <v>59</v>
      </c>
      <c r="T119" s="136">
        <v>28005.237463995978</v>
      </c>
      <c r="U119" s="62">
        <v>17190.280999999999</v>
      </c>
      <c r="V119" s="136">
        <v>28005.237463995978</v>
      </c>
      <c r="W119" s="136">
        <v>53500</v>
      </c>
      <c r="X119" s="136">
        <v>1425162.4884073001</v>
      </c>
      <c r="Y119" s="136" t="s">
        <v>1342</v>
      </c>
      <c r="Z119" s="365">
        <v>0.15</v>
      </c>
      <c r="AA119" s="147" t="s">
        <v>11</v>
      </c>
      <c r="AB119" s="185">
        <v>0.02</v>
      </c>
      <c r="AC119" s="185">
        <v>1.0800000000000001E-2</v>
      </c>
      <c r="AD119" s="137">
        <v>44798</v>
      </c>
      <c r="AE119" s="137">
        <v>46614</v>
      </c>
      <c r="AF119" s="137">
        <v>46614</v>
      </c>
      <c r="AG119" s="138">
        <v>1817</v>
      </c>
      <c r="AH119" s="139" t="s">
        <v>10</v>
      </c>
      <c r="AI119" s="138">
        <v>1323</v>
      </c>
      <c r="AJ119" s="140">
        <v>3.6246575342465754</v>
      </c>
      <c r="AK119" s="184" t="s">
        <v>436</v>
      </c>
      <c r="AL119" s="188" t="s">
        <v>849</v>
      </c>
      <c r="AM119" s="323" t="s">
        <v>211</v>
      </c>
      <c r="AN119" s="324" t="s">
        <v>102</v>
      </c>
      <c r="AO119" s="58" t="s">
        <v>1063</v>
      </c>
      <c r="AP119" s="112"/>
      <c r="AQ119" s="272" t="s">
        <v>475</v>
      </c>
    </row>
    <row r="120" spans="1:45" ht="39.950000000000003" customHeight="1" x14ac:dyDescent="0.2">
      <c r="A120" s="131" t="s">
        <v>843</v>
      </c>
      <c r="B120" s="337" t="s">
        <v>1438</v>
      </c>
      <c r="C120" s="337" t="s">
        <v>1141</v>
      </c>
      <c r="D120" s="133" t="s">
        <v>34</v>
      </c>
      <c r="E120" s="131" t="s">
        <v>34</v>
      </c>
      <c r="F120" s="145" t="s">
        <v>34</v>
      </c>
      <c r="G120" s="131" t="s">
        <v>475</v>
      </c>
      <c r="H120" s="131" t="s">
        <v>440</v>
      </c>
      <c r="I120" s="131" t="s">
        <v>458</v>
      </c>
      <c r="J120" s="66" t="s">
        <v>232</v>
      </c>
      <c r="K120" s="192" t="s">
        <v>21</v>
      </c>
      <c r="L120" s="168" t="s">
        <v>209</v>
      </c>
      <c r="M120" s="194" t="s">
        <v>191</v>
      </c>
      <c r="N120" s="134" t="s">
        <v>323</v>
      </c>
      <c r="O120" s="167" t="s">
        <v>43</v>
      </c>
      <c r="P120" s="65">
        <v>3</v>
      </c>
      <c r="Q120" s="167" t="s">
        <v>538</v>
      </c>
      <c r="R120" s="65" t="s">
        <v>534</v>
      </c>
      <c r="S120" s="135" t="s">
        <v>8</v>
      </c>
      <c r="T120" s="136">
        <v>7550</v>
      </c>
      <c r="U120" s="62">
        <v>7550</v>
      </c>
      <c r="V120" s="136">
        <v>7550</v>
      </c>
      <c r="W120" s="136">
        <v>73300</v>
      </c>
      <c r="X120" s="136">
        <v>806324.17</v>
      </c>
      <c r="Y120" s="62" t="s">
        <v>16</v>
      </c>
      <c r="Z120" s="366">
        <v>0</v>
      </c>
      <c r="AA120" s="147" t="s">
        <v>11</v>
      </c>
      <c r="AB120" s="185">
        <v>3.7499999999999999E-2</v>
      </c>
      <c r="AC120" s="185">
        <v>2.3800000000000002E-2</v>
      </c>
      <c r="AD120" s="137">
        <v>44796</v>
      </c>
      <c r="AE120" s="137">
        <v>46416</v>
      </c>
      <c r="AF120" s="137">
        <v>46446</v>
      </c>
      <c r="AG120" s="138">
        <v>1651</v>
      </c>
      <c r="AH120" s="139" t="s">
        <v>10</v>
      </c>
      <c r="AI120" s="138">
        <v>1155</v>
      </c>
      <c r="AJ120" s="140">
        <v>3.1643835616438358</v>
      </c>
      <c r="AK120" s="184"/>
      <c r="AL120" s="188" t="s">
        <v>845</v>
      </c>
      <c r="AM120" s="197" t="s">
        <v>34</v>
      </c>
      <c r="AN120" s="198" t="s">
        <v>475</v>
      </c>
      <c r="AO120" s="58" t="s">
        <v>1064</v>
      </c>
      <c r="AP120" s="112"/>
      <c r="AQ120" s="272"/>
    </row>
    <row r="121" spans="1:45" ht="39.950000000000003" customHeight="1" x14ac:dyDescent="0.2">
      <c r="A121" s="131" t="s">
        <v>842</v>
      </c>
      <c r="B121" s="337" t="s">
        <v>1438</v>
      </c>
      <c r="C121" s="337" t="s">
        <v>1142</v>
      </c>
      <c r="D121" s="133" t="s">
        <v>162</v>
      </c>
      <c r="E121" s="131" t="s">
        <v>499</v>
      </c>
      <c r="F121" s="145" t="s">
        <v>162</v>
      </c>
      <c r="G121" s="131" t="s">
        <v>547</v>
      </c>
      <c r="H121" s="131" t="s">
        <v>265</v>
      </c>
      <c r="I121" s="131" t="s">
        <v>266</v>
      </c>
      <c r="J121" s="66" t="s">
        <v>561</v>
      </c>
      <c r="K121" s="192" t="s">
        <v>220</v>
      </c>
      <c r="L121" s="168" t="s">
        <v>29</v>
      </c>
      <c r="M121" s="194" t="s">
        <v>191</v>
      </c>
      <c r="N121" s="134" t="s">
        <v>59</v>
      </c>
      <c r="O121" s="167" t="s">
        <v>43</v>
      </c>
      <c r="P121" s="65">
        <v>2</v>
      </c>
      <c r="Q121" s="167" t="s">
        <v>538</v>
      </c>
      <c r="R121" s="65" t="s">
        <v>534</v>
      </c>
      <c r="S121" s="135" t="s">
        <v>9</v>
      </c>
      <c r="T121" s="136">
        <v>44644.57848367338</v>
      </c>
      <c r="U121" s="62">
        <v>30000</v>
      </c>
      <c r="V121" s="136">
        <v>44644.57848367338</v>
      </c>
      <c r="W121" s="136">
        <v>297630.52322448924</v>
      </c>
      <c r="X121" s="136">
        <v>2082185.9515446497</v>
      </c>
      <c r="Y121" s="62" t="s">
        <v>16</v>
      </c>
      <c r="Z121" s="366">
        <v>0</v>
      </c>
      <c r="AA121" s="147" t="s">
        <v>11</v>
      </c>
      <c r="AB121" s="185">
        <v>0.02</v>
      </c>
      <c r="AC121" s="185">
        <v>9.5999999999999992E-3</v>
      </c>
      <c r="AD121" s="137">
        <v>44796</v>
      </c>
      <c r="AE121" s="137">
        <v>46583</v>
      </c>
      <c r="AF121" s="137">
        <v>46583</v>
      </c>
      <c r="AG121" s="138">
        <v>1788</v>
      </c>
      <c r="AH121" s="139" t="s">
        <v>10</v>
      </c>
      <c r="AI121" s="138">
        <v>1292</v>
      </c>
      <c r="AJ121" s="140">
        <v>3.5397260273972604</v>
      </c>
      <c r="AK121" s="184" t="s">
        <v>436</v>
      </c>
      <c r="AL121" s="188" t="s">
        <v>384</v>
      </c>
      <c r="AM121" s="197" t="s">
        <v>162</v>
      </c>
      <c r="AN121" s="198" t="s">
        <v>547</v>
      </c>
      <c r="AO121" s="58" t="s">
        <v>1065</v>
      </c>
      <c r="AP121" s="112"/>
      <c r="AQ121" s="272"/>
    </row>
    <row r="122" spans="1:45" ht="39.950000000000003" customHeight="1" x14ac:dyDescent="0.2">
      <c r="A122" s="131" t="s">
        <v>840</v>
      </c>
      <c r="B122" s="337" t="s">
        <v>1437</v>
      </c>
      <c r="C122" s="337" t="s">
        <v>1144</v>
      </c>
      <c r="D122" s="133" t="s">
        <v>119</v>
      </c>
      <c r="E122" s="131" t="s">
        <v>542</v>
      </c>
      <c r="F122" s="145" t="s">
        <v>119</v>
      </c>
      <c r="G122" s="131" t="s">
        <v>102</v>
      </c>
      <c r="H122" s="131" t="s">
        <v>102</v>
      </c>
      <c r="I122" s="131" t="s">
        <v>474</v>
      </c>
      <c r="J122" s="66" t="s">
        <v>264</v>
      </c>
      <c r="K122" s="192" t="s">
        <v>221</v>
      </c>
      <c r="L122" s="168" t="s">
        <v>101</v>
      </c>
      <c r="M122" s="194" t="s">
        <v>191</v>
      </c>
      <c r="N122" s="134" t="s">
        <v>59</v>
      </c>
      <c r="O122" s="167" t="s">
        <v>43</v>
      </c>
      <c r="P122" s="65">
        <v>2</v>
      </c>
      <c r="Q122" s="167" t="s">
        <v>538</v>
      </c>
      <c r="R122" s="65" t="s">
        <v>534</v>
      </c>
      <c r="S122" s="135" t="s">
        <v>59</v>
      </c>
      <c r="T122" s="136">
        <v>21178.716452159668</v>
      </c>
      <c r="U122" s="62">
        <v>13000</v>
      </c>
      <c r="V122" s="136">
        <v>21178.716452159668</v>
      </c>
      <c r="W122" s="136">
        <v>163190.15592406414</v>
      </c>
      <c r="X122" s="136">
        <v>1127949.1843295288</v>
      </c>
      <c r="Y122" s="62" t="s">
        <v>1342</v>
      </c>
      <c r="Z122" s="366">
        <v>0.15</v>
      </c>
      <c r="AA122" s="147" t="s">
        <v>11</v>
      </c>
      <c r="AB122" s="185">
        <v>2.3E-2</v>
      </c>
      <c r="AC122" s="185">
        <v>1.495E-2</v>
      </c>
      <c r="AD122" s="137">
        <v>44798</v>
      </c>
      <c r="AE122" s="137">
        <v>46385</v>
      </c>
      <c r="AF122" s="137">
        <v>46399</v>
      </c>
      <c r="AG122" s="138">
        <v>1602</v>
      </c>
      <c r="AH122" s="139" t="s">
        <v>10</v>
      </c>
      <c r="AI122" s="138">
        <v>1108</v>
      </c>
      <c r="AJ122" s="140">
        <v>3.0356164383561643</v>
      </c>
      <c r="AK122" s="184"/>
      <c r="AL122" s="188" t="s">
        <v>847</v>
      </c>
      <c r="AM122" s="197" t="s">
        <v>119</v>
      </c>
      <c r="AN122" s="198" t="s">
        <v>102</v>
      </c>
      <c r="AO122" s="58" t="s">
        <v>1066</v>
      </c>
      <c r="AP122" s="112"/>
      <c r="AQ122" s="272" t="s">
        <v>122</v>
      </c>
    </row>
    <row r="123" spans="1:45" ht="39.950000000000003" customHeight="1" x14ac:dyDescent="0.2">
      <c r="A123" s="131" t="s">
        <v>839</v>
      </c>
      <c r="B123" s="337" t="s">
        <v>23</v>
      </c>
      <c r="C123" s="337" t="s">
        <v>1142</v>
      </c>
      <c r="D123" s="133" t="s">
        <v>684</v>
      </c>
      <c r="E123" s="131" t="s">
        <v>542</v>
      </c>
      <c r="F123" s="145" t="s">
        <v>127</v>
      </c>
      <c r="G123" s="131" t="s">
        <v>173</v>
      </c>
      <c r="H123" s="131" t="s">
        <v>316</v>
      </c>
      <c r="I123" s="131" t="s">
        <v>851</v>
      </c>
      <c r="J123" s="66" t="s">
        <v>165</v>
      </c>
      <c r="K123" s="192" t="s">
        <v>220</v>
      </c>
      <c r="L123" s="168" t="s">
        <v>29</v>
      </c>
      <c r="M123" s="194" t="s">
        <v>191</v>
      </c>
      <c r="N123" s="134" t="s">
        <v>59</v>
      </c>
      <c r="O123" s="167" t="s">
        <v>43</v>
      </c>
      <c r="P123" s="65">
        <v>2</v>
      </c>
      <c r="Q123" s="167" t="s">
        <v>538</v>
      </c>
      <c r="R123" s="65" t="s">
        <v>534</v>
      </c>
      <c r="S123" s="135" t="s">
        <v>59</v>
      </c>
      <c r="T123" s="136">
        <v>17105.886365205886</v>
      </c>
      <c r="U123" s="62">
        <v>10500</v>
      </c>
      <c r="V123" s="136">
        <v>17105.886365205886</v>
      </c>
      <c r="W123" s="136">
        <v>32582.640695630256</v>
      </c>
      <c r="X123" s="136">
        <v>1566129.3610011432</v>
      </c>
      <c r="Y123" s="62" t="s">
        <v>16</v>
      </c>
      <c r="Z123" s="366">
        <v>0</v>
      </c>
      <c r="AA123" s="147" t="s">
        <v>11</v>
      </c>
      <c r="AB123" s="185">
        <v>2.2499999999999999E-2</v>
      </c>
      <c r="AC123" s="185">
        <v>1.5075E-2</v>
      </c>
      <c r="AD123" s="137">
        <v>44798</v>
      </c>
      <c r="AE123" s="137">
        <v>47050</v>
      </c>
      <c r="AF123" s="137">
        <v>47050</v>
      </c>
      <c r="AG123" s="138">
        <v>2253</v>
      </c>
      <c r="AH123" s="139" t="s">
        <v>10</v>
      </c>
      <c r="AI123" s="138">
        <v>1759</v>
      </c>
      <c r="AJ123" s="140">
        <v>4.8191780821917805</v>
      </c>
      <c r="AK123" s="184"/>
      <c r="AL123" s="188" t="s">
        <v>846</v>
      </c>
      <c r="AM123" s="197" t="s">
        <v>127</v>
      </c>
      <c r="AN123" s="198" t="s">
        <v>173</v>
      </c>
      <c r="AO123" s="58" t="s">
        <v>1067</v>
      </c>
      <c r="AP123" s="112"/>
      <c r="AQ123" s="272"/>
    </row>
    <row r="124" spans="1:45" ht="39.950000000000003" customHeight="1" x14ac:dyDescent="0.2">
      <c r="A124" s="131" t="s">
        <v>837</v>
      </c>
      <c r="B124" s="337" t="s">
        <v>23</v>
      </c>
      <c r="C124" s="337" t="s">
        <v>243</v>
      </c>
      <c r="D124" s="133" t="s">
        <v>119</v>
      </c>
      <c r="E124" s="131" t="s">
        <v>542</v>
      </c>
      <c r="F124" s="145" t="s">
        <v>119</v>
      </c>
      <c r="G124" s="131" t="s">
        <v>233</v>
      </c>
      <c r="H124" s="131" t="s">
        <v>443</v>
      </c>
      <c r="I124" s="131" t="s">
        <v>234</v>
      </c>
      <c r="J124" s="66" t="s">
        <v>745</v>
      </c>
      <c r="K124" s="192" t="s">
        <v>220</v>
      </c>
      <c r="L124" s="168" t="s">
        <v>29</v>
      </c>
      <c r="M124" s="194" t="s">
        <v>191</v>
      </c>
      <c r="N124" s="134" t="s">
        <v>59</v>
      </c>
      <c r="O124" s="167" t="s">
        <v>43</v>
      </c>
      <c r="P124" s="65">
        <v>2</v>
      </c>
      <c r="Q124" s="167" t="s">
        <v>875</v>
      </c>
      <c r="R124" s="65" t="s">
        <v>534</v>
      </c>
      <c r="S124" s="135" t="s">
        <v>59</v>
      </c>
      <c r="T124" s="136">
        <v>16291.320347815128</v>
      </c>
      <c r="U124" s="62">
        <v>10000</v>
      </c>
      <c r="V124" s="136">
        <v>16291.320347815128</v>
      </c>
      <c r="W124" s="136">
        <v>1156683.7446948742</v>
      </c>
      <c r="X124" s="136">
        <v>1751129.9781978147</v>
      </c>
      <c r="Y124" s="62" t="s">
        <v>16</v>
      </c>
      <c r="Z124" s="366">
        <v>0</v>
      </c>
      <c r="AA124" s="147" t="s">
        <v>11</v>
      </c>
      <c r="AB124" s="185">
        <v>2.2499999999999999E-2</v>
      </c>
      <c r="AC124" s="185">
        <v>1.44E-2</v>
      </c>
      <c r="AD124" s="137">
        <v>44788</v>
      </c>
      <c r="AE124" s="137">
        <v>47163</v>
      </c>
      <c r="AF124" s="137">
        <v>47191</v>
      </c>
      <c r="AG124" s="138">
        <v>2404</v>
      </c>
      <c r="AH124" s="139" t="s">
        <v>10</v>
      </c>
      <c r="AI124" s="138">
        <v>1900</v>
      </c>
      <c r="AJ124" s="140">
        <v>5.2054794520547949</v>
      </c>
      <c r="AK124" s="184"/>
      <c r="AL124" s="188" t="s">
        <v>1381</v>
      </c>
      <c r="AM124" s="197" t="s">
        <v>119</v>
      </c>
      <c r="AN124" s="198" t="s">
        <v>233</v>
      </c>
      <c r="AO124" s="58" t="s">
        <v>1068</v>
      </c>
      <c r="AP124" s="112"/>
      <c r="AQ124" s="272"/>
    </row>
    <row r="125" spans="1:45" ht="39.950000000000003" customHeight="1" x14ac:dyDescent="0.2">
      <c r="A125" s="131" t="s">
        <v>854</v>
      </c>
      <c r="B125" s="337" t="s">
        <v>67</v>
      </c>
      <c r="C125" s="337" t="s">
        <v>243</v>
      </c>
      <c r="D125" s="133" t="s">
        <v>588</v>
      </c>
      <c r="E125" s="131" t="s">
        <v>499</v>
      </c>
      <c r="F125" s="145" t="s">
        <v>162</v>
      </c>
      <c r="G125" s="131" t="s">
        <v>891</v>
      </c>
      <c r="H125" s="131" t="s">
        <v>115</v>
      </c>
      <c r="I125" s="131" t="s">
        <v>115</v>
      </c>
      <c r="J125" s="66" t="s">
        <v>589</v>
      </c>
      <c r="K125" s="192" t="s">
        <v>218</v>
      </c>
      <c r="L125" s="168" t="s">
        <v>209</v>
      </c>
      <c r="M125" s="194" t="s">
        <v>191</v>
      </c>
      <c r="N125" s="134" t="s">
        <v>59</v>
      </c>
      <c r="O125" s="167" t="s">
        <v>43</v>
      </c>
      <c r="P125" s="65">
        <v>4</v>
      </c>
      <c r="Q125" s="167" t="s">
        <v>538</v>
      </c>
      <c r="R125" s="65" t="s">
        <v>534</v>
      </c>
      <c r="S125" s="135" t="s">
        <v>9</v>
      </c>
      <c r="T125" s="136">
        <v>31037.283000003765</v>
      </c>
      <c r="U125" s="62">
        <v>20743.75</v>
      </c>
      <c r="V125" s="136">
        <v>30869.865830689992</v>
      </c>
      <c r="W125" s="136">
        <v>44644.57848367338</v>
      </c>
      <c r="X125" s="136">
        <v>1552041.0913462453</v>
      </c>
      <c r="Y125" s="62" t="s">
        <v>16</v>
      </c>
      <c r="Z125" s="366">
        <v>0</v>
      </c>
      <c r="AA125" s="147" t="s">
        <v>11</v>
      </c>
      <c r="AB125" s="185">
        <v>0.05</v>
      </c>
      <c r="AC125" s="185">
        <v>9.1000000000000004E-3</v>
      </c>
      <c r="AD125" s="137">
        <v>44806</v>
      </c>
      <c r="AE125" s="137">
        <v>46338</v>
      </c>
      <c r="AF125" s="137">
        <v>46355</v>
      </c>
      <c r="AG125" s="138">
        <v>1550</v>
      </c>
      <c r="AH125" s="139" t="s">
        <v>10</v>
      </c>
      <c r="AI125" s="138">
        <v>1064</v>
      </c>
      <c r="AJ125" s="140">
        <v>2.9150684931506849</v>
      </c>
      <c r="AK125" s="184" t="s">
        <v>436</v>
      </c>
      <c r="AL125" s="188" t="s">
        <v>853</v>
      </c>
      <c r="AM125" s="197" t="s">
        <v>162</v>
      </c>
      <c r="AN125" s="198" t="s">
        <v>891</v>
      </c>
      <c r="AO125" s="58" t="s">
        <v>922</v>
      </c>
      <c r="AP125" s="112"/>
      <c r="AQ125" s="272"/>
    </row>
    <row r="126" spans="1:45" ht="39.950000000000003" customHeight="1" x14ac:dyDescent="0.2">
      <c r="A126" s="131" t="s">
        <v>857</v>
      </c>
      <c r="B126" s="337" t="s">
        <v>23</v>
      </c>
      <c r="C126" s="337" t="s">
        <v>1144</v>
      </c>
      <c r="D126" s="133" t="s">
        <v>34</v>
      </c>
      <c r="E126" s="131" t="s">
        <v>34</v>
      </c>
      <c r="F126" s="145" t="s">
        <v>34</v>
      </c>
      <c r="G126" s="131" t="s">
        <v>544</v>
      </c>
      <c r="H126" s="131" t="s">
        <v>178</v>
      </c>
      <c r="I126" s="131" t="s">
        <v>177</v>
      </c>
      <c r="J126" s="66" t="s">
        <v>70</v>
      </c>
      <c r="K126" s="192" t="s">
        <v>218</v>
      </c>
      <c r="L126" s="168" t="s">
        <v>209</v>
      </c>
      <c r="M126" s="194" t="s">
        <v>191</v>
      </c>
      <c r="N126" s="134" t="s">
        <v>323</v>
      </c>
      <c r="O126" s="167" t="s">
        <v>43</v>
      </c>
      <c r="P126" s="65">
        <v>4</v>
      </c>
      <c r="Q126" s="167" t="s">
        <v>531</v>
      </c>
      <c r="R126" s="65" t="s">
        <v>534</v>
      </c>
      <c r="S126" s="135" t="s">
        <v>8</v>
      </c>
      <c r="T126" s="136">
        <v>20000</v>
      </c>
      <c r="U126" s="62">
        <v>20000</v>
      </c>
      <c r="V126" s="136">
        <v>20000</v>
      </c>
      <c r="W126" s="136">
        <v>100000</v>
      </c>
      <c r="X126" s="136">
        <v>2846047.51</v>
      </c>
      <c r="Y126" s="62" t="s">
        <v>16</v>
      </c>
      <c r="Z126" s="366">
        <v>0</v>
      </c>
      <c r="AA126" s="147" t="s">
        <v>11</v>
      </c>
      <c r="AB126" s="185">
        <v>6.5000000000000002E-2</v>
      </c>
      <c r="AC126" s="185">
        <v>3.9E-2</v>
      </c>
      <c r="AD126" s="137">
        <v>44810</v>
      </c>
      <c r="AE126" s="137">
        <v>46476</v>
      </c>
      <c r="AF126" s="137">
        <v>46498</v>
      </c>
      <c r="AG126" s="138">
        <v>1689</v>
      </c>
      <c r="AH126" s="139" t="s">
        <v>10</v>
      </c>
      <c r="AI126" s="138">
        <v>1207</v>
      </c>
      <c r="AJ126" s="140">
        <v>3.3068493150684932</v>
      </c>
      <c r="AK126" s="184"/>
      <c r="AL126" s="188" t="s">
        <v>855</v>
      </c>
      <c r="AM126" s="197" t="s">
        <v>34</v>
      </c>
      <c r="AN126" s="198" t="s">
        <v>544</v>
      </c>
      <c r="AO126" s="58" t="s">
        <v>921</v>
      </c>
      <c r="AP126" s="112"/>
      <c r="AQ126" s="272"/>
    </row>
    <row r="127" spans="1:45" ht="39.950000000000003" customHeight="1" x14ac:dyDescent="0.2">
      <c r="A127" s="131" t="s">
        <v>858</v>
      </c>
      <c r="B127" s="337" t="s">
        <v>307</v>
      </c>
      <c r="C127" s="337" t="s">
        <v>1143</v>
      </c>
      <c r="D127" s="133" t="s">
        <v>34</v>
      </c>
      <c r="E127" s="131" t="s">
        <v>34</v>
      </c>
      <c r="F127" s="145" t="s">
        <v>295</v>
      </c>
      <c r="G127" s="131" t="s">
        <v>92</v>
      </c>
      <c r="H127" s="131" t="s">
        <v>108</v>
      </c>
      <c r="I127" s="131" t="s">
        <v>109</v>
      </c>
      <c r="J127" s="66" t="s">
        <v>70</v>
      </c>
      <c r="K127" s="192" t="s">
        <v>218</v>
      </c>
      <c r="L127" s="168" t="s">
        <v>209</v>
      </c>
      <c r="M127" s="194" t="s">
        <v>191</v>
      </c>
      <c r="N127" s="134" t="s">
        <v>323</v>
      </c>
      <c r="O127" s="167" t="s">
        <v>43</v>
      </c>
      <c r="P127" s="65">
        <v>2</v>
      </c>
      <c r="Q127" s="167" t="s">
        <v>538</v>
      </c>
      <c r="R127" s="65" t="s">
        <v>534</v>
      </c>
      <c r="S127" s="135" t="s">
        <v>297</v>
      </c>
      <c r="T127" s="136">
        <v>17446.04264668842</v>
      </c>
      <c r="U127" s="62">
        <v>18750</v>
      </c>
      <c r="V127" s="136">
        <v>17446.04264668842</v>
      </c>
      <c r="W127" s="136">
        <v>100023.97784101361</v>
      </c>
      <c r="X127" s="136">
        <v>1984677.4524460421</v>
      </c>
      <c r="Y127" s="62" t="s">
        <v>16</v>
      </c>
      <c r="Z127" s="366">
        <v>0</v>
      </c>
      <c r="AA127" s="147" t="s">
        <v>11</v>
      </c>
      <c r="AB127" s="185">
        <v>3.7499999999999999E-2</v>
      </c>
      <c r="AC127" s="185">
        <v>1.5100000000000001E-2</v>
      </c>
      <c r="AD127" s="137">
        <v>44820</v>
      </c>
      <c r="AE127" s="137">
        <v>47247</v>
      </c>
      <c r="AF127" s="137">
        <v>47269</v>
      </c>
      <c r="AG127" s="138">
        <v>2450</v>
      </c>
      <c r="AH127" s="139" t="s">
        <v>10</v>
      </c>
      <c r="AI127" s="138">
        <v>1978</v>
      </c>
      <c r="AJ127" s="140">
        <v>5.419178082191781</v>
      </c>
      <c r="AK127" s="184"/>
      <c r="AL127" s="188" t="s">
        <v>856</v>
      </c>
      <c r="AM127" s="197" t="s">
        <v>295</v>
      </c>
      <c r="AN127" s="198" t="s">
        <v>92</v>
      </c>
      <c r="AO127" s="58" t="s">
        <v>920</v>
      </c>
      <c r="AP127" s="112"/>
      <c r="AQ127" s="272"/>
    </row>
    <row r="128" spans="1:45" ht="39.950000000000003" customHeight="1" x14ac:dyDescent="0.2">
      <c r="A128" s="131" t="s">
        <v>859</v>
      </c>
      <c r="B128" s="337" t="s">
        <v>1336</v>
      </c>
      <c r="C128" s="337" t="s">
        <v>1143</v>
      </c>
      <c r="D128" s="133" t="s">
        <v>34</v>
      </c>
      <c r="E128" s="131" t="s">
        <v>34</v>
      </c>
      <c r="F128" s="145" t="s">
        <v>295</v>
      </c>
      <c r="G128" s="131" t="s">
        <v>475</v>
      </c>
      <c r="H128" s="131" t="s">
        <v>227</v>
      </c>
      <c r="I128" s="131" t="s">
        <v>228</v>
      </c>
      <c r="J128" s="66" t="s">
        <v>860</v>
      </c>
      <c r="K128" s="192" t="s">
        <v>220</v>
      </c>
      <c r="L128" s="168" t="s">
        <v>209</v>
      </c>
      <c r="M128" s="194" t="s">
        <v>191</v>
      </c>
      <c r="N128" s="134" t="s">
        <v>323</v>
      </c>
      <c r="O128" s="167" t="s">
        <v>43</v>
      </c>
      <c r="P128" s="65">
        <v>2</v>
      </c>
      <c r="Q128" s="167" t="s">
        <v>531</v>
      </c>
      <c r="R128" s="65" t="s">
        <v>534</v>
      </c>
      <c r="S128" s="135" t="s">
        <v>297</v>
      </c>
      <c r="T128" s="136">
        <v>9304.5560782338234</v>
      </c>
      <c r="U128" s="62">
        <v>10000</v>
      </c>
      <c r="V128" s="136">
        <v>9304.5560782338234</v>
      </c>
      <c r="W128" s="136">
        <v>46522.780391169115</v>
      </c>
      <c r="X128" s="136">
        <v>698932.36732191523</v>
      </c>
      <c r="Y128" s="62" t="s">
        <v>16</v>
      </c>
      <c r="Z128" s="366">
        <v>0</v>
      </c>
      <c r="AA128" s="147" t="s">
        <v>11</v>
      </c>
      <c r="AB128" s="185">
        <v>3.2500000000000001E-2</v>
      </c>
      <c r="AC128" s="185">
        <v>2.1125000000000001E-2</v>
      </c>
      <c r="AD128" s="137">
        <v>44834</v>
      </c>
      <c r="AE128" s="137">
        <v>46555</v>
      </c>
      <c r="AF128" s="137">
        <v>46598</v>
      </c>
      <c r="AG128" s="138">
        <v>1765</v>
      </c>
      <c r="AH128" s="139" t="s">
        <v>10</v>
      </c>
      <c r="AI128" s="138">
        <v>1307</v>
      </c>
      <c r="AJ128" s="140">
        <v>3.580821917808219</v>
      </c>
      <c r="AK128" s="184"/>
      <c r="AL128" s="188" t="s">
        <v>861</v>
      </c>
      <c r="AM128" s="197" t="s">
        <v>295</v>
      </c>
      <c r="AN128" s="198" t="s">
        <v>475</v>
      </c>
      <c r="AO128" s="58" t="s">
        <v>919</v>
      </c>
      <c r="AP128" s="112"/>
      <c r="AQ128" s="272"/>
    </row>
    <row r="129" spans="1:45" ht="39.950000000000003" customHeight="1" x14ac:dyDescent="0.2">
      <c r="A129" s="131" t="s">
        <v>862</v>
      </c>
      <c r="B129" s="337" t="s">
        <v>23</v>
      </c>
      <c r="C129" s="337" t="s">
        <v>1141</v>
      </c>
      <c r="D129" s="133" t="s">
        <v>38</v>
      </c>
      <c r="E129" s="131" t="s">
        <v>541</v>
      </c>
      <c r="F129" s="145" t="s">
        <v>38</v>
      </c>
      <c r="G129" s="131" t="s">
        <v>48</v>
      </c>
      <c r="H129" s="131" t="s">
        <v>95</v>
      </c>
      <c r="I129" s="131" t="s">
        <v>447</v>
      </c>
      <c r="J129" s="66" t="s">
        <v>32</v>
      </c>
      <c r="K129" s="192" t="s">
        <v>33</v>
      </c>
      <c r="L129" s="168" t="s">
        <v>140</v>
      </c>
      <c r="M129" s="194" t="s">
        <v>191</v>
      </c>
      <c r="N129" s="134" t="s">
        <v>323</v>
      </c>
      <c r="O129" s="167" t="s">
        <v>43</v>
      </c>
      <c r="P129" s="65">
        <v>3</v>
      </c>
      <c r="Q129" s="167" t="s">
        <v>531</v>
      </c>
      <c r="R129" s="65" t="s">
        <v>534</v>
      </c>
      <c r="S129" s="135" t="s">
        <v>9</v>
      </c>
      <c r="T129" s="136">
        <v>14881.526161224461</v>
      </c>
      <c r="U129" s="62">
        <v>10000</v>
      </c>
      <c r="V129" s="136">
        <v>14881.526161224461</v>
      </c>
      <c r="W129" s="136">
        <v>29763.052322448922</v>
      </c>
      <c r="X129" s="136">
        <v>1690133.4841645455</v>
      </c>
      <c r="Y129" s="62" t="s">
        <v>1295</v>
      </c>
      <c r="Z129" s="366">
        <v>0.15</v>
      </c>
      <c r="AA129" s="147" t="s">
        <v>11</v>
      </c>
      <c r="AB129" s="185">
        <v>5.5E-2</v>
      </c>
      <c r="AC129" s="185">
        <v>3.5750000000000004E-2</v>
      </c>
      <c r="AD129" s="137">
        <v>44820</v>
      </c>
      <c r="AE129" s="137">
        <v>46973</v>
      </c>
      <c r="AF129" s="137">
        <v>47004</v>
      </c>
      <c r="AG129" s="138">
        <v>2185</v>
      </c>
      <c r="AH129" s="139" t="s">
        <v>10</v>
      </c>
      <c r="AI129" s="138">
        <v>1713</v>
      </c>
      <c r="AJ129" s="140">
        <v>4.6931506849315072</v>
      </c>
      <c r="AK129" s="184"/>
      <c r="AL129" s="188" t="s">
        <v>1382</v>
      </c>
      <c r="AM129" s="197" t="s">
        <v>38</v>
      </c>
      <c r="AN129" s="198" t="s">
        <v>48</v>
      </c>
      <c r="AO129" s="58" t="s">
        <v>918</v>
      </c>
      <c r="AP129" s="112"/>
      <c r="AQ129" s="272"/>
    </row>
    <row r="130" spans="1:45" ht="39.950000000000003" customHeight="1" x14ac:dyDescent="0.2">
      <c r="A130" s="131" t="s">
        <v>864</v>
      </c>
      <c r="B130" s="337" t="s">
        <v>23</v>
      </c>
      <c r="C130" s="337" t="s">
        <v>1143</v>
      </c>
      <c r="D130" s="133" t="s">
        <v>149</v>
      </c>
      <c r="E130" s="131" t="s">
        <v>542</v>
      </c>
      <c r="F130" s="145" t="s">
        <v>127</v>
      </c>
      <c r="G130" s="131" t="s">
        <v>102</v>
      </c>
      <c r="H130" s="131" t="s">
        <v>102</v>
      </c>
      <c r="I130" s="131" t="s">
        <v>122</v>
      </c>
      <c r="J130" s="66" t="s">
        <v>148</v>
      </c>
      <c r="K130" s="192" t="s">
        <v>148</v>
      </c>
      <c r="L130" s="168" t="s">
        <v>101</v>
      </c>
      <c r="M130" s="194" t="s">
        <v>191</v>
      </c>
      <c r="N130" s="134" t="s">
        <v>59</v>
      </c>
      <c r="O130" s="167" t="s">
        <v>43</v>
      </c>
      <c r="P130" s="65">
        <v>4</v>
      </c>
      <c r="Q130" s="167" t="s">
        <v>531</v>
      </c>
      <c r="R130" s="65" t="s">
        <v>534</v>
      </c>
      <c r="S130" s="135" t="s">
        <v>59</v>
      </c>
      <c r="T130" s="136">
        <v>21178.716452159668</v>
      </c>
      <c r="U130" s="62">
        <v>13000</v>
      </c>
      <c r="V130" s="136">
        <v>21178.716452159668</v>
      </c>
      <c r="W130" s="136">
        <v>187350.18399987399</v>
      </c>
      <c r="X130" s="136">
        <v>836722.21306378499</v>
      </c>
      <c r="Y130" s="62" t="s">
        <v>1359</v>
      </c>
      <c r="Z130" s="366">
        <v>0.2</v>
      </c>
      <c r="AA130" s="147" t="s">
        <v>11</v>
      </c>
      <c r="AB130" s="185">
        <v>1.7999999999999999E-2</v>
      </c>
      <c r="AC130" s="185">
        <v>1.0799999999999999E-2</v>
      </c>
      <c r="AD130" s="137">
        <v>44832</v>
      </c>
      <c r="AE130" s="137">
        <v>46505</v>
      </c>
      <c r="AF130" s="137">
        <v>46505</v>
      </c>
      <c r="AG130" s="138">
        <v>1674</v>
      </c>
      <c r="AH130" s="139" t="s">
        <v>10</v>
      </c>
      <c r="AI130" s="138">
        <v>1214</v>
      </c>
      <c r="AJ130" s="140">
        <v>3.3260273972602739</v>
      </c>
      <c r="AK130" s="184"/>
      <c r="AL130" s="188" t="s">
        <v>1383</v>
      </c>
      <c r="AM130" s="197" t="s">
        <v>127</v>
      </c>
      <c r="AN130" s="198" t="s">
        <v>102</v>
      </c>
      <c r="AO130" s="58" t="s">
        <v>923</v>
      </c>
      <c r="AP130" s="112"/>
      <c r="AQ130" s="272" t="s">
        <v>122</v>
      </c>
    </row>
    <row r="131" spans="1:45" s="229" customFormat="1" ht="39.950000000000003" customHeight="1" x14ac:dyDescent="0.2">
      <c r="A131" s="131" t="s">
        <v>943</v>
      </c>
      <c r="B131" s="337" t="s">
        <v>1336</v>
      </c>
      <c r="C131" s="337" t="s">
        <v>1142</v>
      </c>
      <c r="D131" s="133" t="s">
        <v>34</v>
      </c>
      <c r="E131" s="131" t="s">
        <v>34</v>
      </c>
      <c r="F131" s="145" t="s">
        <v>34</v>
      </c>
      <c r="G131" s="131" t="s">
        <v>104</v>
      </c>
      <c r="H131" s="131" t="s">
        <v>111</v>
      </c>
      <c r="I131" s="131" t="s">
        <v>112</v>
      </c>
      <c r="J131" s="133" t="s">
        <v>70</v>
      </c>
      <c r="K131" s="192" t="s">
        <v>218</v>
      </c>
      <c r="L131" s="168" t="s">
        <v>29</v>
      </c>
      <c r="M131" s="194" t="s">
        <v>191</v>
      </c>
      <c r="N131" s="134" t="s">
        <v>323</v>
      </c>
      <c r="O131" s="167" t="s">
        <v>43</v>
      </c>
      <c r="P131" s="270">
        <v>4</v>
      </c>
      <c r="Q131" s="167" t="s">
        <v>538</v>
      </c>
      <c r="R131" s="270" t="s">
        <v>534</v>
      </c>
      <c r="S131" s="135" t="s">
        <v>8</v>
      </c>
      <c r="T131" s="136">
        <v>11847.6</v>
      </c>
      <c r="U131" s="62">
        <v>11847.6</v>
      </c>
      <c r="V131" s="136">
        <v>11847.6</v>
      </c>
      <c r="W131" s="136">
        <v>45000</v>
      </c>
      <c r="X131" s="136">
        <v>1304079.4100000001</v>
      </c>
      <c r="Y131" s="62" t="s">
        <v>16</v>
      </c>
      <c r="Z131" s="366">
        <v>0</v>
      </c>
      <c r="AA131" s="147" t="s">
        <v>11</v>
      </c>
      <c r="AB131" s="185">
        <v>0.10249999999999999</v>
      </c>
      <c r="AC131" s="185">
        <v>6.1499999999999992E-2</v>
      </c>
      <c r="AD131" s="137">
        <v>44827</v>
      </c>
      <c r="AE131" s="137">
        <v>45858</v>
      </c>
      <c r="AF131" s="137">
        <v>45877</v>
      </c>
      <c r="AG131" s="138">
        <v>1051</v>
      </c>
      <c r="AH131" s="139" t="s">
        <v>10</v>
      </c>
      <c r="AI131" s="138">
        <v>586</v>
      </c>
      <c r="AJ131" s="140">
        <v>1.6054794520547946</v>
      </c>
      <c r="AK131" s="184"/>
      <c r="AL131" s="188" t="s">
        <v>866</v>
      </c>
      <c r="AM131" s="323" t="s">
        <v>34</v>
      </c>
      <c r="AN131" s="324" t="s">
        <v>104</v>
      </c>
      <c r="AO131" s="272" t="s">
        <v>914</v>
      </c>
      <c r="AP131" s="276"/>
      <c r="AQ131" s="272"/>
    </row>
    <row r="132" spans="1:45" ht="39.950000000000003" customHeight="1" x14ac:dyDescent="0.2">
      <c r="A132" s="131" t="s">
        <v>867</v>
      </c>
      <c r="B132" s="337" t="s">
        <v>67</v>
      </c>
      <c r="C132" s="337" t="s">
        <v>243</v>
      </c>
      <c r="D132" s="133" t="s">
        <v>684</v>
      </c>
      <c r="E132" s="131" t="s">
        <v>542</v>
      </c>
      <c r="F132" s="145" t="s">
        <v>127</v>
      </c>
      <c r="G132" s="131" t="s">
        <v>891</v>
      </c>
      <c r="H132" s="131" t="s">
        <v>167</v>
      </c>
      <c r="I132" s="131" t="s">
        <v>167</v>
      </c>
      <c r="J132" s="66" t="s">
        <v>677</v>
      </c>
      <c r="K132" s="192" t="s">
        <v>218</v>
      </c>
      <c r="L132" s="168" t="s">
        <v>140</v>
      </c>
      <c r="M132" s="194" t="s">
        <v>191</v>
      </c>
      <c r="N132" s="134" t="s">
        <v>59</v>
      </c>
      <c r="O132" s="167" t="s">
        <v>43</v>
      </c>
      <c r="P132" s="65">
        <v>3</v>
      </c>
      <c r="Q132" s="167" t="s">
        <v>538</v>
      </c>
      <c r="R132" s="65" t="s">
        <v>534</v>
      </c>
      <c r="S132" s="135" t="s">
        <v>59</v>
      </c>
      <c r="T132" s="136">
        <v>12218.490260861347</v>
      </c>
      <c r="U132" s="62">
        <v>7500</v>
      </c>
      <c r="V132" s="136">
        <v>12218.490260861347</v>
      </c>
      <c r="W132" s="136">
        <v>162913.20347815129</v>
      </c>
      <c r="X132" s="136">
        <v>2194385.3300309521</v>
      </c>
      <c r="Y132" s="62" t="s">
        <v>16</v>
      </c>
      <c r="Z132" s="366">
        <v>0</v>
      </c>
      <c r="AA132" s="147" t="s">
        <v>11</v>
      </c>
      <c r="AB132" s="185">
        <v>7.4999999999999997E-2</v>
      </c>
      <c r="AC132" s="185">
        <v>3.7499999999999999E-2</v>
      </c>
      <c r="AD132" s="137">
        <v>44832</v>
      </c>
      <c r="AE132" s="137">
        <v>46629</v>
      </c>
      <c r="AF132" s="137">
        <v>46629</v>
      </c>
      <c r="AG132" s="138">
        <v>1798</v>
      </c>
      <c r="AH132" s="139" t="s">
        <v>10</v>
      </c>
      <c r="AI132" s="138">
        <v>1338</v>
      </c>
      <c r="AJ132" s="140">
        <v>3.6657534246575341</v>
      </c>
      <c r="AK132" s="184" t="s">
        <v>436</v>
      </c>
      <c r="AL132" s="188" t="s">
        <v>869</v>
      </c>
      <c r="AM132" s="197" t="s">
        <v>127</v>
      </c>
      <c r="AN132" s="198" t="s">
        <v>891</v>
      </c>
      <c r="AO132" s="58" t="s">
        <v>924</v>
      </c>
      <c r="AP132" s="112"/>
      <c r="AQ132" s="272"/>
    </row>
    <row r="133" spans="1:45" ht="39.950000000000003" customHeight="1" x14ac:dyDescent="0.2">
      <c r="A133" s="131" t="s">
        <v>868</v>
      </c>
      <c r="B133" s="337" t="s">
        <v>67</v>
      </c>
      <c r="C133" s="337" t="s">
        <v>243</v>
      </c>
      <c r="D133" s="133" t="s">
        <v>684</v>
      </c>
      <c r="E133" s="131" t="s">
        <v>542</v>
      </c>
      <c r="F133" s="145" t="s">
        <v>127</v>
      </c>
      <c r="G133" s="131" t="s">
        <v>891</v>
      </c>
      <c r="H133" s="131" t="s">
        <v>167</v>
      </c>
      <c r="I133" s="131" t="s">
        <v>167</v>
      </c>
      <c r="J133" s="66" t="s">
        <v>677</v>
      </c>
      <c r="K133" s="192" t="s">
        <v>218</v>
      </c>
      <c r="L133" s="168" t="s">
        <v>140</v>
      </c>
      <c r="M133" s="194" t="s">
        <v>191</v>
      </c>
      <c r="N133" s="134" t="s">
        <v>59</v>
      </c>
      <c r="O133" s="167" t="s">
        <v>43</v>
      </c>
      <c r="P133" s="65">
        <v>3</v>
      </c>
      <c r="Q133" s="167" t="s">
        <v>538</v>
      </c>
      <c r="R133" s="65" t="s">
        <v>534</v>
      </c>
      <c r="S133" s="135" t="s">
        <v>59</v>
      </c>
      <c r="T133" s="136">
        <v>28509.810608676475</v>
      </c>
      <c r="U133" s="62">
        <v>17500</v>
      </c>
      <c r="V133" s="136">
        <v>28509.810608676475</v>
      </c>
      <c r="W133" s="136">
        <v>162913.20347815129</v>
      </c>
      <c r="X133" s="136">
        <v>1749123.2459400115</v>
      </c>
      <c r="Y133" s="62" t="s">
        <v>16</v>
      </c>
      <c r="Z133" s="366">
        <v>0</v>
      </c>
      <c r="AA133" s="147" t="s">
        <v>11</v>
      </c>
      <c r="AB133" s="185">
        <v>2.75E-2</v>
      </c>
      <c r="AC133" s="185">
        <v>1.375E-2</v>
      </c>
      <c r="AD133" s="137">
        <v>44832</v>
      </c>
      <c r="AE133" s="137">
        <v>46629</v>
      </c>
      <c r="AF133" s="137">
        <v>46629</v>
      </c>
      <c r="AG133" s="138">
        <v>1798</v>
      </c>
      <c r="AH133" s="139" t="s">
        <v>10</v>
      </c>
      <c r="AI133" s="138">
        <v>1338</v>
      </c>
      <c r="AJ133" s="140">
        <v>3.6657534246575341</v>
      </c>
      <c r="AK133" s="184" t="s">
        <v>436</v>
      </c>
      <c r="AL133" s="188" t="s">
        <v>870</v>
      </c>
      <c r="AM133" s="197" t="s">
        <v>127</v>
      </c>
      <c r="AN133" s="198" t="s">
        <v>891</v>
      </c>
      <c r="AO133" s="58" t="s">
        <v>925</v>
      </c>
      <c r="AP133" s="112"/>
      <c r="AQ133" s="272"/>
    </row>
    <row r="134" spans="1:45" ht="39.950000000000003" customHeight="1" x14ac:dyDescent="0.2">
      <c r="A134" s="131" t="s">
        <v>942</v>
      </c>
      <c r="B134" s="337" t="s">
        <v>243</v>
      </c>
      <c r="C134" s="337" t="s">
        <v>1142</v>
      </c>
      <c r="D134" s="133" t="s">
        <v>588</v>
      </c>
      <c r="E134" s="131" t="s">
        <v>499</v>
      </c>
      <c r="F134" s="145" t="s">
        <v>162</v>
      </c>
      <c r="G134" s="131" t="s">
        <v>233</v>
      </c>
      <c r="H134" s="131" t="s">
        <v>443</v>
      </c>
      <c r="I134" s="131" t="s">
        <v>234</v>
      </c>
      <c r="J134" s="66" t="s">
        <v>589</v>
      </c>
      <c r="K134" s="192" t="s">
        <v>218</v>
      </c>
      <c r="L134" s="168" t="s">
        <v>140</v>
      </c>
      <c r="M134" s="194" t="s">
        <v>191</v>
      </c>
      <c r="N134" s="134" t="s">
        <v>59</v>
      </c>
      <c r="O134" s="167" t="s">
        <v>43</v>
      </c>
      <c r="P134" s="65">
        <v>2</v>
      </c>
      <c r="Q134" s="167" t="s">
        <v>538</v>
      </c>
      <c r="R134" s="65" t="s">
        <v>534</v>
      </c>
      <c r="S134" s="135" t="s">
        <v>9</v>
      </c>
      <c r="T134" s="136">
        <v>22322.28924183669</v>
      </c>
      <c r="U134" s="62">
        <v>15000</v>
      </c>
      <c r="V134" s="136">
        <v>22322.28924183669</v>
      </c>
      <c r="W134" s="136">
        <v>44644.57848367338</v>
      </c>
      <c r="X134" s="136">
        <v>2444353.7994150934</v>
      </c>
      <c r="Y134" s="62" t="s">
        <v>16</v>
      </c>
      <c r="Z134" s="366">
        <v>0</v>
      </c>
      <c r="AA134" s="147" t="s">
        <v>11</v>
      </c>
      <c r="AB134" s="185">
        <v>2.75E-2</v>
      </c>
      <c r="AC134" s="185">
        <v>1.375E-2</v>
      </c>
      <c r="AD134" s="137">
        <v>44851</v>
      </c>
      <c r="AE134" s="137">
        <v>47320</v>
      </c>
      <c r="AF134" s="137">
        <v>47322</v>
      </c>
      <c r="AG134" s="138">
        <v>2472</v>
      </c>
      <c r="AH134" s="139" t="s">
        <v>10</v>
      </c>
      <c r="AI134" s="138">
        <v>2031</v>
      </c>
      <c r="AJ134" s="140">
        <v>5.5643835616438357</v>
      </c>
      <c r="AK134" s="184"/>
      <c r="AL134" s="188" t="s">
        <v>899</v>
      </c>
      <c r="AM134" s="197" t="s">
        <v>162</v>
      </c>
      <c r="AN134" s="198" t="s">
        <v>233</v>
      </c>
      <c r="AO134" s="58" t="s">
        <v>900</v>
      </c>
      <c r="AP134" s="112"/>
      <c r="AQ134" s="272"/>
    </row>
    <row r="135" spans="1:45" ht="39.950000000000003" customHeight="1" x14ac:dyDescent="0.2">
      <c r="A135" s="131" t="s">
        <v>915</v>
      </c>
      <c r="B135" s="337" t="s">
        <v>1437</v>
      </c>
      <c r="C135" s="337" t="s">
        <v>1144</v>
      </c>
      <c r="D135" s="133" t="s">
        <v>88</v>
      </c>
      <c r="E135" s="131" t="s">
        <v>542</v>
      </c>
      <c r="F135" s="145" t="s">
        <v>88</v>
      </c>
      <c r="G135" s="131" t="s">
        <v>106</v>
      </c>
      <c r="H135" s="131" t="s">
        <v>106</v>
      </c>
      <c r="I135" s="131" t="s">
        <v>107</v>
      </c>
      <c r="J135" s="66" t="s">
        <v>61</v>
      </c>
      <c r="K135" s="192" t="s">
        <v>220</v>
      </c>
      <c r="L135" s="168" t="s">
        <v>101</v>
      </c>
      <c r="M135" s="194" t="s">
        <v>191</v>
      </c>
      <c r="N135" s="134" t="s">
        <v>59</v>
      </c>
      <c r="O135" s="167" t="s">
        <v>43</v>
      </c>
      <c r="P135" s="65">
        <v>2</v>
      </c>
      <c r="Q135" s="167" t="s">
        <v>533</v>
      </c>
      <c r="R135" s="65" t="s">
        <v>548</v>
      </c>
      <c r="S135" s="135" t="s">
        <v>59</v>
      </c>
      <c r="T135" s="136">
        <v>19549.584417378155</v>
      </c>
      <c r="U135" s="62">
        <v>12000</v>
      </c>
      <c r="V135" s="136">
        <v>19549.584417378155</v>
      </c>
      <c r="W135" s="136">
        <v>48873.961043445386</v>
      </c>
      <c r="X135" s="136">
        <v>779982.1509036005</v>
      </c>
      <c r="Y135" s="62" t="s">
        <v>16</v>
      </c>
      <c r="Z135" s="366">
        <v>0</v>
      </c>
      <c r="AA135" s="147" t="s">
        <v>11</v>
      </c>
      <c r="AB135" s="185">
        <v>1.35E-2</v>
      </c>
      <c r="AC135" s="185">
        <v>8.6E-3</v>
      </c>
      <c r="AD135" s="137">
        <v>44851</v>
      </c>
      <c r="AE135" s="137">
        <v>46568</v>
      </c>
      <c r="AF135" s="137">
        <v>46598</v>
      </c>
      <c r="AG135" s="138">
        <v>1748</v>
      </c>
      <c r="AH135" s="139" t="s">
        <v>10</v>
      </c>
      <c r="AI135" s="138">
        <v>1307</v>
      </c>
      <c r="AJ135" s="140">
        <v>3.580821917808219</v>
      </c>
      <c r="AK135" s="184"/>
      <c r="AL135" s="188" t="s">
        <v>916</v>
      </c>
      <c r="AM135" s="197" t="s">
        <v>88</v>
      </c>
      <c r="AN135" s="198" t="s">
        <v>106</v>
      </c>
      <c r="AO135" s="58" t="s">
        <v>917</v>
      </c>
      <c r="AP135" s="112"/>
      <c r="AQ135" s="272" t="s">
        <v>103</v>
      </c>
    </row>
    <row r="136" spans="1:45" s="229" customFormat="1" ht="39.950000000000003" customHeight="1" x14ac:dyDescent="0.2">
      <c r="A136" s="131" t="s">
        <v>901</v>
      </c>
      <c r="B136" s="337" t="s">
        <v>23</v>
      </c>
      <c r="C136" s="337" t="s">
        <v>1141</v>
      </c>
      <c r="D136" s="133" t="s">
        <v>34</v>
      </c>
      <c r="E136" s="131" t="s">
        <v>34</v>
      </c>
      <c r="F136" s="145" t="s">
        <v>34</v>
      </c>
      <c r="G136" s="131" t="s">
        <v>544</v>
      </c>
      <c r="H136" s="131" t="s">
        <v>195</v>
      </c>
      <c r="I136" s="131" t="s">
        <v>455</v>
      </c>
      <c r="J136" s="133" t="s">
        <v>656</v>
      </c>
      <c r="K136" s="192" t="s">
        <v>656</v>
      </c>
      <c r="L136" s="168" t="s">
        <v>209</v>
      </c>
      <c r="M136" s="194" t="s">
        <v>191</v>
      </c>
      <c r="N136" s="134" t="s">
        <v>323</v>
      </c>
      <c r="O136" s="167" t="s">
        <v>43</v>
      </c>
      <c r="P136" s="270">
        <v>4</v>
      </c>
      <c r="Q136" s="167" t="s">
        <v>531</v>
      </c>
      <c r="R136" s="270" t="s">
        <v>534</v>
      </c>
      <c r="S136" s="135" t="s">
        <v>8</v>
      </c>
      <c r="T136" s="136">
        <v>12500</v>
      </c>
      <c r="U136" s="62">
        <v>12500</v>
      </c>
      <c r="V136" s="136">
        <v>12500</v>
      </c>
      <c r="W136" s="136">
        <v>71000</v>
      </c>
      <c r="X136" s="136">
        <v>1028974.05</v>
      </c>
      <c r="Y136" s="62" t="s">
        <v>1358</v>
      </c>
      <c r="Z136" s="366">
        <v>0.13500000000000001</v>
      </c>
      <c r="AA136" s="147" t="s">
        <v>11</v>
      </c>
      <c r="AB136" s="185">
        <v>5.5E-2</v>
      </c>
      <c r="AC136" s="185">
        <v>2.937E-2</v>
      </c>
      <c r="AD136" s="137">
        <v>44848</v>
      </c>
      <c r="AE136" s="137">
        <v>46000</v>
      </c>
      <c r="AF136" s="137">
        <v>46004</v>
      </c>
      <c r="AG136" s="138">
        <v>1157</v>
      </c>
      <c r="AH136" s="139" t="s">
        <v>10</v>
      </c>
      <c r="AI136" s="138">
        <v>713</v>
      </c>
      <c r="AJ136" s="140">
        <v>1.9534246575342467</v>
      </c>
      <c r="AK136" s="184"/>
      <c r="AL136" s="188" t="s">
        <v>908</v>
      </c>
      <c r="AM136" s="323" t="s">
        <v>34</v>
      </c>
      <c r="AN136" s="324" t="s">
        <v>544</v>
      </c>
      <c r="AO136" s="272" t="s">
        <v>902</v>
      </c>
      <c r="AP136" s="276"/>
      <c r="AQ136" s="272"/>
      <c r="AS136" s="411"/>
    </row>
    <row r="137" spans="1:45" ht="39.950000000000003" customHeight="1" x14ac:dyDescent="0.2">
      <c r="A137" s="131" t="s">
        <v>903</v>
      </c>
      <c r="B137" s="337" t="s">
        <v>23</v>
      </c>
      <c r="C137" s="337" t="s">
        <v>1141</v>
      </c>
      <c r="D137" s="133" t="s">
        <v>34</v>
      </c>
      <c r="E137" s="131" t="s">
        <v>34</v>
      </c>
      <c r="F137" s="145" t="s">
        <v>34</v>
      </c>
      <c r="G137" s="131" t="s">
        <v>544</v>
      </c>
      <c r="H137" s="131" t="s">
        <v>195</v>
      </c>
      <c r="I137" s="131" t="s">
        <v>455</v>
      </c>
      <c r="J137" s="66" t="s">
        <v>656</v>
      </c>
      <c r="K137" s="192" t="s">
        <v>656</v>
      </c>
      <c r="L137" s="168" t="s">
        <v>209</v>
      </c>
      <c r="M137" s="194" t="s">
        <v>191</v>
      </c>
      <c r="N137" s="134" t="s">
        <v>323</v>
      </c>
      <c r="O137" s="167" t="s">
        <v>43</v>
      </c>
      <c r="P137" s="65">
        <v>4</v>
      </c>
      <c r="Q137" s="167" t="s">
        <v>531</v>
      </c>
      <c r="R137" s="65" t="s">
        <v>534</v>
      </c>
      <c r="S137" s="135" t="s">
        <v>8</v>
      </c>
      <c r="T137" s="136">
        <v>7500</v>
      </c>
      <c r="U137" s="62">
        <v>7500</v>
      </c>
      <c r="V137" s="136">
        <v>7500</v>
      </c>
      <c r="W137" s="136">
        <v>71000</v>
      </c>
      <c r="X137" s="136">
        <v>807284.94</v>
      </c>
      <c r="Y137" s="62" t="s">
        <v>16</v>
      </c>
      <c r="Z137" s="366">
        <v>0</v>
      </c>
      <c r="AA137" s="147" t="s">
        <v>11</v>
      </c>
      <c r="AB137" s="185">
        <v>5.5E-2</v>
      </c>
      <c r="AC137" s="185">
        <v>3.4924999999999998E-2</v>
      </c>
      <c r="AD137" s="137">
        <v>44852</v>
      </c>
      <c r="AE137" s="137">
        <v>46000</v>
      </c>
      <c r="AF137" s="137">
        <v>46004</v>
      </c>
      <c r="AG137" s="138">
        <v>1153</v>
      </c>
      <c r="AH137" s="139" t="s">
        <v>10</v>
      </c>
      <c r="AI137" s="138">
        <v>713</v>
      </c>
      <c r="AJ137" s="140">
        <v>1.9534246575342467</v>
      </c>
      <c r="AK137" s="184"/>
      <c r="AL137" s="188" t="s">
        <v>909</v>
      </c>
      <c r="AM137" s="197" t="s">
        <v>34</v>
      </c>
      <c r="AN137" s="198" t="s">
        <v>544</v>
      </c>
      <c r="AO137" s="58" t="s">
        <v>904</v>
      </c>
      <c r="AP137" s="112"/>
      <c r="AQ137" s="272"/>
    </row>
    <row r="138" spans="1:45" ht="39.950000000000003" customHeight="1" x14ac:dyDescent="0.2">
      <c r="A138" s="131" t="s">
        <v>905</v>
      </c>
      <c r="B138" s="337" t="s">
        <v>67</v>
      </c>
      <c r="C138" s="337" t="s">
        <v>243</v>
      </c>
      <c r="D138" s="133" t="s">
        <v>149</v>
      </c>
      <c r="E138" s="131" t="s">
        <v>499</v>
      </c>
      <c r="F138" s="145" t="s">
        <v>162</v>
      </c>
      <c r="G138" s="131" t="s">
        <v>233</v>
      </c>
      <c r="H138" s="131" t="s">
        <v>906</v>
      </c>
      <c r="I138" s="131" t="s">
        <v>906</v>
      </c>
      <c r="J138" s="66" t="s">
        <v>148</v>
      </c>
      <c r="K138" s="192" t="s">
        <v>148</v>
      </c>
      <c r="L138" s="168" t="s">
        <v>209</v>
      </c>
      <c r="M138" s="194" t="s">
        <v>191</v>
      </c>
      <c r="N138" s="134" t="s">
        <v>59</v>
      </c>
      <c r="O138" s="167" t="s">
        <v>43</v>
      </c>
      <c r="P138" s="65">
        <v>2</v>
      </c>
      <c r="Q138" s="167" t="s">
        <v>538</v>
      </c>
      <c r="R138" s="65" t="s">
        <v>534</v>
      </c>
      <c r="S138" s="135" t="s">
        <v>9</v>
      </c>
      <c r="T138" s="136">
        <v>22322.28924183669</v>
      </c>
      <c r="U138" s="62">
        <v>15000</v>
      </c>
      <c r="V138" s="136">
        <v>22322.28924183669</v>
      </c>
      <c r="W138" s="136">
        <v>220246.58718612202</v>
      </c>
      <c r="X138" s="136">
        <v>1591468.9508341013</v>
      </c>
      <c r="Y138" s="62" t="s">
        <v>16</v>
      </c>
      <c r="Z138" s="366">
        <v>0</v>
      </c>
      <c r="AA138" s="147" t="s">
        <v>11</v>
      </c>
      <c r="AB138" s="185">
        <v>0.04</v>
      </c>
      <c r="AC138" s="185">
        <v>2.3599999999999999E-2</v>
      </c>
      <c r="AD138" s="137">
        <v>44851</v>
      </c>
      <c r="AE138" s="137">
        <v>46609</v>
      </c>
      <c r="AF138" s="137">
        <v>46609</v>
      </c>
      <c r="AG138" s="138">
        <v>1759</v>
      </c>
      <c r="AH138" s="139" t="s">
        <v>10</v>
      </c>
      <c r="AI138" s="138">
        <v>1318</v>
      </c>
      <c r="AJ138" s="140">
        <v>3.6109589041095891</v>
      </c>
      <c r="AK138" s="184"/>
      <c r="AL138" s="188" t="s">
        <v>907</v>
      </c>
      <c r="AM138" s="197" t="s">
        <v>162</v>
      </c>
      <c r="AN138" s="198" t="s">
        <v>233</v>
      </c>
      <c r="AO138" s="58" t="s">
        <v>910</v>
      </c>
      <c r="AP138" s="112"/>
      <c r="AQ138" s="272"/>
    </row>
    <row r="139" spans="1:45" ht="39.950000000000003" customHeight="1" x14ac:dyDescent="0.2">
      <c r="A139" s="131" t="s">
        <v>1072</v>
      </c>
      <c r="B139" s="337" t="s">
        <v>1438</v>
      </c>
      <c r="C139" s="337" t="s">
        <v>1141</v>
      </c>
      <c r="D139" s="133" t="s">
        <v>38</v>
      </c>
      <c r="E139" s="131" t="s">
        <v>540</v>
      </c>
      <c r="F139" s="145" t="s">
        <v>49</v>
      </c>
      <c r="G139" s="131" t="s">
        <v>544</v>
      </c>
      <c r="H139" s="131" t="s">
        <v>117</v>
      </c>
      <c r="I139" s="131" t="s">
        <v>1073</v>
      </c>
      <c r="J139" s="66" t="s">
        <v>142</v>
      </c>
      <c r="K139" s="192" t="s">
        <v>218</v>
      </c>
      <c r="L139" s="168" t="s">
        <v>29</v>
      </c>
      <c r="M139" s="194" t="s">
        <v>191</v>
      </c>
      <c r="N139" s="134" t="s">
        <v>323</v>
      </c>
      <c r="O139" s="167" t="s">
        <v>43</v>
      </c>
      <c r="P139" s="65">
        <v>2</v>
      </c>
      <c r="Q139" s="167" t="s">
        <v>533</v>
      </c>
      <c r="R139" s="65" t="s">
        <v>534</v>
      </c>
      <c r="S139" s="135" t="s">
        <v>9</v>
      </c>
      <c r="T139" s="136">
        <v>18601.907701530577</v>
      </c>
      <c r="U139" s="62">
        <v>8750</v>
      </c>
      <c r="V139" s="136">
        <v>13021.335391071403</v>
      </c>
      <c r="W139" s="136">
        <v>37203.815403061155</v>
      </c>
      <c r="X139" s="136">
        <v>720605.29893347528</v>
      </c>
      <c r="Y139" s="62" t="s">
        <v>16</v>
      </c>
      <c r="Z139" s="366">
        <v>0</v>
      </c>
      <c r="AA139" s="147" t="s">
        <v>11</v>
      </c>
      <c r="AB139" s="185">
        <v>5.3499999999999999E-2</v>
      </c>
      <c r="AC139" s="185">
        <v>2.0500000000000001E-2</v>
      </c>
      <c r="AD139" s="137">
        <v>44866</v>
      </c>
      <c r="AE139" s="137">
        <v>45526</v>
      </c>
      <c r="AF139" s="137">
        <v>45686</v>
      </c>
      <c r="AG139" s="138">
        <v>821</v>
      </c>
      <c r="AH139" s="139" t="s">
        <v>10</v>
      </c>
      <c r="AI139" s="138">
        <v>395</v>
      </c>
      <c r="AJ139" s="140">
        <v>1.0821917808219179</v>
      </c>
      <c r="AK139" s="184"/>
      <c r="AL139" s="188" t="s">
        <v>1136</v>
      </c>
      <c r="AM139" s="197" t="s">
        <v>49</v>
      </c>
      <c r="AN139" s="198" t="s">
        <v>544</v>
      </c>
      <c r="AO139" s="58" t="s">
        <v>1137</v>
      </c>
      <c r="AP139" s="112"/>
      <c r="AQ139" s="272"/>
    </row>
    <row r="140" spans="1:45" ht="39.950000000000003" customHeight="1" x14ac:dyDescent="0.2">
      <c r="A140" s="131" t="s">
        <v>1076</v>
      </c>
      <c r="B140" s="337" t="s">
        <v>1438</v>
      </c>
      <c r="C140" s="337" t="s">
        <v>243</v>
      </c>
      <c r="D140" s="133" t="s">
        <v>38</v>
      </c>
      <c r="E140" s="131" t="s">
        <v>34</v>
      </c>
      <c r="F140" s="145" t="s">
        <v>34</v>
      </c>
      <c r="G140" s="131" t="s">
        <v>475</v>
      </c>
      <c r="H140" s="131" t="s">
        <v>138</v>
      </c>
      <c r="I140" s="131" t="s">
        <v>138</v>
      </c>
      <c r="J140" s="66" t="s">
        <v>1088</v>
      </c>
      <c r="K140" s="192" t="s">
        <v>687</v>
      </c>
      <c r="L140" s="168" t="s">
        <v>209</v>
      </c>
      <c r="M140" s="194" t="s">
        <v>191</v>
      </c>
      <c r="N140" s="134" t="s">
        <v>323</v>
      </c>
      <c r="O140" s="167" t="s">
        <v>43</v>
      </c>
      <c r="P140" s="65">
        <v>2</v>
      </c>
      <c r="Q140" s="167" t="s">
        <v>531</v>
      </c>
      <c r="R140" s="65" t="s">
        <v>534</v>
      </c>
      <c r="S140" s="135" t="s">
        <v>8</v>
      </c>
      <c r="T140" s="136">
        <v>15000</v>
      </c>
      <c r="U140" s="62">
        <v>15000</v>
      </c>
      <c r="V140" s="136">
        <v>15000</v>
      </c>
      <c r="W140" s="136">
        <v>30000</v>
      </c>
      <c r="X140" s="136">
        <v>2935550.58</v>
      </c>
      <c r="Y140" s="62" t="s">
        <v>16</v>
      </c>
      <c r="Z140" s="366">
        <v>0</v>
      </c>
      <c r="AA140" s="147" t="s">
        <v>11</v>
      </c>
      <c r="AB140" s="185">
        <v>6.5000000000000002E-2</v>
      </c>
      <c r="AC140" s="185">
        <v>3.5749999999999997E-2</v>
      </c>
      <c r="AD140" s="137">
        <v>44876</v>
      </c>
      <c r="AE140" s="137">
        <v>47054</v>
      </c>
      <c r="AF140" s="137">
        <v>47085</v>
      </c>
      <c r="AG140" s="138">
        <v>2210</v>
      </c>
      <c r="AH140" s="139" t="s">
        <v>10</v>
      </c>
      <c r="AI140" s="138">
        <v>1794</v>
      </c>
      <c r="AJ140" s="140">
        <v>4.9150684931506845</v>
      </c>
      <c r="AK140" s="184"/>
      <c r="AL140" s="188" t="s">
        <v>1077</v>
      </c>
      <c r="AM140" s="197" t="s">
        <v>34</v>
      </c>
      <c r="AN140" s="198" t="s">
        <v>475</v>
      </c>
      <c r="AO140" s="58" t="s">
        <v>1070</v>
      </c>
      <c r="AP140" s="112"/>
      <c r="AQ140" s="272"/>
    </row>
    <row r="141" spans="1:45" ht="39.950000000000003" customHeight="1" x14ac:dyDescent="0.2">
      <c r="A141" s="131" t="s">
        <v>1078</v>
      </c>
      <c r="B141" s="337" t="s">
        <v>23</v>
      </c>
      <c r="C141" s="337" t="s">
        <v>1144</v>
      </c>
      <c r="D141" s="133" t="s">
        <v>588</v>
      </c>
      <c r="E141" s="131" t="s">
        <v>499</v>
      </c>
      <c r="F141" s="145" t="s">
        <v>162</v>
      </c>
      <c r="G141" s="131" t="s">
        <v>891</v>
      </c>
      <c r="H141" s="131" t="s">
        <v>167</v>
      </c>
      <c r="I141" s="131" t="s">
        <v>167</v>
      </c>
      <c r="J141" s="66" t="s">
        <v>1080</v>
      </c>
      <c r="K141" s="192" t="s">
        <v>33</v>
      </c>
      <c r="L141" s="168" t="s">
        <v>209</v>
      </c>
      <c r="M141" s="194" t="s">
        <v>191</v>
      </c>
      <c r="N141" s="134" t="s">
        <v>59</v>
      </c>
      <c r="O141" s="167" t="s">
        <v>43</v>
      </c>
      <c r="P141" s="65">
        <v>2</v>
      </c>
      <c r="Q141" s="167" t="s">
        <v>531</v>
      </c>
      <c r="R141" s="65" t="s">
        <v>534</v>
      </c>
      <c r="S141" s="135" t="s">
        <v>9</v>
      </c>
      <c r="T141" s="136">
        <v>22322.28924183669</v>
      </c>
      <c r="U141" s="62">
        <v>3625.96</v>
      </c>
      <c r="V141" s="136">
        <v>5395.9818599553446</v>
      </c>
      <c r="W141" s="136">
        <v>206851.9284724207</v>
      </c>
      <c r="X141" s="136">
        <v>144211.76566495295</v>
      </c>
      <c r="Y141" s="62" t="s">
        <v>1295</v>
      </c>
      <c r="Z141" s="366">
        <v>0.15</v>
      </c>
      <c r="AA141" s="147" t="s">
        <v>11</v>
      </c>
      <c r="AB141" s="185">
        <v>2.5000000000000001E-2</v>
      </c>
      <c r="AC141" s="185">
        <v>1.3375000000000001E-2</v>
      </c>
      <c r="AD141" s="137">
        <v>44882</v>
      </c>
      <c r="AE141" s="137">
        <v>45397</v>
      </c>
      <c r="AF141" s="137">
        <v>45427</v>
      </c>
      <c r="AG141" s="138">
        <v>546</v>
      </c>
      <c r="AH141" s="139" t="s">
        <v>10</v>
      </c>
      <c r="AI141" s="138">
        <v>136</v>
      </c>
      <c r="AJ141" s="140">
        <v>0.37260273972602742</v>
      </c>
      <c r="AK141" s="184"/>
      <c r="AL141" s="188" t="s">
        <v>1081</v>
      </c>
      <c r="AM141" s="197" t="s">
        <v>162</v>
      </c>
      <c r="AN141" s="198" t="s">
        <v>891</v>
      </c>
      <c r="AO141" s="58" t="s">
        <v>1071</v>
      </c>
      <c r="AP141" s="112"/>
      <c r="AQ141" s="272"/>
    </row>
    <row r="142" spans="1:45" ht="39.950000000000003" customHeight="1" x14ac:dyDescent="0.2">
      <c r="A142" s="131" t="s">
        <v>1083</v>
      </c>
      <c r="B142" s="337" t="s">
        <v>1438</v>
      </c>
      <c r="C142" s="337" t="s">
        <v>1142</v>
      </c>
      <c r="D142" s="133" t="s">
        <v>38</v>
      </c>
      <c r="E142" s="131" t="s">
        <v>541</v>
      </c>
      <c r="F142" s="145" t="s">
        <v>38</v>
      </c>
      <c r="G142" s="131" t="s">
        <v>547</v>
      </c>
      <c r="H142" s="131" t="s">
        <v>124</v>
      </c>
      <c r="I142" s="131" t="s">
        <v>123</v>
      </c>
      <c r="J142" s="66" t="s">
        <v>50</v>
      </c>
      <c r="K142" s="192" t="s">
        <v>21</v>
      </c>
      <c r="L142" s="168" t="s">
        <v>29</v>
      </c>
      <c r="M142" s="194" t="s">
        <v>191</v>
      </c>
      <c r="N142" s="134" t="s">
        <v>323</v>
      </c>
      <c r="O142" s="167" t="s">
        <v>43</v>
      </c>
      <c r="P142" s="65">
        <v>2</v>
      </c>
      <c r="Q142" s="167" t="s">
        <v>533</v>
      </c>
      <c r="R142" s="65" t="s">
        <v>548</v>
      </c>
      <c r="S142" s="135" t="s">
        <v>9</v>
      </c>
      <c r="T142" s="136">
        <v>22322.28924183669</v>
      </c>
      <c r="U142" s="62">
        <v>15000</v>
      </c>
      <c r="V142" s="136">
        <v>22322.28924183669</v>
      </c>
      <c r="W142" s="136">
        <v>297630.52322448924</v>
      </c>
      <c r="X142" s="136">
        <v>368255.76117079158</v>
      </c>
      <c r="Y142" s="62" t="s">
        <v>16</v>
      </c>
      <c r="Z142" s="366">
        <v>0</v>
      </c>
      <c r="AA142" s="147" t="s">
        <v>11</v>
      </c>
      <c r="AB142" s="185">
        <v>0.01</v>
      </c>
      <c r="AC142" s="185">
        <v>6.5000000000000006E-3</v>
      </c>
      <c r="AD142" s="137">
        <v>44889</v>
      </c>
      <c r="AE142" s="137">
        <v>45892</v>
      </c>
      <c r="AF142" s="137">
        <v>45925</v>
      </c>
      <c r="AG142" s="138">
        <v>1037</v>
      </c>
      <c r="AH142" s="139" t="s">
        <v>10</v>
      </c>
      <c r="AI142" s="138">
        <v>634</v>
      </c>
      <c r="AJ142" s="140">
        <v>1.736986301369863</v>
      </c>
      <c r="AK142" s="184" t="s">
        <v>436</v>
      </c>
      <c r="AL142" s="188" t="s">
        <v>1084</v>
      </c>
      <c r="AM142" s="197" t="s">
        <v>38</v>
      </c>
      <c r="AN142" s="198" t="s">
        <v>547</v>
      </c>
      <c r="AO142" s="58" t="s">
        <v>1089</v>
      </c>
      <c r="AP142" s="112"/>
      <c r="AQ142" s="272"/>
    </row>
    <row r="143" spans="1:45" ht="39.950000000000003" customHeight="1" x14ac:dyDescent="0.2">
      <c r="A143" s="131" t="s">
        <v>1082</v>
      </c>
      <c r="B143" s="337" t="s">
        <v>1437</v>
      </c>
      <c r="C143" s="337" t="s">
        <v>1142</v>
      </c>
      <c r="D143" s="133" t="s">
        <v>38</v>
      </c>
      <c r="E143" s="131" t="s">
        <v>34</v>
      </c>
      <c r="F143" s="145" t="s">
        <v>295</v>
      </c>
      <c r="G143" s="131" t="s">
        <v>891</v>
      </c>
      <c r="H143" s="131" t="s">
        <v>167</v>
      </c>
      <c r="I143" s="131" t="s">
        <v>167</v>
      </c>
      <c r="J143" s="66" t="s">
        <v>706</v>
      </c>
      <c r="K143" s="192" t="s">
        <v>220</v>
      </c>
      <c r="L143" s="168" t="s">
        <v>209</v>
      </c>
      <c r="M143" s="194" t="s">
        <v>191</v>
      </c>
      <c r="N143" s="134" t="s">
        <v>323</v>
      </c>
      <c r="O143" s="167" t="s">
        <v>43</v>
      </c>
      <c r="P143" s="65">
        <v>3</v>
      </c>
      <c r="Q143" s="167" t="s">
        <v>538</v>
      </c>
      <c r="R143" s="65" t="s">
        <v>534</v>
      </c>
      <c r="S143" s="135" t="s">
        <v>297</v>
      </c>
      <c r="T143" s="136">
        <v>27913.668234701472</v>
      </c>
      <c r="U143" s="62">
        <v>30000</v>
      </c>
      <c r="V143" s="136">
        <v>27913.668234701472</v>
      </c>
      <c r="W143" s="136">
        <v>130449.87621683821</v>
      </c>
      <c r="X143" s="136">
        <v>1237864.2675551153</v>
      </c>
      <c r="Y143" s="62" t="s">
        <v>16</v>
      </c>
      <c r="Z143" s="366">
        <v>0</v>
      </c>
      <c r="AA143" s="147" t="s">
        <v>11</v>
      </c>
      <c r="AB143" s="185">
        <v>1.7000000000000001E-2</v>
      </c>
      <c r="AC143" s="185">
        <v>1.0200000000000001E-2</v>
      </c>
      <c r="AD143" s="137">
        <v>44866</v>
      </c>
      <c r="AE143" s="137">
        <v>46687</v>
      </c>
      <c r="AF143" s="137">
        <v>46722</v>
      </c>
      <c r="AG143" s="138">
        <v>1857</v>
      </c>
      <c r="AH143" s="139" t="s">
        <v>10</v>
      </c>
      <c r="AI143" s="138">
        <v>1431</v>
      </c>
      <c r="AJ143" s="140">
        <v>3.9205479452054797</v>
      </c>
      <c r="AK143" s="184" t="s">
        <v>436</v>
      </c>
      <c r="AL143" s="188" t="s">
        <v>1079</v>
      </c>
      <c r="AM143" s="197" t="s">
        <v>295</v>
      </c>
      <c r="AN143" s="198" t="s">
        <v>891</v>
      </c>
      <c r="AO143" s="58" t="s">
        <v>1085</v>
      </c>
      <c r="AP143" s="112"/>
      <c r="AQ143" s="272"/>
    </row>
    <row r="144" spans="1:45" s="229" customFormat="1" ht="39.950000000000003" customHeight="1" x14ac:dyDescent="0.2">
      <c r="A144" s="131" t="s">
        <v>1086</v>
      </c>
      <c r="B144" s="337" t="s">
        <v>23</v>
      </c>
      <c r="C144" s="337" t="s">
        <v>1141</v>
      </c>
      <c r="D144" s="133" t="s">
        <v>38</v>
      </c>
      <c r="E144" s="131" t="s">
        <v>540</v>
      </c>
      <c r="F144" s="145" t="s">
        <v>35</v>
      </c>
      <c r="G144" s="131" t="s">
        <v>92</v>
      </c>
      <c r="H144" s="131" t="s">
        <v>108</v>
      </c>
      <c r="I144" s="131" t="s">
        <v>452</v>
      </c>
      <c r="J144" s="133" t="s">
        <v>32</v>
      </c>
      <c r="K144" s="192" t="s">
        <v>33</v>
      </c>
      <c r="L144" s="168" t="s">
        <v>29</v>
      </c>
      <c r="M144" s="194" t="s">
        <v>191</v>
      </c>
      <c r="N144" s="134" t="s">
        <v>323</v>
      </c>
      <c r="O144" s="167" t="s">
        <v>43</v>
      </c>
      <c r="P144" s="270">
        <v>3</v>
      </c>
      <c r="Q144" s="167" t="s">
        <v>538</v>
      </c>
      <c r="R144" s="270" t="s">
        <v>534</v>
      </c>
      <c r="S144" s="135" t="s">
        <v>9</v>
      </c>
      <c r="T144" s="136">
        <v>29763.052322448922</v>
      </c>
      <c r="U144" s="62">
        <v>20000</v>
      </c>
      <c r="V144" s="136">
        <v>29763.052322448922</v>
      </c>
      <c r="W144" s="136">
        <v>148815.26161224462</v>
      </c>
      <c r="X144" s="136">
        <v>3600448.8357579387</v>
      </c>
      <c r="Y144" s="62" t="s">
        <v>1358</v>
      </c>
      <c r="Z144" s="366">
        <v>0.15</v>
      </c>
      <c r="AA144" s="147" t="s">
        <v>11</v>
      </c>
      <c r="AB144" s="185">
        <v>2.5000000000000001E-2</v>
      </c>
      <c r="AC144" s="185">
        <v>1.7499999999999998E-2</v>
      </c>
      <c r="AD144" s="137">
        <v>44895</v>
      </c>
      <c r="AE144" s="137">
        <v>47328</v>
      </c>
      <c r="AF144" s="137">
        <v>47328</v>
      </c>
      <c r="AG144" s="138">
        <v>2434</v>
      </c>
      <c r="AH144" s="139" t="s">
        <v>10</v>
      </c>
      <c r="AI144" s="138">
        <v>2037</v>
      </c>
      <c r="AJ144" s="140">
        <v>5.580821917808219</v>
      </c>
      <c r="AK144" s="184" t="s">
        <v>436</v>
      </c>
      <c r="AL144" s="188" t="s">
        <v>1087</v>
      </c>
      <c r="AM144" s="323" t="s">
        <v>35</v>
      </c>
      <c r="AN144" s="324" t="s">
        <v>92</v>
      </c>
      <c r="AO144" s="272" t="s">
        <v>1126</v>
      </c>
      <c r="AP144" s="276"/>
      <c r="AQ144" s="272"/>
      <c r="AS144" s="411"/>
    </row>
    <row r="145" spans="1:45" ht="39.950000000000003" customHeight="1" x14ac:dyDescent="0.2">
      <c r="A145" s="131" t="s">
        <v>1091</v>
      </c>
      <c r="B145" s="337" t="s">
        <v>1438</v>
      </c>
      <c r="C145" s="337" t="s">
        <v>1143</v>
      </c>
      <c r="D145" s="133" t="s">
        <v>37</v>
      </c>
      <c r="E145" s="131" t="s">
        <v>34</v>
      </c>
      <c r="F145" s="145" t="s">
        <v>34</v>
      </c>
      <c r="G145" s="131" t="s">
        <v>102</v>
      </c>
      <c r="H145" s="131" t="s">
        <v>102</v>
      </c>
      <c r="I145" s="131" t="s">
        <v>473</v>
      </c>
      <c r="J145" s="66" t="s">
        <v>55</v>
      </c>
      <c r="K145" s="192" t="s">
        <v>218</v>
      </c>
      <c r="L145" s="168" t="s">
        <v>101</v>
      </c>
      <c r="M145" s="194" t="s">
        <v>191</v>
      </c>
      <c r="N145" s="134" t="s">
        <v>323</v>
      </c>
      <c r="O145" s="167" t="s">
        <v>43</v>
      </c>
      <c r="P145" s="65">
        <v>2</v>
      </c>
      <c r="Q145" s="167" t="s">
        <v>538</v>
      </c>
      <c r="R145" s="65" t="s">
        <v>534</v>
      </c>
      <c r="S145" s="135" t="s">
        <v>8</v>
      </c>
      <c r="T145" s="136">
        <v>30000</v>
      </c>
      <c r="U145" s="62">
        <v>30000</v>
      </c>
      <c r="V145" s="136">
        <v>30000</v>
      </c>
      <c r="W145" s="136">
        <v>60000</v>
      </c>
      <c r="X145" s="136">
        <v>743691.68</v>
      </c>
      <c r="Y145" s="62" t="s">
        <v>16</v>
      </c>
      <c r="Z145" s="366">
        <v>0</v>
      </c>
      <c r="AA145" s="147" t="s">
        <v>11</v>
      </c>
      <c r="AB145" s="185">
        <v>2.2499999999999999E-2</v>
      </c>
      <c r="AC145" s="185">
        <v>1.17E-2</v>
      </c>
      <c r="AD145" s="137">
        <v>44909</v>
      </c>
      <c r="AE145" s="137">
        <v>45576</v>
      </c>
      <c r="AF145" s="137">
        <v>45609</v>
      </c>
      <c r="AG145" s="138">
        <v>701</v>
      </c>
      <c r="AH145" s="139" t="s">
        <v>10</v>
      </c>
      <c r="AI145" s="138">
        <v>318</v>
      </c>
      <c r="AJ145" s="140">
        <v>0.87123287671232874</v>
      </c>
      <c r="AK145" s="184" t="s">
        <v>436</v>
      </c>
      <c r="AL145" s="188" t="s">
        <v>1092</v>
      </c>
      <c r="AM145" s="197" t="s">
        <v>34</v>
      </c>
      <c r="AN145" s="198" t="s">
        <v>102</v>
      </c>
      <c r="AO145" s="58" t="s">
        <v>1093</v>
      </c>
      <c r="AP145" s="112"/>
      <c r="AQ145" s="272" t="s">
        <v>473</v>
      </c>
    </row>
    <row r="146" spans="1:45" ht="39.950000000000003" customHeight="1" x14ac:dyDescent="0.2">
      <c r="A146" s="131" t="s">
        <v>1094</v>
      </c>
      <c r="B146" s="337" t="s">
        <v>1438</v>
      </c>
      <c r="C146" s="337" t="s">
        <v>1142</v>
      </c>
      <c r="D146" s="133" t="s">
        <v>560</v>
      </c>
      <c r="E146" s="131" t="s">
        <v>499</v>
      </c>
      <c r="F146" s="145" t="s">
        <v>162</v>
      </c>
      <c r="G146" s="131" t="s">
        <v>544</v>
      </c>
      <c r="H146" s="131" t="s">
        <v>117</v>
      </c>
      <c r="I146" s="131" t="s">
        <v>118</v>
      </c>
      <c r="J146" s="66" t="s">
        <v>1095</v>
      </c>
      <c r="K146" s="192" t="s">
        <v>687</v>
      </c>
      <c r="L146" s="168" t="s">
        <v>209</v>
      </c>
      <c r="M146" s="194" t="s">
        <v>191</v>
      </c>
      <c r="N146" s="134" t="s">
        <v>59</v>
      </c>
      <c r="O146" s="167" t="s">
        <v>43</v>
      </c>
      <c r="P146" s="65">
        <v>2</v>
      </c>
      <c r="Q146" s="167" t="s">
        <v>538</v>
      </c>
      <c r="R146" s="65" t="s">
        <v>534</v>
      </c>
      <c r="S146" s="135" t="s">
        <v>9</v>
      </c>
      <c r="T146" s="136">
        <v>29763.052322448922</v>
      </c>
      <c r="U146" s="62">
        <v>20000</v>
      </c>
      <c r="V146" s="136">
        <v>29763.052322448922</v>
      </c>
      <c r="W146" s="136">
        <v>199812</v>
      </c>
      <c r="X146" s="136">
        <v>4328000.9948002603</v>
      </c>
      <c r="Y146" s="62" t="s">
        <v>16</v>
      </c>
      <c r="Z146" s="366">
        <v>0</v>
      </c>
      <c r="AA146" s="147" t="s">
        <v>11</v>
      </c>
      <c r="AB146" s="185">
        <v>4.7500000000000001E-2</v>
      </c>
      <c r="AC146" s="185">
        <v>2.5000000000000001E-2</v>
      </c>
      <c r="AD146" s="137">
        <v>44914</v>
      </c>
      <c r="AE146" s="137">
        <v>47037</v>
      </c>
      <c r="AF146" s="137">
        <v>47068</v>
      </c>
      <c r="AG146" s="138">
        <v>2155</v>
      </c>
      <c r="AH146" s="139" t="s">
        <v>10</v>
      </c>
      <c r="AI146" s="138">
        <v>1777</v>
      </c>
      <c r="AJ146" s="140">
        <v>4.8684931506849312</v>
      </c>
      <c r="AK146" s="184" t="s">
        <v>436</v>
      </c>
      <c r="AL146" s="188" t="s">
        <v>1097</v>
      </c>
      <c r="AM146" s="197" t="s">
        <v>162</v>
      </c>
      <c r="AN146" s="198" t="s">
        <v>544</v>
      </c>
      <c r="AO146" s="58" t="s">
        <v>1096</v>
      </c>
      <c r="AP146" s="112"/>
      <c r="AQ146" s="272"/>
    </row>
    <row r="147" spans="1:45" s="229" customFormat="1" ht="39.950000000000003" customHeight="1" x14ac:dyDescent="0.2">
      <c r="A147" s="131" t="s">
        <v>1098</v>
      </c>
      <c r="B147" s="337" t="s">
        <v>1438</v>
      </c>
      <c r="C147" s="337" t="s">
        <v>1141</v>
      </c>
      <c r="D147" s="133" t="s">
        <v>588</v>
      </c>
      <c r="E147" s="131" t="s">
        <v>542</v>
      </c>
      <c r="F147" s="145" t="s">
        <v>87</v>
      </c>
      <c r="G147" s="131" t="s">
        <v>547</v>
      </c>
      <c r="H147" s="131" t="s">
        <v>265</v>
      </c>
      <c r="I147" s="131" t="s">
        <v>457</v>
      </c>
      <c r="J147" s="133" t="s">
        <v>705</v>
      </c>
      <c r="K147" s="192" t="s">
        <v>220</v>
      </c>
      <c r="L147" s="168" t="s">
        <v>209</v>
      </c>
      <c r="M147" s="194" t="s">
        <v>191</v>
      </c>
      <c r="N147" s="134" t="s">
        <v>59</v>
      </c>
      <c r="O147" s="167" t="s">
        <v>43</v>
      </c>
      <c r="P147" s="270">
        <v>2</v>
      </c>
      <c r="Q147" s="167" t="s">
        <v>538</v>
      </c>
      <c r="R147" s="270" t="s">
        <v>534</v>
      </c>
      <c r="S147" s="135" t="s">
        <v>1423</v>
      </c>
      <c r="T147" s="136">
        <v>3786.0945191303122</v>
      </c>
      <c r="U147" s="62">
        <v>2000</v>
      </c>
      <c r="V147" s="136">
        <v>17823</v>
      </c>
      <c r="W147" s="136">
        <v>57319.497776447519</v>
      </c>
      <c r="X147" s="136">
        <v>687802.86131599394</v>
      </c>
      <c r="Y147" s="62" t="s">
        <v>16</v>
      </c>
      <c r="Z147" s="366">
        <v>0</v>
      </c>
      <c r="AA147" s="147" t="s">
        <v>11</v>
      </c>
      <c r="AB147" s="185">
        <v>5.1250000000000004E-2</v>
      </c>
      <c r="AC147" s="185">
        <v>3.0300000000000001E-2</v>
      </c>
      <c r="AD147" s="137">
        <v>44916</v>
      </c>
      <c r="AE147" s="137">
        <v>46694</v>
      </c>
      <c r="AF147" s="137">
        <v>46604</v>
      </c>
      <c r="AG147" s="138">
        <v>1689</v>
      </c>
      <c r="AH147" s="139" t="s">
        <v>10</v>
      </c>
      <c r="AI147" s="138">
        <v>1313</v>
      </c>
      <c r="AJ147" s="140">
        <v>3.5972602739726027</v>
      </c>
      <c r="AK147" s="184"/>
      <c r="AL147" s="188" t="s">
        <v>1101</v>
      </c>
      <c r="AM147" s="323" t="s">
        <v>87</v>
      </c>
      <c r="AN147" s="324" t="s">
        <v>547</v>
      </c>
      <c r="AO147" s="272" t="s">
        <v>1424</v>
      </c>
      <c r="AP147" s="276"/>
      <c r="AQ147" s="272"/>
    </row>
    <row r="148" spans="1:45" ht="39.950000000000003" customHeight="1" x14ac:dyDescent="0.2">
      <c r="A148" s="131" t="s">
        <v>1105</v>
      </c>
      <c r="B148" s="337" t="s">
        <v>307</v>
      </c>
      <c r="C148" s="337" t="s">
        <v>243</v>
      </c>
      <c r="D148" s="133" t="s">
        <v>560</v>
      </c>
      <c r="E148" s="131" t="s">
        <v>499</v>
      </c>
      <c r="F148" s="145" t="s">
        <v>162</v>
      </c>
      <c r="G148" s="131" t="s">
        <v>891</v>
      </c>
      <c r="H148" s="131" t="s">
        <v>167</v>
      </c>
      <c r="I148" s="131" t="s">
        <v>167</v>
      </c>
      <c r="J148" s="66" t="s">
        <v>1106</v>
      </c>
      <c r="K148" s="192" t="s">
        <v>680</v>
      </c>
      <c r="L148" s="168" t="s">
        <v>209</v>
      </c>
      <c r="M148" s="194" t="s">
        <v>191</v>
      </c>
      <c r="N148" s="134" t="s">
        <v>59</v>
      </c>
      <c r="O148" s="167" t="s">
        <v>43</v>
      </c>
      <c r="P148" s="65">
        <v>2</v>
      </c>
      <c r="Q148" s="167" t="s">
        <v>531</v>
      </c>
      <c r="R148" s="65" t="s">
        <v>534</v>
      </c>
      <c r="S148" s="135" t="s">
        <v>9</v>
      </c>
      <c r="T148" s="136">
        <v>29763.052322448922</v>
      </c>
      <c r="U148" s="62">
        <v>20000</v>
      </c>
      <c r="V148" s="136">
        <v>29763.052322448922</v>
      </c>
      <c r="W148" s="136">
        <v>759026.28924278915</v>
      </c>
      <c r="X148" s="136">
        <v>2185142.8527549328</v>
      </c>
      <c r="Y148" s="62" t="s">
        <v>1321</v>
      </c>
      <c r="Z148" s="366">
        <v>0.15</v>
      </c>
      <c r="AA148" s="147" t="s">
        <v>11</v>
      </c>
      <c r="AB148" s="185">
        <v>0.03</v>
      </c>
      <c r="AC148" s="185">
        <v>1.8749999999999999E-2</v>
      </c>
      <c r="AD148" s="137">
        <v>44901</v>
      </c>
      <c r="AE148" s="137">
        <v>46736</v>
      </c>
      <c r="AF148" s="137">
        <v>46736</v>
      </c>
      <c r="AG148" s="138">
        <v>1836</v>
      </c>
      <c r="AH148" s="139" t="s">
        <v>10</v>
      </c>
      <c r="AI148" s="138">
        <v>1445</v>
      </c>
      <c r="AJ148" s="140">
        <v>3.9589041095890409</v>
      </c>
      <c r="AK148" s="184" t="s">
        <v>436</v>
      </c>
      <c r="AL148" s="188" t="s">
        <v>1121</v>
      </c>
      <c r="AM148" s="197" t="s">
        <v>162</v>
      </c>
      <c r="AN148" s="198" t="s">
        <v>891</v>
      </c>
      <c r="AO148" s="58" t="s">
        <v>1104</v>
      </c>
      <c r="AP148" s="112"/>
      <c r="AQ148" s="272"/>
    </row>
    <row r="149" spans="1:45" ht="39.950000000000003" customHeight="1" x14ac:dyDescent="0.2">
      <c r="A149" s="131" t="s">
        <v>1122</v>
      </c>
      <c r="B149" s="337" t="s">
        <v>243</v>
      </c>
      <c r="C149" s="337" t="s">
        <v>243</v>
      </c>
      <c r="D149" s="133" t="s">
        <v>588</v>
      </c>
      <c r="E149" s="131" t="s">
        <v>499</v>
      </c>
      <c r="F149" s="145" t="s">
        <v>162</v>
      </c>
      <c r="G149" s="131" t="s">
        <v>891</v>
      </c>
      <c r="H149" s="131" t="s">
        <v>167</v>
      </c>
      <c r="I149" s="131" t="s">
        <v>167</v>
      </c>
      <c r="J149" s="66" t="s">
        <v>589</v>
      </c>
      <c r="K149" s="192" t="s">
        <v>218</v>
      </c>
      <c r="L149" s="168" t="s">
        <v>140</v>
      </c>
      <c r="M149" s="194" t="s">
        <v>191</v>
      </c>
      <c r="N149" s="134" t="s">
        <v>59</v>
      </c>
      <c r="O149" s="167" t="s">
        <v>43</v>
      </c>
      <c r="P149" s="65">
        <v>2</v>
      </c>
      <c r="Q149" s="167" t="s">
        <v>538</v>
      </c>
      <c r="R149" s="65" t="s">
        <v>534</v>
      </c>
      <c r="S149" s="135" t="s">
        <v>9</v>
      </c>
      <c r="T149" s="136">
        <v>22322.28924183669</v>
      </c>
      <c r="U149" s="62">
        <v>15000</v>
      </c>
      <c r="V149" s="136">
        <v>22322.28924183669</v>
      </c>
      <c r="W149" s="136">
        <v>44644.57848367338</v>
      </c>
      <c r="X149" s="136">
        <v>805757.51068021101</v>
      </c>
      <c r="Y149" s="62" t="s">
        <v>16</v>
      </c>
      <c r="Z149" s="366">
        <v>0</v>
      </c>
      <c r="AA149" s="147" t="s">
        <v>11</v>
      </c>
      <c r="AB149" s="185">
        <v>2.7E-2</v>
      </c>
      <c r="AC149" s="185">
        <v>1.485E-2</v>
      </c>
      <c r="AD149" s="137">
        <v>44916</v>
      </c>
      <c r="AE149" s="137">
        <v>45949</v>
      </c>
      <c r="AF149" s="137">
        <v>45950</v>
      </c>
      <c r="AG149" s="138">
        <v>1035</v>
      </c>
      <c r="AH149" s="139" t="s">
        <v>10</v>
      </c>
      <c r="AI149" s="138">
        <v>659</v>
      </c>
      <c r="AJ149" s="140">
        <v>1.8054794520547945</v>
      </c>
      <c r="AK149" s="184"/>
      <c r="AL149" s="188" t="s">
        <v>1107</v>
      </c>
      <c r="AM149" s="197" t="s">
        <v>162</v>
      </c>
      <c r="AN149" s="198" t="s">
        <v>891</v>
      </c>
      <c r="AO149" s="58" t="s">
        <v>1108</v>
      </c>
      <c r="AP149" s="112"/>
      <c r="AQ149" s="272"/>
    </row>
    <row r="150" spans="1:45" s="229" customFormat="1" ht="39.950000000000003" customHeight="1" x14ac:dyDescent="0.2">
      <c r="A150" s="131" t="s">
        <v>1109</v>
      </c>
      <c r="B150" s="337" t="s">
        <v>1438</v>
      </c>
      <c r="C150" s="337" t="s">
        <v>243</v>
      </c>
      <c r="D150" s="133" t="s">
        <v>684</v>
      </c>
      <c r="E150" s="131" t="s">
        <v>542</v>
      </c>
      <c r="F150" s="145" t="s">
        <v>119</v>
      </c>
      <c r="G150" s="131" t="s">
        <v>102</v>
      </c>
      <c r="H150" s="131" t="s">
        <v>102</v>
      </c>
      <c r="I150" s="131" t="s">
        <v>122</v>
      </c>
      <c r="J150" s="66" t="s">
        <v>677</v>
      </c>
      <c r="K150" s="192" t="s">
        <v>218</v>
      </c>
      <c r="L150" s="168" t="s">
        <v>101</v>
      </c>
      <c r="M150" s="194" t="s">
        <v>191</v>
      </c>
      <c r="N150" s="134" t="s">
        <v>59</v>
      </c>
      <c r="O150" s="167" t="s">
        <v>43</v>
      </c>
      <c r="P150" s="65">
        <v>2</v>
      </c>
      <c r="Q150" s="167" t="s">
        <v>533</v>
      </c>
      <c r="R150" s="65" t="s">
        <v>534</v>
      </c>
      <c r="S150" s="135" t="s">
        <v>59</v>
      </c>
      <c r="T150" s="136">
        <v>32582.640695630256</v>
      </c>
      <c r="U150" s="62">
        <v>20000</v>
      </c>
      <c r="V150" s="136">
        <v>32582.640695630256</v>
      </c>
      <c r="W150" s="136">
        <v>65165.281391260512</v>
      </c>
      <c r="X150" s="136">
        <v>2094432.9153485564</v>
      </c>
      <c r="Y150" s="62" t="s">
        <v>16</v>
      </c>
      <c r="Z150" s="366">
        <v>0</v>
      </c>
      <c r="AA150" s="147" t="s">
        <v>11</v>
      </c>
      <c r="AB150" s="185">
        <v>2.6499999999999999E-2</v>
      </c>
      <c r="AC150" s="185">
        <v>1.456175E-2</v>
      </c>
      <c r="AD150" s="137">
        <v>44918</v>
      </c>
      <c r="AE150" s="137">
        <v>46505</v>
      </c>
      <c r="AF150" s="137">
        <v>46535</v>
      </c>
      <c r="AG150" s="138">
        <v>1618</v>
      </c>
      <c r="AH150" s="139" t="s">
        <v>10</v>
      </c>
      <c r="AI150" s="138">
        <v>1244</v>
      </c>
      <c r="AJ150" s="140">
        <v>3.408219178082192</v>
      </c>
      <c r="AK150" s="184" t="s">
        <v>436</v>
      </c>
      <c r="AL150" s="188" t="s">
        <v>1124</v>
      </c>
      <c r="AM150" s="197" t="s">
        <v>119</v>
      </c>
      <c r="AN150" s="198" t="s">
        <v>102</v>
      </c>
      <c r="AO150" s="58" t="s">
        <v>1110</v>
      </c>
      <c r="AP150" s="112"/>
      <c r="AQ150" s="272" t="s">
        <v>122</v>
      </c>
    </row>
    <row r="151" spans="1:45" s="229" customFormat="1" ht="39.950000000000003" customHeight="1" x14ac:dyDescent="0.2">
      <c r="A151" s="131" t="s">
        <v>1131</v>
      </c>
      <c r="B151" s="337" t="s">
        <v>1438</v>
      </c>
      <c r="C151" s="337" t="s">
        <v>1142</v>
      </c>
      <c r="D151" s="133" t="s">
        <v>211</v>
      </c>
      <c r="E151" s="131" t="s">
        <v>542</v>
      </c>
      <c r="F151" s="145" t="s">
        <v>87</v>
      </c>
      <c r="G151" s="131" t="s">
        <v>547</v>
      </c>
      <c r="H151" s="131" t="s">
        <v>265</v>
      </c>
      <c r="I151" s="131" t="s">
        <v>266</v>
      </c>
      <c r="J151" s="133" t="s">
        <v>212</v>
      </c>
      <c r="K151" s="192" t="s">
        <v>220</v>
      </c>
      <c r="L151" s="168" t="s">
        <v>209</v>
      </c>
      <c r="M151" s="194" t="s">
        <v>191</v>
      </c>
      <c r="N151" s="134" t="s">
        <v>59</v>
      </c>
      <c r="O151" s="167" t="s">
        <v>43</v>
      </c>
      <c r="P151" s="270">
        <v>2</v>
      </c>
      <c r="Q151" s="167" t="s">
        <v>538</v>
      </c>
      <c r="R151" s="270" t="s">
        <v>534</v>
      </c>
      <c r="S151" s="135" t="s">
        <v>59</v>
      </c>
      <c r="T151" s="136">
        <v>8145.6601739075641</v>
      </c>
      <c r="U151" s="62">
        <v>5000</v>
      </c>
      <c r="V151" s="136">
        <v>8145.6601739075641</v>
      </c>
      <c r="W151" s="136">
        <v>171058.86365205885</v>
      </c>
      <c r="X151" s="136">
        <v>1394582.8655484335</v>
      </c>
      <c r="Y151" s="62" t="s">
        <v>16</v>
      </c>
      <c r="Z151" s="366">
        <v>0</v>
      </c>
      <c r="AA151" s="147" t="s">
        <v>11</v>
      </c>
      <c r="AB151" s="185">
        <v>5.5E-2</v>
      </c>
      <c r="AC151" s="185">
        <v>0.02</v>
      </c>
      <c r="AD151" s="137">
        <v>44928</v>
      </c>
      <c r="AE151" s="137">
        <v>47041</v>
      </c>
      <c r="AF151" s="137">
        <v>47077</v>
      </c>
      <c r="AG151" s="138">
        <v>2150</v>
      </c>
      <c r="AH151" s="139" t="s">
        <v>10</v>
      </c>
      <c r="AI151" s="138">
        <v>1786</v>
      </c>
      <c r="AJ151" s="140">
        <v>4.8931506849315065</v>
      </c>
      <c r="AK151" s="184"/>
      <c r="AL151" s="188" t="s">
        <v>1139</v>
      </c>
      <c r="AM151" s="323" t="s">
        <v>87</v>
      </c>
      <c r="AN151" s="324" t="s">
        <v>547</v>
      </c>
      <c r="AO151" s="272" t="s">
        <v>1132</v>
      </c>
      <c r="AP151" s="276"/>
      <c r="AQ151" s="272"/>
    </row>
    <row r="152" spans="1:45" ht="39.950000000000003" customHeight="1" x14ac:dyDescent="0.2">
      <c r="A152" s="131" t="s">
        <v>1135</v>
      </c>
      <c r="B152" s="337" t="s">
        <v>1437</v>
      </c>
      <c r="C152" s="337" t="s">
        <v>1142</v>
      </c>
      <c r="D152" s="133" t="s">
        <v>127</v>
      </c>
      <c r="E152" s="131" t="s">
        <v>542</v>
      </c>
      <c r="F152" s="145" t="s">
        <v>149</v>
      </c>
      <c r="G152" s="131" t="s">
        <v>543</v>
      </c>
      <c r="H152" s="131" t="s">
        <v>97</v>
      </c>
      <c r="I152" s="131" t="s">
        <v>255</v>
      </c>
      <c r="J152" s="66" t="s">
        <v>677</v>
      </c>
      <c r="K152" s="192" t="s">
        <v>218</v>
      </c>
      <c r="L152" s="168" t="s">
        <v>209</v>
      </c>
      <c r="M152" s="194" t="s">
        <v>191</v>
      </c>
      <c r="N152" s="134" t="s">
        <v>59</v>
      </c>
      <c r="O152" s="167" t="s">
        <v>43</v>
      </c>
      <c r="P152" s="65">
        <v>2</v>
      </c>
      <c r="Q152" s="167" t="s">
        <v>538</v>
      </c>
      <c r="R152" s="65" t="s">
        <v>534</v>
      </c>
      <c r="S152" s="135" t="s">
        <v>59</v>
      </c>
      <c r="T152" s="136">
        <v>20364.150434768912</v>
      </c>
      <c r="U152" s="62">
        <v>12500</v>
      </c>
      <c r="V152" s="136">
        <v>20364.150434768912</v>
      </c>
      <c r="W152" s="136">
        <v>69238.111478214298</v>
      </c>
      <c r="X152" s="136">
        <v>1653908.4123800416</v>
      </c>
      <c r="Y152" s="62" t="s">
        <v>16</v>
      </c>
      <c r="Z152" s="366">
        <v>0</v>
      </c>
      <c r="AA152" s="147" t="s">
        <v>11</v>
      </c>
      <c r="AB152" s="185">
        <v>4.4999999999999998E-2</v>
      </c>
      <c r="AC152" s="185">
        <v>2.9000000000000001E-2</v>
      </c>
      <c r="AD152" s="137">
        <v>44946</v>
      </c>
      <c r="AE152" s="137">
        <v>46744</v>
      </c>
      <c r="AF152" s="137">
        <v>46803</v>
      </c>
      <c r="AG152" s="138">
        <v>1858</v>
      </c>
      <c r="AH152" s="139" t="s">
        <v>10</v>
      </c>
      <c r="AI152" s="138">
        <v>1512</v>
      </c>
      <c r="AJ152" s="140">
        <v>4.1424657534246574</v>
      </c>
      <c r="AK152" s="184"/>
      <c r="AL152" s="188" t="s">
        <v>1134</v>
      </c>
      <c r="AM152" s="197" t="s">
        <v>149</v>
      </c>
      <c r="AN152" s="198" t="s">
        <v>543</v>
      </c>
      <c r="AO152" s="58" t="s">
        <v>1133</v>
      </c>
      <c r="AP152" s="112"/>
      <c r="AQ152" s="272"/>
    </row>
    <row r="153" spans="1:45" ht="39.950000000000003" customHeight="1" x14ac:dyDescent="0.2">
      <c r="A153" s="131" t="s">
        <v>1146</v>
      </c>
      <c r="B153" s="337" t="s">
        <v>23</v>
      </c>
      <c r="C153" s="337" t="s">
        <v>1141</v>
      </c>
      <c r="D153" s="133" t="s">
        <v>149</v>
      </c>
      <c r="E153" s="131" t="s">
        <v>542</v>
      </c>
      <c r="F153" s="145" t="s">
        <v>308</v>
      </c>
      <c r="G153" s="131" t="s">
        <v>92</v>
      </c>
      <c r="H153" s="131" t="s">
        <v>134</v>
      </c>
      <c r="I153" s="131" t="s">
        <v>134</v>
      </c>
      <c r="J153" s="66" t="s">
        <v>148</v>
      </c>
      <c r="K153" s="192" t="s">
        <v>148</v>
      </c>
      <c r="L153" s="168" t="s">
        <v>209</v>
      </c>
      <c r="M153" s="194" t="s">
        <v>191</v>
      </c>
      <c r="N153" s="134" t="s">
        <v>59</v>
      </c>
      <c r="O153" s="167" t="s">
        <v>43</v>
      </c>
      <c r="P153" s="65">
        <v>2</v>
      </c>
      <c r="Q153" s="167" t="s">
        <v>531</v>
      </c>
      <c r="R153" s="65" t="s">
        <v>534</v>
      </c>
      <c r="S153" s="135" t="s">
        <v>1148</v>
      </c>
      <c r="T153" s="136">
        <v>23096.181566129486</v>
      </c>
      <c r="U153" s="62">
        <v>99852.637770000001</v>
      </c>
      <c r="V153" s="136">
        <v>23096.181566129486</v>
      </c>
      <c r="W153" s="136">
        <v>48873.961043445386</v>
      </c>
      <c r="X153" s="136">
        <v>1418965.1169327507</v>
      </c>
      <c r="Y153" s="62" t="s">
        <v>1321</v>
      </c>
      <c r="Z153" s="366">
        <v>0.2</v>
      </c>
      <c r="AA153" s="147" t="s">
        <v>11</v>
      </c>
      <c r="AB153" s="185">
        <v>2.2499999999999999E-2</v>
      </c>
      <c r="AC153" s="185">
        <v>1.0500000000000001E-2</v>
      </c>
      <c r="AD153" s="137">
        <v>44972</v>
      </c>
      <c r="AE153" s="137">
        <v>47188</v>
      </c>
      <c r="AF153" s="137">
        <v>47207</v>
      </c>
      <c r="AG153" s="138">
        <v>2236</v>
      </c>
      <c r="AH153" s="139" t="s">
        <v>10</v>
      </c>
      <c r="AI153" s="138">
        <v>1916</v>
      </c>
      <c r="AJ153" s="140">
        <v>5.2493150684931509</v>
      </c>
      <c r="AK153" s="184" t="s">
        <v>436</v>
      </c>
      <c r="AL153" s="188" t="s">
        <v>1147</v>
      </c>
      <c r="AM153" s="197" t="s">
        <v>308</v>
      </c>
      <c r="AN153" s="198" t="s">
        <v>92</v>
      </c>
      <c r="AO153" s="58" t="s">
        <v>1145</v>
      </c>
      <c r="AP153" s="112"/>
      <c r="AQ153" s="272"/>
    </row>
    <row r="154" spans="1:45" s="229" customFormat="1" ht="39.950000000000003" customHeight="1" x14ac:dyDescent="0.2">
      <c r="A154" s="131" t="s">
        <v>1149</v>
      </c>
      <c r="B154" s="337" t="s">
        <v>1438</v>
      </c>
      <c r="C154" s="337" t="s">
        <v>1141</v>
      </c>
      <c r="D154" s="133" t="s">
        <v>876</v>
      </c>
      <c r="E154" s="131" t="s">
        <v>541</v>
      </c>
      <c r="F154" s="145" t="s">
        <v>38</v>
      </c>
      <c r="G154" s="131" t="s">
        <v>92</v>
      </c>
      <c r="H154" s="131" t="s">
        <v>134</v>
      </c>
      <c r="I154" s="131" t="s">
        <v>134</v>
      </c>
      <c r="J154" s="133" t="s">
        <v>50</v>
      </c>
      <c r="K154" s="192" t="s">
        <v>21</v>
      </c>
      <c r="L154" s="168" t="s">
        <v>209</v>
      </c>
      <c r="M154" s="194" t="s">
        <v>191</v>
      </c>
      <c r="N154" s="134" t="s">
        <v>323</v>
      </c>
      <c r="O154" s="167" t="s">
        <v>43</v>
      </c>
      <c r="P154" s="270">
        <v>2</v>
      </c>
      <c r="Q154" s="167" t="s">
        <v>531</v>
      </c>
      <c r="R154" s="270" t="s">
        <v>534</v>
      </c>
      <c r="S154" s="135" t="s">
        <v>9</v>
      </c>
      <c r="T154" s="136">
        <v>18601.907701530577</v>
      </c>
      <c r="U154" s="62">
        <v>12500</v>
      </c>
      <c r="V154" s="136">
        <v>18601.907701530577</v>
      </c>
      <c r="W154" s="136">
        <v>99375.952129344761</v>
      </c>
      <c r="X154" s="136">
        <v>2169819.3601482459</v>
      </c>
      <c r="Y154" s="62" t="s">
        <v>16</v>
      </c>
      <c r="Z154" s="366">
        <v>0</v>
      </c>
      <c r="AA154" s="147" t="s">
        <v>11</v>
      </c>
      <c r="AB154" s="185">
        <v>4.2500000000000003E-2</v>
      </c>
      <c r="AC154" s="185">
        <v>2.35E-2</v>
      </c>
      <c r="AD154" s="137">
        <v>44984</v>
      </c>
      <c r="AE154" s="137">
        <v>46726</v>
      </c>
      <c r="AF154" s="137">
        <v>46769</v>
      </c>
      <c r="AG154" s="138">
        <v>1786</v>
      </c>
      <c r="AH154" s="139" t="s">
        <v>10</v>
      </c>
      <c r="AI154" s="138">
        <v>1478</v>
      </c>
      <c r="AJ154" s="140">
        <v>4.0493150684931507</v>
      </c>
      <c r="AK154" s="184"/>
      <c r="AL154" s="188" t="s">
        <v>1150</v>
      </c>
      <c r="AM154" s="323" t="s">
        <v>38</v>
      </c>
      <c r="AN154" s="324" t="s">
        <v>92</v>
      </c>
      <c r="AO154" s="272" t="s">
        <v>1151</v>
      </c>
      <c r="AP154" s="276"/>
      <c r="AQ154" s="272"/>
      <c r="AS154" s="411"/>
    </row>
    <row r="155" spans="1:45" ht="39.950000000000003" customHeight="1" x14ac:dyDescent="0.2">
      <c r="A155" s="131" t="s">
        <v>1152</v>
      </c>
      <c r="B155" s="337" t="s">
        <v>67</v>
      </c>
      <c r="C155" s="337" t="s">
        <v>243</v>
      </c>
      <c r="D155" s="133" t="s">
        <v>89</v>
      </c>
      <c r="E155" s="131" t="s">
        <v>542</v>
      </c>
      <c r="F155" s="145" t="s">
        <v>89</v>
      </c>
      <c r="G155" s="131" t="s">
        <v>891</v>
      </c>
      <c r="H155" s="131" t="s">
        <v>167</v>
      </c>
      <c r="I155" s="131" t="s">
        <v>167</v>
      </c>
      <c r="J155" s="66" t="s">
        <v>60</v>
      </c>
      <c r="K155" s="192" t="s">
        <v>220</v>
      </c>
      <c r="L155" s="168" t="s">
        <v>140</v>
      </c>
      <c r="M155" s="194" t="s">
        <v>191</v>
      </c>
      <c r="N155" s="134" t="s">
        <v>59</v>
      </c>
      <c r="O155" s="167" t="s">
        <v>43</v>
      </c>
      <c r="P155" s="65">
        <v>3</v>
      </c>
      <c r="Q155" s="167" t="s">
        <v>538</v>
      </c>
      <c r="R155" s="65" t="s">
        <v>534</v>
      </c>
      <c r="S155" s="135" t="s">
        <v>59</v>
      </c>
      <c r="T155" s="136">
        <v>17920.452382596643</v>
      </c>
      <c r="U155" s="62">
        <v>11000</v>
      </c>
      <c r="V155" s="136">
        <v>17920.452382596643</v>
      </c>
      <c r="W155" s="136">
        <v>545759.23165180685</v>
      </c>
      <c r="X155" s="136">
        <v>1416591.0382847821</v>
      </c>
      <c r="Y155" s="62" t="s">
        <v>16</v>
      </c>
      <c r="Z155" s="366">
        <v>0</v>
      </c>
      <c r="AA155" s="147" t="s">
        <v>11</v>
      </c>
      <c r="AB155" s="185">
        <v>2.1000000000000001E-2</v>
      </c>
      <c r="AC155" s="185">
        <v>1.0500000000000001E-2</v>
      </c>
      <c r="AD155" s="137">
        <v>44985</v>
      </c>
      <c r="AE155" s="137">
        <v>47052</v>
      </c>
      <c r="AF155" s="137">
        <v>47455</v>
      </c>
      <c r="AG155" s="138">
        <v>2471</v>
      </c>
      <c r="AH155" s="139" t="s">
        <v>10</v>
      </c>
      <c r="AI155" s="138">
        <v>2164</v>
      </c>
      <c r="AJ155" s="140">
        <v>5.9287671232876713</v>
      </c>
      <c r="AK155" s="184"/>
      <c r="AL155" s="188" t="s">
        <v>1162</v>
      </c>
      <c r="AM155" s="197" t="s">
        <v>89</v>
      </c>
      <c r="AN155" s="198" t="s">
        <v>891</v>
      </c>
      <c r="AO155" s="58" t="s">
        <v>1153</v>
      </c>
      <c r="AP155" s="112"/>
      <c r="AQ155" s="272"/>
    </row>
    <row r="156" spans="1:45" ht="39.950000000000003" customHeight="1" x14ac:dyDescent="0.2">
      <c r="A156" s="131" t="s">
        <v>1166</v>
      </c>
      <c r="B156" s="337" t="s">
        <v>243</v>
      </c>
      <c r="C156" s="337" t="s">
        <v>243</v>
      </c>
      <c r="D156" s="133" t="s">
        <v>38</v>
      </c>
      <c r="E156" s="131" t="s">
        <v>499</v>
      </c>
      <c r="F156" s="145" t="s">
        <v>162</v>
      </c>
      <c r="G156" s="131" t="s">
        <v>892</v>
      </c>
      <c r="H156" s="131" t="s">
        <v>259</v>
      </c>
      <c r="I156" s="131" t="s">
        <v>258</v>
      </c>
      <c r="J156" s="66" t="s">
        <v>142</v>
      </c>
      <c r="K156" s="192" t="s">
        <v>218</v>
      </c>
      <c r="L156" s="168" t="s">
        <v>209</v>
      </c>
      <c r="M156" s="194" t="s">
        <v>191</v>
      </c>
      <c r="N156" s="134" t="s">
        <v>323</v>
      </c>
      <c r="O156" s="167" t="s">
        <v>43</v>
      </c>
      <c r="P156" s="65">
        <v>2</v>
      </c>
      <c r="Q156" s="167" t="s">
        <v>538</v>
      </c>
      <c r="R156" s="65" t="s">
        <v>534</v>
      </c>
      <c r="S156" s="135" t="s">
        <v>9</v>
      </c>
      <c r="T156" s="136">
        <v>11161.144620918345</v>
      </c>
      <c r="U156" s="62">
        <v>7500</v>
      </c>
      <c r="V156" s="136">
        <v>11161.144620918345</v>
      </c>
      <c r="W156" s="136">
        <v>37203.815403061155</v>
      </c>
      <c r="X156" s="136">
        <v>1110071.4165928629</v>
      </c>
      <c r="Y156" s="62" t="s">
        <v>16</v>
      </c>
      <c r="Z156" s="366">
        <v>0</v>
      </c>
      <c r="AA156" s="147" t="s">
        <v>11</v>
      </c>
      <c r="AB156" s="185">
        <v>4.2500000000000003E-2</v>
      </c>
      <c r="AC156" s="185">
        <v>2.1250000000000002E-2</v>
      </c>
      <c r="AD156" s="137">
        <v>44985</v>
      </c>
      <c r="AE156" s="137">
        <v>46727</v>
      </c>
      <c r="AF156" s="137">
        <v>46756</v>
      </c>
      <c r="AG156" s="138">
        <v>1772</v>
      </c>
      <c r="AH156" s="139" t="s">
        <v>10</v>
      </c>
      <c r="AI156" s="138">
        <v>1465</v>
      </c>
      <c r="AJ156" s="140">
        <v>4.0136986301369859</v>
      </c>
      <c r="AK156" s="184"/>
      <c r="AL156" s="188" t="s">
        <v>1169</v>
      </c>
      <c r="AM156" s="197" t="s">
        <v>162</v>
      </c>
      <c r="AN156" s="198" t="s">
        <v>892</v>
      </c>
      <c r="AO156" s="58" t="s">
        <v>1154</v>
      </c>
      <c r="AP156" s="112"/>
      <c r="AQ156" s="272"/>
    </row>
    <row r="157" spans="1:45" ht="39.950000000000003" customHeight="1" x14ac:dyDescent="0.2">
      <c r="A157" s="131" t="s">
        <v>1159</v>
      </c>
      <c r="B157" s="337" t="s">
        <v>1437</v>
      </c>
      <c r="C157" s="337" t="s">
        <v>1144</v>
      </c>
      <c r="D157" s="133" t="s">
        <v>746</v>
      </c>
      <c r="E157" s="131" t="s">
        <v>542</v>
      </c>
      <c r="F157" s="145" t="s">
        <v>746</v>
      </c>
      <c r="G157" s="131" t="s">
        <v>544</v>
      </c>
      <c r="H157" s="131" t="s">
        <v>178</v>
      </c>
      <c r="I157" s="131" t="s">
        <v>454</v>
      </c>
      <c r="J157" s="66" t="s">
        <v>1156</v>
      </c>
      <c r="K157" s="192" t="s">
        <v>220</v>
      </c>
      <c r="L157" s="168" t="s">
        <v>29</v>
      </c>
      <c r="M157" s="194" t="s">
        <v>191</v>
      </c>
      <c r="N157" s="134" t="s">
        <v>59</v>
      </c>
      <c r="O157" s="167" t="s">
        <v>43</v>
      </c>
      <c r="P157" s="65">
        <v>3</v>
      </c>
      <c r="Q157" s="167" t="s">
        <v>538</v>
      </c>
      <c r="R157" s="65" t="s">
        <v>534</v>
      </c>
      <c r="S157" s="135" t="s">
        <v>59</v>
      </c>
      <c r="T157" s="136">
        <v>40728.300869537823</v>
      </c>
      <c r="U157" s="62">
        <v>25000</v>
      </c>
      <c r="V157" s="136">
        <v>40728.300869537823</v>
      </c>
      <c r="W157" s="136">
        <v>81782.428146031947</v>
      </c>
      <c r="X157" s="136">
        <v>4308919.29099066</v>
      </c>
      <c r="Y157" s="62" t="s">
        <v>16</v>
      </c>
      <c r="Z157" s="366">
        <v>0</v>
      </c>
      <c r="AA157" s="147" t="s">
        <v>11</v>
      </c>
      <c r="AB157" s="185">
        <v>3.5475E-2</v>
      </c>
      <c r="AC157" s="185">
        <v>2.0500000000000001E-2</v>
      </c>
      <c r="AD157" s="137">
        <v>44985</v>
      </c>
      <c r="AE157" s="137">
        <v>47074</v>
      </c>
      <c r="AF157" s="137">
        <v>47104</v>
      </c>
      <c r="AG157" s="138">
        <v>2120</v>
      </c>
      <c r="AH157" s="139" t="s">
        <v>10</v>
      </c>
      <c r="AI157" s="138">
        <v>1813</v>
      </c>
      <c r="AJ157" s="140">
        <v>4.9671232876712326</v>
      </c>
      <c r="AK157" s="184" t="s">
        <v>436</v>
      </c>
      <c r="AL157" s="188" t="s">
        <v>1157</v>
      </c>
      <c r="AM157" s="197" t="s">
        <v>746</v>
      </c>
      <c r="AN157" s="198" t="s">
        <v>544</v>
      </c>
      <c r="AO157" s="58" t="s">
        <v>1158</v>
      </c>
      <c r="AP157" s="112"/>
      <c r="AQ157" s="272"/>
    </row>
    <row r="158" spans="1:45" ht="39.950000000000003" customHeight="1" x14ac:dyDescent="0.2">
      <c r="A158" s="131" t="s">
        <v>1167</v>
      </c>
      <c r="B158" s="337" t="s">
        <v>243</v>
      </c>
      <c r="C158" s="337" t="s">
        <v>243</v>
      </c>
      <c r="D158" s="133" t="s">
        <v>38</v>
      </c>
      <c r="E158" s="131" t="s">
        <v>499</v>
      </c>
      <c r="F158" s="145" t="s">
        <v>162</v>
      </c>
      <c r="G158" s="131" t="s">
        <v>892</v>
      </c>
      <c r="H158" s="131" t="s">
        <v>259</v>
      </c>
      <c r="I158" s="131" t="s">
        <v>258</v>
      </c>
      <c r="J158" s="66" t="s">
        <v>1088</v>
      </c>
      <c r="K158" s="192" t="s">
        <v>687</v>
      </c>
      <c r="L158" s="168" t="s">
        <v>209</v>
      </c>
      <c r="M158" s="194" t="s">
        <v>191</v>
      </c>
      <c r="N158" s="134" t="s">
        <v>323</v>
      </c>
      <c r="O158" s="167" t="s">
        <v>43</v>
      </c>
      <c r="P158" s="65">
        <v>2</v>
      </c>
      <c r="Q158" s="167" t="s">
        <v>538</v>
      </c>
      <c r="R158" s="65" t="s">
        <v>534</v>
      </c>
      <c r="S158" s="135" t="s">
        <v>9</v>
      </c>
      <c r="T158" s="136">
        <v>11161.144620918345</v>
      </c>
      <c r="U158" s="62">
        <v>7500</v>
      </c>
      <c r="V158" s="136">
        <v>11161.144620918345</v>
      </c>
      <c r="W158" s="136">
        <v>37203.815403061155</v>
      </c>
      <c r="X158" s="136">
        <v>1326040.0114534178</v>
      </c>
      <c r="Y158" s="62" t="s">
        <v>16</v>
      </c>
      <c r="Z158" s="366">
        <v>0</v>
      </c>
      <c r="AA158" s="147" t="s">
        <v>11</v>
      </c>
      <c r="AB158" s="185">
        <v>4.2500000000000003E-2</v>
      </c>
      <c r="AC158" s="185">
        <v>2.5499999999999998E-2</v>
      </c>
      <c r="AD158" s="137">
        <v>44987</v>
      </c>
      <c r="AE158" s="137">
        <v>46773</v>
      </c>
      <c r="AF158" s="137">
        <v>46773</v>
      </c>
      <c r="AG158" s="138">
        <v>1787</v>
      </c>
      <c r="AH158" s="139" t="s">
        <v>10</v>
      </c>
      <c r="AI158" s="138">
        <v>1482</v>
      </c>
      <c r="AJ158" s="140">
        <v>4.0602739726027401</v>
      </c>
      <c r="AK158" s="184"/>
      <c r="AL158" s="188" t="s">
        <v>1168</v>
      </c>
      <c r="AM158" s="197" t="s">
        <v>162</v>
      </c>
      <c r="AN158" s="198" t="s">
        <v>892</v>
      </c>
      <c r="AO158" s="58" t="s">
        <v>1165</v>
      </c>
      <c r="AP158" s="112"/>
      <c r="AQ158" s="272"/>
    </row>
    <row r="159" spans="1:45" ht="39.950000000000003" customHeight="1" x14ac:dyDescent="0.2">
      <c r="A159" s="131" t="s">
        <v>1171</v>
      </c>
      <c r="B159" s="337" t="s">
        <v>1333</v>
      </c>
      <c r="C159" s="337" t="s">
        <v>243</v>
      </c>
      <c r="D159" s="133" t="s">
        <v>38</v>
      </c>
      <c r="E159" s="131" t="s">
        <v>541</v>
      </c>
      <c r="F159" s="145" t="s">
        <v>38</v>
      </c>
      <c r="G159" s="131" t="s">
        <v>102</v>
      </c>
      <c r="H159" s="131" t="s">
        <v>102</v>
      </c>
      <c r="I159" s="131" t="s">
        <v>110</v>
      </c>
      <c r="J159" s="66" t="s">
        <v>142</v>
      </c>
      <c r="K159" s="192" t="s">
        <v>218</v>
      </c>
      <c r="L159" s="168" t="s">
        <v>101</v>
      </c>
      <c r="M159" s="194" t="s">
        <v>191</v>
      </c>
      <c r="N159" s="134" t="s">
        <v>323</v>
      </c>
      <c r="O159" s="167" t="s">
        <v>43</v>
      </c>
      <c r="P159" s="65">
        <v>3</v>
      </c>
      <c r="Q159" s="167" t="s">
        <v>531</v>
      </c>
      <c r="R159" s="65" t="s">
        <v>534</v>
      </c>
      <c r="S159" s="135" t="s">
        <v>1175</v>
      </c>
      <c r="T159" s="136">
        <v>21433.576282197893</v>
      </c>
      <c r="U159" s="62">
        <v>17500</v>
      </c>
      <c r="V159" s="136">
        <v>21433.576282197893</v>
      </c>
      <c r="W159" s="136">
        <v>93753.6148157141</v>
      </c>
      <c r="X159" s="136">
        <v>652440.00465369597</v>
      </c>
      <c r="Y159" s="62" t="s">
        <v>16</v>
      </c>
      <c r="Z159" s="366">
        <v>0</v>
      </c>
      <c r="AA159" s="147" t="s">
        <v>11</v>
      </c>
      <c r="AB159" s="185">
        <v>6.1249999999999999E-2</v>
      </c>
      <c r="AC159" s="185">
        <v>3.6799999999999999E-2</v>
      </c>
      <c r="AD159" s="137">
        <v>44992</v>
      </c>
      <c r="AE159" s="137">
        <v>45626</v>
      </c>
      <c r="AF159" s="137">
        <v>45626</v>
      </c>
      <c r="AG159" s="138">
        <v>635</v>
      </c>
      <c r="AH159" s="139" t="s">
        <v>10</v>
      </c>
      <c r="AI159" s="138">
        <v>335</v>
      </c>
      <c r="AJ159" s="140">
        <v>0.9178082191780822</v>
      </c>
      <c r="AK159" s="184"/>
      <c r="AL159" s="188" t="s">
        <v>1173</v>
      </c>
      <c r="AM159" s="197" t="s">
        <v>38</v>
      </c>
      <c r="AN159" s="198" t="s">
        <v>102</v>
      </c>
      <c r="AO159" s="58" t="s">
        <v>1172</v>
      </c>
      <c r="AP159" s="112"/>
      <c r="AQ159" s="272" t="s">
        <v>1394</v>
      </c>
    </row>
    <row r="160" spans="1:45" s="229" customFormat="1" ht="39.950000000000003" customHeight="1" x14ac:dyDescent="0.2">
      <c r="A160" s="131" t="s">
        <v>1210</v>
      </c>
      <c r="B160" s="337" t="s">
        <v>1438</v>
      </c>
      <c r="C160" s="337" t="s">
        <v>1143</v>
      </c>
      <c r="D160" s="133" t="s">
        <v>34</v>
      </c>
      <c r="E160" s="131" t="s">
        <v>34</v>
      </c>
      <c r="F160" s="145" t="s">
        <v>34</v>
      </c>
      <c r="G160" s="131" t="s">
        <v>475</v>
      </c>
      <c r="H160" s="131" t="s">
        <v>227</v>
      </c>
      <c r="I160" s="131" t="s">
        <v>827</v>
      </c>
      <c r="J160" s="133" t="s">
        <v>1213</v>
      </c>
      <c r="K160" s="192" t="s">
        <v>1113</v>
      </c>
      <c r="L160" s="168" t="s">
        <v>29</v>
      </c>
      <c r="M160" s="194" t="s">
        <v>191</v>
      </c>
      <c r="N160" s="134" t="s">
        <v>323</v>
      </c>
      <c r="O160" s="167" t="s">
        <v>43</v>
      </c>
      <c r="P160" s="270">
        <v>3</v>
      </c>
      <c r="Q160" s="167" t="s">
        <v>538</v>
      </c>
      <c r="R160" s="270" t="s">
        <v>534</v>
      </c>
      <c r="S160" s="135" t="s">
        <v>8</v>
      </c>
      <c r="T160" s="136">
        <v>20000</v>
      </c>
      <c r="U160" s="62">
        <v>20000</v>
      </c>
      <c r="V160" s="136">
        <v>20000</v>
      </c>
      <c r="W160" s="136">
        <v>92500</v>
      </c>
      <c r="X160" s="136">
        <v>583810.96</v>
      </c>
      <c r="Y160" s="62" t="s">
        <v>16</v>
      </c>
      <c r="Z160" s="366">
        <v>0</v>
      </c>
      <c r="AA160" s="147" t="s">
        <v>11</v>
      </c>
      <c r="AB160" s="185">
        <v>1.06E-2</v>
      </c>
      <c r="AC160" s="185">
        <v>5.3E-3</v>
      </c>
      <c r="AD160" s="137">
        <v>45194</v>
      </c>
      <c r="AE160" s="137">
        <v>46113</v>
      </c>
      <c r="AF160" s="137">
        <v>46173</v>
      </c>
      <c r="AG160" s="138">
        <v>980</v>
      </c>
      <c r="AH160" s="139" t="s">
        <v>10</v>
      </c>
      <c r="AI160" s="138">
        <v>882</v>
      </c>
      <c r="AJ160" s="140">
        <v>2.4164383561643836</v>
      </c>
      <c r="AK160" s="184"/>
      <c r="AL160" s="188" t="s">
        <v>1211</v>
      </c>
      <c r="AM160" s="323" t="s">
        <v>34</v>
      </c>
      <c r="AN160" s="324" t="s">
        <v>475</v>
      </c>
      <c r="AO160" s="272" t="s">
        <v>1422</v>
      </c>
      <c r="AP160" s="276"/>
      <c r="AQ160" s="272"/>
    </row>
    <row r="161" spans="1:45" s="229" customFormat="1" ht="39.950000000000003" customHeight="1" x14ac:dyDescent="0.2">
      <c r="A161" s="131" t="s">
        <v>1176</v>
      </c>
      <c r="B161" s="337" t="s">
        <v>23</v>
      </c>
      <c r="C161" s="337" t="s">
        <v>1141</v>
      </c>
      <c r="D161" s="133" t="s">
        <v>34</v>
      </c>
      <c r="E161" s="131" t="s">
        <v>34</v>
      </c>
      <c r="F161" s="145" t="s">
        <v>34</v>
      </c>
      <c r="G161" s="131" t="s">
        <v>48</v>
      </c>
      <c r="H161" s="131" t="s">
        <v>95</v>
      </c>
      <c r="I161" s="131" t="s">
        <v>1179</v>
      </c>
      <c r="J161" s="133" t="s">
        <v>232</v>
      </c>
      <c r="K161" s="192" t="s">
        <v>21</v>
      </c>
      <c r="L161" s="168" t="s">
        <v>29</v>
      </c>
      <c r="M161" s="194" t="s">
        <v>191</v>
      </c>
      <c r="N161" s="134" t="s">
        <v>323</v>
      </c>
      <c r="O161" s="167" t="s">
        <v>43</v>
      </c>
      <c r="P161" s="270">
        <v>2</v>
      </c>
      <c r="Q161" s="167" t="s">
        <v>538</v>
      </c>
      <c r="R161" s="270" t="s">
        <v>548</v>
      </c>
      <c r="S161" s="135" t="s">
        <v>8</v>
      </c>
      <c r="T161" s="136">
        <v>15000</v>
      </c>
      <c r="U161" s="62">
        <v>15000</v>
      </c>
      <c r="V161" s="136">
        <v>15000</v>
      </c>
      <c r="W161" s="136">
        <v>150000</v>
      </c>
      <c r="X161" s="136">
        <v>169192.71000000002</v>
      </c>
      <c r="Y161" s="62" t="s">
        <v>16</v>
      </c>
      <c r="Z161" s="366">
        <v>0</v>
      </c>
      <c r="AA161" s="147" t="s">
        <v>11</v>
      </c>
      <c r="AB161" s="185">
        <v>1.9800000000000002E-2</v>
      </c>
      <c r="AC161" s="185">
        <v>1.12E-2</v>
      </c>
      <c r="AD161" s="137">
        <v>44993</v>
      </c>
      <c r="AE161" s="137">
        <v>45972</v>
      </c>
      <c r="AF161" s="137">
        <v>46014</v>
      </c>
      <c r="AG161" s="138">
        <v>1022</v>
      </c>
      <c r="AH161" s="139" t="s">
        <v>10</v>
      </c>
      <c r="AI161" s="138">
        <v>723</v>
      </c>
      <c r="AJ161" s="140">
        <v>1.9808219178082191</v>
      </c>
      <c r="AK161" s="184"/>
      <c r="AL161" s="188" t="s">
        <v>1178</v>
      </c>
      <c r="AM161" s="323" t="s">
        <v>34</v>
      </c>
      <c r="AN161" s="324" t="s">
        <v>48</v>
      </c>
      <c r="AO161" s="272" t="s">
        <v>1177</v>
      </c>
      <c r="AP161" s="276"/>
      <c r="AQ161" s="272"/>
      <c r="AS161" s="411"/>
    </row>
    <row r="162" spans="1:45" ht="39.950000000000003" customHeight="1" x14ac:dyDescent="0.2">
      <c r="A162" s="131" t="s">
        <v>1181</v>
      </c>
      <c r="B162" s="337" t="s">
        <v>1438</v>
      </c>
      <c r="C162" s="337" t="s">
        <v>1142</v>
      </c>
      <c r="D162" s="133" t="s">
        <v>38</v>
      </c>
      <c r="E162" s="131" t="s">
        <v>541</v>
      </c>
      <c r="F162" s="145" t="s">
        <v>38</v>
      </c>
      <c r="G162" s="131" t="s">
        <v>475</v>
      </c>
      <c r="H162" s="131" t="s">
        <v>138</v>
      </c>
      <c r="I162" s="131" t="s">
        <v>138</v>
      </c>
      <c r="J162" s="66" t="s">
        <v>638</v>
      </c>
      <c r="K162" s="192" t="s">
        <v>687</v>
      </c>
      <c r="L162" s="168" t="s">
        <v>209</v>
      </c>
      <c r="M162" s="194" t="s">
        <v>191</v>
      </c>
      <c r="N162" s="134" t="s">
        <v>323</v>
      </c>
      <c r="O162" s="167" t="s">
        <v>43</v>
      </c>
      <c r="P162" s="65">
        <v>2</v>
      </c>
      <c r="Q162" s="167" t="s">
        <v>538</v>
      </c>
      <c r="R162" s="65" t="s">
        <v>534</v>
      </c>
      <c r="S162" s="135" t="s">
        <v>9</v>
      </c>
      <c r="T162" s="136">
        <v>11161.144620918345</v>
      </c>
      <c r="U162" s="62">
        <v>7500</v>
      </c>
      <c r="V162" s="136">
        <v>11161.144620918345</v>
      </c>
      <c r="W162" s="136">
        <v>29763.052322448922</v>
      </c>
      <c r="X162" s="136">
        <v>1063653.8977269197</v>
      </c>
      <c r="Y162" s="62" t="s">
        <v>16</v>
      </c>
      <c r="Z162" s="366">
        <v>0</v>
      </c>
      <c r="AA162" s="147" t="s">
        <v>11</v>
      </c>
      <c r="AB162" s="185">
        <v>3.7499999999999999E-2</v>
      </c>
      <c r="AC162" s="185">
        <v>2.06E-2</v>
      </c>
      <c r="AD162" s="137">
        <v>44995</v>
      </c>
      <c r="AE162" s="137">
        <v>46741</v>
      </c>
      <c r="AF162" s="137">
        <v>46774</v>
      </c>
      <c r="AG162" s="138">
        <v>1780</v>
      </c>
      <c r="AH162" s="139" t="s">
        <v>10</v>
      </c>
      <c r="AI162" s="138">
        <v>1483</v>
      </c>
      <c r="AJ162" s="140">
        <v>4.0630136986301366</v>
      </c>
      <c r="AK162" s="184"/>
      <c r="AL162" s="188" t="s">
        <v>1182</v>
      </c>
      <c r="AM162" s="197" t="s">
        <v>38</v>
      </c>
      <c r="AN162" s="198" t="s">
        <v>475</v>
      </c>
      <c r="AO162" s="58" t="s">
        <v>1183</v>
      </c>
      <c r="AP162" s="112"/>
      <c r="AQ162" s="272"/>
    </row>
    <row r="163" spans="1:45" ht="39.950000000000003" customHeight="1" x14ac:dyDescent="0.2">
      <c r="A163" s="131" t="s">
        <v>1184</v>
      </c>
      <c r="B163" s="337" t="s">
        <v>1438</v>
      </c>
      <c r="C163" s="337" t="s">
        <v>1144</v>
      </c>
      <c r="D163" s="133" t="s">
        <v>127</v>
      </c>
      <c r="E163" s="131" t="s">
        <v>542</v>
      </c>
      <c r="F163" s="145" t="s">
        <v>127</v>
      </c>
      <c r="G163" s="131" t="s">
        <v>173</v>
      </c>
      <c r="H163" s="131" t="s">
        <v>174</v>
      </c>
      <c r="I163" s="131" t="s">
        <v>172</v>
      </c>
      <c r="J163" s="66" t="s">
        <v>165</v>
      </c>
      <c r="K163" s="192" t="s">
        <v>220</v>
      </c>
      <c r="L163" s="168" t="s">
        <v>209</v>
      </c>
      <c r="M163" s="194" t="s">
        <v>191</v>
      </c>
      <c r="N163" s="134" t="s">
        <v>59</v>
      </c>
      <c r="O163" s="167" t="s">
        <v>43</v>
      </c>
      <c r="P163" s="65">
        <v>2</v>
      </c>
      <c r="Q163" s="167" t="s">
        <v>533</v>
      </c>
      <c r="R163" s="65" t="s">
        <v>548</v>
      </c>
      <c r="S163" s="135" t="s">
        <v>59</v>
      </c>
      <c r="T163" s="136">
        <v>23758.17007679028</v>
      </c>
      <c r="U163" s="62">
        <v>14583.33</v>
      </c>
      <c r="V163" s="136">
        <v>23758.17007679028</v>
      </c>
      <c r="W163" s="136">
        <v>2411115.4114766391</v>
      </c>
      <c r="X163" s="136">
        <v>826021.79690689407</v>
      </c>
      <c r="Y163" s="62" t="s">
        <v>16</v>
      </c>
      <c r="Z163" s="366">
        <v>0</v>
      </c>
      <c r="AA163" s="147" t="s">
        <v>11</v>
      </c>
      <c r="AB163" s="185">
        <v>6.0000000000000001E-3</v>
      </c>
      <c r="AC163" s="185">
        <v>3.9000000000000003E-3</v>
      </c>
      <c r="AD163" s="137">
        <v>44995</v>
      </c>
      <c r="AE163" s="137">
        <v>46648</v>
      </c>
      <c r="AF163" s="137">
        <v>46648</v>
      </c>
      <c r="AG163" s="138">
        <v>1654</v>
      </c>
      <c r="AH163" s="139" t="s">
        <v>10</v>
      </c>
      <c r="AI163" s="138">
        <v>1357</v>
      </c>
      <c r="AJ163" s="140">
        <v>3.7178082191780821</v>
      </c>
      <c r="AK163" s="184" t="s">
        <v>436</v>
      </c>
      <c r="AL163" s="188" t="s">
        <v>1185</v>
      </c>
      <c r="AM163" s="197" t="s">
        <v>127</v>
      </c>
      <c r="AN163" s="198" t="s">
        <v>173</v>
      </c>
      <c r="AO163" s="58" t="s">
        <v>1186</v>
      </c>
      <c r="AP163" s="112"/>
      <c r="AQ163" s="272"/>
    </row>
    <row r="164" spans="1:45" ht="39.950000000000003" customHeight="1" x14ac:dyDescent="0.2">
      <c r="A164" s="131" t="s">
        <v>1189</v>
      </c>
      <c r="B164" s="337" t="s">
        <v>1248</v>
      </c>
      <c r="C164" s="337" t="s">
        <v>1142</v>
      </c>
      <c r="D164" s="133" t="s">
        <v>211</v>
      </c>
      <c r="E164" s="131" t="s">
        <v>542</v>
      </c>
      <c r="F164" s="145" t="s">
        <v>211</v>
      </c>
      <c r="G164" s="131" t="s">
        <v>233</v>
      </c>
      <c r="H164" s="131" t="s">
        <v>443</v>
      </c>
      <c r="I164" s="131" t="s">
        <v>234</v>
      </c>
      <c r="J164" s="66" t="s">
        <v>1190</v>
      </c>
      <c r="K164" s="192" t="s">
        <v>221</v>
      </c>
      <c r="L164" s="168" t="s">
        <v>209</v>
      </c>
      <c r="M164" s="194" t="s">
        <v>191</v>
      </c>
      <c r="N164" s="134" t="s">
        <v>59</v>
      </c>
      <c r="O164" s="167" t="s">
        <v>43</v>
      </c>
      <c r="P164" s="65">
        <v>2</v>
      </c>
      <c r="Q164" s="167" t="s">
        <v>538</v>
      </c>
      <c r="R164" s="65" t="s">
        <v>534</v>
      </c>
      <c r="S164" s="135" t="s">
        <v>59</v>
      </c>
      <c r="T164" s="136">
        <v>32582.640695630256</v>
      </c>
      <c r="U164" s="62">
        <v>20000</v>
      </c>
      <c r="V164" s="136">
        <v>32582.640695630256</v>
      </c>
      <c r="W164" s="136">
        <v>488739.61043445388</v>
      </c>
      <c r="X164" s="136">
        <v>1930495.1181510903</v>
      </c>
      <c r="Y164" s="62" t="s">
        <v>1342</v>
      </c>
      <c r="Z164" s="366">
        <v>0.15</v>
      </c>
      <c r="AA164" s="147" t="s">
        <v>11</v>
      </c>
      <c r="AB164" s="185">
        <v>3.2500000000000001E-2</v>
      </c>
      <c r="AC164" s="185">
        <v>1.95E-2</v>
      </c>
      <c r="AD164" s="137">
        <v>45005</v>
      </c>
      <c r="AE164" s="137">
        <v>46678</v>
      </c>
      <c r="AF164" s="137">
        <v>46678</v>
      </c>
      <c r="AG164" s="138">
        <v>1674</v>
      </c>
      <c r="AH164" s="139" t="s">
        <v>10</v>
      </c>
      <c r="AI164" s="138">
        <v>1387</v>
      </c>
      <c r="AJ164" s="140">
        <v>3.8</v>
      </c>
      <c r="AK164" s="184" t="s">
        <v>436</v>
      </c>
      <c r="AL164" s="188" t="s">
        <v>1188</v>
      </c>
      <c r="AM164" s="197" t="s">
        <v>211</v>
      </c>
      <c r="AN164" s="198" t="s">
        <v>233</v>
      </c>
      <c r="AO164" s="58" t="s">
        <v>1187</v>
      </c>
      <c r="AP164" s="112"/>
      <c r="AQ164" s="272"/>
    </row>
    <row r="165" spans="1:45" ht="39.950000000000003" customHeight="1" x14ac:dyDescent="0.2">
      <c r="A165" s="131" t="s">
        <v>1192</v>
      </c>
      <c r="B165" s="337" t="s">
        <v>1437</v>
      </c>
      <c r="C165" s="337" t="s">
        <v>1144</v>
      </c>
      <c r="D165" s="133" t="s">
        <v>127</v>
      </c>
      <c r="E165" s="131" t="s">
        <v>542</v>
      </c>
      <c r="F165" s="145" t="s">
        <v>127</v>
      </c>
      <c r="G165" s="131" t="s">
        <v>233</v>
      </c>
      <c r="H165" s="131" t="s">
        <v>443</v>
      </c>
      <c r="I165" s="131" t="s">
        <v>234</v>
      </c>
      <c r="J165" s="66" t="s">
        <v>165</v>
      </c>
      <c r="K165" s="192" t="s">
        <v>220</v>
      </c>
      <c r="L165" s="168" t="s">
        <v>140</v>
      </c>
      <c r="M165" s="194" t="s">
        <v>191</v>
      </c>
      <c r="N165" s="134" t="s">
        <v>59</v>
      </c>
      <c r="O165" s="167" t="s">
        <v>43</v>
      </c>
      <c r="P165" s="65">
        <v>3</v>
      </c>
      <c r="Q165" s="167" t="s">
        <v>538</v>
      </c>
      <c r="R165" s="65" t="s">
        <v>534</v>
      </c>
      <c r="S165" s="135" t="s">
        <v>59</v>
      </c>
      <c r="T165" s="136">
        <v>24436.980521722693</v>
      </c>
      <c r="U165" s="62">
        <v>15000</v>
      </c>
      <c r="V165" s="136">
        <v>24436.980521722693</v>
      </c>
      <c r="W165" s="136">
        <v>185721.05196509245</v>
      </c>
      <c r="X165" s="136">
        <v>1973215.9941210488</v>
      </c>
      <c r="Y165" s="62" t="s">
        <v>16</v>
      </c>
      <c r="Z165" s="366">
        <v>0</v>
      </c>
      <c r="AA165" s="147" t="s">
        <v>11</v>
      </c>
      <c r="AB165" s="185">
        <v>2.1000000000000001E-2</v>
      </c>
      <c r="AC165" s="185">
        <v>1.0500000000000001E-2</v>
      </c>
      <c r="AD165" s="137">
        <v>45016</v>
      </c>
      <c r="AE165" s="137">
        <v>47472</v>
      </c>
      <c r="AF165" s="137">
        <v>47503</v>
      </c>
      <c r="AG165" s="138">
        <v>2488</v>
      </c>
      <c r="AH165" s="139" t="s">
        <v>10</v>
      </c>
      <c r="AI165" s="138">
        <v>2212</v>
      </c>
      <c r="AJ165" s="140">
        <v>6.0602739726027401</v>
      </c>
      <c r="AK165" s="184"/>
      <c r="AL165" s="188" t="s">
        <v>1193</v>
      </c>
      <c r="AM165" s="197" t="s">
        <v>127</v>
      </c>
      <c r="AN165" s="198" t="s">
        <v>233</v>
      </c>
      <c r="AO165" s="58" t="s">
        <v>1194</v>
      </c>
      <c r="AP165" s="112"/>
      <c r="AQ165" s="272"/>
    </row>
    <row r="166" spans="1:45" ht="39.950000000000003" customHeight="1" x14ac:dyDescent="0.2">
      <c r="A166" s="131" t="s">
        <v>1197</v>
      </c>
      <c r="B166" s="337" t="s">
        <v>23</v>
      </c>
      <c r="C166" s="337" t="s">
        <v>1141</v>
      </c>
      <c r="D166" s="133" t="s">
        <v>588</v>
      </c>
      <c r="E166" s="131" t="s">
        <v>499</v>
      </c>
      <c r="F166" s="145" t="s">
        <v>162</v>
      </c>
      <c r="G166" s="131" t="s">
        <v>102</v>
      </c>
      <c r="H166" s="131" t="s">
        <v>102</v>
      </c>
      <c r="I166" s="131" t="s">
        <v>122</v>
      </c>
      <c r="J166" s="66" t="s">
        <v>1080</v>
      </c>
      <c r="K166" s="192" t="s">
        <v>33</v>
      </c>
      <c r="L166" s="168" t="s">
        <v>101</v>
      </c>
      <c r="M166" s="194" t="s">
        <v>191</v>
      </c>
      <c r="N166" s="134" t="s">
        <v>59</v>
      </c>
      <c r="O166" s="167" t="s">
        <v>43</v>
      </c>
      <c r="P166" s="65">
        <v>2</v>
      </c>
      <c r="Q166" s="167" t="s">
        <v>533</v>
      </c>
      <c r="R166" s="65" t="s">
        <v>534</v>
      </c>
      <c r="S166" s="135" t="s">
        <v>9</v>
      </c>
      <c r="T166" s="136">
        <v>22322.28924183669</v>
      </c>
      <c r="U166" s="62">
        <v>15000</v>
      </c>
      <c r="V166" s="136">
        <v>22322.28924183669</v>
      </c>
      <c r="W166" s="136">
        <v>836341.77026081469</v>
      </c>
      <c r="X166" s="136">
        <v>912190.14114070986</v>
      </c>
      <c r="Y166" s="62" t="s">
        <v>1295</v>
      </c>
      <c r="Z166" s="366">
        <v>0.15</v>
      </c>
      <c r="AA166" s="147" t="s">
        <v>11</v>
      </c>
      <c r="AB166" s="185">
        <v>0.03</v>
      </c>
      <c r="AC166" s="185">
        <v>2.3E-2</v>
      </c>
      <c r="AD166" s="137">
        <v>45016</v>
      </c>
      <c r="AE166" s="137">
        <v>45747</v>
      </c>
      <c r="AF166" s="137">
        <v>45747</v>
      </c>
      <c r="AG166" s="138">
        <v>732</v>
      </c>
      <c r="AH166" s="139" t="s">
        <v>10</v>
      </c>
      <c r="AI166" s="138">
        <v>456</v>
      </c>
      <c r="AJ166" s="140">
        <v>1.2493150684931507</v>
      </c>
      <c r="AK166" s="184"/>
      <c r="AL166" s="188" t="s">
        <v>1196</v>
      </c>
      <c r="AM166" s="197" t="s">
        <v>162</v>
      </c>
      <c r="AN166" s="198" t="s">
        <v>102</v>
      </c>
      <c r="AO166" s="58" t="s">
        <v>1195</v>
      </c>
      <c r="AP166" s="112"/>
      <c r="AQ166" s="272" t="s">
        <v>122</v>
      </c>
    </row>
    <row r="167" spans="1:45" ht="39.950000000000003" customHeight="1" x14ac:dyDescent="0.2">
      <c r="A167" s="131" t="s">
        <v>1199</v>
      </c>
      <c r="B167" s="337" t="s">
        <v>1438</v>
      </c>
      <c r="C167" s="337" t="s">
        <v>1142</v>
      </c>
      <c r="D167" s="133" t="s">
        <v>38</v>
      </c>
      <c r="E167" s="131" t="s">
        <v>541</v>
      </c>
      <c r="F167" s="145" t="s">
        <v>38</v>
      </c>
      <c r="G167" s="131" t="s">
        <v>547</v>
      </c>
      <c r="H167" s="131" t="s">
        <v>124</v>
      </c>
      <c r="I167" s="131" t="s">
        <v>123</v>
      </c>
      <c r="J167" s="66" t="s">
        <v>1112</v>
      </c>
      <c r="K167" s="192" t="s">
        <v>1113</v>
      </c>
      <c r="L167" s="168" t="s">
        <v>29</v>
      </c>
      <c r="M167" s="194" t="s">
        <v>191</v>
      </c>
      <c r="N167" s="134" t="s">
        <v>323</v>
      </c>
      <c r="O167" s="167" t="s">
        <v>43</v>
      </c>
      <c r="P167" s="65">
        <v>2</v>
      </c>
      <c r="Q167" s="167" t="s">
        <v>533</v>
      </c>
      <c r="R167" s="65" t="s">
        <v>548</v>
      </c>
      <c r="S167" s="135" t="s">
        <v>9</v>
      </c>
      <c r="T167" s="136">
        <v>22322.28924183669</v>
      </c>
      <c r="U167" s="62">
        <v>15000</v>
      </c>
      <c r="V167" s="136">
        <v>22322.28924183669</v>
      </c>
      <c r="W167" s="136">
        <v>148815.26161224462</v>
      </c>
      <c r="X167" s="136">
        <v>272294.71005347843</v>
      </c>
      <c r="Y167" s="62" t="s">
        <v>16</v>
      </c>
      <c r="Z167" s="366">
        <v>0</v>
      </c>
      <c r="AA167" s="147" t="s">
        <v>11</v>
      </c>
      <c r="AB167" s="185">
        <v>0.01</v>
      </c>
      <c r="AC167" s="185">
        <v>6.4999999999999997E-3</v>
      </c>
      <c r="AD167" s="137">
        <v>45016</v>
      </c>
      <c r="AE167" s="137">
        <v>45923</v>
      </c>
      <c r="AF167" s="137">
        <v>45923</v>
      </c>
      <c r="AG167" s="138">
        <v>908</v>
      </c>
      <c r="AH167" s="139" t="s">
        <v>10</v>
      </c>
      <c r="AI167" s="138">
        <v>632</v>
      </c>
      <c r="AJ167" s="140">
        <v>1.7315068493150685</v>
      </c>
      <c r="AK167" s="184" t="s">
        <v>436</v>
      </c>
      <c r="AL167" s="188" t="s">
        <v>1114</v>
      </c>
      <c r="AM167" s="197" t="s">
        <v>38</v>
      </c>
      <c r="AN167" s="198" t="s">
        <v>547</v>
      </c>
      <c r="AO167" s="58" t="s">
        <v>1198</v>
      </c>
      <c r="AP167" s="112"/>
      <c r="AQ167" s="272"/>
    </row>
    <row r="168" spans="1:45" ht="39.950000000000003" customHeight="1" x14ac:dyDescent="0.2">
      <c r="A168" s="131" t="s">
        <v>1226</v>
      </c>
      <c r="B168" s="337" t="s">
        <v>307</v>
      </c>
      <c r="C168" s="337" t="s">
        <v>243</v>
      </c>
      <c r="D168" s="133" t="s">
        <v>588</v>
      </c>
      <c r="E168" s="131" t="s">
        <v>499</v>
      </c>
      <c r="F168" s="145" t="s">
        <v>162</v>
      </c>
      <c r="G168" s="131" t="s">
        <v>233</v>
      </c>
      <c r="H168" s="131" t="s">
        <v>443</v>
      </c>
      <c r="I168" s="131" t="s">
        <v>234</v>
      </c>
      <c r="J168" s="66" t="s">
        <v>589</v>
      </c>
      <c r="K168" s="192" t="s">
        <v>218</v>
      </c>
      <c r="L168" s="168" t="s">
        <v>209</v>
      </c>
      <c r="M168" s="194" t="s">
        <v>191</v>
      </c>
      <c r="N168" s="134" t="s">
        <v>59</v>
      </c>
      <c r="O168" s="167" t="s">
        <v>43</v>
      </c>
      <c r="P168" s="65">
        <v>3</v>
      </c>
      <c r="Q168" s="167" t="s">
        <v>539</v>
      </c>
      <c r="R168" s="65" t="s">
        <v>534</v>
      </c>
      <c r="S168" s="135" t="s">
        <v>9</v>
      </c>
      <c r="T168" s="136">
        <v>14881.526161224461</v>
      </c>
      <c r="U168" s="62">
        <v>9925</v>
      </c>
      <c r="V168" s="136">
        <v>14769.914715015277</v>
      </c>
      <c r="W168" s="136">
        <v>29763.052322448922</v>
      </c>
      <c r="X168" s="136">
        <v>1032359.8488745303</v>
      </c>
      <c r="Y168" s="62" t="s">
        <v>16</v>
      </c>
      <c r="Z168" s="366">
        <v>0</v>
      </c>
      <c r="AA168" s="147" t="s">
        <v>11</v>
      </c>
      <c r="AB168" s="185">
        <v>0.06</v>
      </c>
      <c r="AC168" s="185">
        <v>1.4999999999999999E-2</v>
      </c>
      <c r="AD168" s="137">
        <v>45030</v>
      </c>
      <c r="AE168" s="137">
        <v>46609</v>
      </c>
      <c r="AF168" s="137">
        <v>46623</v>
      </c>
      <c r="AG168" s="138">
        <v>1594</v>
      </c>
      <c r="AH168" s="139" t="s">
        <v>10</v>
      </c>
      <c r="AI168" s="138">
        <v>1332</v>
      </c>
      <c r="AJ168" s="140">
        <v>3.6493150684931508</v>
      </c>
      <c r="AK168" s="184"/>
      <c r="AL168" s="188" t="s">
        <v>1222</v>
      </c>
      <c r="AM168" s="197" t="s">
        <v>162</v>
      </c>
      <c r="AN168" s="198" t="s">
        <v>233</v>
      </c>
      <c r="AO168" s="58" t="s">
        <v>1227</v>
      </c>
      <c r="AP168" s="112"/>
      <c r="AQ168" s="272"/>
    </row>
    <row r="169" spans="1:45" ht="39.950000000000003" customHeight="1" x14ac:dyDescent="0.2">
      <c r="A169" s="131" t="s">
        <v>1229</v>
      </c>
      <c r="B169" s="337" t="s">
        <v>1437</v>
      </c>
      <c r="C169" s="337" t="s">
        <v>1144</v>
      </c>
      <c r="D169" s="133" t="s">
        <v>746</v>
      </c>
      <c r="E169" s="131" t="s">
        <v>542</v>
      </c>
      <c r="F169" s="145" t="s">
        <v>746</v>
      </c>
      <c r="G169" s="131" t="s">
        <v>106</v>
      </c>
      <c r="H169" s="131" t="s">
        <v>106</v>
      </c>
      <c r="I169" s="131" t="s">
        <v>263</v>
      </c>
      <c r="J169" s="66" t="s">
        <v>747</v>
      </c>
      <c r="K169" s="192" t="s">
        <v>221</v>
      </c>
      <c r="L169" s="168" t="s">
        <v>101</v>
      </c>
      <c r="M169" s="194" t="s">
        <v>191</v>
      </c>
      <c r="N169" s="134" t="s">
        <v>59</v>
      </c>
      <c r="O169" s="167" t="s">
        <v>43</v>
      </c>
      <c r="P169" s="65">
        <v>2</v>
      </c>
      <c r="Q169" s="167" t="s">
        <v>531</v>
      </c>
      <c r="R169" s="65" t="s">
        <v>534</v>
      </c>
      <c r="S169" s="135" t="s">
        <v>59</v>
      </c>
      <c r="T169" s="136">
        <v>16190.636257353272</v>
      </c>
      <c r="U169" s="62">
        <v>8859.19</v>
      </c>
      <c r="V169" s="136">
        <v>14432.790231216031</v>
      </c>
      <c r="W169" s="136">
        <v>145715.72631617944</v>
      </c>
      <c r="X169" s="136">
        <v>622641.54017230251</v>
      </c>
      <c r="Y169" s="62" t="s">
        <v>1342</v>
      </c>
      <c r="Z169" s="366">
        <v>0.15</v>
      </c>
      <c r="AA169" s="147" t="s">
        <v>11</v>
      </c>
      <c r="AB169" s="185">
        <v>1.7500000000000002E-2</v>
      </c>
      <c r="AC169" s="185">
        <v>8.7850000000000011E-3</v>
      </c>
      <c r="AD169" s="137">
        <v>45028</v>
      </c>
      <c r="AE169" s="137">
        <v>47223</v>
      </c>
      <c r="AF169" s="137">
        <v>47223</v>
      </c>
      <c r="AG169" s="138">
        <v>2196</v>
      </c>
      <c r="AH169" s="139" t="s">
        <v>10</v>
      </c>
      <c r="AI169" s="138">
        <v>1932</v>
      </c>
      <c r="AJ169" s="140">
        <v>5.2931506849315069</v>
      </c>
      <c r="AK169" s="184"/>
      <c r="AL169" s="188" t="s">
        <v>1230</v>
      </c>
      <c r="AM169" s="197" t="s">
        <v>746</v>
      </c>
      <c r="AN169" s="198" t="s">
        <v>106</v>
      </c>
      <c r="AO169" s="58" t="s">
        <v>1231</v>
      </c>
      <c r="AP169" s="112"/>
      <c r="AQ169" s="272" t="s">
        <v>122</v>
      </c>
    </row>
    <row r="170" spans="1:45" ht="39.950000000000003" customHeight="1" x14ac:dyDescent="0.2">
      <c r="A170" s="131" t="s">
        <v>1234</v>
      </c>
      <c r="B170" s="337" t="s">
        <v>23</v>
      </c>
      <c r="C170" s="337" t="s">
        <v>1141</v>
      </c>
      <c r="D170" s="133" t="s">
        <v>88</v>
      </c>
      <c r="E170" s="131" t="s">
        <v>542</v>
      </c>
      <c r="F170" s="145" t="s">
        <v>88</v>
      </c>
      <c r="G170" s="131" t="s">
        <v>104</v>
      </c>
      <c r="H170" s="131" t="s">
        <v>105</v>
      </c>
      <c r="I170" s="131" t="s">
        <v>285</v>
      </c>
      <c r="J170" s="66" t="s">
        <v>286</v>
      </c>
      <c r="K170" s="192" t="s">
        <v>220</v>
      </c>
      <c r="L170" s="168" t="s">
        <v>29</v>
      </c>
      <c r="M170" s="194" t="s">
        <v>191</v>
      </c>
      <c r="N170" s="134" t="s">
        <v>59</v>
      </c>
      <c r="O170" s="167" t="s">
        <v>43</v>
      </c>
      <c r="P170" s="65">
        <v>3</v>
      </c>
      <c r="Q170" s="167" t="s">
        <v>531</v>
      </c>
      <c r="R170" s="65" t="s">
        <v>534</v>
      </c>
      <c r="S170" s="135" t="s">
        <v>59</v>
      </c>
      <c r="T170" s="136">
        <v>12218.490260861347</v>
      </c>
      <c r="U170" s="62">
        <v>7500</v>
      </c>
      <c r="V170" s="136">
        <v>12218.490260861347</v>
      </c>
      <c r="W170" s="136">
        <v>97747.922086890772</v>
      </c>
      <c r="X170" s="136">
        <v>1773958.4189136755</v>
      </c>
      <c r="Y170" s="62" t="s">
        <v>16</v>
      </c>
      <c r="Z170" s="366">
        <v>0</v>
      </c>
      <c r="AA170" s="147" t="s">
        <v>11</v>
      </c>
      <c r="AB170" s="185">
        <v>2.75E-2</v>
      </c>
      <c r="AC170" s="185">
        <v>1.0699999999999999E-2</v>
      </c>
      <c r="AD170" s="137">
        <v>45036</v>
      </c>
      <c r="AE170" s="137">
        <v>50221</v>
      </c>
      <c r="AF170" s="137">
        <v>50221</v>
      </c>
      <c r="AG170" s="138">
        <v>5186</v>
      </c>
      <c r="AH170" s="139" t="s">
        <v>10</v>
      </c>
      <c r="AI170" s="138">
        <v>4930</v>
      </c>
      <c r="AJ170" s="140">
        <v>13.506849315068493</v>
      </c>
      <c r="AK170" s="184"/>
      <c r="AL170" s="188" t="s">
        <v>1223</v>
      </c>
      <c r="AM170" s="197" t="s">
        <v>88</v>
      </c>
      <c r="AN170" s="198" t="s">
        <v>104</v>
      </c>
      <c r="AO170" s="58" t="s">
        <v>1233</v>
      </c>
      <c r="AP170" s="112"/>
      <c r="AQ170" s="272"/>
    </row>
    <row r="171" spans="1:45" ht="39.950000000000003" customHeight="1" x14ac:dyDescent="0.2">
      <c r="A171" s="131" t="s">
        <v>1236</v>
      </c>
      <c r="B171" s="337" t="s">
        <v>1336</v>
      </c>
      <c r="C171" s="337" t="s">
        <v>1144</v>
      </c>
      <c r="D171" s="133" t="s">
        <v>211</v>
      </c>
      <c r="E171" s="131" t="s">
        <v>542</v>
      </c>
      <c r="F171" s="145" t="s">
        <v>211</v>
      </c>
      <c r="G171" s="131" t="s">
        <v>102</v>
      </c>
      <c r="H171" s="131" t="s">
        <v>102</v>
      </c>
      <c r="I171" s="131" t="s">
        <v>473</v>
      </c>
      <c r="J171" s="66" t="s">
        <v>1238</v>
      </c>
      <c r="K171" s="192" t="s">
        <v>222</v>
      </c>
      <c r="L171" s="168" t="s">
        <v>101</v>
      </c>
      <c r="M171" s="194" t="s">
        <v>191</v>
      </c>
      <c r="N171" s="134" t="s">
        <v>59</v>
      </c>
      <c r="O171" s="167" t="s">
        <v>43</v>
      </c>
      <c r="P171" s="65">
        <v>1</v>
      </c>
      <c r="Q171" s="167" t="s">
        <v>533</v>
      </c>
      <c r="R171" s="65" t="s">
        <v>548</v>
      </c>
      <c r="S171" s="135" t="s">
        <v>59</v>
      </c>
      <c r="T171" s="136">
        <v>28509.810608676475</v>
      </c>
      <c r="U171" s="62">
        <v>17500</v>
      </c>
      <c r="V171" s="136">
        <v>28509.810608676475</v>
      </c>
      <c r="W171" s="136">
        <v>162913.20347815129</v>
      </c>
      <c r="X171" s="136">
        <v>879341.31715553091</v>
      </c>
      <c r="Y171" s="62" t="s">
        <v>1295</v>
      </c>
      <c r="Z171" s="366">
        <v>0.15</v>
      </c>
      <c r="AA171" s="147" t="s">
        <v>11</v>
      </c>
      <c r="AB171" s="185">
        <v>1.2999999999999999E-2</v>
      </c>
      <c r="AC171" s="185">
        <v>7.7999999999999996E-3</v>
      </c>
      <c r="AD171" s="137">
        <v>45036</v>
      </c>
      <c r="AE171" s="137">
        <v>46868</v>
      </c>
      <c r="AF171" s="137">
        <v>46868</v>
      </c>
      <c r="AG171" s="138">
        <v>1833</v>
      </c>
      <c r="AH171" s="139" t="s">
        <v>10</v>
      </c>
      <c r="AI171" s="138">
        <v>1577</v>
      </c>
      <c r="AJ171" s="140">
        <v>4.3205479452054796</v>
      </c>
      <c r="AK171" s="184" t="s">
        <v>436</v>
      </c>
      <c r="AL171" s="188" t="s">
        <v>1224</v>
      </c>
      <c r="AM171" s="197" t="s">
        <v>211</v>
      </c>
      <c r="AN171" s="198" t="s">
        <v>102</v>
      </c>
      <c r="AO171" s="58" t="s">
        <v>1237</v>
      </c>
      <c r="AP171" s="112"/>
      <c r="AQ171" s="272" t="s">
        <v>473</v>
      </c>
    </row>
    <row r="172" spans="1:45" ht="39.950000000000003" customHeight="1" x14ac:dyDescent="0.2">
      <c r="A172" s="131" t="s">
        <v>1241</v>
      </c>
      <c r="B172" s="337" t="s">
        <v>23</v>
      </c>
      <c r="C172" s="337" t="s">
        <v>1142</v>
      </c>
      <c r="D172" s="133" t="s">
        <v>87</v>
      </c>
      <c r="E172" s="131" t="s">
        <v>542</v>
      </c>
      <c r="F172" s="145" t="s">
        <v>127</v>
      </c>
      <c r="G172" s="131" t="s">
        <v>233</v>
      </c>
      <c r="H172" s="131" t="s">
        <v>443</v>
      </c>
      <c r="I172" s="131" t="s">
        <v>234</v>
      </c>
      <c r="J172" s="66" t="s">
        <v>1242</v>
      </c>
      <c r="K172" s="192" t="s">
        <v>221</v>
      </c>
      <c r="L172" s="168" t="s">
        <v>140</v>
      </c>
      <c r="M172" s="194" t="s">
        <v>191</v>
      </c>
      <c r="N172" s="134" t="s">
        <v>59</v>
      </c>
      <c r="O172" s="167" t="s">
        <v>43</v>
      </c>
      <c r="P172" s="65">
        <v>3</v>
      </c>
      <c r="Q172" s="167" t="s">
        <v>531</v>
      </c>
      <c r="R172" s="65" t="s">
        <v>534</v>
      </c>
      <c r="S172" s="135" t="s">
        <v>59</v>
      </c>
      <c r="T172" s="136">
        <v>32582.640695630256</v>
      </c>
      <c r="U172" s="62">
        <v>20000</v>
      </c>
      <c r="V172" s="136">
        <v>32582.640695630256</v>
      </c>
      <c r="W172" s="136">
        <v>488739.61043445388</v>
      </c>
      <c r="X172" s="136">
        <v>2536810.7026285185</v>
      </c>
      <c r="Y172" s="62" t="s">
        <v>1342</v>
      </c>
      <c r="Z172" s="366">
        <v>0.15</v>
      </c>
      <c r="AA172" s="147" t="s">
        <v>11</v>
      </c>
      <c r="AB172" s="185">
        <v>2.5000000000000001E-2</v>
      </c>
      <c r="AC172" s="185">
        <v>1.1599999999999999E-2</v>
      </c>
      <c r="AD172" s="137">
        <v>44988</v>
      </c>
      <c r="AE172" s="137">
        <v>47664</v>
      </c>
      <c r="AF172" s="137">
        <v>47679</v>
      </c>
      <c r="AG172" s="138">
        <v>2692</v>
      </c>
      <c r="AH172" s="139" t="s">
        <v>10</v>
      </c>
      <c r="AI172" s="138">
        <v>2388</v>
      </c>
      <c r="AJ172" s="140">
        <v>6.5424657534246577</v>
      </c>
      <c r="AK172" s="184" t="s">
        <v>436</v>
      </c>
      <c r="AL172" s="188" t="s">
        <v>1225</v>
      </c>
      <c r="AM172" s="197" t="s">
        <v>127</v>
      </c>
      <c r="AN172" s="198" t="s">
        <v>233</v>
      </c>
      <c r="AO172" s="58" t="s">
        <v>1240</v>
      </c>
      <c r="AP172" s="112"/>
      <c r="AQ172" s="272"/>
    </row>
    <row r="173" spans="1:45" s="229" customFormat="1" ht="39.950000000000003" customHeight="1" x14ac:dyDescent="0.2">
      <c r="A173" s="131" t="s">
        <v>1243</v>
      </c>
      <c r="B173" s="337" t="s">
        <v>307</v>
      </c>
      <c r="C173" s="337" t="s">
        <v>1142</v>
      </c>
      <c r="D173" s="133" t="s">
        <v>87</v>
      </c>
      <c r="E173" s="131" t="s">
        <v>542</v>
      </c>
      <c r="F173" s="145" t="s">
        <v>87</v>
      </c>
      <c r="G173" s="131" t="s">
        <v>102</v>
      </c>
      <c r="H173" s="131" t="s">
        <v>102</v>
      </c>
      <c r="I173" s="131" t="s">
        <v>122</v>
      </c>
      <c r="J173" s="133" t="s">
        <v>181</v>
      </c>
      <c r="K173" s="192" t="s">
        <v>33</v>
      </c>
      <c r="L173" s="168" t="s">
        <v>101</v>
      </c>
      <c r="M173" s="194" t="s">
        <v>191</v>
      </c>
      <c r="N173" s="134" t="s">
        <v>59</v>
      </c>
      <c r="O173" s="167" t="s">
        <v>43</v>
      </c>
      <c r="P173" s="270">
        <v>2</v>
      </c>
      <c r="Q173" s="167" t="s">
        <v>531</v>
      </c>
      <c r="R173" s="270" t="s">
        <v>534</v>
      </c>
      <c r="S173" s="135" t="s">
        <v>156</v>
      </c>
      <c r="T173" s="136">
        <v>26881.271085825218</v>
      </c>
      <c r="U173" s="62">
        <v>14200</v>
      </c>
      <c r="V173" s="136">
        <v>26881.271085825218</v>
      </c>
      <c r="W173" s="136">
        <v>187790.28814886347</v>
      </c>
      <c r="X173" s="136">
        <v>1310602.5431234746</v>
      </c>
      <c r="Y173" s="62" t="s">
        <v>1295</v>
      </c>
      <c r="Z173" s="366">
        <v>0.15</v>
      </c>
      <c r="AA173" s="147" t="s">
        <v>11</v>
      </c>
      <c r="AB173" s="185">
        <v>2.35E-2</v>
      </c>
      <c r="AC173" s="185">
        <v>1.248E-2</v>
      </c>
      <c r="AD173" s="137">
        <v>45043</v>
      </c>
      <c r="AE173" s="137">
        <v>46021</v>
      </c>
      <c r="AF173" s="137">
        <v>46751</v>
      </c>
      <c r="AG173" s="138">
        <v>1709</v>
      </c>
      <c r="AH173" s="139" t="s">
        <v>10</v>
      </c>
      <c r="AI173" s="138">
        <v>1460</v>
      </c>
      <c r="AJ173" s="140">
        <v>4</v>
      </c>
      <c r="AK173" s="184" t="s">
        <v>436</v>
      </c>
      <c r="AL173" s="188" t="s">
        <v>1244</v>
      </c>
      <c r="AM173" s="323" t="s">
        <v>87</v>
      </c>
      <c r="AN173" s="324" t="s">
        <v>102</v>
      </c>
      <c r="AO173" s="272" t="s">
        <v>1245</v>
      </c>
      <c r="AP173" s="276"/>
      <c r="AQ173" s="272" t="s">
        <v>122</v>
      </c>
      <c r="AS173" s="411"/>
    </row>
    <row r="174" spans="1:45" ht="39.950000000000003" customHeight="1" x14ac:dyDescent="0.2">
      <c r="A174" s="131" t="s">
        <v>1249</v>
      </c>
      <c r="B174" s="337" t="s">
        <v>1437</v>
      </c>
      <c r="C174" s="337" t="s">
        <v>1144</v>
      </c>
      <c r="D174" s="133" t="s">
        <v>89</v>
      </c>
      <c r="E174" s="131" t="s">
        <v>542</v>
      </c>
      <c r="F174" s="145" t="s">
        <v>86</v>
      </c>
      <c r="G174" s="131" t="s">
        <v>547</v>
      </c>
      <c r="H174" s="131" t="s">
        <v>124</v>
      </c>
      <c r="I174" s="131" t="s">
        <v>1250</v>
      </c>
      <c r="J174" s="66" t="s">
        <v>60</v>
      </c>
      <c r="K174" s="192" t="s">
        <v>220</v>
      </c>
      <c r="L174" s="168" t="s">
        <v>29</v>
      </c>
      <c r="M174" s="194" t="s">
        <v>191</v>
      </c>
      <c r="N174" s="134" t="s">
        <v>59</v>
      </c>
      <c r="O174" s="167" t="s">
        <v>43</v>
      </c>
      <c r="P174" s="65">
        <v>2</v>
      </c>
      <c r="Q174" s="167" t="s">
        <v>538</v>
      </c>
      <c r="R174" s="65" t="s">
        <v>534</v>
      </c>
      <c r="S174" s="135" t="s">
        <v>59</v>
      </c>
      <c r="T174" s="136">
        <v>24436.980521722693</v>
      </c>
      <c r="U174" s="62">
        <v>15000</v>
      </c>
      <c r="V174" s="136">
        <v>24436.980521722693</v>
      </c>
      <c r="W174" s="136">
        <v>107669.33617871019</v>
      </c>
      <c r="X174" s="136">
        <v>1772356.916958204</v>
      </c>
      <c r="Y174" s="62" t="s">
        <v>16</v>
      </c>
      <c r="Z174" s="366">
        <v>0</v>
      </c>
      <c r="AA174" s="147" t="s">
        <v>11</v>
      </c>
      <c r="AB174" s="185">
        <v>2.2499999999999999E-2</v>
      </c>
      <c r="AC174" s="185">
        <v>1.0699999999999999E-2</v>
      </c>
      <c r="AD174" s="137">
        <v>45054</v>
      </c>
      <c r="AE174" s="137">
        <v>48550</v>
      </c>
      <c r="AF174" s="137">
        <v>48581</v>
      </c>
      <c r="AG174" s="138">
        <v>3528</v>
      </c>
      <c r="AH174" s="139" t="s">
        <v>10</v>
      </c>
      <c r="AI174" s="138">
        <v>3290</v>
      </c>
      <c r="AJ174" s="140">
        <v>9.0136986301369859</v>
      </c>
      <c r="AK174" s="184"/>
      <c r="AL174" s="188" t="s">
        <v>1252</v>
      </c>
      <c r="AM174" s="197" t="s">
        <v>86</v>
      </c>
      <c r="AN174" s="198" t="s">
        <v>547</v>
      </c>
      <c r="AO174" s="58" t="s">
        <v>1276</v>
      </c>
      <c r="AP174" s="112"/>
      <c r="AQ174" s="272"/>
    </row>
    <row r="175" spans="1:45" ht="39.950000000000003" customHeight="1" x14ac:dyDescent="0.2">
      <c r="A175" s="131" t="s">
        <v>1253</v>
      </c>
      <c r="B175" s="337" t="s">
        <v>1438</v>
      </c>
      <c r="C175" s="337" t="s">
        <v>1144</v>
      </c>
      <c r="D175" s="133" t="s">
        <v>89</v>
      </c>
      <c r="E175" s="131" t="s">
        <v>542</v>
      </c>
      <c r="F175" s="145" t="s">
        <v>89</v>
      </c>
      <c r="G175" s="131" t="s">
        <v>475</v>
      </c>
      <c r="H175" s="131" t="s">
        <v>441</v>
      </c>
      <c r="I175" s="131" t="s">
        <v>441</v>
      </c>
      <c r="J175" s="66" t="s">
        <v>60</v>
      </c>
      <c r="K175" s="192" t="s">
        <v>220</v>
      </c>
      <c r="L175" s="168" t="s">
        <v>209</v>
      </c>
      <c r="M175" s="194" t="s">
        <v>191</v>
      </c>
      <c r="N175" s="134" t="s">
        <v>59</v>
      </c>
      <c r="O175" s="167" t="s">
        <v>43</v>
      </c>
      <c r="P175" s="65">
        <v>2</v>
      </c>
      <c r="Q175" s="167" t="s">
        <v>533</v>
      </c>
      <c r="R175" s="65" t="s">
        <v>534</v>
      </c>
      <c r="S175" s="135" t="s">
        <v>59</v>
      </c>
      <c r="T175" s="136">
        <v>16291.320347815128</v>
      </c>
      <c r="U175" s="62">
        <v>9924.43</v>
      </c>
      <c r="V175" s="136">
        <v>16168.20683994669</v>
      </c>
      <c r="W175" s="136">
        <v>143412.49302181657</v>
      </c>
      <c r="X175" s="136">
        <v>607944.21148127865</v>
      </c>
      <c r="Y175" s="62" t="s">
        <v>16</v>
      </c>
      <c r="Z175" s="366">
        <v>0</v>
      </c>
      <c r="AA175" s="147" t="s">
        <v>11</v>
      </c>
      <c r="AB175" s="185">
        <v>1.4999999999999999E-2</v>
      </c>
      <c r="AC175" s="185">
        <v>8.6999999999999994E-3</v>
      </c>
      <c r="AD175" s="137">
        <v>45054</v>
      </c>
      <c r="AE175" s="137">
        <v>46617</v>
      </c>
      <c r="AF175" s="137">
        <v>46648</v>
      </c>
      <c r="AG175" s="138">
        <v>1595</v>
      </c>
      <c r="AH175" s="139" t="s">
        <v>10</v>
      </c>
      <c r="AI175" s="138">
        <v>1357</v>
      </c>
      <c r="AJ175" s="140">
        <v>3.7178082191780821</v>
      </c>
      <c r="AK175" s="184"/>
      <c r="AL175" s="188" t="s">
        <v>1255</v>
      </c>
      <c r="AM175" s="197" t="s">
        <v>89</v>
      </c>
      <c r="AN175" s="198" t="s">
        <v>475</v>
      </c>
      <c r="AO175" s="58" t="s">
        <v>1256</v>
      </c>
      <c r="AP175" s="112"/>
      <c r="AQ175" s="272"/>
    </row>
    <row r="176" spans="1:45" ht="39.950000000000003" customHeight="1" x14ac:dyDescent="0.2">
      <c r="A176" s="131" t="s">
        <v>1257</v>
      </c>
      <c r="B176" s="337" t="s">
        <v>307</v>
      </c>
      <c r="C176" s="337" t="s">
        <v>1144</v>
      </c>
      <c r="D176" s="133" t="s">
        <v>560</v>
      </c>
      <c r="E176" s="131" t="s">
        <v>499</v>
      </c>
      <c r="F176" s="145" t="s">
        <v>162</v>
      </c>
      <c r="G176" s="131" t="s">
        <v>106</v>
      </c>
      <c r="H176" s="131" t="s">
        <v>106</v>
      </c>
      <c r="I176" s="131" t="s">
        <v>107</v>
      </c>
      <c r="J176" s="66" t="s">
        <v>1258</v>
      </c>
      <c r="K176" s="192" t="s">
        <v>33</v>
      </c>
      <c r="L176" s="168" t="s">
        <v>101</v>
      </c>
      <c r="M176" s="194" t="s">
        <v>191</v>
      </c>
      <c r="N176" s="134" t="s">
        <v>59</v>
      </c>
      <c r="O176" s="167" t="s">
        <v>43</v>
      </c>
      <c r="P176" s="65">
        <v>2</v>
      </c>
      <c r="Q176" s="167" t="s">
        <v>533</v>
      </c>
      <c r="R176" s="65" t="s">
        <v>534</v>
      </c>
      <c r="S176" s="135" t="s">
        <v>9</v>
      </c>
      <c r="T176" s="136">
        <v>22322.28924183669</v>
      </c>
      <c r="U176" s="62">
        <v>15000</v>
      </c>
      <c r="V176" s="136">
        <v>22322.28924183669</v>
      </c>
      <c r="W176" s="136">
        <v>111611.44620918346</v>
      </c>
      <c r="X176" s="136">
        <v>1121391.8530698111</v>
      </c>
      <c r="Y176" s="62" t="s">
        <v>1295</v>
      </c>
      <c r="Z176" s="366">
        <v>0.15</v>
      </c>
      <c r="AA176" s="147" t="s">
        <v>11</v>
      </c>
      <c r="AB176" s="185">
        <v>2.7E-2</v>
      </c>
      <c r="AC176" s="185">
        <v>1.49175E-2</v>
      </c>
      <c r="AD176" s="137">
        <v>45049</v>
      </c>
      <c r="AE176" s="137">
        <v>46380</v>
      </c>
      <c r="AF176" s="137">
        <v>46380</v>
      </c>
      <c r="AG176" s="138">
        <v>1332</v>
      </c>
      <c r="AH176" s="139" t="s">
        <v>10</v>
      </c>
      <c r="AI176" s="138">
        <v>1089</v>
      </c>
      <c r="AJ176" s="140">
        <v>2.9835616438356163</v>
      </c>
      <c r="AK176" s="184"/>
      <c r="AL176" s="188" t="s">
        <v>1259</v>
      </c>
      <c r="AM176" s="197" t="s">
        <v>162</v>
      </c>
      <c r="AN176" s="198" t="s">
        <v>106</v>
      </c>
      <c r="AO176" s="58" t="s">
        <v>1260</v>
      </c>
      <c r="AP176" s="112"/>
      <c r="AQ176" s="272" t="s">
        <v>103</v>
      </c>
    </row>
    <row r="177" spans="1:43" ht="39.950000000000003" customHeight="1" x14ac:dyDescent="0.2">
      <c r="A177" s="131" t="s">
        <v>1261</v>
      </c>
      <c r="B177" s="337" t="s">
        <v>307</v>
      </c>
      <c r="C177" s="337" t="s">
        <v>1141</v>
      </c>
      <c r="D177" s="133" t="s">
        <v>87</v>
      </c>
      <c r="E177" s="131" t="s">
        <v>542</v>
      </c>
      <c r="F177" s="145" t="s">
        <v>87</v>
      </c>
      <c r="G177" s="131" t="s">
        <v>102</v>
      </c>
      <c r="H177" s="131" t="s">
        <v>102</v>
      </c>
      <c r="I177" s="131" t="s">
        <v>122</v>
      </c>
      <c r="J177" s="66" t="s">
        <v>1262</v>
      </c>
      <c r="K177" s="192" t="s">
        <v>222</v>
      </c>
      <c r="L177" s="168" t="s">
        <v>101</v>
      </c>
      <c r="M177" s="194" t="s">
        <v>191</v>
      </c>
      <c r="N177" s="134" t="s">
        <v>59</v>
      </c>
      <c r="O177" s="167" t="s">
        <v>43</v>
      </c>
      <c r="P177" s="65">
        <v>2</v>
      </c>
      <c r="Q177" s="167" t="s">
        <v>539</v>
      </c>
      <c r="R177" s="65" t="s">
        <v>534</v>
      </c>
      <c r="S177" s="135" t="s">
        <v>156</v>
      </c>
      <c r="T177" s="136">
        <v>18930.472595651561</v>
      </c>
      <c r="U177" s="62">
        <v>10000</v>
      </c>
      <c r="V177" s="136">
        <v>18930.472595651561</v>
      </c>
      <c r="W177" s="136">
        <v>80246.273332966972</v>
      </c>
      <c r="X177" s="136">
        <v>703059.99541920424</v>
      </c>
      <c r="Y177" s="62" t="s">
        <v>1295</v>
      </c>
      <c r="Z177" s="366">
        <v>0.15</v>
      </c>
      <c r="AA177" s="147" t="s">
        <v>11</v>
      </c>
      <c r="AB177" s="185">
        <v>2.35E-2</v>
      </c>
      <c r="AC177" s="185">
        <v>1.5275E-2</v>
      </c>
      <c r="AD177" s="137">
        <v>45061</v>
      </c>
      <c r="AE177" s="137">
        <v>46208</v>
      </c>
      <c r="AF177" s="137">
        <v>46208</v>
      </c>
      <c r="AG177" s="138">
        <v>1148</v>
      </c>
      <c r="AH177" s="139" t="s">
        <v>10</v>
      </c>
      <c r="AI177" s="138">
        <v>917</v>
      </c>
      <c r="AJ177" s="140">
        <v>2.5123287671232877</v>
      </c>
      <c r="AK177" s="184"/>
      <c r="AL177" s="188" t="s">
        <v>1282</v>
      </c>
      <c r="AM177" s="197" t="s">
        <v>87</v>
      </c>
      <c r="AN177" s="198" t="s">
        <v>102</v>
      </c>
      <c r="AO177" s="58" t="s">
        <v>1264</v>
      </c>
      <c r="AP177" s="112"/>
      <c r="AQ177" s="272" t="s">
        <v>122</v>
      </c>
    </row>
    <row r="178" spans="1:43" ht="39.950000000000003" customHeight="1" x14ac:dyDescent="0.2">
      <c r="A178" s="131" t="s">
        <v>1265</v>
      </c>
      <c r="B178" s="337" t="s">
        <v>307</v>
      </c>
      <c r="C178" s="337" t="s">
        <v>1142</v>
      </c>
      <c r="D178" s="133" t="s">
        <v>588</v>
      </c>
      <c r="E178" s="131" t="s">
        <v>499</v>
      </c>
      <c r="F178" s="145" t="s">
        <v>162</v>
      </c>
      <c r="G178" s="131" t="s">
        <v>892</v>
      </c>
      <c r="H178" s="131" t="s">
        <v>259</v>
      </c>
      <c r="I178" s="131" t="s">
        <v>461</v>
      </c>
      <c r="J178" s="66" t="s">
        <v>589</v>
      </c>
      <c r="K178" s="192" t="s">
        <v>218</v>
      </c>
      <c r="L178" s="168" t="s">
        <v>139</v>
      </c>
      <c r="M178" s="194" t="s">
        <v>191</v>
      </c>
      <c r="N178" s="134" t="s">
        <v>59</v>
      </c>
      <c r="O178" s="167" t="s">
        <v>43</v>
      </c>
      <c r="P178" s="65">
        <v>3</v>
      </c>
      <c r="Q178" s="167" t="s">
        <v>538</v>
      </c>
      <c r="R178" s="65" t="s">
        <v>534</v>
      </c>
      <c r="S178" s="135" t="s">
        <v>9</v>
      </c>
      <c r="T178" s="136">
        <v>22322.28924183669</v>
      </c>
      <c r="U178" s="62">
        <v>15000</v>
      </c>
      <c r="V178" s="136">
        <v>22322.28924183669</v>
      </c>
      <c r="W178" s="136">
        <v>122400.55267607119</v>
      </c>
      <c r="X178" s="136">
        <v>1664025.2156150844</v>
      </c>
      <c r="Y178" s="62" t="s">
        <v>16</v>
      </c>
      <c r="Z178" s="366">
        <v>0</v>
      </c>
      <c r="AA178" s="147" t="s">
        <v>11</v>
      </c>
      <c r="AB178" s="185">
        <v>0.06</v>
      </c>
      <c r="AC178" s="185">
        <v>1.4999999999999999E-2</v>
      </c>
      <c r="AD178" s="137">
        <v>45057</v>
      </c>
      <c r="AE178" s="137">
        <v>46784</v>
      </c>
      <c r="AF178" s="137">
        <v>46710</v>
      </c>
      <c r="AG178" s="138">
        <v>1654</v>
      </c>
      <c r="AH178" s="139" t="s">
        <v>10</v>
      </c>
      <c r="AI178" s="138">
        <v>1419</v>
      </c>
      <c r="AJ178" s="140">
        <v>3.8876712328767122</v>
      </c>
      <c r="AK178" s="184"/>
      <c r="AL178" s="188" t="s">
        <v>1266</v>
      </c>
      <c r="AM178" s="197" t="s">
        <v>162</v>
      </c>
      <c r="AN178" s="198" t="s">
        <v>892</v>
      </c>
      <c r="AO178" s="58" t="s">
        <v>1267</v>
      </c>
      <c r="AP178" s="112"/>
      <c r="AQ178" s="272"/>
    </row>
    <row r="179" spans="1:43" ht="39.950000000000003" customHeight="1" x14ac:dyDescent="0.2">
      <c r="A179" s="131" t="s">
        <v>1279</v>
      </c>
      <c r="B179" s="337" t="s">
        <v>67</v>
      </c>
      <c r="C179" s="337" t="s">
        <v>243</v>
      </c>
      <c r="D179" s="133" t="s">
        <v>89</v>
      </c>
      <c r="E179" s="131" t="s">
        <v>542</v>
      </c>
      <c r="F179" s="145" t="s">
        <v>127</v>
      </c>
      <c r="G179" s="131" t="s">
        <v>891</v>
      </c>
      <c r="H179" s="131" t="s">
        <v>167</v>
      </c>
      <c r="I179" s="131" t="s">
        <v>167</v>
      </c>
      <c r="J179" s="66" t="s">
        <v>60</v>
      </c>
      <c r="K179" s="192" t="s">
        <v>220</v>
      </c>
      <c r="L179" s="168" t="s">
        <v>140</v>
      </c>
      <c r="M179" s="194" t="s">
        <v>191</v>
      </c>
      <c r="N179" s="134" t="s">
        <v>59</v>
      </c>
      <c r="O179" s="167" t="s">
        <v>43</v>
      </c>
      <c r="P179" s="65">
        <v>2</v>
      </c>
      <c r="Q179" s="167" t="s">
        <v>531</v>
      </c>
      <c r="R179" s="65" t="s">
        <v>534</v>
      </c>
      <c r="S179" s="135" t="s">
        <v>59</v>
      </c>
      <c r="T179" s="136">
        <v>24436.980521722693</v>
      </c>
      <c r="U179" s="62">
        <v>15000</v>
      </c>
      <c r="V179" s="136">
        <v>24436.980521722693</v>
      </c>
      <c r="W179" s="136">
        <v>195495.84417378154</v>
      </c>
      <c r="X179" s="136">
        <v>2562960.4874063293</v>
      </c>
      <c r="Y179" s="62" t="s">
        <v>16</v>
      </c>
      <c r="Z179" s="366">
        <v>0</v>
      </c>
      <c r="AA179" s="147" t="s">
        <v>11</v>
      </c>
      <c r="AB179" s="185">
        <v>3.2500000000000001E-2</v>
      </c>
      <c r="AC179" s="185">
        <v>1.95E-2</v>
      </c>
      <c r="AD179" s="137">
        <v>45065</v>
      </c>
      <c r="AE179" s="137">
        <v>47472</v>
      </c>
      <c r="AF179" s="137">
        <v>47515</v>
      </c>
      <c r="AG179" s="138">
        <v>2451</v>
      </c>
      <c r="AH179" s="139" t="s">
        <v>10</v>
      </c>
      <c r="AI179" s="138">
        <v>2224</v>
      </c>
      <c r="AJ179" s="140">
        <v>6.0931506849315067</v>
      </c>
      <c r="AK179" s="184"/>
      <c r="AL179" s="188" t="s">
        <v>1268</v>
      </c>
      <c r="AM179" s="197" t="s">
        <v>127</v>
      </c>
      <c r="AN179" s="198" t="s">
        <v>891</v>
      </c>
      <c r="AO179" s="58" t="s">
        <v>1269</v>
      </c>
      <c r="AP179" s="112"/>
      <c r="AQ179" s="272"/>
    </row>
    <row r="180" spans="1:43" ht="39.950000000000003" customHeight="1" x14ac:dyDescent="0.2">
      <c r="A180" s="131" t="s">
        <v>1278</v>
      </c>
      <c r="B180" s="337" t="s">
        <v>243</v>
      </c>
      <c r="C180" s="337" t="s">
        <v>243</v>
      </c>
      <c r="D180" s="133" t="s">
        <v>588</v>
      </c>
      <c r="E180" s="131" t="s">
        <v>1357</v>
      </c>
      <c r="F180" s="145" t="s">
        <v>877</v>
      </c>
      <c r="G180" s="131" t="s">
        <v>891</v>
      </c>
      <c r="H180" s="131" t="s">
        <v>167</v>
      </c>
      <c r="I180" s="131" t="s">
        <v>167</v>
      </c>
      <c r="J180" s="66" t="s">
        <v>589</v>
      </c>
      <c r="K180" s="192" t="s">
        <v>218</v>
      </c>
      <c r="L180" s="168" t="s">
        <v>209</v>
      </c>
      <c r="M180" s="194" t="s">
        <v>191</v>
      </c>
      <c r="N180" s="134" t="s">
        <v>59</v>
      </c>
      <c r="O180" s="167" t="s">
        <v>43</v>
      </c>
      <c r="P180" s="65">
        <v>2</v>
      </c>
      <c r="Q180" s="167" t="s">
        <v>538</v>
      </c>
      <c r="R180" s="65" t="s">
        <v>534</v>
      </c>
      <c r="S180" s="135" t="s">
        <v>9</v>
      </c>
      <c r="T180" s="136">
        <v>22322.28924183669</v>
      </c>
      <c r="U180" s="62">
        <v>15000</v>
      </c>
      <c r="V180" s="136">
        <v>22322.28924183669</v>
      </c>
      <c r="W180" s="136">
        <v>297630.52322448924</v>
      </c>
      <c r="X180" s="136">
        <v>1859629.9151950935</v>
      </c>
      <c r="Y180" s="62" t="s">
        <v>16</v>
      </c>
      <c r="Z180" s="366">
        <v>0</v>
      </c>
      <c r="AA180" s="147" t="s">
        <v>11</v>
      </c>
      <c r="AB180" s="185">
        <v>3.5000000000000003E-2</v>
      </c>
      <c r="AC180" s="185">
        <v>1.7500000000000002E-2</v>
      </c>
      <c r="AD180" s="137">
        <v>45072</v>
      </c>
      <c r="AE180" s="137">
        <v>46889</v>
      </c>
      <c r="AF180" s="137">
        <v>46910</v>
      </c>
      <c r="AG180" s="138">
        <v>1839</v>
      </c>
      <c r="AH180" s="139" t="s">
        <v>10</v>
      </c>
      <c r="AI180" s="138">
        <v>1619</v>
      </c>
      <c r="AJ180" s="140">
        <v>4.4356164383561643</v>
      </c>
      <c r="AK180" s="184"/>
      <c r="AL180" s="188" t="s">
        <v>1270</v>
      </c>
      <c r="AM180" s="197" t="s">
        <v>877</v>
      </c>
      <c r="AN180" s="198" t="s">
        <v>891</v>
      </c>
      <c r="AO180" s="58" t="s">
        <v>1271</v>
      </c>
      <c r="AP180" s="112"/>
      <c r="AQ180" s="272"/>
    </row>
    <row r="181" spans="1:43" ht="39.950000000000003" customHeight="1" x14ac:dyDescent="0.2">
      <c r="A181" s="131" t="s">
        <v>1280</v>
      </c>
      <c r="B181" s="337" t="s">
        <v>243</v>
      </c>
      <c r="C181" s="337" t="s">
        <v>243</v>
      </c>
      <c r="D181" s="133" t="s">
        <v>588</v>
      </c>
      <c r="E181" s="131" t="s">
        <v>499</v>
      </c>
      <c r="F181" s="145" t="s">
        <v>162</v>
      </c>
      <c r="G181" s="131" t="s">
        <v>891</v>
      </c>
      <c r="H181" s="131" t="s">
        <v>167</v>
      </c>
      <c r="I181" s="131" t="s">
        <v>167</v>
      </c>
      <c r="J181" s="66" t="s">
        <v>589</v>
      </c>
      <c r="K181" s="192" t="s">
        <v>218</v>
      </c>
      <c r="L181" s="168" t="s">
        <v>140</v>
      </c>
      <c r="M181" s="194" t="s">
        <v>191</v>
      </c>
      <c r="N181" s="134" t="s">
        <v>59</v>
      </c>
      <c r="O181" s="167" t="s">
        <v>43</v>
      </c>
      <c r="P181" s="65">
        <v>2</v>
      </c>
      <c r="Q181" s="167" t="s">
        <v>531</v>
      </c>
      <c r="R181" s="65" t="s">
        <v>534</v>
      </c>
      <c r="S181" s="135" t="s">
        <v>9</v>
      </c>
      <c r="T181" s="136">
        <v>11161.144620918345</v>
      </c>
      <c r="U181" s="62">
        <v>7500</v>
      </c>
      <c r="V181" s="136">
        <v>11161.144620918345</v>
      </c>
      <c r="W181" s="136">
        <v>297630.52322448924</v>
      </c>
      <c r="X181" s="136">
        <v>3052086.7255462185</v>
      </c>
      <c r="Y181" s="62" t="s">
        <v>16</v>
      </c>
      <c r="Z181" s="366">
        <v>0</v>
      </c>
      <c r="AA181" s="147" t="s">
        <v>11</v>
      </c>
      <c r="AB181" s="185">
        <v>0.115</v>
      </c>
      <c r="AC181" s="185">
        <v>6.2700000000000006E-2</v>
      </c>
      <c r="AD181" s="137">
        <v>45072</v>
      </c>
      <c r="AE181" s="137">
        <v>46870</v>
      </c>
      <c r="AF181" s="137">
        <v>46870</v>
      </c>
      <c r="AG181" s="138">
        <v>1799</v>
      </c>
      <c r="AH181" s="139" t="s">
        <v>10</v>
      </c>
      <c r="AI181" s="138">
        <v>1579</v>
      </c>
      <c r="AJ181" s="140">
        <v>4.3260273972602743</v>
      </c>
      <c r="AK181" s="184" t="s">
        <v>436</v>
      </c>
      <c r="AL181" s="188" t="s">
        <v>1274</v>
      </c>
      <c r="AM181" s="197" t="s">
        <v>162</v>
      </c>
      <c r="AN181" s="198" t="s">
        <v>891</v>
      </c>
      <c r="AO181" s="58" t="s">
        <v>1272</v>
      </c>
      <c r="AP181" s="112"/>
      <c r="AQ181" s="272"/>
    </row>
    <row r="182" spans="1:43" ht="39.950000000000003" customHeight="1" x14ac:dyDescent="0.2">
      <c r="A182" s="131" t="s">
        <v>1281</v>
      </c>
      <c r="B182" s="337" t="s">
        <v>243</v>
      </c>
      <c r="C182" s="337" t="s">
        <v>243</v>
      </c>
      <c r="D182" s="133" t="s">
        <v>588</v>
      </c>
      <c r="E182" s="131" t="s">
        <v>499</v>
      </c>
      <c r="F182" s="145" t="s">
        <v>162</v>
      </c>
      <c r="G182" s="131" t="s">
        <v>891</v>
      </c>
      <c r="H182" s="131" t="s">
        <v>167</v>
      </c>
      <c r="I182" s="131" t="s">
        <v>167</v>
      </c>
      <c r="J182" s="66" t="s">
        <v>589</v>
      </c>
      <c r="K182" s="192" t="s">
        <v>218</v>
      </c>
      <c r="L182" s="168" t="s">
        <v>140</v>
      </c>
      <c r="M182" s="194" t="s">
        <v>191</v>
      </c>
      <c r="N182" s="134" t="s">
        <v>59</v>
      </c>
      <c r="O182" s="167" t="s">
        <v>43</v>
      </c>
      <c r="P182" s="65">
        <v>2</v>
      </c>
      <c r="Q182" s="167" t="s">
        <v>538</v>
      </c>
      <c r="R182" s="65" t="s">
        <v>534</v>
      </c>
      <c r="S182" s="135" t="s">
        <v>9</v>
      </c>
      <c r="T182" s="136">
        <v>22322.28924183669</v>
      </c>
      <c r="U182" s="62">
        <v>15000</v>
      </c>
      <c r="V182" s="136">
        <v>22322.28924183669</v>
      </c>
      <c r="W182" s="136">
        <v>186019.07701530575</v>
      </c>
      <c r="X182" s="136">
        <v>1624222.9518105378</v>
      </c>
      <c r="Y182" s="62" t="s">
        <v>16</v>
      </c>
      <c r="Z182" s="366">
        <v>0</v>
      </c>
      <c r="AA182" s="147" t="s">
        <v>11</v>
      </c>
      <c r="AB182" s="185">
        <v>0.03</v>
      </c>
      <c r="AC182" s="185">
        <v>1.4999999999999999E-2</v>
      </c>
      <c r="AD182" s="137">
        <v>45072</v>
      </c>
      <c r="AE182" s="137">
        <v>46870</v>
      </c>
      <c r="AF182" s="137">
        <v>46870</v>
      </c>
      <c r="AG182" s="138">
        <v>1799</v>
      </c>
      <c r="AH182" s="139" t="s">
        <v>10</v>
      </c>
      <c r="AI182" s="138">
        <v>1579</v>
      </c>
      <c r="AJ182" s="140">
        <v>4.3260273972602743</v>
      </c>
      <c r="AK182" s="184" t="s">
        <v>436</v>
      </c>
      <c r="AL182" s="188" t="s">
        <v>1275</v>
      </c>
      <c r="AM182" s="197" t="s">
        <v>162</v>
      </c>
      <c r="AN182" s="198" t="s">
        <v>891</v>
      </c>
      <c r="AO182" s="58" t="s">
        <v>1273</v>
      </c>
      <c r="AP182" s="112"/>
      <c r="AQ182" s="272"/>
    </row>
    <row r="183" spans="1:43" ht="39.950000000000003" customHeight="1" x14ac:dyDescent="0.2">
      <c r="A183" s="131" t="s">
        <v>1288</v>
      </c>
      <c r="B183" s="337" t="s">
        <v>67</v>
      </c>
      <c r="C183" s="337" t="s">
        <v>1144</v>
      </c>
      <c r="D183" s="133" t="s">
        <v>166</v>
      </c>
      <c r="E183" s="131" t="s">
        <v>542</v>
      </c>
      <c r="F183" s="145" t="s">
        <v>127</v>
      </c>
      <c r="G183" s="131" t="s">
        <v>233</v>
      </c>
      <c r="H183" s="131" t="s">
        <v>906</v>
      </c>
      <c r="I183" s="131" t="s">
        <v>906</v>
      </c>
      <c r="J183" s="66" t="s">
        <v>1291</v>
      </c>
      <c r="K183" s="192" t="s">
        <v>222</v>
      </c>
      <c r="L183" s="168" t="s">
        <v>209</v>
      </c>
      <c r="M183" s="194" t="s">
        <v>191</v>
      </c>
      <c r="N183" s="134" t="s">
        <v>59</v>
      </c>
      <c r="O183" s="167" t="s">
        <v>43</v>
      </c>
      <c r="P183" s="65">
        <v>3</v>
      </c>
      <c r="Q183" s="167" t="s">
        <v>538</v>
      </c>
      <c r="R183" s="65" t="s">
        <v>534</v>
      </c>
      <c r="S183" s="135" t="s">
        <v>59</v>
      </c>
      <c r="T183" s="136">
        <v>24436.980521722693</v>
      </c>
      <c r="U183" s="62">
        <v>15000</v>
      </c>
      <c r="V183" s="136">
        <v>24436.980521722693</v>
      </c>
      <c r="W183" s="136">
        <v>992549.07666579692</v>
      </c>
      <c r="X183" s="136">
        <v>1870514.125886193</v>
      </c>
      <c r="Y183" s="62" t="s">
        <v>1295</v>
      </c>
      <c r="Z183" s="366">
        <v>0.2</v>
      </c>
      <c r="AA183" s="147" t="s">
        <v>11</v>
      </c>
      <c r="AB183" s="185">
        <v>2.1499999999999998E-2</v>
      </c>
      <c r="AC183" s="185">
        <v>1.2899999999999998E-2</v>
      </c>
      <c r="AD183" s="137">
        <v>45086</v>
      </c>
      <c r="AE183" s="137">
        <v>47544</v>
      </c>
      <c r="AF183" s="137">
        <v>47562</v>
      </c>
      <c r="AG183" s="138">
        <v>2477</v>
      </c>
      <c r="AH183" s="139" t="s">
        <v>10</v>
      </c>
      <c r="AI183" s="138">
        <v>2271</v>
      </c>
      <c r="AJ183" s="140">
        <v>6.2219178082191782</v>
      </c>
      <c r="AK183" s="184"/>
      <c r="AL183" s="188" t="s">
        <v>1289</v>
      </c>
      <c r="AM183" s="197" t="s">
        <v>127</v>
      </c>
      <c r="AN183" s="198" t="s">
        <v>233</v>
      </c>
      <c r="AO183" s="58" t="s">
        <v>1290</v>
      </c>
      <c r="AP183" s="112"/>
      <c r="AQ183" s="272"/>
    </row>
    <row r="184" spans="1:43" ht="39.950000000000003" customHeight="1" x14ac:dyDescent="0.2">
      <c r="A184" s="131" t="s">
        <v>1296</v>
      </c>
      <c r="B184" s="337" t="s">
        <v>1437</v>
      </c>
      <c r="C184" s="337" t="s">
        <v>1142</v>
      </c>
      <c r="D184" s="133" t="s">
        <v>588</v>
      </c>
      <c r="E184" s="131" t="s">
        <v>499</v>
      </c>
      <c r="F184" s="145" t="s">
        <v>162</v>
      </c>
      <c r="G184" s="131" t="s">
        <v>891</v>
      </c>
      <c r="H184" s="131" t="s">
        <v>167</v>
      </c>
      <c r="I184" s="131" t="s">
        <v>167</v>
      </c>
      <c r="J184" s="66" t="s">
        <v>589</v>
      </c>
      <c r="K184" s="192" t="s">
        <v>218</v>
      </c>
      <c r="L184" s="168" t="s">
        <v>140</v>
      </c>
      <c r="M184" s="194" t="s">
        <v>191</v>
      </c>
      <c r="N184" s="134" t="s">
        <v>59</v>
      </c>
      <c r="O184" s="167" t="s">
        <v>43</v>
      </c>
      <c r="P184" s="65">
        <v>2</v>
      </c>
      <c r="Q184" s="167" t="s">
        <v>538</v>
      </c>
      <c r="R184" s="65" t="s">
        <v>534</v>
      </c>
      <c r="S184" s="135" t="s">
        <v>9</v>
      </c>
      <c r="T184" s="136">
        <v>7440.7630806122306</v>
      </c>
      <c r="U184" s="62">
        <v>5000</v>
      </c>
      <c r="V184" s="136">
        <v>7440.7630806122306</v>
      </c>
      <c r="W184" s="136">
        <v>14881.526161224461</v>
      </c>
      <c r="X184" s="136">
        <v>1358184.7776303398</v>
      </c>
      <c r="Y184" s="62" t="s">
        <v>16</v>
      </c>
      <c r="Z184" s="366">
        <v>0</v>
      </c>
      <c r="AA184" s="147" t="s">
        <v>11</v>
      </c>
      <c r="AB184" s="185">
        <v>0.08</v>
      </c>
      <c r="AC184" s="185">
        <v>0.04</v>
      </c>
      <c r="AD184" s="137">
        <v>45091</v>
      </c>
      <c r="AE184" s="137">
        <v>46869</v>
      </c>
      <c r="AF184" s="137">
        <v>46891</v>
      </c>
      <c r="AG184" s="138">
        <v>1801</v>
      </c>
      <c r="AH184" s="139" t="s">
        <v>10</v>
      </c>
      <c r="AI184" s="138">
        <v>1600</v>
      </c>
      <c r="AJ184" s="140">
        <v>4.3835616438356162</v>
      </c>
      <c r="AK184" s="184" t="s">
        <v>436</v>
      </c>
      <c r="AL184" s="188" t="s">
        <v>1298</v>
      </c>
      <c r="AM184" s="197" t="s">
        <v>162</v>
      </c>
      <c r="AN184" s="198" t="s">
        <v>891</v>
      </c>
      <c r="AO184" s="58" t="s">
        <v>1301</v>
      </c>
      <c r="AP184" s="112"/>
      <c r="AQ184" s="272"/>
    </row>
    <row r="185" spans="1:43" ht="39.950000000000003" customHeight="1" x14ac:dyDescent="0.2">
      <c r="A185" s="131" t="s">
        <v>1297</v>
      </c>
      <c r="B185" s="337" t="s">
        <v>1437</v>
      </c>
      <c r="C185" s="337" t="s">
        <v>1142</v>
      </c>
      <c r="D185" s="133" t="s">
        <v>588</v>
      </c>
      <c r="E185" s="131" t="s">
        <v>499</v>
      </c>
      <c r="F185" s="145" t="s">
        <v>162</v>
      </c>
      <c r="G185" s="131" t="s">
        <v>891</v>
      </c>
      <c r="H185" s="131" t="s">
        <v>167</v>
      </c>
      <c r="I185" s="131" t="s">
        <v>167</v>
      </c>
      <c r="J185" s="66" t="s">
        <v>589</v>
      </c>
      <c r="K185" s="192" t="s">
        <v>218</v>
      </c>
      <c r="L185" s="168" t="s">
        <v>140</v>
      </c>
      <c r="M185" s="194" t="s">
        <v>191</v>
      </c>
      <c r="N185" s="134" t="s">
        <v>59</v>
      </c>
      <c r="O185" s="167" t="s">
        <v>43</v>
      </c>
      <c r="P185" s="65">
        <v>2</v>
      </c>
      <c r="Q185" s="167" t="s">
        <v>538</v>
      </c>
      <c r="R185" s="65" t="s">
        <v>534</v>
      </c>
      <c r="S185" s="135" t="s">
        <v>9</v>
      </c>
      <c r="T185" s="136">
        <v>37203.815403061155</v>
      </c>
      <c r="U185" s="62">
        <v>25000</v>
      </c>
      <c r="V185" s="136">
        <v>37203.815403061155</v>
      </c>
      <c r="W185" s="136">
        <v>74407.63080612231</v>
      </c>
      <c r="X185" s="136">
        <v>2499085.7162364698</v>
      </c>
      <c r="Y185" s="62" t="s">
        <v>16</v>
      </c>
      <c r="Z185" s="366">
        <v>0</v>
      </c>
      <c r="AA185" s="147" t="s">
        <v>11</v>
      </c>
      <c r="AB185" s="185">
        <v>0.03</v>
      </c>
      <c r="AC185" s="185">
        <v>1.4999999999999999E-2</v>
      </c>
      <c r="AD185" s="137">
        <v>45091</v>
      </c>
      <c r="AE185" s="137">
        <v>46869</v>
      </c>
      <c r="AF185" s="137">
        <v>46891</v>
      </c>
      <c r="AG185" s="138">
        <v>1801</v>
      </c>
      <c r="AH185" s="139" t="s">
        <v>10</v>
      </c>
      <c r="AI185" s="138">
        <v>1600</v>
      </c>
      <c r="AJ185" s="140">
        <v>4.3835616438356162</v>
      </c>
      <c r="AK185" s="184" t="s">
        <v>436</v>
      </c>
      <c r="AL185" s="188" t="s">
        <v>1299</v>
      </c>
      <c r="AM185" s="197" t="s">
        <v>162</v>
      </c>
      <c r="AN185" s="198" t="s">
        <v>891</v>
      </c>
      <c r="AO185" s="58" t="s">
        <v>1300</v>
      </c>
      <c r="AP185" s="112"/>
      <c r="AQ185" s="272"/>
    </row>
    <row r="186" spans="1:43" ht="39.950000000000003" customHeight="1" x14ac:dyDescent="0.2">
      <c r="A186" s="131" t="s">
        <v>1302</v>
      </c>
      <c r="B186" s="337" t="s">
        <v>307</v>
      </c>
      <c r="C186" s="337" t="s">
        <v>1144</v>
      </c>
      <c r="D186" s="133" t="s">
        <v>560</v>
      </c>
      <c r="E186" s="131" t="s">
        <v>499</v>
      </c>
      <c r="F186" s="145" t="s">
        <v>162</v>
      </c>
      <c r="G186" s="131" t="s">
        <v>102</v>
      </c>
      <c r="H186" s="131" t="s">
        <v>102</v>
      </c>
      <c r="I186" s="131" t="s">
        <v>122</v>
      </c>
      <c r="J186" s="66" t="s">
        <v>1303</v>
      </c>
      <c r="K186" s="192" t="s">
        <v>218</v>
      </c>
      <c r="L186" s="168" t="s">
        <v>101</v>
      </c>
      <c r="M186" s="194" t="s">
        <v>191</v>
      </c>
      <c r="N186" s="134" t="s">
        <v>59</v>
      </c>
      <c r="O186" s="167" t="s">
        <v>43</v>
      </c>
      <c r="P186" s="65">
        <v>2</v>
      </c>
      <c r="Q186" s="167" t="s">
        <v>531</v>
      </c>
      <c r="R186" s="65" t="s">
        <v>534</v>
      </c>
      <c r="S186" s="135" t="s">
        <v>9</v>
      </c>
      <c r="T186" s="136">
        <v>22322.28924183669</v>
      </c>
      <c r="U186" s="62">
        <v>15000</v>
      </c>
      <c r="V186" s="136">
        <v>22322.28924183669</v>
      </c>
      <c r="W186" s="136">
        <v>44644.57848367338</v>
      </c>
      <c r="X186" s="136">
        <v>951239.57829981216</v>
      </c>
      <c r="Y186" s="62" t="s">
        <v>16</v>
      </c>
      <c r="Z186" s="366">
        <v>0</v>
      </c>
      <c r="AA186" s="147" t="s">
        <v>11</v>
      </c>
      <c r="AB186" s="185">
        <v>2.3E-2</v>
      </c>
      <c r="AC186" s="185">
        <v>1.15E-2</v>
      </c>
      <c r="AD186" s="137">
        <v>45091</v>
      </c>
      <c r="AE186" s="137">
        <v>46424</v>
      </c>
      <c r="AF186" s="137">
        <v>46444</v>
      </c>
      <c r="AG186" s="138">
        <v>1354</v>
      </c>
      <c r="AH186" s="139" t="s">
        <v>10</v>
      </c>
      <c r="AI186" s="138">
        <v>1153</v>
      </c>
      <c r="AJ186" s="140">
        <v>3.1589041095890411</v>
      </c>
      <c r="AK186" s="184"/>
      <c r="AL186" s="188" t="s">
        <v>1305</v>
      </c>
      <c r="AM186" s="197" t="s">
        <v>162</v>
      </c>
      <c r="AN186" s="198" t="s">
        <v>102</v>
      </c>
      <c r="AO186" s="58" t="s">
        <v>1304</v>
      </c>
      <c r="AP186" s="112"/>
      <c r="AQ186" s="272" t="s">
        <v>122</v>
      </c>
    </row>
    <row r="187" spans="1:43" ht="39.950000000000003" customHeight="1" x14ac:dyDescent="0.2">
      <c r="A187" s="131" t="s">
        <v>1306</v>
      </c>
      <c r="B187" s="337" t="s">
        <v>23</v>
      </c>
      <c r="C187" s="337" t="s">
        <v>1142</v>
      </c>
      <c r="D187" s="133" t="s">
        <v>162</v>
      </c>
      <c r="E187" s="131" t="s">
        <v>499</v>
      </c>
      <c r="F187" s="145" t="s">
        <v>162</v>
      </c>
      <c r="G187" s="131" t="s">
        <v>48</v>
      </c>
      <c r="H187" s="131" t="s">
        <v>95</v>
      </c>
      <c r="I187" s="131" t="s">
        <v>275</v>
      </c>
      <c r="J187" s="66" t="s">
        <v>1310</v>
      </c>
      <c r="K187" s="192" t="s">
        <v>1309</v>
      </c>
      <c r="L187" s="168" t="s">
        <v>140</v>
      </c>
      <c r="M187" s="194" t="s">
        <v>191</v>
      </c>
      <c r="N187" s="134" t="s">
        <v>59</v>
      </c>
      <c r="O187" s="167" t="s">
        <v>43</v>
      </c>
      <c r="P187" s="65">
        <v>4</v>
      </c>
      <c r="Q187" s="167" t="s">
        <v>533</v>
      </c>
      <c r="R187" s="65" t="s">
        <v>534</v>
      </c>
      <c r="S187" s="135" t="s">
        <v>9</v>
      </c>
      <c r="T187" s="136">
        <v>44644.57848367338</v>
      </c>
      <c r="U187" s="62">
        <v>30000</v>
      </c>
      <c r="V187" s="136">
        <v>44644.57848367338</v>
      </c>
      <c r="W187" s="136">
        <v>223222.89241836692</v>
      </c>
      <c r="X187" s="136">
        <v>2032905.0782300252</v>
      </c>
      <c r="Y187" s="62" t="s">
        <v>1295</v>
      </c>
      <c r="Z187" s="366">
        <v>0.15</v>
      </c>
      <c r="AA187" s="147" t="s">
        <v>11</v>
      </c>
      <c r="AB187" s="185">
        <v>0.02</v>
      </c>
      <c r="AC187" s="185">
        <v>1.2200000000000001E-2</v>
      </c>
      <c r="AD187" s="137">
        <v>45107</v>
      </c>
      <c r="AE187" s="137">
        <v>47263</v>
      </c>
      <c r="AF187" s="137">
        <v>47263</v>
      </c>
      <c r="AG187" s="138">
        <v>2157</v>
      </c>
      <c r="AH187" s="139" t="s">
        <v>10</v>
      </c>
      <c r="AI187" s="138">
        <v>1972</v>
      </c>
      <c r="AJ187" s="140">
        <v>5.4027397260273968</v>
      </c>
      <c r="AK187" s="184" t="s">
        <v>436</v>
      </c>
      <c r="AL187" s="188" t="s">
        <v>1307</v>
      </c>
      <c r="AM187" s="197" t="s">
        <v>162</v>
      </c>
      <c r="AN187" s="198" t="s">
        <v>48</v>
      </c>
      <c r="AO187" s="58" t="s">
        <v>1308</v>
      </c>
      <c r="AP187" s="112"/>
      <c r="AQ187" s="272"/>
    </row>
    <row r="188" spans="1:43" ht="39.950000000000003" customHeight="1" x14ac:dyDescent="0.2">
      <c r="A188" s="131" t="s">
        <v>1461</v>
      </c>
      <c r="B188" s="337" t="s">
        <v>1438</v>
      </c>
      <c r="C188" s="337" t="s">
        <v>1142</v>
      </c>
      <c r="D188" s="133" t="s">
        <v>211</v>
      </c>
      <c r="E188" s="131" t="s">
        <v>542</v>
      </c>
      <c r="F188" s="145" t="s">
        <v>211</v>
      </c>
      <c r="G188" s="131" t="s">
        <v>547</v>
      </c>
      <c r="H188" s="131" t="s">
        <v>265</v>
      </c>
      <c r="I188" s="131" t="s">
        <v>266</v>
      </c>
      <c r="J188" s="66" t="s">
        <v>1312</v>
      </c>
      <c r="K188" s="192" t="s">
        <v>1313</v>
      </c>
      <c r="L188" s="168" t="s">
        <v>209</v>
      </c>
      <c r="M188" s="194" t="s">
        <v>191</v>
      </c>
      <c r="N188" s="134" t="s">
        <v>59</v>
      </c>
      <c r="O188" s="167" t="s">
        <v>43</v>
      </c>
      <c r="P188" s="65">
        <v>2</v>
      </c>
      <c r="Q188" s="167" t="s">
        <v>538</v>
      </c>
      <c r="R188" s="65" t="s">
        <v>534</v>
      </c>
      <c r="S188" s="135" t="s">
        <v>59</v>
      </c>
      <c r="T188" s="136">
        <v>8089.5870784024191</v>
      </c>
      <c r="U188" s="62">
        <v>4965.5810000000001</v>
      </c>
      <c r="V188" s="136">
        <v>8089.5870784024191</v>
      </c>
      <c r="W188" s="136">
        <v>57019.621217352949</v>
      </c>
      <c r="X188" s="136">
        <v>462406.90671177796</v>
      </c>
      <c r="Y188" s="62" t="s">
        <v>16</v>
      </c>
      <c r="Z188" s="366">
        <v>0</v>
      </c>
      <c r="AA188" s="147" t="s">
        <v>11</v>
      </c>
      <c r="AB188" s="185">
        <v>3.2500000000000001E-2</v>
      </c>
      <c r="AC188" s="185">
        <v>2.2749999999999999E-2</v>
      </c>
      <c r="AD188" s="137">
        <v>45107</v>
      </c>
      <c r="AE188" s="137">
        <v>46675</v>
      </c>
      <c r="AF188" s="137">
        <v>46681</v>
      </c>
      <c r="AG188" s="138">
        <v>1575</v>
      </c>
      <c r="AH188" s="139" t="s">
        <v>10</v>
      </c>
      <c r="AI188" s="138">
        <v>1390</v>
      </c>
      <c r="AJ188" s="140">
        <v>3.8082191780821919</v>
      </c>
      <c r="AK188" s="184"/>
      <c r="AL188" s="188" t="s">
        <v>1332</v>
      </c>
      <c r="AM188" s="197" t="s">
        <v>211</v>
      </c>
      <c r="AN188" s="198" t="s">
        <v>547</v>
      </c>
      <c r="AO188" s="58" t="s">
        <v>1311</v>
      </c>
      <c r="AP188" s="112"/>
      <c r="AQ188" s="272"/>
    </row>
    <row r="189" spans="1:43" ht="39.950000000000003" customHeight="1" x14ac:dyDescent="0.2">
      <c r="A189" s="131" t="s">
        <v>1314</v>
      </c>
      <c r="B189" s="337" t="s">
        <v>243</v>
      </c>
      <c r="C189" s="337" t="s">
        <v>243</v>
      </c>
      <c r="D189" s="133" t="s">
        <v>295</v>
      </c>
      <c r="E189" s="131" t="s">
        <v>34</v>
      </c>
      <c r="F189" s="145" t="s">
        <v>295</v>
      </c>
      <c r="G189" s="131" t="s">
        <v>106</v>
      </c>
      <c r="H189" s="131" t="s">
        <v>106</v>
      </c>
      <c r="I189" s="131" t="s">
        <v>107</v>
      </c>
      <c r="J189" s="66" t="s">
        <v>296</v>
      </c>
      <c r="K189" s="192" t="s">
        <v>687</v>
      </c>
      <c r="L189" s="168" t="s">
        <v>101</v>
      </c>
      <c r="M189" s="194" t="s">
        <v>191</v>
      </c>
      <c r="N189" s="134" t="s">
        <v>323</v>
      </c>
      <c r="O189" s="167" t="s">
        <v>43</v>
      </c>
      <c r="P189" s="65">
        <v>2</v>
      </c>
      <c r="Q189" s="167" t="s">
        <v>531</v>
      </c>
      <c r="R189" s="65" t="s">
        <v>534</v>
      </c>
      <c r="S189" s="135" t="s">
        <v>297</v>
      </c>
      <c r="T189" s="136">
        <v>23261.390195584558</v>
      </c>
      <c r="U189" s="62">
        <v>25000</v>
      </c>
      <c r="V189" s="136">
        <v>23261.390195584558</v>
      </c>
      <c r="W189" s="136">
        <v>79425.55159501957</v>
      </c>
      <c r="X189" s="136">
        <v>340718.07725442649</v>
      </c>
      <c r="Y189" s="62" t="s">
        <v>16</v>
      </c>
      <c r="Z189" s="366">
        <v>0</v>
      </c>
      <c r="AA189" s="147" t="s">
        <v>11</v>
      </c>
      <c r="AB189" s="185">
        <v>0.1305</v>
      </c>
      <c r="AC189" s="185">
        <v>2.5899999999999999E-2</v>
      </c>
      <c r="AD189" s="137">
        <v>45105</v>
      </c>
      <c r="AE189" s="137">
        <v>45710</v>
      </c>
      <c r="AF189" s="137">
        <v>45747</v>
      </c>
      <c r="AG189" s="138">
        <v>643</v>
      </c>
      <c r="AH189" s="139" t="s">
        <v>10</v>
      </c>
      <c r="AI189" s="138">
        <v>456</v>
      </c>
      <c r="AJ189" s="140">
        <v>1.2493150684931507</v>
      </c>
      <c r="AK189" s="184" t="s">
        <v>436</v>
      </c>
      <c r="AL189" s="188" t="s">
        <v>1315</v>
      </c>
      <c r="AM189" s="197" t="s">
        <v>295</v>
      </c>
      <c r="AN189" s="198" t="s">
        <v>106</v>
      </c>
      <c r="AO189" s="58" t="s">
        <v>1316</v>
      </c>
      <c r="AP189" s="112"/>
      <c r="AQ189" s="272" t="s">
        <v>476</v>
      </c>
    </row>
    <row r="190" spans="1:43" ht="39.950000000000003" customHeight="1" x14ac:dyDescent="0.2">
      <c r="A190" s="131" t="s">
        <v>1317</v>
      </c>
      <c r="B190" s="337" t="s">
        <v>307</v>
      </c>
      <c r="C190" s="337" t="s">
        <v>1142</v>
      </c>
      <c r="D190" s="133" t="s">
        <v>162</v>
      </c>
      <c r="E190" s="131" t="s">
        <v>499</v>
      </c>
      <c r="F190" s="145" t="s">
        <v>162</v>
      </c>
      <c r="G190" s="131" t="s">
        <v>102</v>
      </c>
      <c r="H190" s="131" t="s">
        <v>102</v>
      </c>
      <c r="I190" s="131" t="s">
        <v>473</v>
      </c>
      <c r="J190" s="66" t="s">
        <v>1320</v>
      </c>
      <c r="K190" s="192" t="s">
        <v>680</v>
      </c>
      <c r="L190" s="168" t="s">
        <v>101</v>
      </c>
      <c r="M190" s="194" t="s">
        <v>191</v>
      </c>
      <c r="N190" s="134" t="s">
        <v>59</v>
      </c>
      <c r="O190" s="167" t="s">
        <v>43</v>
      </c>
      <c r="P190" s="65">
        <v>2</v>
      </c>
      <c r="Q190" s="167" t="s">
        <v>539</v>
      </c>
      <c r="R190" s="65" t="s">
        <v>534</v>
      </c>
      <c r="S190" s="135" t="s">
        <v>9</v>
      </c>
      <c r="T190" s="136">
        <v>29763.052322448922</v>
      </c>
      <c r="U190" s="62">
        <v>20000</v>
      </c>
      <c r="V190" s="136">
        <v>29763.052322448922</v>
      </c>
      <c r="W190" s="136">
        <v>334834.3386275504</v>
      </c>
      <c r="X190" s="136">
        <v>3550288.4196026074</v>
      </c>
      <c r="Y190" s="62" t="s">
        <v>1321</v>
      </c>
      <c r="Z190" s="366">
        <v>0.15</v>
      </c>
      <c r="AA190" s="147" t="s">
        <v>11</v>
      </c>
      <c r="AB190" s="185">
        <v>5.5E-2</v>
      </c>
      <c r="AC190" s="185">
        <v>3.5750000000000004E-2</v>
      </c>
      <c r="AD190" s="137">
        <v>45093</v>
      </c>
      <c r="AE190" s="137">
        <v>47285</v>
      </c>
      <c r="AF190" s="137">
        <v>47285</v>
      </c>
      <c r="AG190" s="138">
        <v>2193</v>
      </c>
      <c r="AH190" s="139" t="s">
        <v>10</v>
      </c>
      <c r="AI190" s="138">
        <v>1994</v>
      </c>
      <c r="AJ190" s="140">
        <v>5.463013698630137</v>
      </c>
      <c r="AK190" s="184" t="s">
        <v>436</v>
      </c>
      <c r="AL190" s="188" t="s">
        <v>1318</v>
      </c>
      <c r="AM190" s="197" t="s">
        <v>162</v>
      </c>
      <c r="AN190" s="198" t="s">
        <v>102</v>
      </c>
      <c r="AO190" s="58" t="s">
        <v>1319</v>
      </c>
      <c r="AP190" s="112"/>
      <c r="AQ190" s="272" t="s">
        <v>477</v>
      </c>
    </row>
    <row r="191" spans="1:43" ht="39.950000000000003" customHeight="1" x14ac:dyDescent="0.2">
      <c r="A191" s="131" t="s">
        <v>1322</v>
      </c>
      <c r="B191" s="337" t="s">
        <v>307</v>
      </c>
      <c r="C191" s="337" t="s">
        <v>1144</v>
      </c>
      <c r="D191" s="133" t="s">
        <v>162</v>
      </c>
      <c r="E191" s="131" t="s">
        <v>499</v>
      </c>
      <c r="F191" s="145" t="s">
        <v>162</v>
      </c>
      <c r="G191" s="131" t="s">
        <v>102</v>
      </c>
      <c r="H191" s="131" t="s">
        <v>102</v>
      </c>
      <c r="I191" s="131" t="s">
        <v>122</v>
      </c>
      <c r="J191" s="66" t="s">
        <v>509</v>
      </c>
      <c r="K191" s="192" t="s">
        <v>222</v>
      </c>
      <c r="L191" s="168" t="s">
        <v>101</v>
      </c>
      <c r="M191" s="194" t="s">
        <v>191</v>
      </c>
      <c r="N191" s="134" t="s">
        <v>59</v>
      </c>
      <c r="O191" s="167" t="s">
        <v>43</v>
      </c>
      <c r="P191" s="65">
        <v>2</v>
      </c>
      <c r="Q191" s="167" t="s">
        <v>538</v>
      </c>
      <c r="R191" s="65" t="s">
        <v>534</v>
      </c>
      <c r="S191" s="135" t="s">
        <v>9</v>
      </c>
      <c r="T191" s="136">
        <v>22322.28924183669</v>
      </c>
      <c r="U191" s="62">
        <v>15000</v>
      </c>
      <c r="V191" s="136">
        <v>22322.28924183669</v>
      </c>
      <c r="W191" s="136">
        <v>119052.20928979569</v>
      </c>
      <c r="X191" s="136">
        <v>1301332.0945157276</v>
      </c>
      <c r="Y191" s="62" t="s">
        <v>1295</v>
      </c>
      <c r="Z191" s="366">
        <v>0.15</v>
      </c>
      <c r="AA191" s="147" t="s">
        <v>11</v>
      </c>
      <c r="AB191" s="185">
        <v>2.5355200000000001E-2</v>
      </c>
      <c r="AC191" s="185">
        <v>1.32043E-2</v>
      </c>
      <c r="AD191" s="137">
        <v>45107</v>
      </c>
      <c r="AE191" s="137">
        <v>46814</v>
      </c>
      <c r="AF191" s="137">
        <v>46845</v>
      </c>
      <c r="AG191" s="138">
        <v>1739</v>
      </c>
      <c r="AH191" s="139" t="s">
        <v>10</v>
      </c>
      <c r="AI191" s="138">
        <v>1554</v>
      </c>
      <c r="AJ191" s="140">
        <v>4.2575342465753421</v>
      </c>
      <c r="AK191" s="184"/>
      <c r="AL191" s="188" t="s">
        <v>1323</v>
      </c>
      <c r="AM191" s="197" t="s">
        <v>162</v>
      </c>
      <c r="AN191" s="198" t="s">
        <v>102</v>
      </c>
      <c r="AO191" s="58" t="s">
        <v>1324</v>
      </c>
      <c r="AP191" s="112"/>
      <c r="AQ191" s="272" t="s">
        <v>122</v>
      </c>
    </row>
    <row r="192" spans="1:43" ht="39.950000000000003" customHeight="1" x14ac:dyDescent="0.2">
      <c r="A192" s="131" t="s">
        <v>1355</v>
      </c>
      <c r="B192" s="337" t="s">
        <v>307</v>
      </c>
      <c r="C192" s="337" t="s">
        <v>243</v>
      </c>
      <c r="D192" s="133" t="s">
        <v>588</v>
      </c>
      <c r="E192" s="131" t="s">
        <v>499</v>
      </c>
      <c r="F192" s="145" t="s">
        <v>162</v>
      </c>
      <c r="G192" s="131" t="s">
        <v>543</v>
      </c>
      <c r="H192" s="131" t="s">
        <v>97</v>
      </c>
      <c r="I192" s="131" t="s">
        <v>98</v>
      </c>
      <c r="J192" s="66" t="s">
        <v>589</v>
      </c>
      <c r="K192" s="192" t="s">
        <v>218</v>
      </c>
      <c r="L192" s="168" t="s">
        <v>209</v>
      </c>
      <c r="M192" s="194" t="s">
        <v>191</v>
      </c>
      <c r="N192" s="134" t="s">
        <v>59</v>
      </c>
      <c r="O192" s="167" t="s">
        <v>43</v>
      </c>
      <c r="P192" s="65">
        <v>2</v>
      </c>
      <c r="Q192" s="167" t="s">
        <v>531</v>
      </c>
      <c r="R192" s="65" t="s">
        <v>534</v>
      </c>
      <c r="S192" s="135" t="s">
        <v>9</v>
      </c>
      <c r="T192" s="136">
        <v>22322.28924183669</v>
      </c>
      <c r="U192" s="62">
        <v>14843.92</v>
      </c>
      <c r="V192" s="136">
        <v>22090.018381512302</v>
      </c>
      <c r="W192" s="136">
        <v>44644.57848367338</v>
      </c>
      <c r="X192" s="136">
        <v>794902.40464479814</v>
      </c>
      <c r="Y192" s="62" t="s">
        <v>16</v>
      </c>
      <c r="Z192" s="366">
        <v>0</v>
      </c>
      <c r="AA192" s="147" t="s">
        <v>11</v>
      </c>
      <c r="AB192" s="185">
        <v>5.5E-2</v>
      </c>
      <c r="AC192" s="185">
        <v>1.5001249999999999E-2</v>
      </c>
      <c r="AD192" s="137">
        <v>45113</v>
      </c>
      <c r="AE192" s="137">
        <v>46006</v>
      </c>
      <c r="AF192" s="137">
        <v>46020</v>
      </c>
      <c r="AG192" s="138">
        <v>908</v>
      </c>
      <c r="AH192" s="139" t="s">
        <v>10</v>
      </c>
      <c r="AI192" s="138">
        <v>729</v>
      </c>
      <c r="AJ192" s="140">
        <v>1.9972602739726026</v>
      </c>
      <c r="AK192" s="184"/>
      <c r="AL192" s="188" t="s">
        <v>1343</v>
      </c>
      <c r="AM192" s="197" t="s">
        <v>162</v>
      </c>
      <c r="AN192" s="198" t="s">
        <v>543</v>
      </c>
      <c r="AO192" s="58" t="s">
        <v>1344</v>
      </c>
      <c r="AP192" s="112"/>
      <c r="AQ192" s="272"/>
    </row>
    <row r="193" spans="1:45" ht="39.950000000000003" customHeight="1" x14ac:dyDescent="0.2">
      <c r="A193" s="131" t="s">
        <v>1345</v>
      </c>
      <c r="B193" s="337" t="s">
        <v>1437</v>
      </c>
      <c r="C193" s="337" t="s">
        <v>1142</v>
      </c>
      <c r="D193" s="133" t="s">
        <v>38</v>
      </c>
      <c r="E193" s="131" t="s">
        <v>542</v>
      </c>
      <c r="F193" s="145" t="s">
        <v>87</v>
      </c>
      <c r="G193" s="131" t="s">
        <v>892</v>
      </c>
      <c r="H193" s="131" t="s">
        <v>259</v>
      </c>
      <c r="I193" s="131" t="s">
        <v>459</v>
      </c>
      <c r="J193" s="66" t="s">
        <v>706</v>
      </c>
      <c r="K193" s="192" t="s">
        <v>220</v>
      </c>
      <c r="L193" s="168" t="s">
        <v>29</v>
      </c>
      <c r="M193" s="194" t="s">
        <v>191</v>
      </c>
      <c r="N193" s="134" t="s">
        <v>323</v>
      </c>
      <c r="O193" s="167" t="s">
        <v>43</v>
      </c>
      <c r="P193" s="65">
        <v>2</v>
      </c>
      <c r="Q193" s="167" t="s">
        <v>538</v>
      </c>
      <c r="R193" s="65" t="s">
        <v>534</v>
      </c>
      <c r="S193" s="135" t="s">
        <v>9</v>
      </c>
      <c r="T193" s="136">
        <v>29763.052322448922</v>
      </c>
      <c r="U193" s="62">
        <v>19901.48</v>
      </c>
      <c r="V193" s="136">
        <v>29616.439526708538</v>
      </c>
      <c r="W193" s="136">
        <v>107891.06466887734</v>
      </c>
      <c r="X193" s="136">
        <v>1834402.9306248997</v>
      </c>
      <c r="Y193" s="62" t="s">
        <v>16</v>
      </c>
      <c r="Z193" s="366">
        <v>0</v>
      </c>
      <c r="AA193" s="147" t="s">
        <v>11</v>
      </c>
      <c r="AB193" s="185">
        <v>2.9000000000000001E-2</v>
      </c>
      <c r="AC193" s="185">
        <v>1.7399999999999999E-2</v>
      </c>
      <c r="AD193" s="137">
        <v>45108</v>
      </c>
      <c r="AE193" s="137">
        <v>46636</v>
      </c>
      <c r="AF193" s="137">
        <v>46674</v>
      </c>
      <c r="AG193" s="138">
        <v>1567</v>
      </c>
      <c r="AH193" s="139" t="s">
        <v>10</v>
      </c>
      <c r="AI193" s="138">
        <v>1383</v>
      </c>
      <c r="AJ193" s="140">
        <v>3.7890410958904108</v>
      </c>
      <c r="AK193" s="184" t="s">
        <v>436</v>
      </c>
      <c r="AL193" s="188" t="s">
        <v>1346</v>
      </c>
      <c r="AM193" s="197" t="s">
        <v>87</v>
      </c>
      <c r="AN193" s="198" t="s">
        <v>892</v>
      </c>
      <c r="AO193" s="58" t="s">
        <v>1347</v>
      </c>
      <c r="AP193" s="112"/>
      <c r="AQ193" s="272"/>
    </row>
    <row r="194" spans="1:45" s="229" customFormat="1" ht="39.950000000000003" customHeight="1" x14ac:dyDescent="0.2">
      <c r="A194" s="131" t="s">
        <v>1354</v>
      </c>
      <c r="B194" s="337" t="s">
        <v>23</v>
      </c>
      <c r="C194" s="337" t="s">
        <v>1144</v>
      </c>
      <c r="D194" s="133" t="s">
        <v>127</v>
      </c>
      <c r="E194" s="131" t="s">
        <v>542</v>
      </c>
      <c r="F194" s="145" t="s">
        <v>746</v>
      </c>
      <c r="G194" s="131" t="s">
        <v>48</v>
      </c>
      <c r="H194" s="131" t="s">
        <v>95</v>
      </c>
      <c r="I194" s="131" t="s">
        <v>446</v>
      </c>
      <c r="J194" s="133" t="s">
        <v>1348</v>
      </c>
      <c r="K194" s="192" t="s">
        <v>219</v>
      </c>
      <c r="L194" s="168" t="s">
        <v>29</v>
      </c>
      <c r="M194" s="194" t="s">
        <v>191</v>
      </c>
      <c r="N194" s="134" t="s">
        <v>59</v>
      </c>
      <c r="O194" s="167" t="s">
        <v>43</v>
      </c>
      <c r="P194" s="270">
        <v>2</v>
      </c>
      <c r="Q194" s="167" t="s">
        <v>533</v>
      </c>
      <c r="R194" s="270" t="s">
        <v>532</v>
      </c>
      <c r="S194" s="135" t="s">
        <v>59</v>
      </c>
      <c r="T194" s="136">
        <v>21178.716452159668</v>
      </c>
      <c r="U194" s="62">
        <v>9683.67</v>
      </c>
      <c r="V194" s="136">
        <v>15775.977011252693</v>
      </c>
      <c r="W194" s="136">
        <v>814566.0173907564</v>
      </c>
      <c r="X194" s="136">
        <v>1316851.2742068861</v>
      </c>
      <c r="Y194" s="62" t="s">
        <v>16</v>
      </c>
      <c r="Z194" s="366">
        <v>0</v>
      </c>
      <c r="AA194" s="147" t="s">
        <v>11</v>
      </c>
      <c r="AB194" s="185">
        <v>2.8500000000000001E-2</v>
      </c>
      <c r="AC194" s="185">
        <v>1.8525E-2</v>
      </c>
      <c r="AD194" s="137">
        <v>45098</v>
      </c>
      <c r="AE194" s="137">
        <v>46925</v>
      </c>
      <c r="AF194" s="137">
        <v>46953</v>
      </c>
      <c r="AG194" s="138">
        <v>1856</v>
      </c>
      <c r="AH194" s="139" t="s">
        <v>10</v>
      </c>
      <c r="AI194" s="138">
        <v>1662</v>
      </c>
      <c r="AJ194" s="140">
        <v>4.5534246575342463</v>
      </c>
      <c r="AK194" s="184"/>
      <c r="AL194" s="188" t="s">
        <v>1349</v>
      </c>
      <c r="AM194" s="323" t="s">
        <v>746</v>
      </c>
      <c r="AN194" s="324" t="s">
        <v>48</v>
      </c>
      <c r="AO194" s="272" t="s">
        <v>1350</v>
      </c>
      <c r="AP194" s="276"/>
      <c r="AQ194" s="272"/>
      <c r="AS194" s="411"/>
    </row>
    <row r="195" spans="1:45" ht="39.950000000000003" customHeight="1" x14ac:dyDescent="0.2">
      <c r="A195" s="131" t="s">
        <v>1356</v>
      </c>
      <c r="B195" s="337" t="s">
        <v>1437</v>
      </c>
      <c r="C195" s="337" t="s">
        <v>1142</v>
      </c>
      <c r="D195" s="133" t="s">
        <v>127</v>
      </c>
      <c r="E195" s="131" t="s">
        <v>542</v>
      </c>
      <c r="F195" s="145" t="s">
        <v>127</v>
      </c>
      <c r="G195" s="131" t="s">
        <v>102</v>
      </c>
      <c r="H195" s="131" t="s">
        <v>102</v>
      </c>
      <c r="I195" s="131" t="s">
        <v>122</v>
      </c>
      <c r="J195" s="66" t="s">
        <v>1352</v>
      </c>
      <c r="K195" s="192" t="s">
        <v>221</v>
      </c>
      <c r="L195" s="168" t="s">
        <v>101</v>
      </c>
      <c r="M195" s="194" t="s">
        <v>191</v>
      </c>
      <c r="N195" s="134" t="s">
        <v>59</v>
      </c>
      <c r="O195" s="167" t="s">
        <v>43</v>
      </c>
      <c r="P195" s="65">
        <v>2</v>
      </c>
      <c r="Q195" s="167" t="s">
        <v>531</v>
      </c>
      <c r="R195" s="65" t="s">
        <v>534</v>
      </c>
      <c r="S195" s="135" t="s">
        <v>59</v>
      </c>
      <c r="T195" s="136">
        <v>32582.640695630256</v>
      </c>
      <c r="U195" s="62">
        <v>20000</v>
      </c>
      <c r="V195" s="136">
        <v>32582.640695630256</v>
      </c>
      <c r="W195" s="136">
        <v>472448.29008663871</v>
      </c>
      <c r="X195" s="136">
        <v>968426.02011238446</v>
      </c>
      <c r="Y195" s="62" t="s">
        <v>1342</v>
      </c>
      <c r="Z195" s="366">
        <v>0.10290199999999999</v>
      </c>
      <c r="AA195" s="147" t="s">
        <v>11</v>
      </c>
      <c r="AB195" s="185">
        <v>1.4999999999999999E-2</v>
      </c>
      <c r="AC195" s="185">
        <v>9.75E-3</v>
      </c>
      <c r="AD195" s="137">
        <v>45103</v>
      </c>
      <c r="AE195" s="137">
        <v>46675</v>
      </c>
      <c r="AF195" s="137">
        <v>46675</v>
      </c>
      <c r="AG195" s="138">
        <v>1573</v>
      </c>
      <c r="AH195" s="139" t="s">
        <v>10</v>
      </c>
      <c r="AI195" s="138">
        <v>1384</v>
      </c>
      <c r="AJ195" s="140">
        <v>3.7917808219178082</v>
      </c>
      <c r="AK195" s="184" t="s">
        <v>436</v>
      </c>
      <c r="AL195" s="188" t="s">
        <v>1353</v>
      </c>
      <c r="AM195" s="197" t="s">
        <v>127</v>
      </c>
      <c r="AN195" s="198" t="s">
        <v>102</v>
      </c>
      <c r="AO195" s="58" t="s">
        <v>1351</v>
      </c>
      <c r="AP195" s="112"/>
      <c r="AQ195" s="272" t="s">
        <v>122</v>
      </c>
    </row>
    <row r="196" spans="1:45" ht="39.950000000000003" customHeight="1" x14ac:dyDescent="0.2">
      <c r="A196" s="131" t="s">
        <v>1385</v>
      </c>
      <c r="B196" s="337" t="s">
        <v>1438</v>
      </c>
      <c r="C196" s="337" t="s">
        <v>1144</v>
      </c>
      <c r="D196" s="133" t="s">
        <v>38</v>
      </c>
      <c r="E196" s="131" t="s">
        <v>499</v>
      </c>
      <c r="F196" s="145" t="s">
        <v>162</v>
      </c>
      <c r="G196" s="131" t="s">
        <v>544</v>
      </c>
      <c r="H196" s="131" t="s">
        <v>201</v>
      </c>
      <c r="I196" s="131" t="s">
        <v>200</v>
      </c>
      <c r="J196" s="66" t="s">
        <v>1088</v>
      </c>
      <c r="K196" s="192" t="s">
        <v>687</v>
      </c>
      <c r="L196" s="168" t="s">
        <v>209</v>
      </c>
      <c r="M196" s="194" t="s">
        <v>191</v>
      </c>
      <c r="N196" s="134" t="s">
        <v>323</v>
      </c>
      <c r="O196" s="167" t="s">
        <v>43</v>
      </c>
      <c r="P196" s="65">
        <v>2</v>
      </c>
      <c r="Q196" s="167" t="s">
        <v>538</v>
      </c>
      <c r="R196" s="65" t="s">
        <v>534</v>
      </c>
      <c r="S196" s="135" t="s">
        <v>9</v>
      </c>
      <c r="T196" s="136">
        <v>19917.543249323797</v>
      </c>
      <c r="U196" s="62">
        <v>13384.073</v>
      </c>
      <c r="V196" s="136">
        <v>19917.543249323797</v>
      </c>
      <c r="W196" s="136">
        <v>29763.052322448922</v>
      </c>
      <c r="X196" s="136">
        <v>1927507.3090987781</v>
      </c>
      <c r="Y196" s="62" t="s">
        <v>16</v>
      </c>
      <c r="Z196" s="366">
        <v>0</v>
      </c>
      <c r="AA196" s="147" t="s">
        <v>11</v>
      </c>
      <c r="AB196" s="185">
        <v>4.2500000000000003E-2</v>
      </c>
      <c r="AC196" s="185">
        <v>2.3375000000000003E-2</v>
      </c>
      <c r="AD196" s="137">
        <v>45149</v>
      </c>
      <c r="AE196" s="137">
        <v>46918</v>
      </c>
      <c r="AF196" s="137">
        <v>46961</v>
      </c>
      <c r="AG196" s="138">
        <v>1813</v>
      </c>
      <c r="AH196" s="139" t="s">
        <v>10</v>
      </c>
      <c r="AI196" s="138">
        <v>1670</v>
      </c>
      <c r="AJ196" s="140">
        <v>4.5753424657534243</v>
      </c>
      <c r="AK196" s="184"/>
      <c r="AL196" s="188" t="s">
        <v>1386</v>
      </c>
      <c r="AM196" s="197" t="s">
        <v>162</v>
      </c>
      <c r="AN196" s="198" t="s">
        <v>544</v>
      </c>
      <c r="AO196" s="58" t="s">
        <v>1387</v>
      </c>
      <c r="AP196" s="112"/>
      <c r="AQ196" s="272"/>
    </row>
    <row r="197" spans="1:45" ht="33" customHeight="1" x14ac:dyDescent="0.2">
      <c r="A197" s="131" t="s">
        <v>1388</v>
      </c>
      <c r="B197" s="337" t="s">
        <v>1438</v>
      </c>
      <c r="C197" s="337" t="s">
        <v>1144</v>
      </c>
      <c r="D197" s="133" t="s">
        <v>89</v>
      </c>
      <c r="E197" s="131" t="s">
        <v>542</v>
      </c>
      <c r="F197" s="145" t="s">
        <v>89</v>
      </c>
      <c r="G197" s="131" t="s">
        <v>544</v>
      </c>
      <c r="H197" s="131" t="s">
        <v>195</v>
      </c>
      <c r="I197" s="131" t="s">
        <v>196</v>
      </c>
      <c r="J197" s="66" t="s">
        <v>60</v>
      </c>
      <c r="K197" s="192" t="s">
        <v>220</v>
      </c>
      <c r="L197" s="168" t="s">
        <v>139</v>
      </c>
      <c r="M197" s="194" t="s">
        <v>191</v>
      </c>
      <c r="N197" s="134" t="s">
        <v>59</v>
      </c>
      <c r="O197" s="167" t="s">
        <v>43</v>
      </c>
      <c r="P197" s="65">
        <v>3</v>
      </c>
      <c r="Q197" s="167" t="s">
        <v>538</v>
      </c>
      <c r="R197" s="65" t="s">
        <v>534</v>
      </c>
      <c r="S197" s="135" t="s">
        <v>59</v>
      </c>
      <c r="T197" s="136">
        <v>4887.3961043445388</v>
      </c>
      <c r="U197" s="62">
        <v>3000</v>
      </c>
      <c r="V197" s="136">
        <v>4887.3961043445388</v>
      </c>
      <c r="W197" s="136">
        <v>232151.31495636559</v>
      </c>
      <c r="X197" s="136">
        <v>420183.69799580431</v>
      </c>
      <c r="Y197" s="62" t="s">
        <v>16</v>
      </c>
      <c r="Z197" s="366">
        <v>0</v>
      </c>
      <c r="AA197" s="147" t="s">
        <v>11</v>
      </c>
      <c r="AB197" s="185">
        <v>2.75E-2</v>
      </c>
      <c r="AC197" s="185">
        <v>1.925E-2</v>
      </c>
      <c r="AD197" s="137">
        <v>45147</v>
      </c>
      <c r="AE197" s="137">
        <v>46933</v>
      </c>
      <c r="AF197" s="137">
        <v>46964</v>
      </c>
      <c r="AG197" s="138">
        <v>1818</v>
      </c>
      <c r="AH197" s="139" t="s">
        <v>10</v>
      </c>
      <c r="AI197" s="138">
        <v>1673</v>
      </c>
      <c r="AJ197" s="140">
        <v>4.5835616438356164</v>
      </c>
      <c r="AK197" s="184"/>
      <c r="AL197" s="188" t="s">
        <v>873</v>
      </c>
      <c r="AM197" s="312" t="s">
        <v>89</v>
      </c>
      <c r="AN197" s="313" t="s">
        <v>544</v>
      </c>
      <c r="AO197" s="58" t="s">
        <v>1384</v>
      </c>
      <c r="AP197" s="112"/>
      <c r="AQ197" s="272"/>
    </row>
    <row r="198" spans="1:45" s="154" customFormat="1" ht="26.25" customHeight="1" x14ac:dyDescent="0.2">
      <c r="A198" s="131" t="s">
        <v>1400</v>
      </c>
      <c r="B198" s="405" t="s">
        <v>1437</v>
      </c>
      <c r="C198" s="405" t="s">
        <v>1142</v>
      </c>
      <c r="D198" s="192" t="s">
        <v>127</v>
      </c>
      <c r="E198" s="131" t="s">
        <v>542</v>
      </c>
      <c r="F198" s="145" t="s">
        <v>127</v>
      </c>
      <c r="G198" s="14" t="s">
        <v>891</v>
      </c>
      <c r="H198" s="66" t="s">
        <v>167</v>
      </c>
      <c r="I198" s="131" t="s">
        <v>167</v>
      </c>
      <c r="J198" s="66" t="s">
        <v>589</v>
      </c>
      <c r="K198" s="192" t="s">
        <v>218</v>
      </c>
      <c r="L198" s="231" t="s">
        <v>45</v>
      </c>
      <c r="M198" s="194" t="s">
        <v>191</v>
      </c>
      <c r="N198" s="194" t="s">
        <v>59</v>
      </c>
      <c r="O198" s="167" t="s">
        <v>43</v>
      </c>
      <c r="P198" s="194">
        <v>2</v>
      </c>
      <c r="Q198" s="167" t="s">
        <v>538</v>
      </c>
      <c r="R198" s="65" t="s">
        <v>534</v>
      </c>
      <c r="S198" s="353" t="s">
        <v>59</v>
      </c>
      <c r="T198" s="136">
        <v>16291.320347815128</v>
      </c>
      <c r="U198" s="62">
        <v>10000</v>
      </c>
      <c r="V198" s="136">
        <v>16291.320347815128</v>
      </c>
      <c r="W198" s="136">
        <v>73310.941565168076</v>
      </c>
      <c r="X198" s="136">
        <v>879139.9238533912</v>
      </c>
      <c r="Y198" s="62" t="s">
        <v>16</v>
      </c>
      <c r="Z198" s="366">
        <v>0</v>
      </c>
      <c r="AA198" s="147" t="s">
        <v>11</v>
      </c>
      <c r="AB198" s="185">
        <v>0.03</v>
      </c>
      <c r="AC198" s="185">
        <v>1.6500000000000001E-2</v>
      </c>
      <c r="AD198" s="137">
        <v>45177</v>
      </c>
      <c r="AE198" s="137">
        <v>46526</v>
      </c>
      <c r="AF198" s="406">
        <v>46526</v>
      </c>
      <c r="AG198" s="138">
        <v>1350</v>
      </c>
      <c r="AH198" s="139" t="s">
        <v>10</v>
      </c>
      <c r="AI198" s="138">
        <v>1235</v>
      </c>
      <c r="AJ198" s="140">
        <v>3.3835616438356166</v>
      </c>
      <c r="AK198" s="184"/>
      <c r="AL198" s="188" t="s">
        <v>1399</v>
      </c>
      <c r="AM198" s="312" t="s">
        <v>127</v>
      </c>
      <c r="AN198" s="313" t="s">
        <v>891</v>
      </c>
      <c r="AO198" s="58" t="s">
        <v>1401</v>
      </c>
      <c r="AP198" s="112"/>
      <c r="AQ198" s="272"/>
    </row>
    <row r="199" spans="1:45" s="277" customFormat="1" ht="24.75" customHeight="1" x14ac:dyDescent="0.2">
      <c r="A199" s="131" t="s">
        <v>1410</v>
      </c>
      <c r="B199" s="405" t="s">
        <v>307</v>
      </c>
      <c r="C199" s="405" t="s">
        <v>1144</v>
      </c>
      <c r="D199" s="192" t="s">
        <v>162</v>
      </c>
      <c r="E199" s="188" t="s">
        <v>499</v>
      </c>
      <c r="F199" s="352" t="s">
        <v>162</v>
      </c>
      <c r="G199" s="131" t="s">
        <v>102</v>
      </c>
      <c r="H199" s="131" t="s">
        <v>102</v>
      </c>
      <c r="I199" s="131" t="s">
        <v>473</v>
      </c>
      <c r="J199" s="133" t="s">
        <v>1303</v>
      </c>
      <c r="K199" s="192" t="s">
        <v>218</v>
      </c>
      <c r="L199" s="231" t="s">
        <v>101</v>
      </c>
      <c r="M199" s="194" t="s">
        <v>191</v>
      </c>
      <c r="N199" s="194" t="s">
        <v>59</v>
      </c>
      <c r="O199" s="167" t="s">
        <v>43</v>
      </c>
      <c r="P199" s="194">
        <v>2</v>
      </c>
      <c r="Q199" s="167" t="s">
        <v>539</v>
      </c>
      <c r="R199" s="194" t="s">
        <v>534</v>
      </c>
      <c r="S199" s="135" t="s">
        <v>9</v>
      </c>
      <c r="T199" s="136">
        <v>14881.526161224461</v>
      </c>
      <c r="U199" s="62">
        <v>10000</v>
      </c>
      <c r="V199" s="136">
        <v>14881.526161224461</v>
      </c>
      <c r="W199" s="136">
        <v>29763.052322448922</v>
      </c>
      <c r="X199" s="136">
        <v>852814.13156867411</v>
      </c>
      <c r="Y199" s="62" t="s">
        <v>16</v>
      </c>
      <c r="Z199" s="366">
        <v>0</v>
      </c>
      <c r="AA199" s="147" t="s">
        <v>11</v>
      </c>
      <c r="AB199" s="185">
        <v>2.87E-2</v>
      </c>
      <c r="AC199" s="185">
        <v>1.5800000000000002E-2</v>
      </c>
      <c r="AD199" s="137">
        <v>45184</v>
      </c>
      <c r="AE199" s="137">
        <v>46568</v>
      </c>
      <c r="AF199" s="406">
        <v>46568</v>
      </c>
      <c r="AG199" s="138">
        <v>1385</v>
      </c>
      <c r="AH199" s="139" t="s">
        <v>10</v>
      </c>
      <c r="AI199" s="138">
        <v>1277</v>
      </c>
      <c r="AJ199" s="140">
        <v>3.4986301369863013</v>
      </c>
      <c r="AK199" s="184"/>
      <c r="AL199" s="188" t="s">
        <v>1402</v>
      </c>
      <c r="AM199" s="327" t="s">
        <v>162</v>
      </c>
      <c r="AN199" s="328" t="s">
        <v>102</v>
      </c>
      <c r="AO199" s="211" t="s">
        <v>1403</v>
      </c>
      <c r="AQ199" s="272" t="s">
        <v>1435</v>
      </c>
    </row>
    <row r="200" spans="1:45" s="154" customFormat="1" ht="23.25" customHeight="1" x14ac:dyDescent="0.2">
      <c r="A200" s="131" t="s">
        <v>1407</v>
      </c>
      <c r="B200" s="405" t="s">
        <v>23</v>
      </c>
      <c r="C200" s="405" t="s">
        <v>1144</v>
      </c>
      <c r="D200" s="192" t="s">
        <v>211</v>
      </c>
      <c r="E200" s="131" t="s">
        <v>542</v>
      </c>
      <c r="F200" s="145" t="s">
        <v>211</v>
      </c>
      <c r="G200" s="65" t="s">
        <v>233</v>
      </c>
      <c r="H200" s="65" t="s">
        <v>443</v>
      </c>
      <c r="I200" s="65" t="s">
        <v>234</v>
      </c>
      <c r="J200" s="133" t="s">
        <v>212</v>
      </c>
      <c r="K200" s="192" t="s">
        <v>220</v>
      </c>
      <c r="L200" s="168" t="s">
        <v>45</v>
      </c>
      <c r="M200" s="194" t="s">
        <v>191</v>
      </c>
      <c r="N200" s="194" t="s">
        <v>59</v>
      </c>
      <c r="O200" s="167" t="s">
        <v>43</v>
      </c>
      <c r="P200" s="194">
        <v>3</v>
      </c>
      <c r="Q200" s="167" t="s">
        <v>538</v>
      </c>
      <c r="R200" s="194" t="s">
        <v>534</v>
      </c>
      <c r="S200" s="353" t="s">
        <v>59</v>
      </c>
      <c r="T200" s="136">
        <v>12218.490260861347</v>
      </c>
      <c r="U200" s="62">
        <v>7500</v>
      </c>
      <c r="V200" s="136">
        <v>12218.490260861347</v>
      </c>
      <c r="W200" s="136">
        <v>145807.3171129454</v>
      </c>
      <c r="X200" s="136">
        <v>1244650.3580449368</v>
      </c>
      <c r="Y200" s="62" t="s">
        <v>16</v>
      </c>
      <c r="Z200" s="366">
        <v>0</v>
      </c>
      <c r="AA200" s="147" t="s">
        <v>11</v>
      </c>
      <c r="AB200" s="185">
        <v>3.5000000000000003E-2</v>
      </c>
      <c r="AC200" s="185">
        <v>2.12E-2</v>
      </c>
      <c r="AD200" s="137">
        <v>45182</v>
      </c>
      <c r="AE200" s="137">
        <v>47055</v>
      </c>
      <c r="AF200" s="406">
        <v>47055</v>
      </c>
      <c r="AG200" s="138">
        <v>1874</v>
      </c>
      <c r="AH200" s="139" t="s">
        <v>10</v>
      </c>
      <c r="AI200" s="138">
        <v>1764</v>
      </c>
      <c r="AJ200" s="140">
        <v>4.8328767123287673</v>
      </c>
      <c r="AK200" s="184"/>
      <c r="AL200" s="188" t="s">
        <v>1408</v>
      </c>
      <c r="AM200" s="312" t="s">
        <v>211</v>
      </c>
      <c r="AN200" s="313" t="s">
        <v>233</v>
      </c>
      <c r="AO200" s="211" t="s">
        <v>1409</v>
      </c>
      <c r="AQ200" s="211"/>
    </row>
    <row r="201" spans="1:45" ht="25.5" customHeight="1" x14ac:dyDescent="0.2">
      <c r="A201" s="131" t="s">
        <v>1411</v>
      </c>
      <c r="B201" s="337" t="s">
        <v>1438</v>
      </c>
      <c r="C201" s="337" t="s">
        <v>1144</v>
      </c>
      <c r="D201" s="192" t="s">
        <v>295</v>
      </c>
      <c r="E201" s="188" t="s">
        <v>34</v>
      </c>
      <c r="F201" s="145" t="s">
        <v>295</v>
      </c>
      <c r="G201" s="131" t="s">
        <v>106</v>
      </c>
      <c r="H201" s="131" t="s">
        <v>106</v>
      </c>
      <c r="I201" s="131" t="s">
        <v>107</v>
      </c>
      <c r="J201" s="133" t="s">
        <v>296</v>
      </c>
      <c r="K201" s="192" t="s">
        <v>687</v>
      </c>
      <c r="L201" s="231" t="s">
        <v>101</v>
      </c>
      <c r="M201" s="194" t="s">
        <v>191</v>
      </c>
      <c r="N201" s="194" t="s">
        <v>323</v>
      </c>
      <c r="O201" s="167" t="s">
        <v>43</v>
      </c>
      <c r="P201" s="194">
        <v>2</v>
      </c>
      <c r="Q201" s="167" t="s">
        <v>531</v>
      </c>
      <c r="R201" s="194" t="s">
        <v>534</v>
      </c>
      <c r="S201" s="353" t="s">
        <v>297</v>
      </c>
      <c r="T201" s="136">
        <v>13956.834117350736</v>
      </c>
      <c r="U201" s="62">
        <v>15000</v>
      </c>
      <c r="V201" s="136">
        <v>13956.834117350736</v>
      </c>
      <c r="W201" s="136">
        <v>67364.986006412888</v>
      </c>
      <c r="X201" s="136">
        <v>802995.28547448071</v>
      </c>
      <c r="Y201" s="62" t="s">
        <v>16</v>
      </c>
      <c r="Z201" s="366">
        <v>0</v>
      </c>
      <c r="AA201" s="147" t="s">
        <v>11</v>
      </c>
      <c r="AB201" s="185">
        <v>0.05</v>
      </c>
      <c r="AC201" s="185">
        <v>0.02</v>
      </c>
      <c r="AD201" s="137">
        <v>45205</v>
      </c>
      <c r="AE201" s="137">
        <v>46203</v>
      </c>
      <c r="AF201" s="406">
        <v>46203</v>
      </c>
      <c r="AG201" s="138">
        <v>999</v>
      </c>
      <c r="AH201" s="139" t="s">
        <v>10</v>
      </c>
      <c r="AI201" s="138">
        <v>912</v>
      </c>
      <c r="AJ201" s="140">
        <v>2.4986301369863013</v>
      </c>
      <c r="AK201" s="184"/>
      <c r="AL201" s="188" t="s">
        <v>1412</v>
      </c>
      <c r="AM201" s="312" t="s">
        <v>295</v>
      </c>
      <c r="AN201" s="313" t="s">
        <v>106</v>
      </c>
      <c r="AO201" s="211" t="s">
        <v>1413</v>
      </c>
      <c r="AP201" s="154"/>
      <c r="AQ201" s="211" t="s">
        <v>474</v>
      </c>
    </row>
    <row r="202" spans="1:45" ht="31.5" customHeight="1" x14ac:dyDescent="0.2">
      <c r="A202" s="131" t="s">
        <v>1417</v>
      </c>
      <c r="B202" s="405" t="s">
        <v>23</v>
      </c>
      <c r="C202" s="405" t="s">
        <v>1141</v>
      </c>
      <c r="D202" s="192" t="s">
        <v>37</v>
      </c>
      <c r="E202" s="131" t="s">
        <v>542</v>
      </c>
      <c r="F202" s="145" t="s">
        <v>87</v>
      </c>
      <c r="G202" s="131" t="s">
        <v>92</v>
      </c>
      <c r="H202" s="131" t="s">
        <v>108</v>
      </c>
      <c r="I202" s="231" t="s">
        <v>453</v>
      </c>
      <c r="J202" s="66" t="s">
        <v>1415</v>
      </c>
      <c r="K202" s="192" t="s">
        <v>33</v>
      </c>
      <c r="L202" s="168" t="s">
        <v>209</v>
      </c>
      <c r="M202" s="194" t="s">
        <v>191</v>
      </c>
      <c r="N202" s="194" t="s">
        <v>323</v>
      </c>
      <c r="O202" s="167" t="s">
        <v>43</v>
      </c>
      <c r="P202" s="194">
        <v>2</v>
      </c>
      <c r="Q202" s="167" t="s">
        <v>538</v>
      </c>
      <c r="R202" s="194" t="s">
        <v>534</v>
      </c>
      <c r="S202" s="353" t="s">
        <v>156</v>
      </c>
      <c r="T202" s="136">
        <v>22716.567114781872</v>
      </c>
      <c r="U202" s="62">
        <v>12000</v>
      </c>
      <c r="V202" s="136">
        <v>22716.567114781872</v>
      </c>
      <c r="W202" s="136">
        <v>80246.273332966972</v>
      </c>
      <c r="X202" s="136">
        <v>1677637.411899237</v>
      </c>
      <c r="Y202" s="136" t="s">
        <v>1295</v>
      </c>
      <c r="Z202" s="365">
        <v>0.15</v>
      </c>
      <c r="AA202" s="147" t="s">
        <v>11</v>
      </c>
      <c r="AB202" s="185">
        <v>3.5000000000000003E-2</v>
      </c>
      <c r="AC202" s="185">
        <v>1.77E-2</v>
      </c>
      <c r="AD202" s="137">
        <v>45189</v>
      </c>
      <c r="AE202" s="137">
        <v>46952</v>
      </c>
      <c r="AF202" s="406">
        <v>46952</v>
      </c>
      <c r="AG202" s="138">
        <v>1764</v>
      </c>
      <c r="AH202" s="139" t="s">
        <v>10</v>
      </c>
      <c r="AI202" s="138">
        <v>1661</v>
      </c>
      <c r="AJ202" s="140">
        <v>4.5506849315068489</v>
      </c>
      <c r="AK202" s="184" t="s">
        <v>436</v>
      </c>
      <c r="AL202" s="188" t="s">
        <v>1414</v>
      </c>
      <c r="AM202" s="312" t="s">
        <v>87</v>
      </c>
      <c r="AN202" s="313" t="s">
        <v>92</v>
      </c>
      <c r="AO202" s="211" t="s">
        <v>1416</v>
      </c>
      <c r="AQ202" s="211"/>
    </row>
    <row r="203" spans="1:45" s="229" customFormat="1" ht="25.5" customHeight="1" x14ac:dyDescent="0.2">
      <c r="A203" s="131" t="s">
        <v>1420</v>
      </c>
      <c r="B203" s="337" t="s">
        <v>1336</v>
      </c>
      <c r="C203" s="337" t="s">
        <v>1141</v>
      </c>
      <c r="D203" s="133" t="s">
        <v>38</v>
      </c>
      <c r="E203" s="131" t="s">
        <v>541</v>
      </c>
      <c r="F203" s="145" t="s">
        <v>38</v>
      </c>
      <c r="G203" s="131" t="s">
        <v>102</v>
      </c>
      <c r="H203" s="131" t="s">
        <v>102</v>
      </c>
      <c r="I203" s="131" t="s">
        <v>110</v>
      </c>
      <c r="J203" s="133" t="s">
        <v>142</v>
      </c>
      <c r="K203" s="192" t="s">
        <v>218</v>
      </c>
      <c r="L203" s="168" t="s">
        <v>101</v>
      </c>
      <c r="M203" s="194" t="s">
        <v>191</v>
      </c>
      <c r="N203" s="194" t="s">
        <v>323</v>
      </c>
      <c r="O203" s="167" t="s">
        <v>43</v>
      </c>
      <c r="P203" s="270">
        <v>2</v>
      </c>
      <c r="Q203" s="167" t="s">
        <v>531</v>
      </c>
      <c r="R203" s="270" t="s">
        <v>534</v>
      </c>
      <c r="S203" s="135" t="s">
        <v>9</v>
      </c>
      <c r="T203" s="136">
        <v>14881.526161224461</v>
      </c>
      <c r="U203" s="62">
        <v>10000</v>
      </c>
      <c r="V203" s="136">
        <v>14881.526161224461</v>
      </c>
      <c r="W203" s="136">
        <v>104617.12891340796</v>
      </c>
      <c r="X203" s="136">
        <v>2555455.6724054646</v>
      </c>
      <c r="Y203" s="62" t="s">
        <v>16</v>
      </c>
      <c r="Z203" s="366">
        <v>0</v>
      </c>
      <c r="AA203" s="147" t="s">
        <v>11</v>
      </c>
      <c r="AB203" s="185">
        <v>3.8800000000000001E-2</v>
      </c>
      <c r="AC203" s="185">
        <v>2.1499999999999998E-2</v>
      </c>
      <c r="AD203" s="137">
        <v>45195</v>
      </c>
      <c r="AE203" s="137">
        <v>46188</v>
      </c>
      <c r="AF203" s="137">
        <v>46188</v>
      </c>
      <c r="AG203" s="138">
        <v>994</v>
      </c>
      <c r="AH203" s="139" t="s">
        <v>10</v>
      </c>
      <c r="AI203" s="138">
        <v>897</v>
      </c>
      <c r="AJ203" s="140">
        <v>2.4575342465753423</v>
      </c>
      <c r="AK203" s="184"/>
      <c r="AL203" s="188" t="s">
        <v>1418</v>
      </c>
      <c r="AM203" s="327" t="s">
        <v>38</v>
      </c>
      <c r="AN203" s="328" t="s">
        <v>102</v>
      </c>
      <c r="AO203" s="211" t="s">
        <v>1419</v>
      </c>
      <c r="AQ203" s="211" t="s">
        <v>1394</v>
      </c>
    </row>
    <row r="204" spans="1:45" ht="24" customHeight="1" x14ac:dyDescent="0.2">
      <c r="A204" s="131" t="s">
        <v>1425</v>
      </c>
      <c r="B204" s="405" t="s">
        <v>307</v>
      </c>
      <c r="C204" s="405" t="s">
        <v>243</v>
      </c>
      <c r="D204" s="192" t="s">
        <v>87</v>
      </c>
      <c r="E204" s="131" t="s">
        <v>499</v>
      </c>
      <c r="F204" s="145" t="s">
        <v>162</v>
      </c>
      <c r="G204" s="131" t="s">
        <v>475</v>
      </c>
      <c r="H204" s="131" t="s">
        <v>441</v>
      </c>
      <c r="I204" s="131" t="s">
        <v>441</v>
      </c>
      <c r="J204" s="66" t="s">
        <v>589</v>
      </c>
      <c r="K204" s="192" t="s">
        <v>218</v>
      </c>
      <c r="L204" s="168" t="s">
        <v>139</v>
      </c>
      <c r="M204" s="194" t="s">
        <v>191</v>
      </c>
      <c r="N204" s="194" t="s">
        <v>59</v>
      </c>
      <c r="O204" s="167" t="s">
        <v>43</v>
      </c>
      <c r="P204" s="194">
        <v>3</v>
      </c>
      <c r="Q204" s="167" t="s">
        <v>531</v>
      </c>
      <c r="R204" s="194" t="s">
        <v>534</v>
      </c>
      <c r="S204" s="353" t="s">
        <v>9</v>
      </c>
      <c r="T204" s="136">
        <v>22322.28924183669</v>
      </c>
      <c r="U204" s="62">
        <v>14961.93</v>
      </c>
      <c r="V204" s="136">
        <v>22265.63527174091</v>
      </c>
      <c r="W204" s="136">
        <v>44644.57848367338</v>
      </c>
      <c r="X204" s="136">
        <v>1398193.864885475</v>
      </c>
      <c r="Y204" s="136" t="s">
        <v>16</v>
      </c>
      <c r="Z204" s="365">
        <v>0</v>
      </c>
      <c r="AA204" s="147" t="s">
        <v>11</v>
      </c>
      <c r="AB204" s="185">
        <v>5.5E-2</v>
      </c>
      <c r="AC204" s="185">
        <v>1.5001249999999999E-2</v>
      </c>
      <c r="AD204" s="137">
        <v>45202</v>
      </c>
      <c r="AE204" s="137">
        <v>46735</v>
      </c>
      <c r="AF204" s="406">
        <v>46735</v>
      </c>
      <c r="AG204" s="138">
        <v>1534</v>
      </c>
      <c r="AH204" s="139" t="s">
        <v>10</v>
      </c>
      <c r="AI204" s="138">
        <v>1444</v>
      </c>
      <c r="AJ204" s="140">
        <v>3.956164383561644</v>
      </c>
      <c r="AK204" s="184"/>
      <c r="AL204" s="188" t="s">
        <v>1421</v>
      </c>
      <c r="AM204" s="312" t="s">
        <v>162</v>
      </c>
      <c r="AN204" s="313" t="s">
        <v>475</v>
      </c>
      <c r="AO204" s="211" t="s">
        <v>1426</v>
      </c>
      <c r="AQ204" s="211"/>
    </row>
    <row r="205" spans="1:45" ht="27.75" customHeight="1" x14ac:dyDescent="0.2">
      <c r="A205" s="131" t="s">
        <v>1427</v>
      </c>
      <c r="B205" s="405" t="s">
        <v>23</v>
      </c>
      <c r="C205" s="405" t="s">
        <v>243</v>
      </c>
      <c r="D205" s="192" t="s">
        <v>166</v>
      </c>
      <c r="E205" s="131" t="s">
        <v>542</v>
      </c>
      <c r="F205" s="145" t="s">
        <v>166</v>
      </c>
      <c r="G205" s="131" t="s">
        <v>102</v>
      </c>
      <c r="H205" s="131" t="s">
        <v>102</v>
      </c>
      <c r="I205" s="231" t="s">
        <v>473</v>
      </c>
      <c r="J205" s="66" t="s">
        <v>1291</v>
      </c>
      <c r="K205" s="192" t="s">
        <v>222</v>
      </c>
      <c r="L205" s="168" t="s">
        <v>101</v>
      </c>
      <c r="M205" s="194" t="s">
        <v>191</v>
      </c>
      <c r="N205" s="194" t="s">
        <v>59</v>
      </c>
      <c r="O205" s="167" t="s">
        <v>43</v>
      </c>
      <c r="P205" s="194">
        <v>2</v>
      </c>
      <c r="Q205" s="167" t="s">
        <v>538</v>
      </c>
      <c r="R205" s="194" t="s">
        <v>534</v>
      </c>
      <c r="S205" s="353" t="s">
        <v>59</v>
      </c>
      <c r="T205" s="136">
        <v>16291.320347815128</v>
      </c>
      <c r="U205" s="62">
        <v>10000</v>
      </c>
      <c r="V205" s="136">
        <v>16291.320347815128</v>
      </c>
      <c r="W205" s="136">
        <v>131715.32501208532</v>
      </c>
      <c r="X205" s="136">
        <v>452547.07381087326</v>
      </c>
      <c r="Y205" s="62" t="s">
        <v>1295</v>
      </c>
      <c r="Z205" s="366">
        <v>0.15</v>
      </c>
      <c r="AA205" s="147" t="s">
        <v>11</v>
      </c>
      <c r="AB205" s="185">
        <v>2.4166666666666666E-2</v>
      </c>
      <c r="AC205" s="185">
        <v>1.4500000000000001E-2</v>
      </c>
      <c r="AD205" s="137">
        <v>45215</v>
      </c>
      <c r="AE205" s="137">
        <v>46720</v>
      </c>
      <c r="AF205" s="406">
        <v>46720</v>
      </c>
      <c r="AG205" s="138">
        <v>1506</v>
      </c>
      <c r="AH205" s="139" t="s">
        <v>10</v>
      </c>
      <c r="AI205" s="138">
        <v>1429</v>
      </c>
      <c r="AJ205" s="140">
        <v>3.9150684931506849</v>
      </c>
      <c r="AK205" s="184"/>
      <c r="AL205" s="188" t="s">
        <v>1428</v>
      </c>
      <c r="AM205" s="312" t="s">
        <v>166</v>
      </c>
      <c r="AN205" s="313" t="s">
        <v>102</v>
      </c>
      <c r="AO205" s="211" t="s">
        <v>1429</v>
      </c>
      <c r="AQ205" s="211" t="s">
        <v>1435</v>
      </c>
    </row>
    <row r="206" spans="1:45" ht="25.5" customHeight="1" x14ac:dyDescent="0.2">
      <c r="A206" s="131" t="s">
        <v>1430</v>
      </c>
      <c r="B206" s="405" t="s">
        <v>1437</v>
      </c>
      <c r="C206" s="405" t="s">
        <v>1144</v>
      </c>
      <c r="D206" s="192" t="s">
        <v>746</v>
      </c>
      <c r="E206" s="131" t="s">
        <v>542</v>
      </c>
      <c r="F206" s="145" t="s">
        <v>746</v>
      </c>
      <c r="G206" s="131" t="s">
        <v>102</v>
      </c>
      <c r="H206" s="131" t="s">
        <v>102</v>
      </c>
      <c r="I206" s="231" t="s">
        <v>474</v>
      </c>
      <c r="J206" s="133" t="s">
        <v>747</v>
      </c>
      <c r="K206" s="192" t="s">
        <v>221</v>
      </c>
      <c r="L206" s="168" t="s">
        <v>101</v>
      </c>
      <c r="M206" s="194" t="s">
        <v>191</v>
      </c>
      <c r="N206" s="194" t="s">
        <v>59</v>
      </c>
      <c r="O206" s="410" t="s">
        <v>43</v>
      </c>
      <c r="P206" s="194">
        <v>3</v>
      </c>
      <c r="Q206" s="167" t="s">
        <v>538</v>
      </c>
      <c r="R206" s="194" t="s">
        <v>534</v>
      </c>
      <c r="S206" s="353" t="s">
        <v>59</v>
      </c>
      <c r="T206" s="136">
        <v>13612.619999625625</v>
      </c>
      <c r="U206" s="62">
        <v>8355.75</v>
      </c>
      <c r="V206" s="136">
        <v>13612.619999625625</v>
      </c>
      <c r="W206" s="136">
        <v>59789.145676481523</v>
      </c>
      <c r="X206" s="136">
        <v>464433.02564079507</v>
      </c>
      <c r="Y206" s="62" t="s">
        <v>1342</v>
      </c>
      <c r="Z206" s="365">
        <v>0.2</v>
      </c>
      <c r="AA206" s="147" t="s">
        <v>11</v>
      </c>
      <c r="AB206" s="185">
        <v>2.3846153846153847E-2</v>
      </c>
      <c r="AC206" s="185">
        <v>1.55E-2</v>
      </c>
      <c r="AD206" s="137">
        <v>45201</v>
      </c>
      <c r="AE206" s="137">
        <v>47025</v>
      </c>
      <c r="AF206" s="406">
        <v>47025</v>
      </c>
      <c r="AG206" s="138">
        <v>1825</v>
      </c>
      <c r="AH206" s="139" t="s">
        <v>10</v>
      </c>
      <c r="AI206" s="138">
        <v>1734</v>
      </c>
      <c r="AJ206" s="140">
        <v>4.7506849315068491</v>
      </c>
      <c r="AK206" s="184"/>
      <c r="AL206" s="188" t="s">
        <v>1431</v>
      </c>
      <c r="AM206" s="312" t="s">
        <v>746</v>
      </c>
      <c r="AN206" s="313" t="s">
        <v>102</v>
      </c>
      <c r="AO206" s="211" t="s">
        <v>1432</v>
      </c>
      <c r="AQ206" s="272" t="s">
        <v>474</v>
      </c>
    </row>
    <row r="207" spans="1:45" ht="27" customHeight="1" x14ac:dyDescent="0.2">
      <c r="A207" s="131" t="s">
        <v>1433</v>
      </c>
      <c r="B207" s="405" t="s">
        <v>307</v>
      </c>
      <c r="C207" s="405" t="s">
        <v>1142</v>
      </c>
      <c r="D207" s="192" t="s">
        <v>162</v>
      </c>
      <c r="E207" s="131" t="s">
        <v>499</v>
      </c>
      <c r="F207" s="352" t="s">
        <v>162</v>
      </c>
      <c r="G207" s="131" t="s">
        <v>102</v>
      </c>
      <c r="H207" s="131" t="s">
        <v>102</v>
      </c>
      <c r="I207" s="131" t="s">
        <v>473</v>
      </c>
      <c r="J207" s="133" t="s">
        <v>1320</v>
      </c>
      <c r="K207" s="192" t="s">
        <v>680</v>
      </c>
      <c r="L207" s="168" t="s">
        <v>101</v>
      </c>
      <c r="M207" s="194" t="s">
        <v>191</v>
      </c>
      <c r="N207" s="194" t="s">
        <v>59</v>
      </c>
      <c r="O207" s="410" t="s">
        <v>43</v>
      </c>
      <c r="P207" s="194">
        <v>2</v>
      </c>
      <c r="Q207" s="167" t="s">
        <v>538</v>
      </c>
      <c r="R207" s="194" t="s">
        <v>534</v>
      </c>
      <c r="S207" s="353" t="s">
        <v>9</v>
      </c>
      <c r="T207" s="136">
        <v>44644.57848367338</v>
      </c>
      <c r="U207" s="62">
        <v>30000</v>
      </c>
      <c r="V207" s="136">
        <v>44644.57848367338</v>
      </c>
      <c r="W207" s="136">
        <v>297630.52322448924</v>
      </c>
      <c r="X207" s="136">
        <v>1844873.6617210943</v>
      </c>
      <c r="Y207" s="136" t="s">
        <v>1321</v>
      </c>
      <c r="Z207" s="365">
        <v>0.15</v>
      </c>
      <c r="AA207" s="147" t="s">
        <v>11</v>
      </c>
      <c r="AB207" s="185">
        <v>1.4E-2</v>
      </c>
      <c r="AC207" s="185">
        <v>9.1000000000000004E-3</v>
      </c>
      <c r="AD207" s="137">
        <v>45194</v>
      </c>
      <c r="AE207" s="137">
        <v>46556</v>
      </c>
      <c r="AF207" s="406">
        <v>46556</v>
      </c>
      <c r="AG207" s="138">
        <v>1363</v>
      </c>
      <c r="AH207" s="139" t="s">
        <v>10</v>
      </c>
      <c r="AI207" s="138">
        <v>1265</v>
      </c>
      <c r="AJ207" s="140">
        <v>3.4657534246575343</v>
      </c>
      <c r="AK207" s="184" t="s">
        <v>436</v>
      </c>
      <c r="AL207" s="188" t="s">
        <v>1434</v>
      </c>
      <c r="AM207" s="312" t="s">
        <v>162</v>
      </c>
      <c r="AN207" s="313" t="s">
        <v>102</v>
      </c>
      <c r="AO207" s="211" t="s">
        <v>1436</v>
      </c>
      <c r="AQ207" s="272" t="s">
        <v>477</v>
      </c>
    </row>
    <row r="208" spans="1:45" ht="25.5" x14ac:dyDescent="0.2">
      <c r="A208" s="131" t="s">
        <v>1439</v>
      </c>
      <c r="B208" s="405" t="s">
        <v>1437</v>
      </c>
      <c r="C208" s="405" t="s">
        <v>1142</v>
      </c>
      <c r="D208" s="192" t="s">
        <v>127</v>
      </c>
      <c r="E208" s="131" t="s">
        <v>542</v>
      </c>
      <c r="F208" s="133" t="s">
        <v>149</v>
      </c>
      <c r="G208" s="14" t="s">
        <v>891</v>
      </c>
      <c r="H208" s="66" t="s">
        <v>167</v>
      </c>
      <c r="I208" s="131" t="s">
        <v>167</v>
      </c>
      <c r="J208" s="66" t="s">
        <v>677</v>
      </c>
      <c r="K208" s="192" t="s">
        <v>218</v>
      </c>
      <c r="L208" s="168" t="s">
        <v>140</v>
      </c>
      <c r="M208" s="194" t="s">
        <v>191</v>
      </c>
      <c r="N208" s="194" t="s">
        <v>59</v>
      </c>
      <c r="O208" s="410" t="s">
        <v>43</v>
      </c>
      <c r="P208" s="194">
        <v>2</v>
      </c>
      <c r="Q208" s="167" t="s">
        <v>538</v>
      </c>
      <c r="R208" s="194" t="s">
        <v>534</v>
      </c>
      <c r="S208" s="353" t="s">
        <v>59</v>
      </c>
      <c r="T208" s="136">
        <v>8145.6601739075641</v>
      </c>
      <c r="U208" s="62">
        <v>5000</v>
      </c>
      <c r="V208" s="136">
        <v>8145.6601739075641</v>
      </c>
      <c r="W208" s="136">
        <v>16291.320347815128</v>
      </c>
      <c r="X208" s="136">
        <v>1523359.6762354227</v>
      </c>
      <c r="Y208" s="136" t="s">
        <v>16</v>
      </c>
      <c r="Z208" s="365">
        <v>0</v>
      </c>
      <c r="AA208" s="147" t="s">
        <v>11</v>
      </c>
      <c r="AB208" s="185">
        <v>5.9900000000000002E-2</v>
      </c>
      <c r="AC208" s="185">
        <v>2.9899999999999999E-2</v>
      </c>
      <c r="AD208" s="137">
        <v>45238</v>
      </c>
      <c r="AE208" s="137">
        <v>46526</v>
      </c>
      <c r="AF208" s="406">
        <v>46526</v>
      </c>
      <c r="AG208" s="138">
        <v>1289</v>
      </c>
      <c r="AH208" s="139" t="s">
        <v>10</v>
      </c>
      <c r="AI208" s="138">
        <v>1235</v>
      </c>
      <c r="AJ208" s="140">
        <v>3.3835616438356166</v>
      </c>
      <c r="AK208" s="184"/>
      <c r="AL208" s="188" t="s">
        <v>1440</v>
      </c>
      <c r="AM208" s="312" t="s">
        <v>149</v>
      </c>
      <c r="AN208" s="313" t="s">
        <v>891</v>
      </c>
      <c r="AO208" s="211" t="s">
        <v>1441</v>
      </c>
      <c r="AQ208" s="211"/>
    </row>
    <row r="209" spans="1:45" x14ac:dyDescent="0.2">
      <c r="A209" s="131" t="s">
        <v>1442</v>
      </c>
      <c r="B209" s="405" t="s">
        <v>307</v>
      </c>
      <c r="C209" s="405" t="s">
        <v>243</v>
      </c>
      <c r="D209" s="192" t="s">
        <v>87</v>
      </c>
      <c r="E209" s="131" t="s">
        <v>499</v>
      </c>
      <c r="F209" s="133" t="s">
        <v>162</v>
      </c>
      <c r="G209" s="131" t="s">
        <v>543</v>
      </c>
      <c r="H209" s="131" t="s">
        <v>116</v>
      </c>
      <c r="I209" s="131" t="s">
        <v>451</v>
      </c>
      <c r="J209" s="66" t="s">
        <v>589</v>
      </c>
      <c r="K209" s="192" t="s">
        <v>218</v>
      </c>
      <c r="L209" s="231" t="s">
        <v>209</v>
      </c>
      <c r="M209" s="194" t="s">
        <v>191</v>
      </c>
      <c r="N209" s="194" t="s">
        <v>59</v>
      </c>
      <c r="O209" s="410" t="s">
        <v>43</v>
      </c>
      <c r="P209" s="194">
        <v>3</v>
      </c>
      <c r="Q209" s="167" t="s">
        <v>531</v>
      </c>
      <c r="R209" s="194" t="s">
        <v>534</v>
      </c>
      <c r="S209" s="353" t="s">
        <v>9</v>
      </c>
      <c r="T209" s="136">
        <v>29763.052322448922</v>
      </c>
      <c r="U209" s="62">
        <v>19949.490000000002</v>
      </c>
      <c r="V209" s="136">
        <v>29687.88573380858</v>
      </c>
      <c r="W209" s="136">
        <v>29763.052322448922</v>
      </c>
      <c r="X209" s="136">
        <v>1834334.936931869</v>
      </c>
      <c r="Y209" s="136" t="s">
        <v>16</v>
      </c>
      <c r="Z209" s="365">
        <v>0</v>
      </c>
      <c r="AA209" s="147" t="s">
        <v>11</v>
      </c>
      <c r="AB209" s="185">
        <v>4.7500000000000001E-2</v>
      </c>
      <c r="AC209" s="185">
        <v>1.1299999999999999E-2</v>
      </c>
      <c r="AD209" s="137">
        <v>45243</v>
      </c>
      <c r="AE209" s="137">
        <v>46997</v>
      </c>
      <c r="AF209" s="406">
        <v>46997</v>
      </c>
      <c r="AG209" s="138">
        <v>1755</v>
      </c>
      <c r="AH209" s="139" t="s">
        <v>10</v>
      </c>
      <c r="AI209" s="138">
        <v>1706</v>
      </c>
      <c r="AJ209" s="140">
        <v>4.6739726027397257</v>
      </c>
      <c r="AK209" s="184"/>
      <c r="AL209" s="188" t="s">
        <v>1443</v>
      </c>
      <c r="AM209" s="312" t="s">
        <v>162</v>
      </c>
      <c r="AN209" s="313" t="s">
        <v>543</v>
      </c>
      <c r="AO209" s="211" t="s">
        <v>1444</v>
      </c>
      <c r="AQ209" s="211"/>
    </row>
    <row r="210" spans="1:45" ht="21" customHeight="1" x14ac:dyDescent="0.2">
      <c r="A210" s="131" t="s">
        <v>1445</v>
      </c>
      <c r="B210" s="405" t="s">
        <v>23</v>
      </c>
      <c r="C210" s="405" t="s">
        <v>1141</v>
      </c>
      <c r="D210" s="192" t="s">
        <v>127</v>
      </c>
      <c r="E210" s="131" t="s">
        <v>542</v>
      </c>
      <c r="F210" s="133" t="s">
        <v>87</v>
      </c>
      <c r="G210" s="133" t="s">
        <v>48</v>
      </c>
      <c r="H210" s="131" t="s">
        <v>95</v>
      </c>
      <c r="I210" s="145" t="s">
        <v>448</v>
      </c>
      <c r="J210" s="133" t="s">
        <v>1446</v>
      </c>
      <c r="K210" s="133" t="s">
        <v>1446</v>
      </c>
      <c r="L210" s="231" t="s">
        <v>209</v>
      </c>
      <c r="M210" s="194" t="s">
        <v>191</v>
      </c>
      <c r="N210" s="194" t="s">
        <v>59</v>
      </c>
      <c r="O210" s="410" t="s">
        <v>43</v>
      </c>
      <c r="P210" s="194">
        <v>3</v>
      </c>
      <c r="Q210" s="167" t="s">
        <v>538</v>
      </c>
      <c r="R210" s="194" t="s">
        <v>534</v>
      </c>
      <c r="S210" s="353" t="s">
        <v>156</v>
      </c>
      <c r="T210" s="136">
        <v>23167.509902482885</v>
      </c>
      <c r="U210" s="62">
        <v>12238.21</v>
      </c>
      <c r="V210" s="136">
        <v>23167.509902482885</v>
      </c>
      <c r="W210" s="136">
        <v>107903.6937952139</v>
      </c>
      <c r="X210" s="136">
        <v>1388846.9568403966</v>
      </c>
      <c r="Y210" s="136" t="s">
        <v>1342</v>
      </c>
      <c r="Z210" s="365">
        <v>0.2</v>
      </c>
      <c r="AA210" s="147" t="s">
        <v>11</v>
      </c>
      <c r="AB210" s="185">
        <v>2.0461538461538458E-2</v>
      </c>
      <c r="AC210" s="185">
        <v>1.3299999999999999E-2</v>
      </c>
      <c r="AD210" s="137">
        <v>45245</v>
      </c>
      <c r="AE210" s="137">
        <v>46968</v>
      </c>
      <c r="AF210" s="406">
        <v>46968</v>
      </c>
      <c r="AG210" s="138">
        <v>1724</v>
      </c>
      <c r="AH210" s="139" t="s">
        <v>10</v>
      </c>
      <c r="AI210" s="138">
        <v>1677</v>
      </c>
      <c r="AJ210" s="140">
        <v>4.5945205479452058</v>
      </c>
      <c r="AK210" s="184" t="s">
        <v>436</v>
      </c>
      <c r="AL210" s="188" t="s">
        <v>1447</v>
      </c>
      <c r="AM210" s="312" t="s">
        <v>87</v>
      </c>
      <c r="AN210" s="313" t="s">
        <v>48</v>
      </c>
      <c r="AO210" s="211" t="s">
        <v>1448</v>
      </c>
      <c r="AQ210" s="211"/>
    </row>
    <row r="211" spans="1:45" ht="19.5" customHeight="1" x14ac:dyDescent="0.2">
      <c r="A211" s="131" t="s">
        <v>1449</v>
      </c>
      <c r="B211" s="405" t="s">
        <v>23</v>
      </c>
      <c r="C211" s="405" t="s">
        <v>1142</v>
      </c>
      <c r="D211" s="192" t="s">
        <v>127</v>
      </c>
      <c r="E211" s="188" t="s">
        <v>542</v>
      </c>
      <c r="F211" s="133" t="s">
        <v>211</v>
      </c>
      <c r="G211" s="65" t="s">
        <v>233</v>
      </c>
      <c r="H211" s="65" t="s">
        <v>443</v>
      </c>
      <c r="I211" s="65" t="s">
        <v>234</v>
      </c>
      <c r="J211" s="66" t="s">
        <v>677</v>
      </c>
      <c r="K211" s="192" t="s">
        <v>218</v>
      </c>
      <c r="L211" s="231" t="s">
        <v>209</v>
      </c>
      <c r="M211" s="414" t="s">
        <v>191</v>
      </c>
      <c r="N211" s="194" t="s">
        <v>59</v>
      </c>
      <c r="O211" s="410" t="s">
        <v>43</v>
      </c>
      <c r="P211" s="194">
        <v>3</v>
      </c>
      <c r="Q211" s="167" t="s">
        <v>538</v>
      </c>
      <c r="R211" s="194" t="s">
        <v>534</v>
      </c>
      <c r="S211" s="353" t="s">
        <v>59</v>
      </c>
      <c r="T211" s="136">
        <v>40728.300869537823</v>
      </c>
      <c r="U211" s="62">
        <v>25000</v>
      </c>
      <c r="V211" s="136">
        <v>40728.300869537823</v>
      </c>
      <c r="W211" s="136">
        <v>228078.4848694118</v>
      </c>
      <c r="X211" s="136">
        <v>4306782.6843270445</v>
      </c>
      <c r="Y211" s="136" t="s">
        <v>16</v>
      </c>
      <c r="Z211" s="365">
        <v>0</v>
      </c>
      <c r="AA211" s="147" t="s">
        <v>11</v>
      </c>
      <c r="AB211" s="185">
        <v>0.03</v>
      </c>
      <c r="AC211" s="185">
        <v>1.6500000000000001E-2</v>
      </c>
      <c r="AD211" s="137">
        <v>45254</v>
      </c>
      <c r="AE211" s="137">
        <v>47751</v>
      </c>
      <c r="AF211" s="406">
        <v>47751</v>
      </c>
      <c r="AG211" s="138">
        <v>2498</v>
      </c>
      <c r="AH211" s="139" t="s">
        <v>10</v>
      </c>
      <c r="AI211" s="138">
        <v>2460</v>
      </c>
      <c r="AJ211" s="140">
        <v>6.7397260273972606</v>
      </c>
      <c r="AK211" s="184" t="s">
        <v>436</v>
      </c>
      <c r="AL211" s="188" t="s">
        <v>1450</v>
      </c>
      <c r="AM211" s="312" t="s">
        <v>211</v>
      </c>
      <c r="AN211" s="313" t="s">
        <v>233</v>
      </c>
      <c r="AO211" s="211" t="s">
        <v>1451</v>
      </c>
      <c r="AQ211" s="211"/>
    </row>
    <row r="212" spans="1:45" ht="21" customHeight="1" x14ac:dyDescent="0.2">
      <c r="A212" s="131" t="s">
        <v>1452</v>
      </c>
      <c r="B212" s="405" t="s">
        <v>307</v>
      </c>
      <c r="C212" s="405" t="s">
        <v>243</v>
      </c>
      <c r="D212" s="192" t="s">
        <v>87</v>
      </c>
      <c r="E212" s="188" t="s">
        <v>542</v>
      </c>
      <c r="F212" s="192" t="s">
        <v>87</v>
      </c>
      <c r="G212" s="131" t="s">
        <v>102</v>
      </c>
      <c r="H212" s="131" t="s">
        <v>102</v>
      </c>
      <c r="I212" s="231" t="s">
        <v>473</v>
      </c>
      <c r="J212" s="133" t="s">
        <v>1453</v>
      </c>
      <c r="K212" s="133" t="s">
        <v>1453</v>
      </c>
      <c r="L212" s="231" t="s">
        <v>101</v>
      </c>
      <c r="M212" s="414" t="s">
        <v>191</v>
      </c>
      <c r="N212" s="194" t="s">
        <v>59</v>
      </c>
      <c r="O212" s="410" t="s">
        <v>43</v>
      </c>
      <c r="P212" s="194">
        <v>2</v>
      </c>
      <c r="Q212" s="167" t="s">
        <v>533</v>
      </c>
      <c r="R212" s="194" t="s">
        <v>534</v>
      </c>
      <c r="S212" s="353" t="s">
        <v>156</v>
      </c>
      <c r="T212" s="136">
        <v>21770.043484999296</v>
      </c>
      <c r="U212" s="62">
        <v>11500</v>
      </c>
      <c r="V212" s="136">
        <v>21770.043484999296</v>
      </c>
      <c r="W212" s="136">
        <v>227165.67114781874</v>
      </c>
      <c r="X212" s="136">
        <v>1063095.719492649</v>
      </c>
      <c r="Y212" s="136" t="s">
        <v>1295</v>
      </c>
      <c r="Z212" s="365">
        <v>0.15</v>
      </c>
      <c r="AA212" s="147" t="s">
        <v>11</v>
      </c>
      <c r="AB212" s="185">
        <v>1.495E-2</v>
      </c>
      <c r="AC212" s="185">
        <v>1.37E-2</v>
      </c>
      <c r="AD212" s="137">
        <v>45254</v>
      </c>
      <c r="AE212" s="137">
        <v>46812</v>
      </c>
      <c r="AF212" s="406">
        <v>46812</v>
      </c>
      <c r="AG212" s="138">
        <v>1559</v>
      </c>
      <c r="AH212" s="139" t="s">
        <v>10</v>
      </c>
      <c r="AI212" s="138">
        <v>1521</v>
      </c>
      <c r="AJ212" s="140">
        <v>4.1671232876712327</v>
      </c>
      <c r="AK212" s="184" t="s">
        <v>436</v>
      </c>
      <c r="AL212" s="188" t="s">
        <v>1452</v>
      </c>
      <c r="AM212" s="312" t="s">
        <v>87</v>
      </c>
      <c r="AN212" s="313" t="s">
        <v>102</v>
      </c>
      <c r="AO212" s="211" t="s">
        <v>1454</v>
      </c>
      <c r="AQ212" s="211" t="s">
        <v>1394</v>
      </c>
    </row>
    <row r="213" spans="1:45" ht="22.5" customHeight="1" x14ac:dyDescent="0.2">
      <c r="A213" s="131" t="s">
        <v>1455</v>
      </c>
      <c r="B213" s="405" t="s">
        <v>243</v>
      </c>
      <c r="C213" s="405" t="s">
        <v>1142</v>
      </c>
      <c r="D213" s="192" t="s">
        <v>162</v>
      </c>
      <c r="E213" s="131" t="s">
        <v>499</v>
      </c>
      <c r="F213" s="352" t="s">
        <v>162</v>
      </c>
      <c r="G213" s="133" t="s">
        <v>48</v>
      </c>
      <c r="H213" s="131" t="s">
        <v>95</v>
      </c>
      <c r="I213" s="145" t="s">
        <v>448</v>
      </c>
      <c r="J213" s="66" t="s">
        <v>506</v>
      </c>
      <c r="K213" s="192" t="s">
        <v>221</v>
      </c>
      <c r="L213" s="231" t="s">
        <v>45</v>
      </c>
      <c r="M213" s="414" t="s">
        <v>191</v>
      </c>
      <c r="N213" s="194" t="s">
        <v>59</v>
      </c>
      <c r="O213" s="410" t="s">
        <v>43</v>
      </c>
      <c r="P213" s="194">
        <v>2</v>
      </c>
      <c r="Q213" s="167" t="s">
        <v>538</v>
      </c>
      <c r="R213" s="194" t="s">
        <v>534</v>
      </c>
      <c r="S213" s="353" t="s">
        <v>9</v>
      </c>
      <c r="T213" s="136">
        <v>22273.403428397069</v>
      </c>
      <c r="U213" s="62">
        <v>14967.15</v>
      </c>
      <c r="V213" s="136">
        <v>22273.403428397069</v>
      </c>
      <c r="W213" s="136">
        <v>165780.20143604049</v>
      </c>
      <c r="X213" s="136">
        <v>1904155.8432706832</v>
      </c>
      <c r="Y213" s="136" t="s">
        <v>1342</v>
      </c>
      <c r="Z213" s="365">
        <v>0.15</v>
      </c>
      <c r="AA213" s="147" t="s">
        <v>11</v>
      </c>
      <c r="AB213" s="185">
        <v>2.75E-2</v>
      </c>
      <c r="AC213" s="185">
        <v>1.6500000000000001E-2</v>
      </c>
      <c r="AD213" s="137">
        <v>45250</v>
      </c>
      <c r="AE213" s="137">
        <v>47641</v>
      </c>
      <c r="AF213" s="406">
        <v>47641</v>
      </c>
      <c r="AG213" s="138">
        <v>2392</v>
      </c>
      <c r="AH213" s="139" t="s">
        <v>10</v>
      </c>
      <c r="AI213" s="138">
        <v>2350</v>
      </c>
      <c r="AJ213" s="140">
        <v>6.4383561643835616</v>
      </c>
      <c r="AK213" s="184"/>
      <c r="AL213" s="188" t="s">
        <v>1456</v>
      </c>
      <c r="AM213" s="312" t="s">
        <v>162</v>
      </c>
      <c r="AN213" s="313" t="s">
        <v>48</v>
      </c>
      <c r="AO213" s="211" t="s">
        <v>1457</v>
      </c>
      <c r="AQ213" s="211"/>
    </row>
    <row r="214" spans="1:45" s="229" customFormat="1" ht="25.5" x14ac:dyDescent="0.2">
      <c r="A214" s="131" t="s">
        <v>1458</v>
      </c>
      <c r="B214" s="405" t="s">
        <v>23</v>
      </c>
      <c r="C214" s="405" t="s">
        <v>1141</v>
      </c>
      <c r="D214" s="192" t="s">
        <v>38</v>
      </c>
      <c r="E214" s="188" t="s">
        <v>542</v>
      </c>
      <c r="F214" s="133" t="s">
        <v>86</v>
      </c>
      <c r="G214" s="131" t="s">
        <v>92</v>
      </c>
      <c r="H214" s="131" t="s">
        <v>100</v>
      </c>
      <c r="I214" s="131" t="s">
        <v>100</v>
      </c>
      <c r="J214" s="133" t="s">
        <v>142</v>
      </c>
      <c r="K214" s="192" t="s">
        <v>218</v>
      </c>
      <c r="L214" s="231" t="s">
        <v>44</v>
      </c>
      <c r="M214" s="414" t="s">
        <v>191</v>
      </c>
      <c r="N214" s="194" t="s">
        <v>323</v>
      </c>
      <c r="O214" s="410" t="s">
        <v>43</v>
      </c>
      <c r="P214" s="194">
        <v>2</v>
      </c>
      <c r="Q214" s="167" t="s">
        <v>531</v>
      </c>
      <c r="R214" s="194" t="s">
        <v>534</v>
      </c>
      <c r="S214" s="353" t="s">
        <v>9</v>
      </c>
      <c r="T214" s="136">
        <v>28779.148315078637</v>
      </c>
      <c r="U214" s="62">
        <v>18634.87</v>
      </c>
      <c r="V214" s="136">
        <v>27731.530541601685</v>
      </c>
      <c r="W214" s="136">
        <v>150303.41422836707</v>
      </c>
      <c r="X214" s="136">
        <v>1561721.5241141217</v>
      </c>
      <c r="Y214" s="136" t="s">
        <v>16</v>
      </c>
      <c r="Z214" s="365">
        <v>0</v>
      </c>
      <c r="AA214" s="147" t="s">
        <v>11</v>
      </c>
      <c r="AB214" s="185">
        <v>1.6500000000000001E-2</v>
      </c>
      <c r="AC214" s="185">
        <v>9.0750000000000015E-3</v>
      </c>
      <c r="AD214" s="137">
        <v>45259</v>
      </c>
      <c r="AE214" s="137">
        <v>48060</v>
      </c>
      <c r="AF214" s="406">
        <v>48060</v>
      </c>
      <c r="AG214" s="138">
        <v>2802</v>
      </c>
      <c r="AH214" s="139" t="s">
        <v>10</v>
      </c>
      <c r="AI214" s="138">
        <v>2769</v>
      </c>
      <c r="AJ214" s="140">
        <v>7.5863013698630137</v>
      </c>
      <c r="AK214" s="184" t="s">
        <v>436</v>
      </c>
      <c r="AL214" s="188" t="s">
        <v>1459</v>
      </c>
      <c r="AM214" s="327" t="s">
        <v>86</v>
      </c>
      <c r="AN214" s="328" t="s">
        <v>92</v>
      </c>
      <c r="AO214" s="211" t="s">
        <v>1460</v>
      </c>
      <c r="AQ214" s="211"/>
      <c r="AS214" s="411"/>
    </row>
    <row r="215" spans="1:45" ht="27" customHeight="1" x14ac:dyDescent="0.2">
      <c r="A215" s="131" t="s">
        <v>1463</v>
      </c>
      <c r="B215" s="405" t="s">
        <v>307</v>
      </c>
      <c r="C215" s="405" t="s">
        <v>243</v>
      </c>
      <c r="D215" s="192" t="s">
        <v>162</v>
      </c>
      <c r="E215" s="188" t="s">
        <v>499</v>
      </c>
      <c r="F215" s="352" t="s">
        <v>162</v>
      </c>
      <c r="G215" s="131" t="s">
        <v>102</v>
      </c>
      <c r="H215" s="131" t="s">
        <v>102</v>
      </c>
      <c r="I215" s="131" t="s">
        <v>122</v>
      </c>
      <c r="J215" s="133" t="s">
        <v>1303</v>
      </c>
      <c r="K215" s="192" t="s">
        <v>218</v>
      </c>
      <c r="L215" s="168" t="s">
        <v>101</v>
      </c>
      <c r="M215" s="414" t="s">
        <v>191</v>
      </c>
      <c r="N215" s="194" t="s">
        <v>59</v>
      </c>
      <c r="O215" s="410" t="s">
        <v>43</v>
      </c>
      <c r="P215" s="194">
        <v>2</v>
      </c>
      <c r="Q215" s="167" t="s">
        <v>538</v>
      </c>
      <c r="R215" s="194" t="s">
        <v>534</v>
      </c>
      <c r="S215" s="353" t="s">
        <v>9</v>
      </c>
      <c r="T215" s="136">
        <v>16667.309300571396</v>
      </c>
      <c r="U215" s="62">
        <v>11200</v>
      </c>
      <c r="V215" s="136">
        <v>16667.309300571396</v>
      </c>
      <c r="W215" s="136">
        <v>131850.32178844872</v>
      </c>
      <c r="X215" s="136">
        <v>830633.87161252007</v>
      </c>
      <c r="Y215" s="136" t="s">
        <v>16</v>
      </c>
      <c r="Z215" s="365">
        <v>0</v>
      </c>
      <c r="AA215" s="147" t="s">
        <v>11</v>
      </c>
      <c r="AB215" s="185">
        <v>2.4E-2</v>
      </c>
      <c r="AC215" s="185">
        <v>1.32E-2</v>
      </c>
      <c r="AD215" s="137">
        <v>45264</v>
      </c>
      <c r="AE215" s="137">
        <v>46522</v>
      </c>
      <c r="AF215" s="137">
        <v>46522</v>
      </c>
      <c r="AG215" s="138">
        <v>1259</v>
      </c>
      <c r="AH215" s="139" t="s">
        <v>10</v>
      </c>
      <c r="AI215" s="138">
        <v>1231</v>
      </c>
      <c r="AJ215" s="140">
        <v>3.3726027397260272</v>
      </c>
      <c r="AK215" s="184"/>
      <c r="AL215" s="188" t="s">
        <v>1464</v>
      </c>
      <c r="AM215" s="312" t="s">
        <v>162</v>
      </c>
      <c r="AN215" s="313" t="s">
        <v>102</v>
      </c>
      <c r="AO215" s="211" t="s">
        <v>1465</v>
      </c>
      <c r="AQ215" s="211" t="s">
        <v>122</v>
      </c>
    </row>
    <row r="216" spans="1:45" ht="27.75" customHeight="1" x14ac:dyDescent="0.2">
      <c r="A216" s="131" t="s">
        <v>1466</v>
      </c>
      <c r="B216" s="405" t="s">
        <v>307</v>
      </c>
      <c r="C216" s="405" t="s">
        <v>243</v>
      </c>
      <c r="D216" s="192" t="s">
        <v>127</v>
      </c>
      <c r="E216" s="188" t="s">
        <v>542</v>
      </c>
      <c r="F216" s="133" t="s">
        <v>149</v>
      </c>
      <c r="G216" s="65" t="s">
        <v>233</v>
      </c>
      <c r="H216" s="65" t="s">
        <v>443</v>
      </c>
      <c r="I216" s="65" t="s">
        <v>234</v>
      </c>
      <c r="J216" s="66" t="s">
        <v>677</v>
      </c>
      <c r="K216" s="192" t="s">
        <v>218</v>
      </c>
      <c r="L216" s="231" t="s">
        <v>29</v>
      </c>
      <c r="M216" s="414" t="s">
        <v>191</v>
      </c>
      <c r="N216" s="194" t="s">
        <v>59</v>
      </c>
      <c r="O216" s="410" t="s">
        <v>43</v>
      </c>
      <c r="P216" s="194">
        <v>2</v>
      </c>
      <c r="Q216" s="167" t="s">
        <v>538</v>
      </c>
      <c r="R216" s="194" t="s">
        <v>534</v>
      </c>
      <c r="S216" s="353" t="s">
        <v>156</v>
      </c>
      <c r="T216" s="136">
        <v>47326.181489128903</v>
      </c>
      <c r="U216" s="62">
        <v>25000</v>
      </c>
      <c r="V216" s="136">
        <v>47326.181489128903</v>
      </c>
      <c r="W216" s="136">
        <v>607668.17032041505</v>
      </c>
      <c r="X216" s="136">
        <v>1025959.3192094719</v>
      </c>
      <c r="Y216" s="136" t="s">
        <v>16</v>
      </c>
      <c r="Z216" s="365">
        <v>0</v>
      </c>
      <c r="AA216" s="147" t="s">
        <v>11</v>
      </c>
      <c r="AB216" s="185">
        <v>2.2321428571428572E-2</v>
      </c>
      <c r="AC216" s="185">
        <v>1.2500000000000001E-2</v>
      </c>
      <c r="AD216" s="137">
        <v>45268</v>
      </c>
      <c r="AE216" s="137">
        <v>45870</v>
      </c>
      <c r="AF216" s="406">
        <v>45870</v>
      </c>
      <c r="AG216" s="138">
        <v>603</v>
      </c>
      <c r="AH216" s="139" t="s">
        <v>10</v>
      </c>
      <c r="AI216" s="138">
        <v>579</v>
      </c>
      <c r="AJ216" s="140">
        <v>1.5863013698630137</v>
      </c>
      <c r="AK216" s="184"/>
      <c r="AL216" s="188" t="s">
        <v>1467</v>
      </c>
      <c r="AM216" s="312" t="s">
        <v>149</v>
      </c>
      <c r="AN216" s="313" t="s">
        <v>233</v>
      </c>
      <c r="AO216" s="211" t="s">
        <v>1468</v>
      </c>
      <c r="AQ216" s="211"/>
    </row>
    <row r="217" spans="1:45" ht="28.5" customHeight="1" x14ac:dyDescent="0.2">
      <c r="A217" s="131" t="s">
        <v>1469</v>
      </c>
      <c r="B217" s="405" t="s">
        <v>1438</v>
      </c>
      <c r="C217" s="405" t="s">
        <v>1141</v>
      </c>
      <c r="D217" s="192" t="s">
        <v>38</v>
      </c>
      <c r="E217" s="188" t="s">
        <v>499</v>
      </c>
      <c r="F217" s="188" t="s">
        <v>876</v>
      </c>
      <c r="G217" s="131" t="s">
        <v>102</v>
      </c>
      <c r="H217" s="131" t="s">
        <v>102</v>
      </c>
      <c r="I217" s="231" t="s">
        <v>476</v>
      </c>
      <c r="J217" s="66" t="s">
        <v>1088</v>
      </c>
      <c r="K217" s="192" t="s">
        <v>687</v>
      </c>
      <c r="L217" s="231" t="s">
        <v>101</v>
      </c>
      <c r="M217" s="414" t="s">
        <v>191</v>
      </c>
      <c r="N217" s="194" t="s">
        <v>323</v>
      </c>
      <c r="O217" s="410" t="s">
        <v>43</v>
      </c>
      <c r="P217" s="194">
        <v>2</v>
      </c>
      <c r="Q217" s="167" t="s">
        <v>531</v>
      </c>
      <c r="R217" s="194" t="s">
        <v>534</v>
      </c>
      <c r="S217" s="135" t="s">
        <v>8</v>
      </c>
      <c r="T217" s="136">
        <v>15000</v>
      </c>
      <c r="U217" s="62">
        <v>15000</v>
      </c>
      <c r="V217" s="136">
        <v>15000</v>
      </c>
      <c r="W217" s="136">
        <v>52500</v>
      </c>
      <c r="X217" s="136">
        <v>945583.33</v>
      </c>
      <c r="Y217" s="136" t="s">
        <v>16</v>
      </c>
      <c r="Z217" s="365">
        <v>0</v>
      </c>
      <c r="AA217" s="147" t="s">
        <v>11</v>
      </c>
      <c r="AB217" s="185">
        <v>0.04</v>
      </c>
      <c r="AC217" s="185">
        <v>2.2000000000000002E-2</v>
      </c>
      <c r="AD217" s="137">
        <v>45273</v>
      </c>
      <c r="AE217" s="137">
        <v>46394</v>
      </c>
      <c r="AF217" s="406">
        <v>46394</v>
      </c>
      <c r="AG217" s="138">
        <v>1122</v>
      </c>
      <c r="AH217" s="139" t="s">
        <v>10</v>
      </c>
      <c r="AI217" s="138">
        <v>1103</v>
      </c>
      <c r="AJ217" s="140">
        <v>3.021917808219178</v>
      </c>
      <c r="AK217" s="184"/>
      <c r="AL217" s="188" t="s">
        <v>1470</v>
      </c>
      <c r="AM217" s="312" t="s">
        <v>876</v>
      </c>
      <c r="AN217" s="313" t="s">
        <v>102</v>
      </c>
      <c r="AO217" s="211" t="s">
        <v>1471</v>
      </c>
      <c r="AQ217" s="211" t="s">
        <v>476</v>
      </c>
    </row>
    <row r="218" spans="1:45" ht="26.25" customHeight="1" x14ac:dyDescent="0.2">
      <c r="A218" s="131" t="s">
        <v>1472</v>
      </c>
      <c r="B218" s="405" t="s">
        <v>1336</v>
      </c>
      <c r="C218" s="405" t="s">
        <v>1144</v>
      </c>
      <c r="D218" s="192" t="s">
        <v>34</v>
      </c>
      <c r="E218" s="188" t="s">
        <v>34</v>
      </c>
      <c r="F218" s="133" t="s">
        <v>34</v>
      </c>
      <c r="G218" s="131" t="s">
        <v>475</v>
      </c>
      <c r="H218" s="66" t="s">
        <v>227</v>
      </c>
      <c r="I218" s="131" t="s">
        <v>827</v>
      </c>
      <c r="J218" s="133" t="s">
        <v>656</v>
      </c>
      <c r="K218" s="133" t="s">
        <v>656</v>
      </c>
      <c r="L218" s="231" t="s">
        <v>29</v>
      </c>
      <c r="M218" s="414" t="s">
        <v>191</v>
      </c>
      <c r="N218" s="194" t="s">
        <v>323</v>
      </c>
      <c r="O218" s="410" t="s">
        <v>43</v>
      </c>
      <c r="P218" s="194">
        <v>3</v>
      </c>
      <c r="Q218" s="167" t="s">
        <v>538</v>
      </c>
      <c r="R218" s="194" t="s">
        <v>534</v>
      </c>
      <c r="S218" s="135" t="s">
        <v>8</v>
      </c>
      <c r="T218" s="136">
        <v>15000</v>
      </c>
      <c r="U218" s="62">
        <v>15000</v>
      </c>
      <c r="V218" s="136">
        <v>15000</v>
      </c>
      <c r="W218" s="136">
        <v>52500</v>
      </c>
      <c r="X218" s="136">
        <v>607496.3899999999</v>
      </c>
      <c r="Y218" s="136" t="s">
        <v>1358</v>
      </c>
      <c r="Z218" s="365">
        <v>0.09</v>
      </c>
      <c r="AA218" s="147" t="s">
        <v>11</v>
      </c>
      <c r="AB218" s="185">
        <v>2.9984301412872838E-2</v>
      </c>
      <c r="AC218" s="185">
        <v>1.9099999999999999E-2</v>
      </c>
      <c r="AD218" s="137">
        <v>45268</v>
      </c>
      <c r="AE218" s="137">
        <v>46112</v>
      </c>
      <c r="AF218" s="406">
        <v>46112</v>
      </c>
      <c r="AG218" s="138">
        <v>845</v>
      </c>
      <c r="AH218" s="139" t="s">
        <v>10</v>
      </c>
      <c r="AI218" s="138">
        <v>821</v>
      </c>
      <c r="AJ218" s="140">
        <v>2.2493150684931509</v>
      </c>
      <c r="AK218" s="184"/>
      <c r="AL218" s="188" t="s">
        <v>1473</v>
      </c>
      <c r="AM218" s="312" t="s">
        <v>34</v>
      </c>
      <c r="AN218" s="313" t="s">
        <v>475</v>
      </c>
      <c r="AO218" s="211" t="s">
        <v>1474</v>
      </c>
      <c r="AQ218" s="211"/>
    </row>
    <row r="219" spans="1:45" x14ac:dyDescent="0.2">
      <c r="A219" s="408"/>
      <c r="B219" s="337"/>
      <c r="C219" s="337"/>
      <c r="D219" s="133"/>
      <c r="E219" s="131"/>
      <c r="F219" s="145"/>
      <c r="G219" s="131"/>
      <c r="H219" s="131"/>
      <c r="I219" s="131"/>
      <c r="J219" s="66"/>
      <c r="K219" s="192"/>
      <c r="L219" s="168"/>
      <c r="M219" s="194"/>
      <c r="N219" s="194"/>
      <c r="O219" s="167"/>
      <c r="P219" s="65"/>
      <c r="Q219" s="167"/>
      <c r="R219" s="65"/>
      <c r="S219" s="135"/>
      <c r="T219" s="136"/>
      <c r="U219" s="62"/>
      <c r="V219" s="136"/>
      <c r="W219" s="136"/>
      <c r="X219" s="136"/>
      <c r="Y219" s="62"/>
      <c r="Z219" s="366"/>
      <c r="AA219" s="147"/>
      <c r="AB219" s="185"/>
      <c r="AC219" s="185"/>
      <c r="AD219" s="137"/>
      <c r="AE219" s="137"/>
      <c r="AF219" s="137"/>
      <c r="AG219" s="138"/>
      <c r="AH219" s="139"/>
      <c r="AI219" s="138"/>
      <c r="AJ219" s="140"/>
      <c r="AK219" s="184"/>
      <c r="AL219" s="188"/>
      <c r="AM219" s="197"/>
      <c r="AN219" s="198"/>
    </row>
    <row r="220" spans="1:45" x14ac:dyDescent="0.2">
      <c r="A220" s="129"/>
      <c r="B220" s="129"/>
      <c r="C220" s="129"/>
      <c r="D220" s="129"/>
      <c r="E220" s="129"/>
      <c r="F220" s="129"/>
      <c r="G220" s="129"/>
      <c r="H220" s="129"/>
      <c r="I220" s="129"/>
      <c r="J220" s="129"/>
      <c r="K220" s="129"/>
      <c r="L220" s="129"/>
      <c r="M220" s="129"/>
      <c r="N220" s="129"/>
      <c r="O220" s="384"/>
      <c r="P220" s="384"/>
      <c r="Q220" s="384"/>
      <c r="R220" s="384"/>
      <c r="S220" s="385" t="s">
        <v>428</v>
      </c>
      <c r="T220" s="354">
        <v>4456761.2702443702</v>
      </c>
      <c r="U220" s="354"/>
      <c r="V220" s="354">
        <v>4305028.511286363</v>
      </c>
      <c r="W220" s="354">
        <v>32964306.848025404</v>
      </c>
      <c r="X220" s="354">
        <v>297649717.93386495</v>
      </c>
      <c r="Y220" s="354"/>
      <c r="Z220" s="354"/>
      <c r="AA220" s="386"/>
      <c r="AB220" s="387">
        <v>3.059107574477142E-2</v>
      </c>
      <c r="AC220" s="387"/>
      <c r="AD220" s="388"/>
      <c r="AE220" s="388"/>
      <c r="AF220" s="388" t="s">
        <v>495</v>
      </c>
      <c r="AG220" s="389">
        <v>1868.2499561162952</v>
      </c>
      <c r="AH220" s="390">
        <v>5.1184930304556033</v>
      </c>
      <c r="AI220" s="389">
        <v>1214.7328199455644</v>
      </c>
      <c r="AJ220" s="391">
        <v>3.3280351231385326</v>
      </c>
      <c r="AK220" s="392"/>
      <c r="AL220" s="384"/>
      <c r="AM220" s="384"/>
      <c r="AN220" s="384"/>
    </row>
    <row r="221" spans="1:45" x14ac:dyDescent="0.2">
      <c r="A221" s="393"/>
      <c r="B221" s="393"/>
      <c r="C221" s="393"/>
      <c r="D221" s="394"/>
      <c r="E221" s="394"/>
      <c r="F221" s="394"/>
      <c r="G221" s="384"/>
      <c r="H221" s="384"/>
      <c r="I221" s="384"/>
      <c r="J221" s="129"/>
      <c r="K221" s="384"/>
      <c r="L221" s="384"/>
      <c r="M221" s="384"/>
      <c r="N221" s="394"/>
      <c r="O221" s="384"/>
      <c r="P221" s="384"/>
      <c r="Q221" s="384"/>
      <c r="R221" s="384"/>
      <c r="S221" s="385" t="s">
        <v>429</v>
      </c>
      <c r="T221" s="354">
        <v>504.78</v>
      </c>
      <c r="U221" s="354"/>
      <c r="V221" s="354">
        <v>504.78</v>
      </c>
      <c r="W221" s="354">
        <v>504.78</v>
      </c>
      <c r="X221" s="354">
        <v>13882</v>
      </c>
      <c r="Y221" s="354"/>
      <c r="Z221" s="354"/>
      <c r="AA221" s="395"/>
      <c r="AB221" s="395"/>
      <c r="AC221" s="395"/>
      <c r="AD221" s="395"/>
      <c r="AE221" s="384"/>
      <c r="AF221" s="384"/>
      <c r="AG221" s="384"/>
      <c r="AH221" s="384"/>
      <c r="AI221" s="384"/>
      <c r="AJ221" s="384"/>
      <c r="AK221" s="384"/>
      <c r="AL221" s="384"/>
      <c r="AM221" s="384"/>
      <c r="AN221" s="384"/>
    </row>
    <row r="222" spans="1:45" x14ac:dyDescent="0.2">
      <c r="A222" s="393" t="s">
        <v>549</v>
      </c>
      <c r="B222" s="393">
        <v>216</v>
      </c>
      <c r="C222" s="393"/>
      <c r="D222" s="394"/>
      <c r="E222" s="394"/>
      <c r="F222" s="394"/>
      <c r="G222" s="384"/>
      <c r="H222" s="384"/>
      <c r="I222" s="384"/>
      <c r="J222" s="129"/>
      <c r="K222" s="384"/>
      <c r="L222" s="384"/>
      <c r="M222" s="384"/>
      <c r="N222" s="394"/>
      <c r="O222" s="384"/>
      <c r="P222" s="384"/>
      <c r="Q222" s="384"/>
      <c r="R222" s="384"/>
      <c r="S222" s="385" t="s">
        <v>6</v>
      </c>
      <c r="T222" s="354">
        <v>4457266.0502443705</v>
      </c>
      <c r="U222" s="354"/>
      <c r="V222" s="397">
        <v>4305533.2912863633</v>
      </c>
      <c r="W222" s="354">
        <v>32964811.628025405</v>
      </c>
      <c r="X222" s="354">
        <v>297663599.93386495</v>
      </c>
      <c r="Y222" s="354"/>
      <c r="Z222" s="354"/>
      <c r="AA222" s="395"/>
      <c r="AB222" s="395"/>
      <c r="AC222" s="395"/>
      <c r="AD222" s="395"/>
      <c r="AE222" s="384"/>
      <c r="AF222" s="384"/>
      <c r="AG222" s="384"/>
      <c r="AH222" s="396"/>
      <c r="AI222" s="384"/>
      <c r="AJ222" s="384"/>
      <c r="AK222" s="396"/>
      <c r="AL222" s="384"/>
      <c r="AM222" s="384"/>
      <c r="AN222" s="384"/>
    </row>
    <row r="223" spans="1:45" x14ac:dyDescent="0.2">
      <c r="A223" s="11"/>
      <c r="B223" s="11"/>
      <c r="C223" s="11"/>
      <c r="D223" s="24"/>
      <c r="E223" s="26"/>
      <c r="S223" s="11"/>
      <c r="U223" s="11"/>
      <c r="V223" s="11"/>
      <c r="W223" s="11"/>
    </row>
    <row r="224" spans="1:45" x14ac:dyDescent="0.2">
      <c r="J224" s="11"/>
      <c r="S224" s="25"/>
      <c r="V224" s="11"/>
      <c r="W224" s="11"/>
    </row>
    <row r="225" spans="1:23" x14ac:dyDescent="0.2">
      <c r="E225" s="11" t="s">
        <v>495</v>
      </c>
      <c r="J225" s="11"/>
      <c r="S225" s="160"/>
      <c r="T225" s="19"/>
      <c r="U225" s="25"/>
      <c r="V225" s="398"/>
      <c r="W225" s="11"/>
    </row>
    <row r="226" spans="1:23" x14ac:dyDescent="0.2">
      <c r="H226" s="262"/>
      <c r="J226" s="11"/>
      <c r="S226" s="25"/>
      <c r="W226" s="11"/>
    </row>
    <row r="227" spans="1:23" x14ac:dyDescent="0.2">
      <c r="H227" s="262"/>
      <c r="J227" s="11"/>
      <c r="S227" s="160"/>
      <c r="W227" s="11"/>
    </row>
    <row r="228" spans="1:23" x14ac:dyDescent="0.2">
      <c r="A228" s="290"/>
      <c r="H228" s="262"/>
      <c r="J228" s="11"/>
      <c r="S228" s="25"/>
      <c r="V228" s="398"/>
      <c r="W228" s="11"/>
    </row>
    <row r="229" spans="1:23" x14ac:dyDescent="0.2">
      <c r="I229" s="18"/>
      <c r="J229" s="11"/>
      <c r="S229" s="160"/>
      <c r="V229" s="398"/>
      <c r="W229" s="11"/>
    </row>
    <row r="230" spans="1:23" x14ac:dyDescent="0.2">
      <c r="J230" s="11"/>
      <c r="S230" s="25"/>
      <c r="V230" s="398"/>
      <c r="W230" s="11"/>
    </row>
    <row r="231" spans="1:23" x14ac:dyDescent="0.2">
      <c r="J231" s="11"/>
      <c r="S231" s="268"/>
      <c r="V231" s="398"/>
      <c r="W231" s="11"/>
    </row>
    <row r="232" spans="1:23" x14ac:dyDescent="0.2">
      <c r="J232" s="11"/>
      <c r="S232" s="25"/>
      <c r="V232" s="398"/>
      <c r="W232" s="11"/>
    </row>
    <row r="233" spans="1:23" x14ac:dyDescent="0.2">
      <c r="J233" s="11"/>
      <c r="S233" s="160"/>
      <c r="V233" s="398"/>
    </row>
    <row r="234" spans="1:23" x14ac:dyDescent="0.2">
      <c r="J234" s="11"/>
      <c r="S234" s="25"/>
      <c r="V234" s="398"/>
    </row>
    <row r="235" spans="1:23" x14ac:dyDescent="0.2">
      <c r="J235" s="11"/>
      <c r="S235" s="160"/>
    </row>
    <row r="236" spans="1:23" x14ac:dyDescent="0.2">
      <c r="J236" s="11"/>
      <c r="S236" s="25"/>
    </row>
    <row r="237" spans="1:23" x14ac:dyDescent="0.2">
      <c r="J237" s="11"/>
      <c r="S237" s="160"/>
    </row>
    <row r="238" spans="1:23" x14ac:dyDescent="0.2">
      <c r="J238" s="11"/>
    </row>
    <row r="239" spans="1:23" x14ac:dyDescent="0.2">
      <c r="J239" s="11"/>
    </row>
    <row r="240" spans="1:23" x14ac:dyDescent="0.2">
      <c r="J240" s="11"/>
    </row>
    <row r="241" spans="10:10" x14ac:dyDescent="0.2">
      <c r="J241" s="11"/>
    </row>
    <row r="242" spans="10:10" x14ac:dyDescent="0.2">
      <c r="J242" s="11"/>
    </row>
    <row r="243" spans="10:10" x14ac:dyDescent="0.2">
      <c r="J243" s="11"/>
    </row>
    <row r="244" spans="10:10" x14ac:dyDescent="0.2">
      <c r="J244" s="11"/>
    </row>
  </sheetData>
  <conditionalFormatting sqref="M50 AD50:AG50 V52:AA52 V55:X55 T51:T55 AG51:AG54 AD51:AF55 AI50:AJ55 V51:X51 V54:AA54 V53:X53 AA53 O50 A50 AO50:AO55 D50 Q50 AA50:AA51">
    <cfRule type="cellIs" dxfId="564" priority="27" operator="equal">
      <formula>#REF!</formula>
    </cfRule>
  </conditionalFormatting>
  <conditionalFormatting sqref="S50:T50 V50:X50">
    <cfRule type="cellIs" dxfId="563" priority="26" operator="equal">
      <formula>#REF!</formula>
    </cfRule>
  </conditionalFormatting>
  <conditionalFormatting sqref="S54 E50">
    <cfRule type="cellIs" dxfId="562" priority="25" operator="equal">
      <formula>#REF!</formula>
    </cfRule>
  </conditionalFormatting>
  <conditionalFormatting sqref="K50">
    <cfRule type="cellIs" dxfId="561" priority="24" operator="equal">
      <formula>#REF!</formula>
    </cfRule>
  </conditionalFormatting>
  <conditionalFormatting sqref="T56">
    <cfRule type="cellIs" dxfId="542" priority="5" operator="equal">
      <formula>#REF!</formula>
    </cfRule>
  </conditionalFormatting>
  <conditionalFormatting sqref="V56">
    <cfRule type="cellIs" dxfId="541" priority="4" operator="equal">
      <formula>#REF!</formula>
    </cfRule>
  </conditionalFormatting>
  <conditionalFormatting sqref="X56">
    <cfRule type="cellIs" dxfId="540" priority="3" operator="equal">
      <formula>#REF!</formula>
    </cfRule>
  </conditionalFormatting>
  <conditionalFormatting sqref="AE56:AF56">
    <cfRule type="cellIs" dxfId="539" priority="2" operator="equal">
      <formula>#REF!</formula>
    </cfRule>
  </conditionalFormatting>
  <conditionalFormatting sqref="U50">
    <cfRule type="cellIs" dxfId="538" priority="1" operator="equal">
      <formula>#REF!</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9E81E-E368-42A3-87A4-28D16D2F491C}">
  <sheetPr codeName="Sheet5">
    <tabColor theme="0" tint="-4.9989318521683403E-2"/>
  </sheetPr>
  <dimension ref="A1"/>
  <sheetViews>
    <sheetView workbookViewId="0"/>
  </sheetViews>
  <sheetFormatPr defaultRowHeight="12.75" x14ac:dyDescent="0.2"/>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9BDE0-26C9-43B8-BBD3-A2CBEA81D81B}">
  <sheetPr codeName="Sheet13">
    <tabColor theme="0" tint="-4.9989318521683403E-2"/>
  </sheetPr>
  <dimension ref="A1:H36"/>
  <sheetViews>
    <sheetView workbookViewId="0"/>
  </sheetViews>
  <sheetFormatPr defaultRowHeight="12.75" x14ac:dyDescent="0.2"/>
  <cols>
    <col min="1" max="1" width="19.5703125" style="1" customWidth="1"/>
    <col min="2" max="2" width="91.28515625" customWidth="1"/>
  </cols>
  <sheetData>
    <row r="1" spans="1:5" ht="20.25" thickBot="1" x14ac:dyDescent="0.35">
      <c r="A1" s="3" t="s">
        <v>253</v>
      </c>
      <c r="B1" s="3"/>
      <c r="C1" s="4"/>
      <c r="D1" s="4"/>
      <c r="E1" s="4"/>
    </row>
    <row r="2" spans="1:5" ht="13.5" thickTop="1" x14ac:dyDescent="0.2">
      <c r="A2"/>
    </row>
    <row r="3" spans="1:5" ht="15.75" thickBot="1" x14ac:dyDescent="0.3">
      <c r="A3" s="6">
        <v>43770</v>
      </c>
    </row>
    <row r="4" spans="1:5" ht="27" thickBot="1" x14ac:dyDescent="0.3">
      <c r="A4" s="6">
        <v>43770</v>
      </c>
      <c r="B4" s="5" t="s">
        <v>254</v>
      </c>
    </row>
    <row r="5" spans="1:5" ht="78" thickBot="1" x14ac:dyDescent="0.3">
      <c r="A5" s="6">
        <v>43800</v>
      </c>
      <c r="B5" s="9" t="s">
        <v>272</v>
      </c>
    </row>
    <row r="6" spans="1:5" ht="27" thickBot="1" x14ac:dyDescent="0.3">
      <c r="A6" s="6">
        <v>43831</v>
      </c>
      <c r="B6" s="2" t="s">
        <v>277</v>
      </c>
    </row>
    <row r="7" spans="1:5" ht="90.75" thickBot="1" x14ac:dyDescent="0.3">
      <c r="A7" s="6">
        <v>43862</v>
      </c>
      <c r="B7" s="2" t="s">
        <v>290</v>
      </c>
    </row>
    <row r="8" spans="1:5" ht="27" thickBot="1" x14ac:dyDescent="0.3">
      <c r="A8" s="6">
        <v>43891</v>
      </c>
      <c r="B8" s="2" t="s">
        <v>314</v>
      </c>
    </row>
    <row r="9" spans="1:5" ht="27" thickBot="1" x14ac:dyDescent="0.3">
      <c r="A9" s="6">
        <v>43891</v>
      </c>
      <c r="B9" s="2" t="s">
        <v>315</v>
      </c>
    </row>
    <row r="10" spans="1:5" ht="65.25" thickBot="1" x14ac:dyDescent="0.3">
      <c r="A10" s="6">
        <v>44013</v>
      </c>
      <c r="B10" s="2" t="s">
        <v>464</v>
      </c>
    </row>
    <row r="11" spans="1:5" ht="15.75" thickBot="1" x14ac:dyDescent="0.3">
      <c r="A11" s="6">
        <v>44044</v>
      </c>
      <c r="B11" s="2" t="s">
        <v>480</v>
      </c>
    </row>
    <row r="12" spans="1:5" ht="15.75" thickBot="1" x14ac:dyDescent="0.3">
      <c r="A12" s="6">
        <v>44256</v>
      </c>
      <c r="B12" s="2" t="s">
        <v>574</v>
      </c>
    </row>
    <row r="13" spans="1:5" ht="27" thickBot="1" x14ac:dyDescent="0.3">
      <c r="A13" s="6">
        <v>44317</v>
      </c>
      <c r="B13" s="2" t="s">
        <v>577</v>
      </c>
    </row>
    <row r="14" spans="1:5" ht="90.75" thickBot="1" x14ac:dyDescent="0.3">
      <c r="A14" s="6">
        <v>44348</v>
      </c>
      <c r="B14" s="2" t="s">
        <v>611</v>
      </c>
    </row>
    <row r="15" spans="1:5" ht="27" thickBot="1" x14ac:dyDescent="0.3">
      <c r="A15" s="6">
        <v>44348</v>
      </c>
      <c r="B15" s="2" t="s">
        <v>624</v>
      </c>
    </row>
    <row r="16" spans="1:5" ht="27" thickBot="1" x14ac:dyDescent="0.3">
      <c r="A16" s="6">
        <v>44470</v>
      </c>
      <c r="B16" s="2" t="s">
        <v>675</v>
      </c>
    </row>
    <row r="17" spans="1:8" ht="27" thickBot="1" x14ac:dyDescent="0.3">
      <c r="A17" s="6">
        <v>44470</v>
      </c>
      <c r="B17" s="2" t="s">
        <v>676</v>
      </c>
    </row>
    <row r="18" spans="1:8" ht="15.75" thickBot="1" x14ac:dyDescent="0.3">
      <c r="A18" s="7"/>
    </row>
    <row r="19" spans="1:8" ht="15.75" thickBot="1" x14ac:dyDescent="0.3">
      <c r="A19" s="7"/>
    </row>
    <row r="20" spans="1:8" ht="15.75" thickBot="1" x14ac:dyDescent="0.3">
      <c r="A20" s="7"/>
    </row>
    <row r="21" spans="1:8" ht="15.75" thickBot="1" x14ac:dyDescent="0.3">
      <c r="A21" s="7"/>
    </row>
    <row r="22" spans="1:8" ht="15.75" thickBot="1" x14ac:dyDescent="0.3">
      <c r="A22" s="7"/>
    </row>
    <row r="23" spans="1:8" ht="15.75" thickBot="1" x14ac:dyDescent="0.3">
      <c r="A23" s="7"/>
    </row>
    <row r="24" spans="1:8" ht="15.75" thickBot="1" x14ac:dyDescent="0.3">
      <c r="A24" s="7"/>
    </row>
    <row r="25" spans="1:8" ht="15.75" thickBot="1" x14ac:dyDescent="0.3">
      <c r="A25" s="7"/>
    </row>
    <row r="26" spans="1:8" ht="15.75" thickBot="1" x14ac:dyDescent="0.3">
      <c r="A26" s="7"/>
    </row>
    <row r="27" spans="1:8" ht="15.75" thickBot="1" x14ac:dyDescent="0.3">
      <c r="A27" s="7"/>
      <c r="H27" s="8"/>
    </row>
    <row r="28" spans="1:8" ht="15.75" thickBot="1" x14ac:dyDescent="0.3">
      <c r="A28" s="7"/>
    </row>
    <row r="29" spans="1:8" ht="15.75" thickBot="1" x14ac:dyDescent="0.3">
      <c r="A29" s="7"/>
    </row>
    <row r="30" spans="1:8" ht="15.75" thickBot="1" x14ac:dyDescent="0.3">
      <c r="A30" s="7"/>
    </row>
    <row r="31" spans="1:8" ht="15.75" thickBot="1" x14ac:dyDescent="0.3">
      <c r="A31" s="7"/>
    </row>
    <row r="32" spans="1:8" ht="15.75" thickBot="1" x14ac:dyDescent="0.3">
      <c r="A32" s="7"/>
    </row>
    <row r="33" spans="1:1" ht="15.75" thickBot="1" x14ac:dyDescent="0.3">
      <c r="A33" s="7"/>
    </row>
    <row r="34" spans="1:1" ht="15.75" thickBot="1" x14ac:dyDescent="0.3">
      <c r="A34" s="7"/>
    </row>
    <row r="35" spans="1:1" ht="15.75" thickBot="1" x14ac:dyDescent="0.3">
      <c r="A35" s="7"/>
    </row>
    <row r="36" spans="1:1" ht="15.75" thickBot="1" x14ac:dyDescent="0.3">
      <c r="A36"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899C6-8900-4FA8-A9F4-E2D9DAFC5C9E}">
  <sheetPr codeName="Sheet24">
    <tabColor theme="9" tint="0.79998168889431442"/>
    <outlinePr summaryBelow="0"/>
    <pageSetUpPr fitToPage="1"/>
  </sheetPr>
  <dimension ref="A1:AY151"/>
  <sheetViews>
    <sheetView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1"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11" customWidth="1"/>
    <col min="20" max="20" width="14" style="11" customWidth="1"/>
    <col min="21" max="21" width="14.42578125" style="11" customWidth="1"/>
    <col min="22" max="22" width="13.42578125" style="11" customWidth="1"/>
    <col min="23" max="24" width="11.28515625" style="11" customWidth="1"/>
    <col min="25" max="25" width="10.85546875" style="11" customWidth="1"/>
    <col min="26" max="26" width="11.7109375" style="20" customWidth="1"/>
    <col min="27" max="27" width="10.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ustomWidth="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2" width="9.140625" style="11" customWidth="1"/>
    <col min="53" max="16384" width="9.140625" style="11"/>
  </cols>
  <sheetData>
    <row r="1" spans="1:51" x14ac:dyDescent="0.2">
      <c r="A1" s="126">
        <v>44377</v>
      </c>
      <c r="B1" s="125"/>
      <c r="C1" s="124"/>
      <c r="D1" s="124"/>
      <c r="E1" s="124"/>
      <c r="M1" s="124"/>
      <c r="AO1" s="195"/>
      <c r="AP1" s="196"/>
      <c r="AQ1" s="196"/>
      <c r="AR1" s="196"/>
      <c r="AS1" s="196"/>
      <c r="AT1" s="196"/>
      <c r="AU1" s="196"/>
      <c r="AV1" s="196"/>
      <c r="AW1" s="196"/>
      <c r="AX1" s="196"/>
      <c r="AY1" s="196"/>
    </row>
    <row r="2" spans="1:51" s="112" customFormat="1" ht="76.5" x14ac:dyDescent="0.2">
      <c r="A2" s="123" t="s">
        <v>14</v>
      </c>
      <c r="B2" s="122" t="s">
        <v>63</v>
      </c>
      <c r="C2" s="121" t="s">
        <v>84</v>
      </c>
      <c r="D2" s="121" t="s">
        <v>468</v>
      </c>
      <c r="E2" s="121" t="s">
        <v>467</v>
      </c>
      <c r="F2" s="121" t="s">
        <v>81</v>
      </c>
      <c r="G2" s="121" t="s">
        <v>82</v>
      </c>
      <c r="H2" s="121" t="s">
        <v>83</v>
      </c>
      <c r="I2" s="122" t="s">
        <v>2</v>
      </c>
      <c r="J2" s="121" t="s">
        <v>217</v>
      </c>
      <c r="K2" s="121" t="s">
        <v>39</v>
      </c>
      <c r="L2" s="120" t="s">
        <v>5</v>
      </c>
      <c r="M2" s="118" t="s">
        <v>427</v>
      </c>
      <c r="N2" s="119" t="s">
        <v>41</v>
      </c>
      <c r="O2" s="119" t="s">
        <v>535</v>
      </c>
      <c r="P2" s="119" t="s">
        <v>536</v>
      </c>
      <c r="Q2" s="114" t="s">
        <v>403</v>
      </c>
      <c r="R2" s="117" t="s">
        <v>479</v>
      </c>
      <c r="S2" s="118" t="s">
        <v>430</v>
      </c>
      <c r="T2" s="117" t="s">
        <v>431</v>
      </c>
      <c r="U2" s="117" t="s">
        <v>432</v>
      </c>
      <c r="V2" s="117" t="s">
        <v>208</v>
      </c>
      <c r="W2" s="117" t="s">
        <v>12</v>
      </c>
      <c r="X2" s="117" t="s">
        <v>573</v>
      </c>
      <c r="Y2" s="117" t="s">
        <v>471</v>
      </c>
      <c r="Z2" s="117" t="s">
        <v>433</v>
      </c>
      <c r="AA2" s="117" t="s">
        <v>15</v>
      </c>
      <c r="AB2" s="116" t="s">
        <v>17</v>
      </c>
      <c r="AC2" s="116" t="s">
        <v>18</v>
      </c>
      <c r="AD2" s="116" t="s">
        <v>434</v>
      </c>
      <c r="AE2" s="116" t="s">
        <v>435</v>
      </c>
      <c r="AF2" s="116" t="s">
        <v>436</v>
      </c>
      <c r="AG2" s="115" t="s">
        <v>46</v>
      </c>
      <c r="AH2" s="115" t="s">
        <v>19</v>
      </c>
      <c r="AI2" s="115" t="s">
        <v>20</v>
      </c>
      <c r="AJ2" s="115" t="s">
        <v>170</v>
      </c>
      <c r="AK2" s="115" t="s">
        <v>241</v>
      </c>
      <c r="AL2" s="114" t="s">
        <v>324</v>
      </c>
      <c r="AM2" s="113" t="s">
        <v>482</v>
      </c>
      <c r="AN2" s="113" t="s">
        <v>481</v>
      </c>
      <c r="AO2" s="118" t="s">
        <v>612</v>
      </c>
      <c r="AP2" s="118" t="s">
        <v>613</v>
      </c>
      <c r="AQ2" s="113" t="s">
        <v>614</v>
      </c>
      <c r="AR2" s="113" t="s">
        <v>615</v>
      </c>
      <c r="AS2" s="113" t="s">
        <v>616</v>
      </c>
      <c r="AT2" s="113" t="s">
        <v>617</v>
      </c>
      <c r="AU2" s="113" t="s">
        <v>618</v>
      </c>
      <c r="AV2" s="113" t="s">
        <v>619</v>
      </c>
      <c r="AW2" s="113" t="s">
        <v>620</v>
      </c>
      <c r="AX2" s="113" t="s">
        <v>621</v>
      </c>
      <c r="AY2" s="113" t="s">
        <v>623</v>
      </c>
    </row>
    <row r="3" spans="1:51" ht="39.950000000000003" hidden="1" customHeight="1" x14ac:dyDescent="0.2">
      <c r="A3" s="111" t="s">
        <v>25</v>
      </c>
      <c r="B3" s="65" t="s">
        <v>24</v>
      </c>
      <c r="C3" s="110" t="s">
        <v>34</v>
      </c>
      <c r="D3" s="16" t="s">
        <v>34</v>
      </c>
      <c r="E3" s="130" t="s">
        <v>34</v>
      </c>
      <c r="F3" s="14" t="s">
        <v>543</v>
      </c>
      <c r="G3" s="14" t="s">
        <v>97</v>
      </c>
      <c r="H3" s="66" t="s">
        <v>98</v>
      </c>
      <c r="I3" s="66" t="s">
        <v>26</v>
      </c>
      <c r="J3" s="66" t="s">
        <v>26</v>
      </c>
      <c r="K3" s="13" t="s">
        <v>45</v>
      </c>
      <c r="L3" s="65" t="s">
        <v>191</v>
      </c>
      <c r="M3" s="65" t="s">
        <v>323</v>
      </c>
      <c r="N3" s="65" t="s">
        <v>43</v>
      </c>
      <c r="O3" s="65" t="s">
        <v>531</v>
      </c>
      <c r="P3" s="65" t="s">
        <v>534</v>
      </c>
      <c r="Q3" s="64" t="s">
        <v>8</v>
      </c>
      <c r="R3" s="62">
        <v>10000</v>
      </c>
      <c r="S3" s="150">
        <v>10000</v>
      </c>
      <c r="T3" s="62">
        <v>7048.6544397875796</v>
      </c>
      <c r="U3" s="62">
        <v>32395.415789999999</v>
      </c>
      <c r="V3" s="62">
        <v>782554.47</v>
      </c>
      <c r="W3" s="61" t="s">
        <v>11</v>
      </c>
      <c r="X3" s="181">
        <v>1.6666666666666666E-2</v>
      </c>
      <c r="Y3" s="105">
        <v>41884</v>
      </c>
      <c r="Z3" s="60">
        <v>44806</v>
      </c>
      <c r="AA3" s="60">
        <v>45173</v>
      </c>
      <c r="AB3" s="58">
        <v>3290</v>
      </c>
      <c r="AC3" s="59" t="s">
        <v>10</v>
      </c>
      <c r="AD3" s="58">
        <v>796</v>
      </c>
      <c r="AE3" s="57">
        <v>2.1808219178082191</v>
      </c>
      <c r="AF3" s="56"/>
      <c r="AG3" s="71" t="s">
        <v>1</v>
      </c>
      <c r="AH3" s="71" t="s">
        <v>1</v>
      </c>
      <c r="AI3" s="71" t="s">
        <v>250</v>
      </c>
      <c r="AJ3" s="11" t="s">
        <v>0</v>
      </c>
      <c r="AK3" s="11" t="s">
        <v>1</v>
      </c>
      <c r="AL3" s="14" t="s">
        <v>327</v>
      </c>
      <c r="AM3" s="143">
        <v>25104.400000000001</v>
      </c>
      <c r="AN3" s="143">
        <v>45000</v>
      </c>
      <c r="AO3" s="197" t="s">
        <v>34</v>
      </c>
      <c r="AP3" s="198" t="s">
        <v>543</v>
      </c>
      <c r="AQ3" s="143"/>
      <c r="AR3" s="143"/>
      <c r="AS3" s="208">
        <v>0</v>
      </c>
      <c r="AT3" s="208">
        <v>845.83853277450953</v>
      </c>
      <c r="AU3" s="208" t="b">
        <v>0</v>
      </c>
      <c r="AV3" s="208"/>
      <c r="AW3" s="208">
        <v>0</v>
      </c>
      <c r="AX3" s="208">
        <v>0</v>
      </c>
      <c r="AY3" s="143"/>
    </row>
    <row r="4" spans="1:51" ht="39.950000000000003" hidden="1" customHeight="1" x14ac:dyDescent="0.2">
      <c r="A4" s="87" t="s">
        <v>27</v>
      </c>
      <c r="B4" s="100" t="s">
        <v>24</v>
      </c>
      <c r="C4" s="104" t="s">
        <v>34</v>
      </c>
      <c r="D4" s="103" t="s">
        <v>34</v>
      </c>
      <c r="E4" s="170" t="s">
        <v>34</v>
      </c>
      <c r="F4" s="104" t="s">
        <v>544</v>
      </c>
      <c r="G4" s="104" t="s">
        <v>117</v>
      </c>
      <c r="H4" s="109" t="s">
        <v>118</v>
      </c>
      <c r="I4" s="104" t="s">
        <v>28</v>
      </c>
      <c r="J4" s="104" t="s">
        <v>28</v>
      </c>
      <c r="K4" s="103" t="s">
        <v>13</v>
      </c>
      <c r="L4" s="100" t="s">
        <v>40</v>
      </c>
      <c r="M4" s="100"/>
      <c r="N4" s="100" t="s">
        <v>42</v>
      </c>
      <c r="O4" s="100" t="s">
        <v>533</v>
      </c>
      <c r="P4" s="100" t="s">
        <v>532</v>
      </c>
      <c r="Q4" s="99" t="s">
        <v>8</v>
      </c>
      <c r="R4" s="97">
        <v>3323.194</v>
      </c>
      <c r="S4" s="158" t="s">
        <v>4</v>
      </c>
      <c r="T4" s="97">
        <v>3323.194</v>
      </c>
      <c r="U4" s="97">
        <v>3323.194</v>
      </c>
      <c r="V4" s="97">
        <v>505185.27</v>
      </c>
      <c r="W4" s="96" t="s">
        <v>11</v>
      </c>
      <c r="X4" s="182">
        <v>2.2499999999999999E-2</v>
      </c>
      <c r="Y4" s="108">
        <v>42065</v>
      </c>
      <c r="Z4" s="95">
        <v>44530</v>
      </c>
      <c r="AA4" s="95">
        <v>44530</v>
      </c>
      <c r="AB4" s="93">
        <v>2465</v>
      </c>
      <c r="AC4" s="94" t="s">
        <v>10</v>
      </c>
      <c r="AD4" s="93">
        <v>153</v>
      </c>
      <c r="AE4" s="92">
        <v>0.41917808219178082</v>
      </c>
      <c r="AF4" s="91"/>
      <c r="AG4" s="90" t="s">
        <v>1</v>
      </c>
      <c r="AH4" s="90" t="s">
        <v>1</v>
      </c>
      <c r="AI4" s="89" t="s">
        <v>0</v>
      </c>
      <c r="AJ4" s="11" t="s">
        <v>0</v>
      </c>
      <c r="AK4" s="107" t="s">
        <v>1</v>
      </c>
      <c r="AL4" s="87"/>
      <c r="AM4" s="143"/>
      <c r="AN4" s="143"/>
      <c r="AO4" s="197" t="s">
        <v>34</v>
      </c>
      <c r="AP4" s="198" t="s">
        <v>544</v>
      </c>
      <c r="AQ4" s="143"/>
      <c r="AR4" s="143"/>
      <c r="AS4" s="208">
        <v>0</v>
      </c>
      <c r="AT4" s="208">
        <v>398.78327999999999</v>
      </c>
      <c r="AU4" s="208" t="b">
        <v>0</v>
      </c>
      <c r="AV4" s="208"/>
      <c r="AW4" s="208">
        <v>0</v>
      </c>
      <c r="AX4" s="208">
        <v>0</v>
      </c>
      <c r="AY4" s="143"/>
    </row>
    <row r="5" spans="1:51" ht="39.950000000000003" customHeight="1" x14ac:dyDescent="0.2">
      <c r="A5" s="13" t="s">
        <v>30</v>
      </c>
      <c r="B5" s="65" t="s">
        <v>24</v>
      </c>
      <c r="C5" s="66" t="s">
        <v>34</v>
      </c>
      <c r="D5" s="13" t="s">
        <v>34</v>
      </c>
      <c r="E5" s="130" t="s">
        <v>34</v>
      </c>
      <c r="F5" s="66" t="s">
        <v>545</v>
      </c>
      <c r="G5" s="66" t="s">
        <v>85</v>
      </c>
      <c r="H5" s="66" t="s">
        <v>99</v>
      </c>
      <c r="I5" s="66" t="s">
        <v>21</v>
      </c>
      <c r="J5" s="66" t="s">
        <v>21</v>
      </c>
      <c r="K5" s="13" t="s">
        <v>139</v>
      </c>
      <c r="L5" s="65" t="s">
        <v>191</v>
      </c>
      <c r="M5" s="65" t="s">
        <v>323</v>
      </c>
      <c r="N5" s="65" t="s">
        <v>43</v>
      </c>
      <c r="O5" s="65" t="s">
        <v>538</v>
      </c>
      <c r="P5" s="65" t="s">
        <v>534</v>
      </c>
      <c r="Q5" s="64" t="s">
        <v>8</v>
      </c>
      <c r="R5" s="62">
        <v>25000</v>
      </c>
      <c r="S5" s="150">
        <v>22694.903999999999</v>
      </c>
      <c r="T5" s="62">
        <v>22694.903999999999</v>
      </c>
      <c r="U5" s="62">
        <v>50000</v>
      </c>
      <c r="V5" s="62">
        <v>2717895.94</v>
      </c>
      <c r="W5" s="61" t="s">
        <v>551</v>
      </c>
      <c r="X5" s="181">
        <v>2.7500000000000004E-2</v>
      </c>
      <c r="Y5" s="105">
        <v>42152</v>
      </c>
      <c r="Z5" s="105">
        <v>45441</v>
      </c>
      <c r="AA5" s="60">
        <v>45441</v>
      </c>
      <c r="AB5" s="58">
        <v>3290</v>
      </c>
      <c r="AC5" s="59" t="s">
        <v>10</v>
      </c>
      <c r="AD5" s="58">
        <v>1064</v>
      </c>
      <c r="AE5" s="57">
        <v>2.9150684931506849</v>
      </c>
      <c r="AF5" s="56" t="s">
        <v>436</v>
      </c>
      <c r="AG5" s="71" t="s">
        <v>1</v>
      </c>
      <c r="AH5" s="71" t="s">
        <v>1</v>
      </c>
      <c r="AI5" s="71" t="s">
        <v>0</v>
      </c>
      <c r="AJ5" s="11" t="s">
        <v>0</v>
      </c>
      <c r="AK5" s="11" t="s">
        <v>1</v>
      </c>
      <c r="AL5" s="13" t="s">
        <v>328</v>
      </c>
      <c r="AM5" s="143">
        <v>15700</v>
      </c>
      <c r="AN5" s="209">
        <v>50000</v>
      </c>
      <c r="AO5" s="197" t="s">
        <v>34</v>
      </c>
      <c r="AP5" s="198" t="s">
        <v>545</v>
      </c>
      <c r="AQ5" s="199">
        <v>1</v>
      </c>
      <c r="AR5" s="210">
        <v>0.05</v>
      </c>
      <c r="AS5" s="208">
        <v>1134.7452000000001</v>
      </c>
      <c r="AT5" s="208">
        <v>2723.3884799999996</v>
      </c>
      <c r="AU5" s="208">
        <v>544.67769599999997</v>
      </c>
      <c r="AV5" s="208"/>
      <c r="AW5" s="208">
        <v>1134.7452000000001</v>
      </c>
      <c r="AX5" s="199">
        <v>1250</v>
      </c>
      <c r="AY5" s="12" t="s">
        <v>622</v>
      </c>
    </row>
    <row r="6" spans="1:51" ht="39.950000000000003" hidden="1" customHeight="1" x14ac:dyDescent="0.2">
      <c r="A6" s="14" t="s">
        <v>31</v>
      </c>
      <c r="B6" s="65" t="s">
        <v>23</v>
      </c>
      <c r="C6" s="66" t="s">
        <v>34</v>
      </c>
      <c r="D6" s="13" t="s">
        <v>34</v>
      </c>
      <c r="E6" s="130" t="s">
        <v>34</v>
      </c>
      <c r="F6" s="66" t="s">
        <v>106</v>
      </c>
      <c r="G6" s="66" t="s">
        <v>106</v>
      </c>
      <c r="H6" s="66" t="s">
        <v>129</v>
      </c>
      <c r="I6" s="66" t="s">
        <v>3</v>
      </c>
      <c r="J6" s="66" t="s">
        <v>3</v>
      </c>
      <c r="K6" s="13" t="s">
        <v>13</v>
      </c>
      <c r="L6" s="65" t="s">
        <v>191</v>
      </c>
      <c r="M6" s="65" t="s">
        <v>323</v>
      </c>
      <c r="N6" s="13" t="s">
        <v>42</v>
      </c>
      <c r="O6" s="13" t="s">
        <v>538</v>
      </c>
      <c r="P6" s="13" t="s">
        <v>532</v>
      </c>
      <c r="Q6" s="64" t="s">
        <v>8</v>
      </c>
      <c r="R6" s="62">
        <v>18000</v>
      </c>
      <c r="S6" s="76">
        <v>18000</v>
      </c>
      <c r="T6" s="150">
        <v>1147.1866</v>
      </c>
      <c r="U6" s="62">
        <v>1147.1866</v>
      </c>
      <c r="V6" s="150">
        <v>2716834.5552336448</v>
      </c>
      <c r="W6" s="61" t="s">
        <v>11</v>
      </c>
      <c r="X6" s="181">
        <v>2.75E-2</v>
      </c>
      <c r="Y6" s="60">
        <v>42339</v>
      </c>
      <c r="Z6" s="105">
        <v>43465</v>
      </c>
      <c r="AA6" s="105">
        <v>44616</v>
      </c>
      <c r="AB6" s="58">
        <v>2278</v>
      </c>
      <c r="AC6" s="59" t="s">
        <v>10</v>
      </c>
      <c r="AD6" s="58">
        <v>239</v>
      </c>
      <c r="AE6" s="57">
        <v>0.65479452054794518</v>
      </c>
      <c r="AF6" s="56"/>
      <c r="AG6" s="152" t="s">
        <v>1</v>
      </c>
      <c r="AH6" s="152" t="s">
        <v>1</v>
      </c>
      <c r="AI6" s="152" t="s">
        <v>599</v>
      </c>
      <c r="AJ6" s="11" t="s">
        <v>0</v>
      </c>
      <c r="AK6" s="11" t="s">
        <v>1</v>
      </c>
      <c r="AL6" s="14" t="s">
        <v>329</v>
      </c>
      <c r="AM6" s="143">
        <v>13812.1</v>
      </c>
      <c r="AN6" s="143"/>
      <c r="AO6" s="197" t="s">
        <v>34</v>
      </c>
      <c r="AP6" s="198" t="s">
        <v>106</v>
      </c>
      <c r="AQ6" s="143"/>
      <c r="AR6" s="143"/>
      <c r="AS6" s="208">
        <v>0</v>
      </c>
      <c r="AT6" s="208">
        <v>137.66239199999998</v>
      </c>
      <c r="AU6" s="208" t="b">
        <v>0</v>
      </c>
      <c r="AV6" s="208"/>
      <c r="AW6" s="208">
        <v>0</v>
      </c>
      <c r="AX6" s="199"/>
      <c r="AY6" s="143"/>
    </row>
    <row r="7" spans="1:51" ht="39.950000000000003" hidden="1" customHeight="1" x14ac:dyDescent="0.2">
      <c r="A7" s="13" t="s">
        <v>56</v>
      </c>
      <c r="B7" s="65" t="s">
        <v>51</v>
      </c>
      <c r="C7" s="66" t="s">
        <v>88</v>
      </c>
      <c r="D7" s="13" t="s">
        <v>542</v>
      </c>
      <c r="E7" s="130" t="s">
        <v>88</v>
      </c>
      <c r="F7" s="66" t="s">
        <v>102</v>
      </c>
      <c r="G7" s="66" t="s">
        <v>102</v>
      </c>
      <c r="H7" s="66" t="s">
        <v>126</v>
      </c>
      <c r="I7" s="66" t="s">
        <v>61</v>
      </c>
      <c r="J7" s="66" t="s">
        <v>220</v>
      </c>
      <c r="K7" s="13" t="s">
        <v>101</v>
      </c>
      <c r="L7" s="65" t="s">
        <v>191</v>
      </c>
      <c r="M7" s="13" t="s">
        <v>59</v>
      </c>
      <c r="N7" s="65" t="s">
        <v>43</v>
      </c>
      <c r="O7" s="65" t="s">
        <v>533</v>
      </c>
      <c r="P7" s="65" t="s">
        <v>534</v>
      </c>
      <c r="Q7" s="64" t="s">
        <v>59</v>
      </c>
      <c r="R7" s="62">
        <v>31637.059651675972</v>
      </c>
      <c r="S7" s="63">
        <v>20000</v>
      </c>
      <c r="T7" s="150">
        <v>31637.059651675972</v>
      </c>
      <c r="U7" s="62">
        <v>63274.119303351945</v>
      </c>
      <c r="V7" s="150">
        <v>755440.78333359701</v>
      </c>
      <c r="W7" s="61" t="s">
        <v>11</v>
      </c>
      <c r="X7" s="181">
        <v>8.5000000000000006E-3</v>
      </c>
      <c r="Y7" s="105">
        <v>42870</v>
      </c>
      <c r="Z7" s="60">
        <v>44495</v>
      </c>
      <c r="AA7" s="60">
        <v>44495</v>
      </c>
      <c r="AB7" s="58">
        <v>1626</v>
      </c>
      <c r="AC7" s="59" t="s">
        <v>10</v>
      </c>
      <c r="AD7" s="58">
        <v>118</v>
      </c>
      <c r="AE7" s="57">
        <v>0.32328767123287672</v>
      </c>
      <c r="AF7" s="56"/>
      <c r="AG7" s="71" t="s">
        <v>1</v>
      </c>
      <c r="AH7" s="71" t="s">
        <v>1</v>
      </c>
      <c r="AI7" s="71" t="s">
        <v>0</v>
      </c>
      <c r="AJ7" s="11" t="s">
        <v>0</v>
      </c>
      <c r="AK7" s="11" t="s">
        <v>1</v>
      </c>
      <c r="AL7" s="13" t="s">
        <v>325</v>
      </c>
      <c r="AM7" s="143">
        <v>4000</v>
      </c>
      <c r="AN7" s="143">
        <v>50000</v>
      </c>
      <c r="AO7" s="197" t="s">
        <v>88</v>
      </c>
      <c r="AP7" s="198" t="s">
        <v>102</v>
      </c>
      <c r="AQ7" s="143"/>
      <c r="AR7" s="143"/>
      <c r="AS7" s="208">
        <v>0</v>
      </c>
      <c r="AT7" s="208">
        <v>3796.4471582011165</v>
      </c>
      <c r="AU7" s="208" t="b">
        <v>0</v>
      </c>
      <c r="AV7" s="208"/>
      <c r="AW7" s="208">
        <v>0</v>
      </c>
      <c r="AX7" s="199"/>
      <c r="AY7" s="143"/>
    </row>
    <row r="8" spans="1:51" ht="39.950000000000003" hidden="1" customHeight="1" x14ac:dyDescent="0.2">
      <c r="A8" s="13" t="s">
        <v>57</v>
      </c>
      <c r="B8" s="65" t="s">
        <v>24</v>
      </c>
      <c r="C8" s="66" t="s">
        <v>89</v>
      </c>
      <c r="D8" s="13" t="s">
        <v>542</v>
      </c>
      <c r="E8" s="77" t="s">
        <v>89</v>
      </c>
      <c r="F8" s="14" t="s">
        <v>92</v>
      </c>
      <c r="G8" s="14" t="s">
        <v>108</v>
      </c>
      <c r="H8" s="66" t="s">
        <v>109</v>
      </c>
      <c r="I8" s="66" t="s">
        <v>58</v>
      </c>
      <c r="J8" s="66" t="s">
        <v>220</v>
      </c>
      <c r="K8" s="13" t="s">
        <v>29</v>
      </c>
      <c r="L8" s="65" t="s">
        <v>191</v>
      </c>
      <c r="M8" s="13" t="s">
        <v>59</v>
      </c>
      <c r="N8" s="65" t="s">
        <v>43</v>
      </c>
      <c r="O8" s="65" t="s">
        <v>539</v>
      </c>
      <c r="P8" s="65" t="s">
        <v>534</v>
      </c>
      <c r="Q8" s="64" t="s">
        <v>59</v>
      </c>
      <c r="R8" s="62">
        <v>23332.331493111029</v>
      </c>
      <c r="S8" s="63">
        <v>11187.5</v>
      </c>
      <c r="T8" s="150">
        <v>12604.84837939162</v>
      </c>
      <c r="U8" s="62">
        <v>64912.832738887293</v>
      </c>
      <c r="V8" s="150">
        <v>815092.45930683205</v>
      </c>
      <c r="W8" s="61" t="s">
        <v>551</v>
      </c>
      <c r="X8" s="181">
        <v>1.6666666666666666E-2</v>
      </c>
      <c r="Y8" s="60">
        <v>42877</v>
      </c>
      <c r="Z8" s="60">
        <v>43242</v>
      </c>
      <c r="AA8" s="60">
        <v>44703</v>
      </c>
      <c r="AB8" s="58">
        <v>1827</v>
      </c>
      <c r="AC8" s="59" t="s">
        <v>10</v>
      </c>
      <c r="AD8" s="58">
        <v>326</v>
      </c>
      <c r="AE8" s="57">
        <v>0.89315068493150684</v>
      </c>
      <c r="AF8" s="56"/>
      <c r="AG8" s="71" t="s">
        <v>1</v>
      </c>
      <c r="AH8" s="71" t="s">
        <v>1</v>
      </c>
      <c r="AI8" s="71" t="s">
        <v>251</v>
      </c>
      <c r="AJ8" s="11" t="s">
        <v>0</v>
      </c>
      <c r="AK8" s="11" t="s">
        <v>1</v>
      </c>
      <c r="AL8" s="13" t="s">
        <v>330</v>
      </c>
      <c r="AM8" s="143">
        <v>29400</v>
      </c>
      <c r="AN8" s="143">
        <v>60000</v>
      </c>
      <c r="AO8" s="197" t="s">
        <v>89</v>
      </c>
      <c r="AP8" s="198" t="s">
        <v>92</v>
      </c>
      <c r="AQ8" s="143"/>
      <c r="AR8" s="143"/>
      <c r="AS8" s="208">
        <v>0</v>
      </c>
      <c r="AT8" s="208">
        <v>1512.5818055269945</v>
      </c>
      <c r="AU8" s="208" t="b">
        <v>0</v>
      </c>
      <c r="AV8" s="208"/>
      <c r="AW8" s="208">
        <v>0</v>
      </c>
      <c r="AX8" s="199"/>
      <c r="AY8" s="143"/>
    </row>
    <row r="9" spans="1:51" ht="39.950000000000003" hidden="1" customHeight="1" x14ac:dyDescent="0.2">
      <c r="A9" s="13" t="s">
        <v>62</v>
      </c>
      <c r="B9" s="65" t="s">
        <v>24</v>
      </c>
      <c r="C9" s="66" t="s">
        <v>37</v>
      </c>
      <c r="D9" s="13" t="s">
        <v>540</v>
      </c>
      <c r="E9" s="77" t="s">
        <v>90</v>
      </c>
      <c r="F9" s="14" t="s">
        <v>102</v>
      </c>
      <c r="G9" s="14" t="s">
        <v>102</v>
      </c>
      <c r="H9" s="66" t="s">
        <v>110</v>
      </c>
      <c r="I9" s="66" t="s">
        <v>55</v>
      </c>
      <c r="J9" s="66" t="s">
        <v>218</v>
      </c>
      <c r="K9" s="13" t="s">
        <v>101</v>
      </c>
      <c r="L9" s="65" t="s">
        <v>191</v>
      </c>
      <c r="M9" s="13" t="s">
        <v>323</v>
      </c>
      <c r="N9" s="13" t="s">
        <v>43</v>
      </c>
      <c r="O9" s="13" t="s">
        <v>531</v>
      </c>
      <c r="P9" s="13" t="s">
        <v>534</v>
      </c>
      <c r="Q9" s="64" t="s">
        <v>59</v>
      </c>
      <c r="R9" s="62">
        <v>31637.059651675972</v>
      </c>
      <c r="S9" s="63">
        <v>20000</v>
      </c>
      <c r="T9" s="62">
        <v>31637.059651675972</v>
      </c>
      <c r="U9" s="62">
        <v>158185.29825837986</v>
      </c>
      <c r="V9" s="62">
        <v>2094512.5520034167</v>
      </c>
      <c r="W9" s="61" t="s">
        <v>11</v>
      </c>
      <c r="X9" s="181">
        <v>2.2166666666666668E-2</v>
      </c>
      <c r="Y9" s="60">
        <v>42879</v>
      </c>
      <c r="Z9" s="60">
        <v>44705</v>
      </c>
      <c r="AA9" s="105">
        <v>44721</v>
      </c>
      <c r="AB9" s="58">
        <v>1843</v>
      </c>
      <c r="AC9" s="59" t="s">
        <v>10</v>
      </c>
      <c r="AD9" s="58">
        <v>344</v>
      </c>
      <c r="AE9" s="57">
        <v>0.94246575342465755</v>
      </c>
      <c r="AF9" s="56"/>
      <c r="AG9" s="71" t="s">
        <v>1</v>
      </c>
      <c r="AH9" s="71" t="s">
        <v>1</v>
      </c>
      <c r="AI9" s="71" t="s">
        <v>0</v>
      </c>
      <c r="AJ9" s="11" t="s">
        <v>0</v>
      </c>
      <c r="AK9" s="11" t="s">
        <v>1</v>
      </c>
      <c r="AL9" s="13" t="s">
        <v>331</v>
      </c>
      <c r="AM9" s="143">
        <v>10000</v>
      </c>
      <c r="AN9" s="143">
        <v>120000</v>
      </c>
      <c r="AO9" s="197" t="s">
        <v>90</v>
      </c>
      <c r="AP9" s="198" t="s">
        <v>102</v>
      </c>
      <c r="AQ9" s="143"/>
      <c r="AR9" s="143"/>
      <c r="AS9" s="208">
        <v>0</v>
      </c>
      <c r="AT9" s="208">
        <v>3796.4471582011165</v>
      </c>
      <c r="AU9" s="208" t="b">
        <v>0</v>
      </c>
      <c r="AV9" s="208"/>
      <c r="AW9" s="208">
        <v>0</v>
      </c>
      <c r="AX9" s="199"/>
      <c r="AY9" s="143"/>
    </row>
    <row r="10" spans="1:51" ht="39.950000000000003" hidden="1" customHeight="1" x14ac:dyDescent="0.2">
      <c r="A10" s="13" t="s">
        <v>64</v>
      </c>
      <c r="B10" s="65" t="s">
        <v>24</v>
      </c>
      <c r="C10" s="66" t="s">
        <v>37</v>
      </c>
      <c r="D10" s="13" t="s">
        <v>34</v>
      </c>
      <c r="E10" s="77" t="s">
        <v>34</v>
      </c>
      <c r="F10" s="14" t="s">
        <v>104</v>
      </c>
      <c r="G10" s="14" t="s">
        <v>111</v>
      </c>
      <c r="H10" s="14" t="s">
        <v>113</v>
      </c>
      <c r="I10" s="146" t="s">
        <v>526</v>
      </c>
      <c r="J10" s="66" t="s">
        <v>221</v>
      </c>
      <c r="K10" s="13" t="s">
        <v>140</v>
      </c>
      <c r="L10" s="65" t="s">
        <v>191</v>
      </c>
      <c r="M10" s="13" t="s">
        <v>323</v>
      </c>
      <c r="N10" s="13" t="s">
        <v>43</v>
      </c>
      <c r="O10" s="13" t="s">
        <v>531</v>
      </c>
      <c r="P10" s="165" t="s">
        <v>534</v>
      </c>
      <c r="Q10" s="156" t="s">
        <v>9</v>
      </c>
      <c r="R10" s="73">
        <v>13401.232913428035</v>
      </c>
      <c r="S10" s="63">
        <v>25000</v>
      </c>
      <c r="T10" s="62">
        <v>33503.082283570089</v>
      </c>
      <c r="U10" s="62">
        <v>201018.49370142055</v>
      </c>
      <c r="V10" s="62">
        <v>1240289.5336370948</v>
      </c>
      <c r="W10" s="106" t="s">
        <v>11</v>
      </c>
      <c r="X10" s="181">
        <v>1.6E-2</v>
      </c>
      <c r="Y10" s="60">
        <v>42909</v>
      </c>
      <c r="Z10" s="60">
        <v>45100</v>
      </c>
      <c r="AA10" s="157">
        <v>45152</v>
      </c>
      <c r="AB10" s="58">
        <v>2243</v>
      </c>
      <c r="AC10" s="59" t="s">
        <v>10</v>
      </c>
      <c r="AD10" s="58">
        <v>775</v>
      </c>
      <c r="AE10" s="57">
        <v>2.1232876712328768</v>
      </c>
      <c r="AF10" s="56"/>
      <c r="AG10" s="71" t="s">
        <v>1</v>
      </c>
      <c r="AH10" s="71" t="s">
        <v>1</v>
      </c>
      <c r="AI10" s="70" t="s">
        <v>267</v>
      </c>
      <c r="AJ10" s="11" t="s">
        <v>0</v>
      </c>
      <c r="AK10" s="11" t="s">
        <v>1</v>
      </c>
      <c r="AL10" s="13" t="s">
        <v>332</v>
      </c>
      <c r="AM10" s="143">
        <v>12500</v>
      </c>
      <c r="AN10" s="143">
        <v>90000</v>
      </c>
      <c r="AO10" s="197" t="s">
        <v>34</v>
      </c>
      <c r="AP10" s="198" t="s">
        <v>104</v>
      </c>
      <c r="AQ10" s="143"/>
      <c r="AR10" s="143"/>
      <c r="AS10" s="208">
        <v>0</v>
      </c>
      <c r="AT10" s="208">
        <v>4020.3698740284108</v>
      </c>
      <c r="AU10" s="208" t="b">
        <v>0</v>
      </c>
      <c r="AV10" s="208"/>
      <c r="AW10" s="208">
        <v>0</v>
      </c>
      <c r="AX10" s="199"/>
      <c r="AY10" s="143"/>
    </row>
    <row r="11" spans="1:51" ht="39.950000000000003" customHeight="1" x14ac:dyDescent="0.2">
      <c r="A11" s="13" t="s">
        <v>65</v>
      </c>
      <c r="B11" s="65" t="s">
        <v>24</v>
      </c>
      <c r="C11" s="66" t="s">
        <v>38</v>
      </c>
      <c r="D11" s="13" t="s">
        <v>540</v>
      </c>
      <c r="E11" s="130" t="s">
        <v>35</v>
      </c>
      <c r="F11" s="14" t="s">
        <v>106</v>
      </c>
      <c r="G11" s="14" t="s">
        <v>106</v>
      </c>
      <c r="H11" s="66" t="s">
        <v>107</v>
      </c>
      <c r="I11" s="14" t="s">
        <v>300</v>
      </c>
      <c r="J11" s="66" t="s">
        <v>218</v>
      </c>
      <c r="K11" s="13" t="s">
        <v>101</v>
      </c>
      <c r="L11" s="65" t="s">
        <v>191</v>
      </c>
      <c r="M11" s="13" t="s">
        <v>323</v>
      </c>
      <c r="N11" s="65" t="s">
        <v>43</v>
      </c>
      <c r="O11" s="65" t="s">
        <v>531</v>
      </c>
      <c r="P11" s="65" t="s">
        <v>534</v>
      </c>
      <c r="Q11" s="64" t="s">
        <v>66</v>
      </c>
      <c r="R11" s="73">
        <v>17940.759611761961</v>
      </c>
      <c r="S11" s="63">
        <v>650000</v>
      </c>
      <c r="T11" s="150">
        <v>11661.493747645276</v>
      </c>
      <c r="U11" s="62">
        <v>104884.44080722379</v>
      </c>
      <c r="V11" s="150">
        <v>2506198.3171567484</v>
      </c>
      <c r="W11" s="106" t="s">
        <v>551</v>
      </c>
      <c r="X11" s="181">
        <v>5.9166666666666666E-2</v>
      </c>
      <c r="Y11" s="105">
        <v>43013</v>
      </c>
      <c r="Z11" s="60">
        <v>44839</v>
      </c>
      <c r="AA11" s="60">
        <v>44846</v>
      </c>
      <c r="AB11" s="58">
        <v>1833</v>
      </c>
      <c r="AC11" s="59" t="s">
        <v>10</v>
      </c>
      <c r="AD11" s="58">
        <v>469</v>
      </c>
      <c r="AE11" s="57">
        <v>1.284931506849315</v>
      </c>
      <c r="AF11" s="56"/>
      <c r="AG11" s="71" t="s">
        <v>1</v>
      </c>
      <c r="AH11" s="71" t="s">
        <v>1</v>
      </c>
      <c r="AI11" s="70" t="s">
        <v>600</v>
      </c>
      <c r="AJ11" s="11" t="s">
        <v>0</v>
      </c>
      <c r="AK11" s="11" t="s">
        <v>1</v>
      </c>
      <c r="AL11" s="13" t="s">
        <v>333</v>
      </c>
      <c r="AM11" s="143">
        <v>50222.729999999996</v>
      </c>
      <c r="AN11" s="143"/>
      <c r="AO11" s="197" t="s">
        <v>35</v>
      </c>
      <c r="AP11" s="198" t="s">
        <v>106</v>
      </c>
      <c r="AQ11" s="143">
        <v>1</v>
      </c>
      <c r="AR11" s="210">
        <v>0.05</v>
      </c>
      <c r="AS11" s="208">
        <v>583.07468738226385</v>
      </c>
      <c r="AT11" s="208">
        <v>1399.3792497174331</v>
      </c>
      <c r="AU11" s="208" t="b">
        <v>0</v>
      </c>
      <c r="AV11" s="208"/>
      <c r="AW11" s="208">
        <v>897</v>
      </c>
      <c r="AX11" s="199">
        <v>869</v>
      </c>
      <c r="AY11" s="12"/>
    </row>
    <row r="12" spans="1:51" ht="39.950000000000003" hidden="1" customHeight="1" x14ac:dyDescent="0.2">
      <c r="A12" s="14" t="s">
        <v>207</v>
      </c>
      <c r="B12" s="65" t="s">
        <v>51</v>
      </c>
      <c r="C12" s="66" t="s">
        <v>127</v>
      </c>
      <c r="D12" s="13" t="s">
        <v>542</v>
      </c>
      <c r="E12" s="130" t="s">
        <v>127</v>
      </c>
      <c r="F12" s="66" t="s">
        <v>102</v>
      </c>
      <c r="G12" s="66" t="s">
        <v>102</v>
      </c>
      <c r="H12" s="66" t="s">
        <v>122</v>
      </c>
      <c r="I12" s="14" t="s">
        <v>158</v>
      </c>
      <c r="J12" s="66" t="s">
        <v>220</v>
      </c>
      <c r="K12" s="13" t="s">
        <v>101</v>
      </c>
      <c r="L12" s="65" t="s">
        <v>191</v>
      </c>
      <c r="M12" s="65" t="s">
        <v>59</v>
      </c>
      <c r="N12" s="65" t="s">
        <v>43</v>
      </c>
      <c r="O12" s="65" t="s">
        <v>533</v>
      </c>
      <c r="P12" s="65" t="s">
        <v>534</v>
      </c>
      <c r="Q12" s="64" t="s">
        <v>59</v>
      </c>
      <c r="R12" s="62">
        <v>31637.059651675972</v>
      </c>
      <c r="S12" s="63">
        <v>20000</v>
      </c>
      <c r="T12" s="62">
        <v>31637.059651675972</v>
      </c>
      <c r="U12" s="62">
        <v>276824.27195216477</v>
      </c>
      <c r="V12" s="62">
        <v>2412852.5554834935</v>
      </c>
      <c r="W12" s="61" t="s">
        <v>551</v>
      </c>
      <c r="X12" s="181">
        <v>0.01</v>
      </c>
      <c r="Y12" s="105">
        <v>43070</v>
      </c>
      <c r="Z12" s="60">
        <v>46689</v>
      </c>
      <c r="AA12" s="60">
        <v>46689</v>
      </c>
      <c r="AB12" s="58">
        <v>3620</v>
      </c>
      <c r="AC12" s="59" t="s">
        <v>10</v>
      </c>
      <c r="AD12" s="58">
        <v>2312</v>
      </c>
      <c r="AE12" s="57">
        <v>6.3342465753424655</v>
      </c>
      <c r="AF12" s="56"/>
      <c r="AG12" s="71" t="s">
        <v>1</v>
      </c>
      <c r="AH12" s="71" t="s">
        <v>1</v>
      </c>
      <c r="AI12" s="71" t="s">
        <v>0</v>
      </c>
      <c r="AJ12" s="11" t="s">
        <v>0</v>
      </c>
      <c r="AK12" s="11" t="s">
        <v>1</v>
      </c>
      <c r="AL12" s="14" t="s">
        <v>334</v>
      </c>
      <c r="AM12" s="143">
        <v>16300</v>
      </c>
      <c r="AN12" s="143"/>
      <c r="AO12" s="197" t="s">
        <v>127</v>
      </c>
      <c r="AP12" s="198" t="s">
        <v>102</v>
      </c>
      <c r="AQ12" s="143"/>
      <c r="AR12" s="143"/>
      <c r="AS12" s="208">
        <v>0</v>
      </c>
      <c r="AT12" s="208">
        <v>3796.4471582011165</v>
      </c>
      <c r="AU12" s="208" t="b">
        <v>0</v>
      </c>
      <c r="AV12" s="208"/>
      <c r="AW12" s="208">
        <v>0</v>
      </c>
      <c r="AX12" s="199"/>
      <c r="AY12" s="143"/>
    </row>
    <row r="13" spans="1:51" ht="39.950000000000003" hidden="1" customHeight="1" x14ac:dyDescent="0.2">
      <c r="A13" s="14" t="s">
        <v>69</v>
      </c>
      <c r="B13" s="65" t="s">
        <v>23</v>
      </c>
      <c r="C13" s="66" t="s">
        <v>47</v>
      </c>
      <c r="D13" s="13" t="s">
        <v>469</v>
      </c>
      <c r="E13" s="77" t="s">
        <v>128</v>
      </c>
      <c r="F13" s="14" t="s">
        <v>48</v>
      </c>
      <c r="G13" s="14" t="s">
        <v>95</v>
      </c>
      <c r="H13" s="130" t="s">
        <v>447</v>
      </c>
      <c r="I13" s="14" t="s">
        <v>32</v>
      </c>
      <c r="J13" s="14" t="s">
        <v>33</v>
      </c>
      <c r="K13" s="13" t="s">
        <v>140</v>
      </c>
      <c r="L13" s="65" t="s">
        <v>191</v>
      </c>
      <c r="M13" s="13" t="s">
        <v>323</v>
      </c>
      <c r="N13" s="13" t="s">
        <v>43</v>
      </c>
      <c r="O13" s="13" t="s">
        <v>533</v>
      </c>
      <c r="P13" s="13" t="s">
        <v>534</v>
      </c>
      <c r="Q13" s="64" t="s">
        <v>9</v>
      </c>
      <c r="R13" s="62">
        <v>26802.465826856071</v>
      </c>
      <c r="S13" s="63">
        <v>16168</v>
      </c>
      <c r="T13" s="150">
        <v>21667.11337443045</v>
      </c>
      <c r="U13" s="62">
        <v>176561.24363441436</v>
      </c>
      <c r="V13" s="150">
        <v>1657645.8054140983</v>
      </c>
      <c r="W13" s="61" t="s">
        <v>11</v>
      </c>
      <c r="X13" s="181">
        <v>1.9833333333333331E-2</v>
      </c>
      <c r="Y13" s="60">
        <v>43076</v>
      </c>
      <c r="Z13" s="60">
        <v>46751</v>
      </c>
      <c r="AA13" s="60">
        <v>46751</v>
      </c>
      <c r="AB13" s="58">
        <v>3676</v>
      </c>
      <c r="AC13" s="59" t="s">
        <v>10</v>
      </c>
      <c r="AD13" s="58">
        <v>2374</v>
      </c>
      <c r="AE13" s="57">
        <v>6.5041095890410956</v>
      </c>
      <c r="AF13" s="56"/>
      <c r="AG13" s="71" t="s">
        <v>1</v>
      </c>
      <c r="AH13" s="71" t="s">
        <v>1</v>
      </c>
      <c r="AI13" s="70" t="s">
        <v>569</v>
      </c>
      <c r="AJ13" s="11" t="s">
        <v>0</v>
      </c>
      <c r="AK13" s="11" t="s">
        <v>1</v>
      </c>
      <c r="AL13" s="14" t="s">
        <v>326</v>
      </c>
      <c r="AM13" s="143">
        <v>8817.5</v>
      </c>
      <c r="AN13" s="143"/>
      <c r="AO13" s="197" t="s">
        <v>128</v>
      </c>
      <c r="AP13" s="198" t="s">
        <v>48</v>
      </c>
      <c r="AQ13" s="143"/>
      <c r="AR13" s="143"/>
      <c r="AS13" s="208">
        <v>0</v>
      </c>
      <c r="AT13" s="208">
        <v>2600.0536049316538</v>
      </c>
      <c r="AU13" s="208" t="b">
        <v>0</v>
      </c>
      <c r="AV13" s="208"/>
      <c r="AW13" s="208">
        <v>0</v>
      </c>
      <c r="AX13" s="199"/>
      <c r="AY13" s="143"/>
    </row>
    <row r="14" spans="1:51" ht="39.950000000000003" hidden="1" customHeight="1" x14ac:dyDescent="0.2">
      <c r="A14" s="13" t="s">
        <v>71</v>
      </c>
      <c r="B14" s="65" t="s">
        <v>23</v>
      </c>
      <c r="C14" s="66" t="s">
        <v>37</v>
      </c>
      <c r="D14" s="13" t="s">
        <v>540</v>
      </c>
      <c r="E14" s="161" t="s">
        <v>36</v>
      </c>
      <c r="F14" s="66" t="s">
        <v>106</v>
      </c>
      <c r="G14" s="66" t="s">
        <v>106</v>
      </c>
      <c r="H14" s="66" t="s">
        <v>107</v>
      </c>
      <c r="I14" s="14" t="s">
        <v>72</v>
      </c>
      <c r="J14" s="66" t="s">
        <v>219</v>
      </c>
      <c r="K14" s="13" t="s">
        <v>29</v>
      </c>
      <c r="L14" s="65" t="s">
        <v>191</v>
      </c>
      <c r="M14" s="13" t="s">
        <v>323</v>
      </c>
      <c r="N14" s="13" t="s">
        <v>43</v>
      </c>
      <c r="O14" s="13" t="s">
        <v>538</v>
      </c>
      <c r="P14" s="13" t="s">
        <v>548</v>
      </c>
      <c r="Q14" s="64" t="s">
        <v>9</v>
      </c>
      <c r="R14" s="62">
        <v>27807.558295363175</v>
      </c>
      <c r="S14" s="63">
        <v>18333.330000000002</v>
      </c>
      <c r="T14" s="150">
        <v>24568.922540873762</v>
      </c>
      <c r="U14" s="62">
        <v>241222.19244170465</v>
      </c>
      <c r="V14" s="150">
        <v>1332595.818815331</v>
      </c>
      <c r="W14" s="61" t="s">
        <v>11</v>
      </c>
      <c r="X14" s="181">
        <v>3.3000000000000002E-2</v>
      </c>
      <c r="Y14" s="60">
        <v>43178</v>
      </c>
      <c r="Z14" s="60">
        <v>44530</v>
      </c>
      <c r="AA14" s="60">
        <v>44530</v>
      </c>
      <c r="AB14" s="58">
        <v>1353</v>
      </c>
      <c r="AC14" s="59" t="s">
        <v>10</v>
      </c>
      <c r="AD14" s="58">
        <v>153</v>
      </c>
      <c r="AE14" s="57">
        <v>0.41917808219178082</v>
      </c>
      <c r="AF14" s="56"/>
      <c r="AG14" s="71" t="s">
        <v>1</v>
      </c>
      <c r="AH14" s="71" t="s">
        <v>1</v>
      </c>
      <c r="AI14" s="70" t="s">
        <v>602</v>
      </c>
      <c r="AJ14" s="11" t="s">
        <v>0</v>
      </c>
      <c r="AK14" s="11" t="s">
        <v>1</v>
      </c>
      <c r="AL14" s="13" t="s">
        <v>335</v>
      </c>
      <c r="AM14" s="143">
        <v>8921</v>
      </c>
      <c r="AN14" s="143"/>
      <c r="AO14" s="197" t="s">
        <v>36</v>
      </c>
      <c r="AP14" s="198" t="s">
        <v>106</v>
      </c>
      <c r="AQ14" s="143"/>
      <c r="AR14" s="143"/>
      <c r="AS14" s="208">
        <v>0</v>
      </c>
      <c r="AT14" s="208">
        <v>2948.2707049048513</v>
      </c>
      <c r="AU14" s="208" t="b">
        <v>0</v>
      </c>
      <c r="AV14" s="208"/>
      <c r="AW14" s="208">
        <v>0</v>
      </c>
      <c r="AX14" s="199"/>
      <c r="AY14" s="143"/>
    </row>
    <row r="15" spans="1:51" ht="39.950000000000003" hidden="1" customHeight="1" x14ac:dyDescent="0.2">
      <c r="A15" s="13" t="s">
        <v>74</v>
      </c>
      <c r="B15" s="65" t="s">
        <v>24</v>
      </c>
      <c r="C15" s="66" t="s">
        <v>87</v>
      </c>
      <c r="D15" s="13" t="s">
        <v>542</v>
      </c>
      <c r="E15" s="77" t="s">
        <v>91</v>
      </c>
      <c r="F15" s="14" t="s">
        <v>546</v>
      </c>
      <c r="G15" s="14" t="s">
        <v>115</v>
      </c>
      <c r="H15" s="14" t="s">
        <v>115</v>
      </c>
      <c r="I15" s="77" t="s">
        <v>75</v>
      </c>
      <c r="J15" s="77" t="s">
        <v>21</v>
      </c>
      <c r="K15" s="13" t="s">
        <v>29</v>
      </c>
      <c r="L15" s="65" t="s">
        <v>191</v>
      </c>
      <c r="M15" s="13" t="s">
        <v>59</v>
      </c>
      <c r="N15" s="13" t="s">
        <v>43</v>
      </c>
      <c r="O15" s="13" t="s">
        <v>533</v>
      </c>
      <c r="P15" s="13" t="s">
        <v>548</v>
      </c>
      <c r="Q15" s="64" t="s">
        <v>9</v>
      </c>
      <c r="R15" s="62">
        <v>33503.082283570089</v>
      </c>
      <c r="S15" s="63">
        <v>25000</v>
      </c>
      <c r="T15" s="150">
        <v>33503.082283570089</v>
      </c>
      <c r="U15" s="62">
        <v>148902.43902439025</v>
      </c>
      <c r="V15" s="150">
        <v>714732.41758241761</v>
      </c>
      <c r="W15" s="61" t="s">
        <v>11</v>
      </c>
      <c r="X15" s="181">
        <v>5.0000000000000001E-3</v>
      </c>
      <c r="Y15" s="60">
        <v>43182</v>
      </c>
      <c r="Z15" s="60">
        <v>44717</v>
      </c>
      <c r="AA15" s="60">
        <v>44717</v>
      </c>
      <c r="AB15" s="58">
        <v>1536</v>
      </c>
      <c r="AC15" s="59" t="s">
        <v>10</v>
      </c>
      <c r="AD15" s="58">
        <v>340</v>
      </c>
      <c r="AE15" s="57">
        <v>0.93150684931506844</v>
      </c>
      <c r="AF15" s="56"/>
      <c r="AG15" s="152" t="s">
        <v>1</v>
      </c>
      <c r="AH15" s="152" t="s">
        <v>1</v>
      </c>
      <c r="AI15" s="152" t="s">
        <v>0</v>
      </c>
      <c r="AJ15" s="11" t="s">
        <v>0</v>
      </c>
      <c r="AK15" s="154" t="s">
        <v>1</v>
      </c>
      <c r="AL15" s="13" t="s">
        <v>338</v>
      </c>
      <c r="AM15" s="143">
        <v>4600</v>
      </c>
      <c r="AN15" s="143"/>
      <c r="AO15" s="197" t="s">
        <v>91</v>
      </c>
      <c r="AP15" s="198" t="s">
        <v>546</v>
      </c>
      <c r="AQ15" s="143"/>
      <c r="AR15" s="143"/>
      <c r="AS15" s="208">
        <v>0</v>
      </c>
      <c r="AT15" s="208">
        <v>4020.3698740284108</v>
      </c>
      <c r="AU15" s="208" t="b">
        <v>0</v>
      </c>
      <c r="AV15" s="208"/>
      <c r="AW15" s="208">
        <v>0</v>
      </c>
      <c r="AX15" s="199"/>
      <c r="AY15" s="143"/>
    </row>
    <row r="16" spans="1:51" ht="39.950000000000003" hidden="1" customHeight="1" x14ac:dyDescent="0.2">
      <c r="A16" s="14" t="s">
        <v>76</v>
      </c>
      <c r="B16" s="65" t="s">
        <v>51</v>
      </c>
      <c r="C16" s="66" t="s">
        <v>34</v>
      </c>
      <c r="D16" s="13" t="s">
        <v>34</v>
      </c>
      <c r="E16" s="77" t="s">
        <v>34</v>
      </c>
      <c r="F16" s="14" t="s">
        <v>104</v>
      </c>
      <c r="G16" s="14" t="s">
        <v>111</v>
      </c>
      <c r="H16" s="66" t="s">
        <v>112</v>
      </c>
      <c r="I16" s="14" t="s">
        <v>21</v>
      </c>
      <c r="J16" s="77" t="s">
        <v>21</v>
      </c>
      <c r="K16" s="13" t="s">
        <v>29</v>
      </c>
      <c r="L16" s="65" t="s">
        <v>191</v>
      </c>
      <c r="M16" s="13" t="s">
        <v>323</v>
      </c>
      <c r="N16" s="13" t="s">
        <v>43</v>
      </c>
      <c r="O16" s="13" t="s">
        <v>533</v>
      </c>
      <c r="P16" s="13" t="s">
        <v>534</v>
      </c>
      <c r="Q16" s="64" t="s">
        <v>9</v>
      </c>
      <c r="R16" s="62">
        <v>33503.082283570089</v>
      </c>
      <c r="S16" s="63">
        <v>25000</v>
      </c>
      <c r="T16" s="150">
        <v>33503.082283570089</v>
      </c>
      <c r="U16" s="62">
        <v>187617.26078799251</v>
      </c>
      <c r="V16" s="150">
        <v>625344.71991423215</v>
      </c>
      <c r="W16" s="61" t="s">
        <v>11</v>
      </c>
      <c r="X16" s="181">
        <v>0.02</v>
      </c>
      <c r="Y16" s="60">
        <v>43188</v>
      </c>
      <c r="Z16" s="60">
        <v>44436</v>
      </c>
      <c r="AA16" s="60">
        <v>45166</v>
      </c>
      <c r="AB16" s="58">
        <v>1979</v>
      </c>
      <c r="AC16" s="59" t="s">
        <v>10</v>
      </c>
      <c r="AD16" s="58">
        <v>789</v>
      </c>
      <c r="AE16" s="57">
        <v>2.1616438356164385</v>
      </c>
      <c r="AF16" s="56"/>
      <c r="AG16" s="71" t="s">
        <v>1</v>
      </c>
      <c r="AH16" s="71" t="s">
        <v>1</v>
      </c>
      <c r="AI16" s="71" t="s">
        <v>0</v>
      </c>
      <c r="AJ16" s="11" t="s">
        <v>0</v>
      </c>
      <c r="AK16" s="11" t="s">
        <v>1</v>
      </c>
      <c r="AL16" s="14" t="s">
        <v>339</v>
      </c>
      <c r="AM16" s="143">
        <v>8900</v>
      </c>
      <c r="AN16" s="143"/>
      <c r="AO16" s="197" t="s">
        <v>34</v>
      </c>
      <c r="AP16" s="198" t="s">
        <v>104</v>
      </c>
      <c r="AQ16" s="143"/>
      <c r="AR16" s="143"/>
      <c r="AS16" s="208">
        <v>0</v>
      </c>
      <c r="AT16" s="208">
        <v>4020.3698740284108</v>
      </c>
      <c r="AU16" s="208" t="b">
        <v>0</v>
      </c>
      <c r="AV16" s="208"/>
      <c r="AW16" s="208">
        <v>0</v>
      </c>
      <c r="AX16" s="199"/>
      <c r="AY16" s="143"/>
    </row>
    <row r="17" spans="1:51" ht="39.950000000000003" hidden="1" customHeight="1" x14ac:dyDescent="0.2">
      <c r="A17" s="14" t="s">
        <v>438</v>
      </c>
      <c r="B17" s="65" t="s">
        <v>67</v>
      </c>
      <c r="C17" s="66" t="s">
        <v>87</v>
      </c>
      <c r="D17" s="13" t="s">
        <v>542</v>
      </c>
      <c r="E17" s="77" t="s">
        <v>87</v>
      </c>
      <c r="F17" s="14" t="s">
        <v>102</v>
      </c>
      <c r="G17" s="14" t="s">
        <v>102</v>
      </c>
      <c r="H17" s="66" t="s">
        <v>122</v>
      </c>
      <c r="I17" s="14" t="s">
        <v>78</v>
      </c>
      <c r="J17" s="14" t="s">
        <v>219</v>
      </c>
      <c r="K17" s="13" t="s">
        <v>101</v>
      </c>
      <c r="L17" s="65" t="s">
        <v>191</v>
      </c>
      <c r="M17" s="13" t="s">
        <v>59</v>
      </c>
      <c r="N17" s="13" t="s">
        <v>43</v>
      </c>
      <c r="O17" s="13" t="s">
        <v>538</v>
      </c>
      <c r="P17" s="13" t="s">
        <v>534</v>
      </c>
      <c r="Q17" s="64" t="s">
        <v>156</v>
      </c>
      <c r="R17" s="62">
        <v>27715.162041314066</v>
      </c>
      <c r="S17" s="63">
        <v>15000</v>
      </c>
      <c r="T17" s="79">
        <v>27715.162041314066</v>
      </c>
      <c r="U17" s="62">
        <v>62821.033960311885</v>
      </c>
      <c r="V17" s="76">
        <v>1663425.5385979824</v>
      </c>
      <c r="W17" s="61" t="s">
        <v>11</v>
      </c>
      <c r="X17" s="181">
        <v>1.8499999999999999E-2</v>
      </c>
      <c r="Y17" s="60">
        <v>43228</v>
      </c>
      <c r="Z17" s="60">
        <v>45054</v>
      </c>
      <c r="AA17" s="60">
        <v>45054</v>
      </c>
      <c r="AB17" s="58">
        <v>1827</v>
      </c>
      <c r="AC17" s="84" t="s">
        <v>10</v>
      </c>
      <c r="AD17" s="58">
        <v>677</v>
      </c>
      <c r="AE17" s="57">
        <v>1.8547945205479452</v>
      </c>
      <c r="AF17" s="56"/>
      <c r="AG17" s="71" t="s">
        <v>1</v>
      </c>
      <c r="AH17" s="71" t="s">
        <v>1</v>
      </c>
      <c r="AI17" s="71" t="s">
        <v>0</v>
      </c>
      <c r="AJ17" s="11" t="s">
        <v>0</v>
      </c>
      <c r="AK17" s="11" t="s">
        <v>1</v>
      </c>
      <c r="AL17" s="14" t="s">
        <v>340</v>
      </c>
      <c r="AM17" s="143">
        <v>6427.5</v>
      </c>
      <c r="AN17" s="143"/>
      <c r="AO17" s="197" t="s">
        <v>87</v>
      </c>
      <c r="AP17" s="198" t="s">
        <v>102</v>
      </c>
      <c r="AQ17" s="143"/>
      <c r="AR17" s="143"/>
      <c r="AS17" s="208">
        <v>0</v>
      </c>
      <c r="AT17" s="208">
        <v>3325.8194449576877</v>
      </c>
      <c r="AU17" s="208" t="b">
        <v>0</v>
      </c>
      <c r="AV17" s="208"/>
      <c r="AW17" s="208">
        <v>0</v>
      </c>
      <c r="AX17" s="199"/>
      <c r="AY17" s="143"/>
    </row>
    <row r="18" spans="1:51" ht="39.950000000000003" hidden="1" customHeight="1" x14ac:dyDescent="0.2">
      <c r="A18" s="14" t="s">
        <v>80</v>
      </c>
      <c r="B18" s="65" t="s">
        <v>23</v>
      </c>
      <c r="C18" s="66" t="s">
        <v>37</v>
      </c>
      <c r="D18" s="13" t="s">
        <v>540</v>
      </c>
      <c r="E18" s="161" t="s">
        <v>36</v>
      </c>
      <c r="F18" s="14" t="s">
        <v>104</v>
      </c>
      <c r="G18" s="14" t="s">
        <v>105</v>
      </c>
      <c r="H18" s="66" t="s">
        <v>131</v>
      </c>
      <c r="I18" s="14" t="s">
        <v>79</v>
      </c>
      <c r="J18" s="14" t="s">
        <v>222</v>
      </c>
      <c r="K18" s="14" t="s">
        <v>209</v>
      </c>
      <c r="L18" s="65" t="s">
        <v>191</v>
      </c>
      <c r="M18" s="13" t="s">
        <v>323</v>
      </c>
      <c r="N18" s="13" t="s">
        <v>43</v>
      </c>
      <c r="O18" s="13" t="s">
        <v>533</v>
      </c>
      <c r="P18" s="13" t="s">
        <v>534</v>
      </c>
      <c r="Q18" s="64" t="s">
        <v>9</v>
      </c>
      <c r="R18" s="62">
        <v>33503.082283570089</v>
      </c>
      <c r="S18" s="63">
        <v>25000</v>
      </c>
      <c r="T18" s="150">
        <v>33503.082283570089</v>
      </c>
      <c r="U18" s="62">
        <v>352452.42562315735</v>
      </c>
      <c r="V18" s="76">
        <v>888556.87483248464</v>
      </c>
      <c r="W18" s="61" t="s">
        <v>11</v>
      </c>
      <c r="X18" s="181">
        <v>1.7100000000000001E-2</v>
      </c>
      <c r="Y18" s="60">
        <v>43234</v>
      </c>
      <c r="Z18" s="60">
        <v>43234</v>
      </c>
      <c r="AA18" s="60">
        <v>45050</v>
      </c>
      <c r="AB18" s="58">
        <v>1817</v>
      </c>
      <c r="AC18" s="84" t="s">
        <v>10</v>
      </c>
      <c r="AD18" s="58">
        <v>673</v>
      </c>
      <c r="AE18" s="57">
        <v>1.8438356164383563</v>
      </c>
      <c r="AF18" s="56"/>
      <c r="AG18" s="71" t="s">
        <v>1</v>
      </c>
      <c r="AH18" s="71" t="s">
        <v>1</v>
      </c>
      <c r="AI18" s="71" t="s">
        <v>0</v>
      </c>
      <c r="AJ18" s="11" t="s">
        <v>0</v>
      </c>
      <c r="AK18" s="11" t="s">
        <v>1</v>
      </c>
      <c r="AL18" s="14" t="s">
        <v>341</v>
      </c>
      <c r="AM18" s="143">
        <v>11639</v>
      </c>
      <c r="AN18" s="143"/>
      <c r="AO18" s="197" t="s">
        <v>36</v>
      </c>
      <c r="AP18" s="198" t="s">
        <v>104</v>
      </c>
      <c r="AQ18" s="143"/>
      <c r="AR18" s="143"/>
      <c r="AS18" s="208">
        <v>0</v>
      </c>
      <c r="AT18" s="208">
        <v>4020.3698740284108</v>
      </c>
      <c r="AU18" s="208" t="b">
        <v>0</v>
      </c>
      <c r="AV18" s="208"/>
      <c r="AW18" s="208">
        <v>0</v>
      </c>
      <c r="AX18" s="199"/>
      <c r="AY18" s="143"/>
    </row>
    <row r="19" spans="1:51" ht="39.950000000000003" hidden="1" customHeight="1" x14ac:dyDescent="0.2">
      <c r="A19" s="13" t="s">
        <v>137</v>
      </c>
      <c r="B19" s="65" t="s">
        <v>24</v>
      </c>
      <c r="C19" s="66" t="s">
        <v>34</v>
      </c>
      <c r="D19" s="13" t="s">
        <v>34</v>
      </c>
      <c r="E19" s="77" t="s">
        <v>34</v>
      </c>
      <c r="F19" s="14" t="s">
        <v>475</v>
      </c>
      <c r="G19" s="14" t="s">
        <v>138</v>
      </c>
      <c r="H19" s="14" t="s">
        <v>138</v>
      </c>
      <c r="I19" s="14" t="s">
        <v>70</v>
      </c>
      <c r="J19" s="66" t="s">
        <v>218</v>
      </c>
      <c r="K19" s="14" t="s">
        <v>209</v>
      </c>
      <c r="L19" s="65" t="s">
        <v>191</v>
      </c>
      <c r="M19" s="13" t="s">
        <v>323</v>
      </c>
      <c r="N19" s="13" t="s">
        <v>43</v>
      </c>
      <c r="O19" s="13" t="s">
        <v>531</v>
      </c>
      <c r="P19" s="13" t="s">
        <v>534</v>
      </c>
      <c r="Q19" s="64" t="s">
        <v>8</v>
      </c>
      <c r="R19" s="62">
        <v>20000</v>
      </c>
      <c r="S19" s="63">
        <v>20000</v>
      </c>
      <c r="T19" s="150">
        <v>20000</v>
      </c>
      <c r="U19" s="62">
        <v>40000</v>
      </c>
      <c r="V19" s="150">
        <v>2636444</v>
      </c>
      <c r="W19" s="61" t="s">
        <v>11</v>
      </c>
      <c r="X19" s="181">
        <v>5.3499999999999999E-2</v>
      </c>
      <c r="Y19" s="60">
        <v>43273</v>
      </c>
      <c r="Z19" s="60">
        <v>45210</v>
      </c>
      <c r="AA19" s="60">
        <v>45210</v>
      </c>
      <c r="AB19" s="58">
        <v>1938</v>
      </c>
      <c r="AC19" s="84" t="s">
        <v>10</v>
      </c>
      <c r="AD19" s="58">
        <v>833</v>
      </c>
      <c r="AE19" s="57">
        <v>2.2821917808219179</v>
      </c>
      <c r="AF19" s="56"/>
      <c r="AG19" s="71" t="s">
        <v>1</v>
      </c>
      <c r="AH19" s="71" t="s">
        <v>1</v>
      </c>
      <c r="AI19" s="71" t="s">
        <v>0</v>
      </c>
      <c r="AJ19" s="11" t="s">
        <v>0</v>
      </c>
      <c r="AK19" s="11" t="s">
        <v>1</v>
      </c>
      <c r="AL19" s="13" t="s">
        <v>342</v>
      </c>
      <c r="AM19" s="143">
        <v>12137</v>
      </c>
      <c r="AN19" s="143"/>
      <c r="AO19" s="197" t="s">
        <v>34</v>
      </c>
      <c r="AP19" s="198" t="s">
        <v>475</v>
      </c>
      <c r="AQ19" s="143"/>
      <c r="AR19" s="143"/>
      <c r="AS19" s="208">
        <v>0</v>
      </c>
      <c r="AT19" s="208">
        <v>2400</v>
      </c>
      <c r="AU19" s="208" t="b">
        <v>0</v>
      </c>
      <c r="AV19" s="208"/>
      <c r="AW19" s="208">
        <v>0</v>
      </c>
      <c r="AX19" s="199"/>
      <c r="AY19" s="143"/>
    </row>
    <row r="20" spans="1:51" ht="39.950000000000003" customHeight="1" x14ac:dyDescent="0.2">
      <c r="A20" s="13" t="s">
        <v>144</v>
      </c>
      <c r="B20" s="65" t="s">
        <v>23</v>
      </c>
      <c r="C20" s="66" t="s">
        <v>166</v>
      </c>
      <c r="D20" s="13" t="s">
        <v>540</v>
      </c>
      <c r="E20" s="161" t="s">
        <v>36</v>
      </c>
      <c r="F20" s="14" t="s">
        <v>92</v>
      </c>
      <c r="G20" s="14" t="s">
        <v>100</v>
      </c>
      <c r="H20" s="66" t="s">
        <v>100</v>
      </c>
      <c r="I20" s="14" t="s">
        <v>145</v>
      </c>
      <c r="J20" s="66" t="s">
        <v>221</v>
      </c>
      <c r="K20" s="14" t="s">
        <v>44</v>
      </c>
      <c r="L20" s="65" t="s">
        <v>191</v>
      </c>
      <c r="M20" s="13" t="s">
        <v>59</v>
      </c>
      <c r="N20" s="13" t="s">
        <v>43</v>
      </c>
      <c r="O20" s="13" t="s">
        <v>533</v>
      </c>
      <c r="P20" s="13" t="s">
        <v>534</v>
      </c>
      <c r="Q20" s="64" t="s">
        <v>9</v>
      </c>
      <c r="R20" s="62">
        <v>13401.232913428035</v>
      </c>
      <c r="S20" s="63">
        <v>8500</v>
      </c>
      <c r="T20" s="150">
        <v>11391.047976413831</v>
      </c>
      <c r="U20" s="62">
        <v>160814.79496113642</v>
      </c>
      <c r="V20" s="150">
        <v>596434.48137228622</v>
      </c>
      <c r="W20" s="61" t="s">
        <v>551</v>
      </c>
      <c r="X20" s="181">
        <v>2.1000000000000001E-2</v>
      </c>
      <c r="Y20" s="60">
        <v>43279</v>
      </c>
      <c r="Z20" s="60">
        <v>45503</v>
      </c>
      <c r="AA20" s="60">
        <v>45503</v>
      </c>
      <c r="AB20" s="58">
        <v>2225</v>
      </c>
      <c r="AC20" s="59" t="s">
        <v>10</v>
      </c>
      <c r="AD20" s="58">
        <v>1126</v>
      </c>
      <c r="AE20" s="57">
        <v>3.0849315068493151</v>
      </c>
      <c r="AF20" s="56"/>
      <c r="AG20" s="71" t="s">
        <v>1</v>
      </c>
      <c r="AH20" s="71" t="s">
        <v>1</v>
      </c>
      <c r="AI20" s="71" t="s">
        <v>0</v>
      </c>
      <c r="AJ20" s="11" t="s">
        <v>0</v>
      </c>
      <c r="AK20" s="11" t="s">
        <v>1</v>
      </c>
      <c r="AL20" s="13" t="s">
        <v>345</v>
      </c>
      <c r="AM20" s="143"/>
      <c r="AN20" s="143"/>
      <c r="AO20" s="197" t="s">
        <v>36</v>
      </c>
      <c r="AP20" s="198" t="s">
        <v>92</v>
      </c>
      <c r="AQ20" s="143">
        <v>1</v>
      </c>
      <c r="AR20" s="210">
        <v>0.05</v>
      </c>
      <c r="AS20" s="208">
        <v>569.55239882069156</v>
      </c>
      <c r="AT20" s="208">
        <v>1366.9257571696596</v>
      </c>
      <c r="AU20" s="208" t="b">
        <v>0</v>
      </c>
      <c r="AV20" s="208"/>
      <c r="AW20" s="208">
        <v>576</v>
      </c>
      <c r="AX20" s="199">
        <v>674</v>
      </c>
      <c r="AY20" s="12" t="s">
        <v>622</v>
      </c>
    </row>
    <row r="21" spans="1:51" ht="39.950000000000003" hidden="1" customHeight="1" x14ac:dyDescent="0.2">
      <c r="A21" s="13" t="s">
        <v>147</v>
      </c>
      <c r="B21" s="65" t="s">
        <v>51</v>
      </c>
      <c r="C21" s="66" t="s">
        <v>88</v>
      </c>
      <c r="D21" s="13" t="s">
        <v>542</v>
      </c>
      <c r="E21" s="77" t="s">
        <v>88</v>
      </c>
      <c r="F21" s="14" t="s">
        <v>106</v>
      </c>
      <c r="G21" s="14" t="s">
        <v>106</v>
      </c>
      <c r="H21" s="66" t="s">
        <v>107</v>
      </c>
      <c r="I21" s="14" t="s">
        <v>61</v>
      </c>
      <c r="J21" s="66" t="s">
        <v>220</v>
      </c>
      <c r="K21" s="14" t="s">
        <v>101</v>
      </c>
      <c r="L21" s="65" t="s">
        <v>191</v>
      </c>
      <c r="M21" s="13" t="s">
        <v>59</v>
      </c>
      <c r="N21" s="13" t="s">
        <v>43</v>
      </c>
      <c r="O21" s="13" t="s">
        <v>533</v>
      </c>
      <c r="P21" s="13" t="s">
        <v>548</v>
      </c>
      <c r="Q21" s="64" t="s">
        <v>59</v>
      </c>
      <c r="R21" s="62">
        <v>23727.79473875698</v>
      </c>
      <c r="S21" s="63">
        <v>15000</v>
      </c>
      <c r="T21" s="150">
        <v>23727.79473875698</v>
      </c>
      <c r="U21" s="62">
        <v>79092.649129189929</v>
      </c>
      <c r="V21" s="150">
        <v>642725.84905958839</v>
      </c>
      <c r="W21" s="61" t="s">
        <v>11</v>
      </c>
      <c r="X21" s="181">
        <v>1.2E-2</v>
      </c>
      <c r="Y21" s="60">
        <v>43282</v>
      </c>
      <c r="Z21" s="60">
        <v>44834</v>
      </c>
      <c r="AA21" s="60">
        <v>44834</v>
      </c>
      <c r="AB21" s="58">
        <v>1553</v>
      </c>
      <c r="AC21" s="59" t="s">
        <v>10</v>
      </c>
      <c r="AD21" s="58">
        <v>457</v>
      </c>
      <c r="AE21" s="57">
        <v>1.252054794520548</v>
      </c>
      <c r="AF21" s="56"/>
      <c r="AG21" s="71" t="s">
        <v>1</v>
      </c>
      <c r="AH21" s="71" t="s">
        <v>1</v>
      </c>
      <c r="AI21" s="71" t="s">
        <v>0</v>
      </c>
      <c r="AJ21" s="11" t="s">
        <v>0</v>
      </c>
      <c r="AK21" s="11" t="s">
        <v>1</v>
      </c>
      <c r="AL21" s="13" t="s">
        <v>336</v>
      </c>
      <c r="AM21" s="143">
        <v>5540</v>
      </c>
      <c r="AN21" s="143"/>
      <c r="AO21" s="197" t="s">
        <v>88</v>
      </c>
      <c r="AP21" s="198" t="s">
        <v>106</v>
      </c>
      <c r="AQ21" s="143"/>
      <c r="AR21" s="143"/>
      <c r="AS21" s="208">
        <v>0</v>
      </c>
      <c r="AT21" s="208">
        <v>2847.3353686508376</v>
      </c>
      <c r="AU21" s="208" t="b">
        <v>0</v>
      </c>
      <c r="AV21" s="208"/>
      <c r="AW21" s="208">
        <v>0</v>
      </c>
      <c r="AX21" s="199"/>
      <c r="AY21" s="143"/>
    </row>
    <row r="22" spans="1:51" ht="39.950000000000003" hidden="1" customHeight="1" x14ac:dyDescent="0.2">
      <c r="A22" s="13" t="s">
        <v>141</v>
      </c>
      <c r="B22" s="65" t="s">
        <v>24</v>
      </c>
      <c r="C22" s="66" t="s">
        <v>38</v>
      </c>
      <c r="D22" s="13" t="s">
        <v>540</v>
      </c>
      <c r="E22" s="77" t="s">
        <v>49</v>
      </c>
      <c r="F22" s="14" t="s">
        <v>544</v>
      </c>
      <c r="G22" s="14" t="s">
        <v>117</v>
      </c>
      <c r="H22" s="14" t="s">
        <v>118</v>
      </c>
      <c r="I22" s="14" t="s">
        <v>142</v>
      </c>
      <c r="J22" s="66" t="s">
        <v>218</v>
      </c>
      <c r="K22" s="14" t="s">
        <v>29</v>
      </c>
      <c r="L22" s="65" t="s">
        <v>191</v>
      </c>
      <c r="M22" s="13" t="s">
        <v>323</v>
      </c>
      <c r="N22" s="13" t="s">
        <v>43</v>
      </c>
      <c r="O22" s="13" t="s">
        <v>538</v>
      </c>
      <c r="P22" s="13" t="s">
        <v>534</v>
      </c>
      <c r="Q22" s="64" t="s">
        <v>59</v>
      </c>
      <c r="R22" s="62">
        <v>11863.89736937849</v>
      </c>
      <c r="S22" s="63">
        <v>4162.5</v>
      </c>
      <c r="T22" s="150">
        <v>6584.4630400050619</v>
      </c>
      <c r="U22" s="62">
        <v>263378.52160020248</v>
      </c>
      <c r="V22" s="150">
        <v>714942.80019614974</v>
      </c>
      <c r="W22" s="61" t="s">
        <v>11</v>
      </c>
      <c r="X22" s="181">
        <v>3.2500000000000001E-2</v>
      </c>
      <c r="Y22" s="60">
        <v>43287</v>
      </c>
      <c r="Z22" s="60">
        <v>44928</v>
      </c>
      <c r="AA22" s="60">
        <v>44928</v>
      </c>
      <c r="AB22" s="58">
        <v>1642</v>
      </c>
      <c r="AC22" s="59" t="s">
        <v>10</v>
      </c>
      <c r="AD22" s="58">
        <v>551</v>
      </c>
      <c r="AE22" s="57">
        <v>1.5095890410958903</v>
      </c>
      <c r="AF22" s="56"/>
      <c r="AG22" s="71" t="s">
        <v>1</v>
      </c>
      <c r="AH22" s="71" t="s">
        <v>1</v>
      </c>
      <c r="AI22" s="70" t="s">
        <v>603</v>
      </c>
      <c r="AJ22" s="11" t="s">
        <v>0</v>
      </c>
      <c r="AK22" s="11" t="s">
        <v>1</v>
      </c>
      <c r="AL22" s="13" t="s">
        <v>343</v>
      </c>
      <c r="AM22" s="143">
        <v>7750</v>
      </c>
      <c r="AN22" s="143"/>
      <c r="AO22" s="197" t="s">
        <v>49</v>
      </c>
      <c r="AP22" s="198" t="s">
        <v>544</v>
      </c>
      <c r="AQ22" s="143"/>
      <c r="AR22" s="143"/>
      <c r="AS22" s="208">
        <v>0</v>
      </c>
      <c r="AT22" s="208">
        <v>790.13556480060743</v>
      </c>
      <c r="AU22" s="208" t="b">
        <v>0</v>
      </c>
      <c r="AV22" s="208"/>
      <c r="AW22" s="208">
        <v>0</v>
      </c>
      <c r="AX22" s="199"/>
      <c r="AY22" s="143"/>
    </row>
    <row r="23" spans="1:51" ht="39.950000000000003" hidden="1" customHeight="1" x14ac:dyDescent="0.2">
      <c r="A23" s="13" t="s">
        <v>143</v>
      </c>
      <c r="B23" s="65" t="s">
        <v>67</v>
      </c>
      <c r="C23" s="66" t="s">
        <v>34</v>
      </c>
      <c r="D23" s="13" t="s">
        <v>34</v>
      </c>
      <c r="E23" s="77" t="s">
        <v>34</v>
      </c>
      <c r="F23" s="14" t="s">
        <v>104</v>
      </c>
      <c r="G23" s="14" t="s">
        <v>111</v>
      </c>
      <c r="H23" s="14" t="s">
        <v>112</v>
      </c>
      <c r="I23" s="66" t="s">
        <v>70</v>
      </c>
      <c r="J23" s="66" t="s">
        <v>218</v>
      </c>
      <c r="K23" s="14" t="s">
        <v>139</v>
      </c>
      <c r="L23" s="65" t="s">
        <v>191</v>
      </c>
      <c r="M23" s="13" t="s">
        <v>323</v>
      </c>
      <c r="N23" s="13" t="s">
        <v>43</v>
      </c>
      <c r="O23" s="13" t="s">
        <v>538</v>
      </c>
      <c r="P23" s="13" t="s">
        <v>534</v>
      </c>
      <c r="Q23" s="64" t="s">
        <v>8</v>
      </c>
      <c r="R23" s="62">
        <v>20000</v>
      </c>
      <c r="S23" s="63">
        <v>20000</v>
      </c>
      <c r="T23" s="62">
        <v>20000</v>
      </c>
      <c r="U23" s="62">
        <v>50000</v>
      </c>
      <c r="V23" s="76">
        <v>1526431.89</v>
      </c>
      <c r="W23" s="61" t="s">
        <v>11</v>
      </c>
      <c r="X23" s="181">
        <v>0.05</v>
      </c>
      <c r="Y23" s="60">
        <v>43308</v>
      </c>
      <c r="Z23" s="60">
        <v>44671</v>
      </c>
      <c r="AA23" s="60">
        <v>44671</v>
      </c>
      <c r="AB23" s="58">
        <v>1364</v>
      </c>
      <c r="AC23" s="59" t="s">
        <v>10</v>
      </c>
      <c r="AD23" s="58">
        <v>294</v>
      </c>
      <c r="AE23" s="57">
        <v>0.80547945205479454</v>
      </c>
      <c r="AF23" s="56"/>
      <c r="AG23" s="71" t="s">
        <v>1</v>
      </c>
      <c r="AH23" s="71" t="s">
        <v>1</v>
      </c>
      <c r="AI23" s="71" t="s">
        <v>0</v>
      </c>
      <c r="AJ23" s="11" t="s">
        <v>0</v>
      </c>
      <c r="AK23" s="11" t="s">
        <v>1</v>
      </c>
      <c r="AL23" s="13" t="s">
        <v>344</v>
      </c>
      <c r="AM23" s="143">
        <v>24062.5</v>
      </c>
      <c r="AN23" s="143"/>
      <c r="AO23" s="197" t="s">
        <v>34</v>
      </c>
      <c r="AP23" s="198" t="s">
        <v>104</v>
      </c>
      <c r="AQ23" s="143"/>
      <c r="AR23" s="143"/>
      <c r="AS23" s="208">
        <v>0</v>
      </c>
      <c r="AT23" s="208">
        <v>2400</v>
      </c>
      <c r="AU23" s="208" t="b">
        <v>0</v>
      </c>
      <c r="AV23" s="208"/>
      <c r="AW23" s="208">
        <v>0</v>
      </c>
      <c r="AX23" s="199"/>
      <c r="AY23" s="143"/>
    </row>
    <row r="24" spans="1:51" ht="39.950000000000003" hidden="1" customHeight="1" x14ac:dyDescent="0.2">
      <c r="A24" s="14" t="s">
        <v>146</v>
      </c>
      <c r="B24" s="65" t="s">
        <v>24</v>
      </c>
      <c r="C24" s="66" t="s">
        <v>38</v>
      </c>
      <c r="D24" s="13" t="s">
        <v>34</v>
      </c>
      <c r="E24" s="77" t="s">
        <v>34</v>
      </c>
      <c r="F24" s="14" t="s">
        <v>106</v>
      </c>
      <c r="G24" s="14" t="s">
        <v>106</v>
      </c>
      <c r="H24" s="66" t="s">
        <v>107</v>
      </c>
      <c r="I24" s="14" t="s">
        <v>688</v>
      </c>
      <c r="J24" s="14" t="s">
        <v>687</v>
      </c>
      <c r="K24" s="14" t="s">
        <v>101</v>
      </c>
      <c r="L24" s="65" t="s">
        <v>191</v>
      </c>
      <c r="M24" s="13" t="s">
        <v>323</v>
      </c>
      <c r="N24" s="13" t="s">
        <v>43</v>
      </c>
      <c r="O24" s="13" t="s">
        <v>539</v>
      </c>
      <c r="P24" s="13" t="s">
        <v>534</v>
      </c>
      <c r="Q24" s="64" t="s">
        <v>8</v>
      </c>
      <c r="R24" s="62">
        <v>22500</v>
      </c>
      <c r="S24" s="63">
        <v>22500</v>
      </c>
      <c r="T24" s="62">
        <v>22500</v>
      </c>
      <c r="U24" s="62">
        <v>35000</v>
      </c>
      <c r="V24" s="76">
        <v>1755736.34</v>
      </c>
      <c r="W24" s="61" t="s">
        <v>11</v>
      </c>
      <c r="X24" s="181">
        <v>0.06</v>
      </c>
      <c r="Y24" s="60">
        <v>43320</v>
      </c>
      <c r="Z24" s="60">
        <v>44491</v>
      </c>
      <c r="AA24" s="60">
        <v>44491</v>
      </c>
      <c r="AB24" s="58">
        <v>1172</v>
      </c>
      <c r="AC24" s="59" t="s">
        <v>10</v>
      </c>
      <c r="AD24" s="58">
        <v>114</v>
      </c>
      <c r="AE24" s="57">
        <v>0.31232876712328766</v>
      </c>
      <c r="AF24" s="56"/>
      <c r="AG24" s="71" t="s">
        <v>1</v>
      </c>
      <c r="AH24" s="71" t="s">
        <v>1</v>
      </c>
      <c r="AI24" s="71" t="s">
        <v>0</v>
      </c>
      <c r="AJ24" s="11" t="s">
        <v>0</v>
      </c>
      <c r="AK24" s="11" t="s">
        <v>1</v>
      </c>
      <c r="AL24" s="14" t="s">
        <v>346</v>
      </c>
      <c r="AM24" s="143">
        <v>19560</v>
      </c>
      <c r="AN24" s="143"/>
      <c r="AO24" s="197" t="s">
        <v>34</v>
      </c>
      <c r="AP24" s="198" t="s">
        <v>106</v>
      </c>
      <c r="AQ24" s="143">
        <v>0</v>
      </c>
      <c r="AR24" s="210">
        <v>0</v>
      </c>
      <c r="AS24" s="208">
        <v>0</v>
      </c>
      <c r="AT24" s="208">
        <v>2700</v>
      </c>
      <c r="AU24" s="208" t="b">
        <v>0</v>
      </c>
      <c r="AV24" s="208"/>
      <c r="AW24" s="208">
        <v>0</v>
      </c>
      <c r="AX24" s="199">
        <v>0</v>
      </c>
      <c r="AY24" s="12"/>
    </row>
    <row r="25" spans="1:51" ht="39.950000000000003" hidden="1" customHeight="1" x14ac:dyDescent="0.2">
      <c r="A25" s="13" t="s">
        <v>153</v>
      </c>
      <c r="B25" s="65" t="s">
        <v>23</v>
      </c>
      <c r="C25" s="66" t="s">
        <v>89</v>
      </c>
      <c r="D25" s="13" t="s">
        <v>542</v>
      </c>
      <c r="E25" s="77" t="s">
        <v>127</v>
      </c>
      <c r="F25" s="14" t="s">
        <v>92</v>
      </c>
      <c r="G25" s="14" t="s">
        <v>108</v>
      </c>
      <c r="H25" s="66" t="s">
        <v>109</v>
      </c>
      <c r="I25" s="14" t="s">
        <v>151</v>
      </c>
      <c r="J25" s="14" t="s">
        <v>220</v>
      </c>
      <c r="K25" s="14" t="s">
        <v>22</v>
      </c>
      <c r="L25" s="65" t="s">
        <v>191</v>
      </c>
      <c r="M25" s="13" t="s">
        <v>59</v>
      </c>
      <c r="N25" s="13" t="s">
        <v>43</v>
      </c>
      <c r="O25" s="13" t="s">
        <v>531</v>
      </c>
      <c r="P25" s="13" t="s">
        <v>534</v>
      </c>
      <c r="Q25" s="64" t="s">
        <v>9</v>
      </c>
      <c r="R25" s="62">
        <v>3884.8686679174489</v>
      </c>
      <c r="S25" s="63">
        <v>1763.5889999999999</v>
      </c>
      <c r="T25" s="62">
        <v>2363.4266952559638</v>
      </c>
      <c r="U25" s="62">
        <v>27573.308455267015</v>
      </c>
      <c r="V25" s="76">
        <v>200306.8882337175</v>
      </c>
      <c r="W25" s="61" t="s">
        <v>11</v>
      </c>
      <c r="X25" s="181">
        <v>2.2499999999999999E-2</v>
      </c>
      <c r="Y25" s="60">
        <v>43350</v>
      </c>
      <c r="Z25" s="60">
        <v>45894</v>
      </c>
      <c r="AA25" s="60">
        <v>45894</v>
      </c>
      <c r="AB25" s="58">
        <v>2545</v>
      </c>
      <c r="AC25" s="59" t="s">
        <v>10</v>
      </c>
      <c r="AD25" s="58">
        <v>1517</v>
      </c>
      <c r="AE25" s="57">
        <v>4.1561643835616442</v>
      </c>
      <c r="AF25" s="56"/>
      <c r="AG25" s="71" t="s">
        <v>1</v>
      </c>
      <c r="AH25" s="71" t="s">
        <v>1</v>
      </c>
      <c r="AI25" s="70" t="s">
        <v>251</v>
      </c>
      <c r="AJ25" s="11" t="s">
        <v>0</v>
      </c>
      <c r="AK25" s="11" t="s">
        <v>1</v>
      </c>
      <c r="AL25" s="13" t="s">
        <v>347</v>
      </c>
      <c r="AM25" s="143">
        <v>12110</v>
      </c>
      <c r="AN25" s="143"/>
      <c r="AO25" s="197" t="s">
        <v>127</v>
      </c>
      <c r="AP25" s="198" t="s">
        <v>92</v>
      </c>
      <c r="AQ25" s="143"/>
      <c r="AR25" s="143"/>
      <c r="AS25" s="208">
        <v>0</v>
      </c>
      <c r="AT25" s="208">
        <v>283.61120343071565</v>
      </c>
      <c r="AU25" s="208" t="b">
        <v>0</v>
      </c>
      <c r="AV25" s="208"/>
      <c r="AW25" s="208">
        <v>0</v>
      </c>
      <c r="AX25" s="199"/>
      <c r="AY25" s="143"/>
    </row>
    <row r="26" spans="1:51" ht="39.950000000000003" customHeight="1" x14ac:dyDescent="0.2">
      <c r="A26" s="13" t="s">
        <v>150</v>
      </c>
      <c r="B26" s="65" t="s">
        <v>67</v>
      </c>
      <c r="C26" s="66" t="s">
        <v>149</v>
      </c>
      <c r="D26" s="13" t="s">
        <v>34</v>
      </c>
      <c r="E26" s="77" t="s">
        <v>34</v>
      </c>
      <c r="F26" s="14" t="s">
        <v>48</v>
      </c>
      <c r="G26" s="14" t="s">
        <v>95</v>
      </c>
      <c r="H26" s="66" t="s">
        <v>130</v>
      </c>
      <c r="I26" s="14" t="s">
        <v>148</v>
      </c>
      <c r="J26" s="66" t="s">
        <v>148</v>
      </c>
      <c r="K26" s="14" t="s">
        <v>209</v>
      </c>
      <c r="L26" s="65" t="s">
        <v>191</v>
      </c>
      <c r="M26" s="13" t="s">
        <v>59</v>
      </c>
      <c r="N26" s="13" t="s">
        <v>43</v>
      </c>
      <c r="O26" s="13" t="s">
        <v>531</v>
      </c>
      <c r="P26" s="13" t="s">
        <v>534</v>
      </c>
      <c r="Q26" s="64" t="s">
        <v>9</v>
      </c>
      <c r="R26" s="62">
        <v>13401.232913428035</v>
      </c>
      <c r="S26" s="73">
        <v>8467</v>
      </c>
      <c r="T26" s="76">
        <v>11346.823907799519</v>
      </c>
      <c r="U26" s="62">
        <v>85101.179308496401</v>
      </c>
      <c r="V26" s="76">
        <v>1051617.5288126508</v>
      </c>
      <c r="W26" s="61" t="s">
        <v>11</v>
      </c>
      <c r="X26" s="181">
        <v>3.7499999999999999E-2</v>
      </c>
      <c r="Y26" s="60">
        <v>43353</v>
      </c>
      <c r="Z26" s="60">
        <v>45199</v>
      </c>
      <c r="AA26" s="60">
        <v>45199</v>
      </c>
      <c r="AB26" s="58">
        <v>1847</v>
      </c>
      <c r="AC26" s="59" t="s">
        <v>10</v>
      </c>
      <c r="AD26" s="58">
        <v>822</v>
      </c>
      <c r="AE26" s="57">
        <v>2.2520547945205478</v>
      </c>
      <c r="AF26" s="56"/>
      <c r="AG26" s="71" t="s">
        <v>1</v>
      </c>
      <c r="AH26" s="71" t="s">
        <v>1</v>
      </c>
      <c r="AI26" s="70" t="s">
        <v>598</v>
      </c>
      <c r="AJ26" s="11" t="s">
        <v>0</v>
      </c>
      <c r="AK26" s="11" t="s">
        <v>1</v>
      </c>
      <c r="AL26" s="13" t="s">
        <v>553</v>
      </c>
      <c r="AM26" s="143">
        <v>16582.5</v>
      </c>
      <c r="AN26" s="143"/>
      <c r="AO26" s="197" t="s">
        <v>34</v>
      </c>
      <c r="AP26" s="198" t="s">
        <v>48</v>
      </c>
      <c r="AQ26" s="143">
        <v>1</v>
      </c>
      <c r="AR26" s="210">
        <v>0.1</v>
      </c>
      <c r="AS26" s="208">
        <v>1134.6823907799519</v>
      </c>
      <c r="AT26" s="208">
        <v>1361.6188689359421</v>
      </c>
      <c r="AU26" s="208" t="b">
        <v>0</v>
      </c>
      <c r="AV26" s="208"/>
      <c r="AW26" s="208">
        <v>1134.6823907799519</v>
      </c>
      <c r="AX26" s="199">
        <v>1142</v>
      </c>
      <c r="AY26" s="12"/>
    </row>
    <row r="27" spans="1:51" ht="39.950000000000003" hidden="1" customHeight="1" x14ac:dyDescent="0.2">
      <c r="A27" s="13" t="s">
        <v>202</v>
      </c>
      <c r="B27" s="65" t="s">
        <v>23</v>
      </c>
      <c r="C27" s="66" t="s">
        <v>89</v>
      </c>
      <c r="D27" s="13" t="s">
        <v>542</v>
      </c>
      <c r="E27" s="77" t="s">
        <v>127</v>
      </c>
      <c r="F27" s="14" t="s">
        <v>92</v>
      </c>
      <c r="G27" s="14" t="s">
        <v>108</v>
      </c>
      <c r="H27" s="66" t="s">
        <v>109</v>
      </c>
      <c r="I27" s="14" t="s">
        <v>151</v>
      </c>
      <c r="J27" s="66" t="s">
        <v>220</v>
      </c>
      <c r="K27" s="14" t="s">
        <v>22</v>
      </c>
      <c r="L27" s="65" t="s">
        <v>191</v>
      </c>
      <c r="M27" s="13" t="s">
        <v>59</v>
      </c>
      <c r="N27" s="13" t="s">
        <v>43</v>
      </c>
      <c r="O27" s="13" t="s">
        <v>531</v>
      </c>
      <c r="P27" s="13" t="s">
        <v>534</v>
      </c>
      <c r="Q27" s="64" t="s">
        <v>9</v>
      </c>
      <c r="R27" s="62">
        <v>3268.560707585098</v>
      </c>
      <c r="S27" s="73">
        <v>1518.0719999999999</v>
      </c>
      <c r="T27" s="150">
        <v>2034.4036451353525</v>
      </c>
      <c r="U27" s="62">
        <v>23734.709193245781</v>
      </c>
      <c r="V27" s="76">
        <v>174010.98901098903</v>
      </c>
      <c r="W27" s="61" t="s">
        <v>11</v>
      </c>
      <c r="X27" s="181">
        <v>2.2499999999999999E-2</v>
      </c>
      <c r="Y27" s="60">
        <v>43368</v>
      </c>
      <c r="Z27" s="60">
        <v>45955</v>
      </c>
      <c r="AA27" s="60">
        <v>45955</v>
      </c>
      <c r="AB27" s="58">
        <v>2588</v>
      </c>
      <c r="AC27" s="59" t="s">
        <v>10</v>
      </c>
      <c r="AD27" s="58">
        <v>1578</v>
      </c>
      <c r="AE27" s="57">
        <v>4.3232876712328769</v>
      </c>
      <c r="AF27" s="56"/>
      <c r="AG27" s="71" t="s">
        <v>1</v>
      </c>
      <c r="AH27" s="71" t="s">
        <v>1</v>
      </c>
      <c r="AI27" s="70" t="s">
        <v>268</v>
      </c>
      <c r="AJ27" s="11" t="s">
        <v>0</v>
      </c>
      <c r="AK27" s="11" t="s">
        <v>1</v>
      </c>
      <c r="AL27" s="13" t="s">
        <v>349</v>
      </c>
      <c r="AM27" s="143">
        <v>2242.5</v>
      </c>
      <c r="AN27" s="143"/>
      <c r="AO27" s="197" t="s">
        <v>127</v>
      </c>
      <c r="AP27" s="198" t="s">
        <v>92</v>
      </c>
      <c r="AQ27" s="143"/>
      <c r="AR27" s="143"/>
      <c r="AS27" s="208">
        <v>0</v>
      </c>
      <c r="AT27" s="208">
        <v>244.12843741624229</v>
      </c>
      <c r="AU27" s="208" t="b">
        <v>0</v>
      </c>
      <c r="AV27" s="208"/>
      <c r="AW27" s="208">
        <v>0</v>
      </c>
      <c r="AX27" s="199"/>
      <c r="AY27" s="143"/>
    </row>
    <row r="28" spans="1:51" ht="39.950000000000003" hidden="1" customHeight="1" x14ac:dyDescent="0.2">
      <c r="A28" s="14" t="s">
        <v>157</v>
      </c>
      <c r="B28" s="65" t="s">
        <v>24</v>
      </c>
      <c r="C28" s="66" t="s">
        <v>127</v>
      </c>
      <c r="D28" s="13" t="s">
        <v>542</v>
      </c>
      <c r="E28" s="77" t="s">
        <v>127</v>
      </c>
      <c r="F28" s="14" t="s">
        <v>546</v>
      </c>
      <c r="G28" s="14" t="s">
        <v>160</v>
      </c>
      <c r="H28" s="66" t="s">
        <v>160</v>
      </c>
      <c r="I28" s="14" t="s">
        <v>158</v>
      </c>
      <c r="J28" s="66" t="s">
        <v>220</v>
      </c>
      <c r="K28" s="14" t="s">
        <v>139</v>
      </c>
      <c r="L28" s="65" t="s">
        <v>191</v>
      </c>
      <c r="M28" s="13" t="s">
        <v>59</v>
      </c>
      <c r="N28" s="13" t="s">
        <v>43</v>
      </c>
      <c r="O28" s="13" t="s">
        <v>538</v>
      </c>
      <c r="P28" s="13" t="s">
        <v>548</v>
      </c>
      <c r="Q28" s="64" t="s">
        <v>59</v>
      </c>
      <c r="R28" s="62">
        <v>15818.529825837986</v>
      </c>
      <c r="S28" s="73">
        <v>3333</v>
      </c>
      <c r="T28" s="150">
        <v>5272.3159909518008</v>
      </c>
      <c r="U28" s="62">
        <v>71183.384216270933</v>
      </c>
      <c r="V28" s="76">
        <v>557631.69717006502</v>
      </c>
      <c r="W28" s="61" t="s">
        <v>11</v>
      </c>
      <c r="X28" s="181">
        <v>1.15E-2</v>
      </c>
      <c r="Y28" s="60">
        <v>43390</v>
      </c>
      <c r="Z28" s="60">
        <v>45155</v>
      </c>
      <c r="AA28" s="60">
        <v>45155</v>
      </c>
      <c r="AB28" s="58">
        <v>1766</v>
      </c>
      <c r="AC28" s="59" t="s">
        <v>10</v>
      </c>
      <c r="AD28" s="58">
        <v>778</v>
      </c>
      <c r="AE28" s="57">
        <v>2.1315068493150684</v>
      </c>
      <c r="AF28" s="56"/>
      <c r="AG28" s="71" t="s">
        <v>1</v>
      </c>
      <c r="AH28" s="71" t="s">
        <v>1</v>
      </c>
      <c r="AI28" s="70" t="s">
        <v>0</v>
      </c>
      <c r="AJ28" s="11" t="s">
        <v>0</v>
      </c>
      <c r="AK28" s="11" t="s">
        <v>1</v>
      </c>
      <c r="AL28" s="14" t="s">
        <v>157</v>
      </c>
      <c r="AM28" s="143">
        <v>6640</v>
      </c>
      <c r="AN28" s="143"/>
      <c r="AO28" s="197" t="s">
        <v>127</v>
      </c>
      <c r="AP28" s="198" t="s">
        <v>546</v>
      </c>
      <c r="AQ28" s="143"/>
      <c r="AR28" s="143"/>
      <c r="AS28" s="208">
        <v>0</v>
      </c>
      <c r="AT28" s="208">
        <v>632.67791891421609</v>
      </c>
      <c r="AU28" s="208" t="b">
        <v>0</v>
      </c>
      <c r="AV28" s="208"/>
      <c r="AW28" s="208">
        <v>0</v>
      </c>
      <c r="AX28" s="199"/>
      <c r="AY28" s="143"/>
    </row>
    <row r="29" spans="1:51" ht="39.950000000000003" hidden="1" customHeight="1" x14ac:dyDescent="0.2">
      <c r="A29" s="14" t="s">
        <v>164</v>
      </c>
      <c r="B29" s="65" t="s">
        <v>23</v>
      </c>
      <c r="C29" s="66" t="s">
        <v>127</v>
      </c>
      <c r="D29" s="13" t="s">
        <v>542</v>
      </c>
      <c r="E29" s="77" t="s">
        <v>89</v>
      </c>
      <c r="F29" s="14" t="s">
        <v>102</v>
      </c>
      <c r="G29" s="14" t="s">
        <v>102</v>
      </c>
      <c r="H29" s="66" t="s">
        <v>122</v>
      </c>
      <c r="I29" s="14" t="s">
        <v>158</v>
      </c>
      <c r="J29" s="66" t="s">
        <v>220</v>
      </c>
      <c r="K29" s="14" t="s">
        <v>101</v>
      </c>
      <c r="L29" s="65" t="s">
        <v>191</v>
      </c>
      <c r="M29" s="13" t="s">
        <v>59</v>
      </c>
      <c r="N29" s="13" t="s">
        <v>43</v>
      </c>
      <c r="O29" s="13" t="s">
        <v>538</v>
      </c>
      <c r="P29" s="13" t="s">
        <v>534</v>
      </c>
      <c r="Q29" s="64" t="s">
        <v>59</v>
      </c>
      <c r="R29" s="62">
        <v>30055.206669092175</v>
      </c>
      <c r="S29" s="73">
        <v>19000</v>
      </c>
      <c r="T29" s="79">
        <v>30055.206669092175</v>
      </c>
      <c r="U29" s="62">
        <v>275242.41896958096</v>
      </c>
      <c r="V29" s="76">
        <v>1004072.0692218865</v>
      </c>
      <c r="W29" s="61" t="s">
        <v>11</v>
      </c>
      <c r="X29" s="181">
        <v>9.5999999999999992E-3</v>
      </c>
      <c r="Y29" s="60">
        <v>43392</v>
      </c>
      <c r="Z29" s="60">
        <v>45534</v>
      </c>
      <c r="AA29" s="60">
        <v>45534</v>
      </c>
      <c r="AB29" s="58">
        <v>2143</v>
      </c>
      <c r="AC29" s="59" t="s">
        <v>10</v>
      </c>
      <c r="AD29" s="58">
        <v>1157</v>
      </c>
      <c r="AE29" s="57">
        <v>3.1698630136986301</v>
      </c>
      <c r="AF29" s="56"/>
      <c r="AG29" s="71" t="s">
        <v>1</v>
      </c>
      <c r="AH29" s="71" t="s">
        <v>1</v>
      </c>
      <c r="AI29" s="70" t="s">
        <v>0</v>
      </c>
      <c r="AJ29" s="11" t="s">
        <v>0</v>
      </c>
      <c r="AK29" s="11" t="s">
        <v>1</v>
      </c>
      <c r="AL29" s="14" t="s">
        <v>353</v>
      </c>
      <c r="AM29" s="143">
        <v>6040</v>
      </c>
      <c r="AN29" s="143"/>
      <c r="AO29" s="197" t="s">
        <v>89</v>
      </c>
      <c r="AP29" s="198" t="s">
        <v>102</v>
      </c>
      <c r="AQ29" s="143"/>
      <c r="AR29" s="143"/>
      <c r="AS29" s="208">
        <v>0</v>
      </c>
      <c r="AT29" s="208">
        <v>3606.6248002910606</v>
      </c>
      <c r="AU29" s="208" t="b">
        <v>0</v>
      </c>
      <c r="AV29" s="208"/>
      <c r="AW29" s="208">
        <v>0</v>
      </c>
      <c r="AX29" s="199"/>
      <c r="AY29" s="143"/>
    </row>
    <row r="30" spans="1:51" ht="39.950000000000003" hidden="1" customHeight="1" x14ac:dyDescent="0.2">
      <c r="A30" s="14" t="s">
        <v>161</v>
      </c>
      <c r="B30" s="65" t="s">
        <v>24</v>
      </c>
      <c r="C30" s="66" t="s">
        <v>86</v>
      </c>
      <c r="D30" s="13" t="s">
        <v>499</v>
      </c>
      <c r="E30" s="77" t="s">
        <v>162</v>
      </c>
      <c r="F30" s="14" t="s">
        <v>92</v>
      </c>
      <c r="G30" s="14" t="s">
        <v>108</v>
      </c>
      <c r="H30" s="66" t="s">
        <v>109</v>
      </c>
      <c r="I30" s="14" t="s">
        <v>163</v>
      </c>
      <c r="J30" s="14" t="s">
        <v>220</v>
      </c>
      <c r="K30" s="14" t="s">
        <v>139</v>
      </c>
      <c r="L30" s="65" t="s">
        <v>191</v>
      </c>
      <c r="M30" s="13" t="s">
        <v>59</v>
      </c>
      <c r="N30" s="13" t="s">
        <v>43</v>
      </c>
      <c r="O30" s="13" t="s">
        <v>533</v>
      </c>
      <c r="P30" s="13" t="s">
        <v>534</v>
      </c>
      <c r="Q30" s="64" t="s">
        <v>9</v>
      </c>
      <c r="R30" s="62">
        <v>33503.082283570089</v>
      </c>
      <c r="S30" s="73">
        <v>24019.163</v>
      </c>
      <c r="T30" s="76">
        <v>32188.63977485929</v>
      </c>
      <c r="U30" s="62">
        <v>257509.11819887432</v>
      </c>
      <c r="V30" s="76">
        <v>4086559.9035111233</v>
      </c>
      <c r="W30" s="61" t="s">
        <v>11</v>
      </c>
      <c r="X30" s="181">
        <v>2.75E-2</v>
      </c>
      <c r="Y30" s="60">
        <v>43397</v>
      </c>
      <c r="Z30" s="60">
        <v>45808</v>
      </c>
      <c r="AA30" s="60">
        <v>45808</v>
      </c>
      <c r="AB30" s="58">
        <v>2412</v>
      </c>
      <c r="AC30" s="59" t="s">
        <v>10</v>
      </c>
      <c r="AD30" s="58">
        <v>1431</v>
      </c>
      <c r="AE30" s="57">
        <v>3.9205479452054797</v>
      </c>
      <c r="AF30" s="56"/>
      <c r="AG30" s="71" t="s">
        <v>1</v>
      </c>
      <c r="AH30" s="71" t="s">
        <v>1</v>
      </c>
      <c r="AI30" s="70" t="s">
        <v>604</v>
      </c>
      <c r="AJ30" s="11" t="s">
        <v>0</v>
      </c>
      <c r="AK30" s="11" t="s">
        <v>1</v>
      </c>
      <c r="AL30" s="14" t="s">
        <v>352</v>
      </c>
      <c r="AM30" s="143">
        <v>10140</v>
      </c>
      <c r="AN30" s="143"/>
      <c r="AO30" s="197" t="s">
        <v>162</v>
      </c>
      <c r="AP30" s="198" t="s">
        <v>92</v>
      </c>
      <c r="AQ30" s="143"/>
      <c r="AR30" s="143"/>
      <c r="AS30" s="208">
        <v>0</v>
      </c>
      <c r="AT30" s="208">
        <v>3862.6367729831145</v>
      </c>
      <c r="AU30" s="208" t="b">
        <v>0</v>
      </c>
      <c r="AV30" s="208"/>
      <c r="AW30" s="208">
        <v>0</v>
      </c>
      <c r="AX30" s="199"/>
      <c r="AY30" s="143"/>
    </row>
    <row r="31" spans="1:51" ht="39.950000000000003" hidden="1" customHeight="1" x14ac:dyDescent="0.2">
      <c r="A31" s="14" t="s">
        <v>184</v>
      </c>
      <c r="B31" s="65" t="s">
        <v>23</v>
      </c>
      <c r="C31" s="66" t="s">
        <v>38</v>
      </c>
      <c r="D31" s="13" t="s">
        <v>540</v>
      </c>
      <c r="E31" s="77" t="s">
        <v>49</v>
      </c>
      <c r="F31" s="14" t="s">
        <v>48</v>
      </c>
      <c r="G31" s="14" t="s">
        <v>95</v>
      </c>
      <c r="H31" s="130" t="s">
        <v>447</v>
      </c>
      <c r="I31" s="77" t="s">
        <v>73</v>
      </c>
      <c r="J31" s="77" t="s">
        <v>221</v>
      </c>
      <c r="K31" s="13" t="s">
        <v>140</v>
      </c>
      <c r="L31" s="65" t="s">
        <v>191</v>
      </c>
      <c r="M31" s="13" t="s">
        <v>323</v>
      </c>
      <c r="N31" s="13" t="s">
        <v>43</v>
      </c>
      <c r="O31" s="13" t="s">
        <v>538</v>
      </c>
      <c r="P31" s="13" t="s">
        <v>534</v>
      </c>
      <c r="Q31" s="64" t="s">
        <v>9</v>
      </c>
      <c r="R31" s="62">
        <v>13401.232913428035</v>
      </c>
      <c r="S31" s="63">
        <v>4126.027</v>
      </c>
      <c r="T31" s="150">
        <v>5529.3848834092742</v>
      </c>
      <c r="U31" s="62">
        <v>100509.24685071027</v>
      </c>
      <c r="V31" s="150">
        <v>862208.1881533101</v>
      </c>
      <c r="W31" s="61" t="s">
        <v>11</v>
      </c>
      <c r="X31" s="181">
        <v>3.7499999999999999E-2</v>
      </c>
      <c r="Y31" s="60">
        <v>43398</v>
      </c>
      <c r="Z31" s="60">
        <v>45930</v>
      </c>
      <c r="AA31" s="60">
        <v>45930</v>
      </c>
      <c r="AB31" s="58">
        <v>2533</v>
      </c>
      <c r="AC31" s="59" t="s">
        <v>10</v>
      </c>
      <c r="AD31" s="58">
        <v>1553</v>
      </c>
      <c r="AE31" s="57">
        <v>4.2547945205479456</v>
      </c>
      <c r="AF31" s="56"/>
      <c r="AG31" s="71" t="s">
        <v>1</v>
      </c>
      <c r="AH31" s="71" t="s">
        <v>1</v>
      </c>
      <c r="AI31" s="70" t="s">
        <v>252</v>
      </c>
      <c r="AJ31" s="11" t="s">
        <v>0</v>
      </c>
      <c r="AK31" s="11" t="s">
        <v>1</v>
      </c>
      <c r="AL31" s="14" t="s">
        <v>337</v>
      </c>
      <c r="AM31" s="143">
        <v>14500</v>
      </c>
      <c r="AN31" s="143"/>
      <c r="AO31" s="197" t="s">
        <v>49</v>
      </c>
      <c r="AP31" s="198" t="s">
        <v>48</v>
      </c>
      <c r="AQ31" s="143"/>
      <c r="AR31" s="143"/>
      <c r="AS31" s="208">
        <v>0</v>
      </c>
      <c r="AT31" s="208">
        <v>663.52618600911285</v>
      </c>
      <c r="AU31" s="208" t="b">
        <v>0</v>
      </c>
      <c r="AV31" s="208"/>
      <c r="AW31" s="208">
        <v>0</v>
      </c>
      <c r="AX31" s="199"/>
      <c r="AY31" s="143"/>
    </row>
    <row r="32" spans="1:51" ht="39.950000000000003" hidden="1" customHeight="1" x14ac:dyDescent="0.2">
      <c r="A32" s="13" t="s">
        <v>169</v>
      </c>
      <c r="B32" s="65" t="s">
        <v>24</v>
      </c>
      <c r="C32" s="66" t="s">
        <v>166</v>
      </c>
      <c r="D32" s="13" t="s">
        <v>542</v>
      </c>
      <c r="E32" s="77" t="s">
        <v>166</v>
      </c>
      <c r="F32" s="14" t="s">
        <v>102</v>
      </c>
      <c r="G32" s="14" t="s">
        <v>102</v>
      </c>
      <c r="H32" s="14" t="s">
        <v>103</v>
      </c>
      <c r="I32" s="77" t="s">
        <v>168</v>
      </c>
      <c r="J32" s="77" t="s">
        <v>220</v>
      </c>
      <c r="K32" s="14" t="s">
        <v>101</v>
      </c>
      <c r="L32" s="65" t="s">
        <v>191</v>
      </c>
      <c r="M32" s="13" t="s">
        <v>59</v>
      </c>
      <c r="N32" s="13" t="s">
        <v>43</v>
      </c>
      <c r="O32" s="13" t="s">
        <v>538</v>
      </c>
      <c r="P32" s="13" t="s">
        <v>548</v>
      </c>
      <c r="Q32" s="64" t="s">
        <v>59</v>
      </c>
      <c r="R32" s="62">
        <v>31637.059651675972</v>
      </c>
      <c r="S32" s="63">
        <v>20000</v>
      </c>
      <c r="T32" s="150">
        <v>31637.059651675972</v>
      </c>
      <c r="U32" s="62">
        <v>158185.29825837986</v>
      </c>
      <c r="V32" s="150">
        <v>801564.4525997754</v>
      </c>
      <c r="W32" s="61" t="s">
        <v>11</v>
      </c>
      <c r="X32" s="181">
        <v>9.4999999999999998E-3</v>
      </c>
      <c r="Y32" s="60">
        <v>43418</v>
      </c>
      <c r="Z32" s="60">
        <v>45130</v>
      </c>
      <c r="AA32" s="60">
        <v>45130</v>
      </c>
      <c r="AB32" s="58">
        <v>1713</v>
      </c>
      <c r="AC32" s="59" t="s">
        <v>10</v>
      </c>
      <c r="AD32" s="58">
        <v>753</v>
      </c>
      <c r="AE32" s="57">
        <v>2.0630136986301371</v>
      </c>
      <c r="AF32" s="56"/>
      <c r="AG32" s="71" t="s">
        <v>1</v>
      </c>
      <c r="AH32" s="71" t="s">
        <v>1</v>
      </c>
      <c r="AI32" s="71" t="s">
        <v>0</v>
      </c>
      <c r="AJ32" s="11" t="s">
        <v>0</v>
      </c>
      <c r="AK32" s="11" t="s">
        <v>1</v>
      </c>
      <c r="AL32" s="13" t="s">
        <v>354</v>
      </c>
      <c r="AM32" s="143">
        <v>6100</v>
      </c>
      <c r="AN32" s="143"/>
      <c r="AO32" s="197" t="s">
        <v>166</v>
      </c>
      <c r="AP32" s="198" t="s">
        <v>102</v>
      </c>
      <c r="AQ32" s="143"/>
      <c r="AR32" s="143"/>
      <c r="AS32" s="208">
        <v>0</v>
      </c>
      <c r="AT32" s="208">
        <v>3796.4471582011165</v>
      </c>
      <c r="AU32" s="208" t="b">
        <v>0</v>
      </c>
      <c r="AV32" s="208"/>
      <c r="AW32" s="208">
        <v>0</v>
      </c>
      <c r="AX32" s="199"/>
      <c r="AY32" s="143"/>
    </row>
    <row r="33" spans="1:51" ht="39.950000000000003" hidden="1" customHeight="1" x14ac:dyDescent="0.2">
      <c r="A33" s="87" t="s">
        <v>52</v>
      </c>
      <c r="B33" s="100" t="s">
        <v>23</v>
      </c>
      <c r="C33" s="104" t="s">
        <v>34</v>
      </c>
      <c r="D33" s="103" t="s">
        <v>34</v>
      </c>
      <c r="E33" s="102" t="s">
        <v>34</v>
      </c>
      <c r="F33" s="103" t="s">
        <v>543</v>
      </c>
      <c r="G33" s="103" t="s">
        <v>136</v>
      </c>
      <c r="H33" s="101" t="s">
        <v>136</v>
      </c>
      <c r="I33" s="102" t="s">
        <v>52</v>
      </c>
      <c r="J33" s="102" t="s">
        <v>52</v>
      </c>
      <c r="K33" s="101" t="s">
        <v>7</v>
      </c>
      <c r="L33" s="100" t="s">
        <v>40</v>
      </c>
      <c r="M33" s="87"/>
      <c r="N33" s="87" t="s">
        <v>42</v>
      </c>
      <c r="O33" s="87" t="s">
        <v>531</v>
      </c>
      <c r="P33" s="87" t="s">
        <v>532</v>
      </c>
      <c r="Q33" s="99" t="s">
        <v>8</v>
      </c>
      <c r="R33" s="97">
        <v>510</v>
      </c>
      <c r="S33" s="98" t="s">
        <v>4</v>
      </c>
      <c r="T33" s="155">
        <v>510</v>
      </c>
      <c r="U33" s="97">
        <v>510</v>
      </c>
      <c r="V33" s="155">
        <v>6625</v>
      </c>
      <c r="W33" s="96" t="s">
        <v>11</v>
      </c>
      <c r="X33" s="182">
        <v>2.5000000000000001E-2</v>
      </c>
      <c r="Y33" s="95">
        <v>43435</v>
      </c>
      <c r="Z33" s="95">
        <v>44530</v>
      </c>
      <c r="AA33" s="95">
        <v>44530</v>
      </c>
      <c r="AB33" s="93">
        <v>1096</v>
      </c>
      <c r="AC33" s="94" t="s">
        <v>10</v>
      </c>
      <c r="AD33" s="93">
        <v>153</v>
      </c>
      <c r="AE33" s="92">
        <v>0.41917808219178082</v>
      </c>
      <c r="AF33" s="91"/>
      <c r="AG33" s="90" t="s">
        <v>1</v>
      </c>
      <c r="AH33" s="90" t="s">
        <v>1</v>
      </c>
      <c r="AI33" s="89" t="s">
        <v>0</v>
      </c>
      <c r="AJ33" s="11" t="s">
        <v>0</v>
      </c>
      <c r="AK33" s="88" t="s">
        <v>1</v>
      </c>
      <c r="AL33" s="87"/>
      <c r="AM33" s="143"/>
      <c r="AN33" s="143"/>
      <c r="AO33" s="197" t="s">
        <v>34</v>
      </c>
      <c r="AP33" s="198" t="s">
        <v>543</v>
      </c>
      <c r="AQ33" s="143"/>
      <c r="AR33" s="143"/>
      <c r="AS33" s="208">
        <v>0</v>
      </c>
      <c r="AT33" s="208">
        <v>61.199999999999996</v>
      </c>
      <c r="AU33" s="208" t="b">
        <v>0</v>
      </c>
      <c r="AV33" s="208"/>
      <c r="AW33" s="208">
        <v>0</v>
      </c>
      <c r="AX33" s="199"/>
      <c r="AY33" s="143"/>
    </row>
    <row r="34" spans="1:51" ht="39.950000000000003" hidden="1" customHeight="1" x14ac:dyDescent="0.2">
      <c r="A34" s="13" t="s">
        <v>171</v>
      </c>
      <c r="B34" s="65" t="s">
        <v>24</v>
      </c>
      <c r="C34" s="66" t="s">
        <v>87</v>
      </c>
      <c r="D34" s="13" t="s">
        <v>542</v>
      </c>
      <c r="E34" s="77" t="s">
        <v>87</v>
      </c>
      <c r="F34" s="14" t="s">
        <v>173</v>
      </c>
      <c r="G34" s="14" t="s">
        <v>174</v>
      </c>
      <c r="H34" s="14" t="s">
        <v>172</v>
      </c>
      <c r="I34" s="77" t="s">
        <v>75</v>
      </c>
      <c r="J34" s="77" t="s">
        <v>21</v>
      </c>
      <c r="K34" s="14" t="s">
        <v>29</v>
      </c>
      <c r="L34" s="65" t="s">
        <v>191</v>
      </c>
      <c r="M34" s="13" t="s">
        <v>59</v>
      </c>
      <c r="N34" s="13" t="s">
        <v>43</v>
      </c>
      <c r="O34" s="13" t="s">
        <v>538</v>
      </c>
      <c r="P34" s="13" t="s">
        <v>548</v>
      </c>
      <c r="Q34" s="64" t="s">
        <v>9</v>
      </c>
      <c r="R34" s="62">
        <v>33503.082283570089</v>
      </c>
      <c r="S34" s="63">
        <v>25000</v>
      </c>
      <c r="T34" s="150">
        <v>33503.082283570089</v>
      </c>
      <c r="U34" s="62">
        <v>137734.89372822302</v>
      </c>
      <c r="V34" s="150">
        <v>2033427.7137496651</v>
      </c>
      <c r="W34" s="61" t="s">
        <v>11</v>
      </c>
      <c r="X34" s="181">
        <v>1.6299999999999999E-2</v>
      </c>
      <c r="Y34" s="60">
        <v>43448</v>
      </c>
      <c r="Z34" s="60">
        <v>45716</v>
      </c>
      <c r="AA34" s="60">
        <v>45716</v>
      </c>
      <c r="AB34" s="58">
        <v>2269</v>
      </c>
      <c r="AC34" s="75" t="s">
        <v>10</v>
      </c>
      <c r="AD34" s="58">
        <v>1339</v>
      </c>
      <c r="AE34" s="57">
        <v>3.6684931506849314</v>
      </c>
      <c r="AF34" s="56"/>
      <c r="AG34" s="71" t="s">
        <v>1</v>
      </c>
      <c r="AH34" s="71" t="s">
        <v>1</v>
      </c>
      <c r="AI34" s="70" t="s">
        <v>302</v>
      </c>
      <c r="AJ34" s="11" t="s">
        <v>0</v>
      </c>
      <c r="AK34" s="11" t="s">
        <v>271</v>
      </c>
      <c r="AL34" s="13" t="s">
        <v>355</v>
      </c>
      <c r="AM34" s="143"/>
      <c r="AN34" s="143"/>
      <c r="AO34" s="197" t="s">
        <v>87</v>
      </c>
      <c r="AP34" s="198" t="s">
        <v>173</v>
      </c>
      <c r="AQ34" s="143"/>
      <c r="AR34" s="143"/>
      <c r="AS34" s="208">
        <v>0</v>
      </c>
      <c r="AT34" s="208">
        <v>4020.3698740284108</v>
      </c>
      <c r="AU34" s="208" t="b">
        <v>0</v>
      </c>
      <c r="AV34" s="208"/>
      <c r="AW34" s="208">
        <v>0</v>
      </c>
      <c r="AX34" s="199"/>
      <c r="AY34" s="143"/>
    </row>
    <row r="35" spans="1:51" ht="39.950000000000003" hidden="1" customHeight="1" x14ac:dyDescent="0.2">
      <c r="A35" s="13" t="s">
        <v>183</v>
      </c>
      <c r="B35" s="65" t="s">
        <v>23</v>
      </c>
      <c r="C35" s="66" t="s">
        <v>87</v>
      </c>
      <c r="D35" s="13" t="s">
        <v>540</v>
      </c>
      <c r="E35" s="161" t="s">
        <v>36</v>
      </c>
      <c r="F35" s="14" t="s">
        <v>544</v>
      </c>
      <c r="G35" s="14" t="s">
        <v>179</v>
      </c>
      <c r="H35" s="66" t="s">
        <v>180</v>
      </c>
      <c r="I35" s="66" t="s">
        <v>181</v>
      </c>
      <c r="J35" s="66" t="s">
        <v>33</v>
      </c>
      <c r="K35" s="14" t="s">
        <v>209</v>
      </c>
      <c r="L35" s="65" t="s">
        <v>191</v>
      </c>
      <c r="M35" s="13" t="s">
        <v>59</v>
      </c>
      <c r="N35" s="13" t="s">
        <v>43</v>
      </c>
      <c r="O35" s="13" t="s">
        <v>531</v>
      </c>
      <c r="P35" s="13" t="s">
        <v>548</v>
      </c>
      <c r="Q35" s="64" t="s">
        <v>9</v>
      </c>
      <c r="R35" s="62">
        <v>20101.849370142052</v>
      </c>
      <c r="S35" s="63">
        <v>10500</v>
      </c>
      <c r="T35" s="150">
        <v>14071.294559099437</v>
      </c>
      <c r="U35" s="62">
        <v>40203.698740284104</v>
      </c>
      <c r="V35" s="150">
        <v>443970.78531224874</v>
      </c>
      <c r="W35" s="61" t="s">
        <v>11</v>
      </c>
      <c r="X35" s="181">
        <v>1.9E-2</v>
      </c>
      <c r="Y35" s="60">
        <v>43475</v>
      </c>
      <c r="Z35" s="60">
        <v>44590</v>
      </c>
      <c r="AA35" s="60">
        <v>44590</v>
      </c>
      <c r="AB35" s="58">
        <v>1116</v>
      </c>
      <c r="AC35" s="59" t="s">
        <v>10</v>
      </c>
      <c r="AD35" s="58">
        <v>213</v>
      </c>
      <c r="AE35" s="57">
        <v>0.58356164383561648</v>
      </c>
      <c r="AF35" s="56"/>
      <c r="AG35" s="71" t="s">
        <v>1</v>
      </c>
      <c r="AH35" s="71" t="s">
        <v>182</v>
      </c>
      <c r="AI35" s="70" t="s">
        <v>605</v>
      </c>
      <c r="AJ35" s="11" t="s">
        <v>0</v>
      </c>
      <c r="AK35" s="11" t="s">
        <v>271</v>
      </c>
      <c r="AL35" s="13" t="s">
        <v>552</v>
      </c>
      <c r="AM35" s="143">
        <v>12500</v>
      </c>
      <c r="AN35" s="143"/>
      <c r="AO35" s="197" t="s">
        <v>36</v>
      </c>
      <c r="AP35" s="198" t="s">
        <v>544</v>
      </c>
      <c r="AQ35" s="143"/>
      <c r="AR35" s="143"/>
      <c r="AS35" s="208">
        <v>0</v>
      </c>
      <c r="AT35" s="208">
        <v>1688.5553470919324</v>
      </c>
      <c r="AU35" s="208" t="b">
        <v>0</v>
      </c>
      <c r="AV35" s="208"/>
      <c r="AW35" s="208">
        <v>0</v>
      </c>
      <c r="AX35" s="199"/>
      <c r="AY35" s="143"/>
    </row>
    <row r="36" spans="1:51" s="12" customFormat="1" ht="39.950000000000003" customHeight="1" x14ac:dyDescent="0.2">
      <c r="A36" s="13" t="s">
        <v>175</v>
      </c>
      <c r="B36" s="65" t="s">
        <v>23</v>
      </c>
      <c r="C36" s="66" t="s">
        <v>34</v>
      </c>
      <c r="D36" s="13" t="s">
        <v>34</v>
      </c>
      <c r="E36" s="77" t="s">
        <v>34</v>
      </c>
      <c r="F36" s="14" t="s">
        <v>544</v>
      </c>
      <c r="G36" s="14" t="s">
        <v>178</v>
      </c>
      <c r="H36" s="14" t="s">
        <v>177</v>
      </c>
      <c r="I36" s="77" t="s">
        <v>21</v>
      </c>
      <c r="J36" s="77" t="s">
        <v>21</v>
      </c>
      <c r="K36" s="14" t="s">
        <v>29</v>
      </c>
      <c r="L36" s="65" t="s">
        <v>191</v>
      </c>
      <c r="M36" s="13" t="s">
        <v>323</v>
      </c>
      <c r="N36" s="13" t="s">
        <v>43</v>
      </c>
      <c r="O36" s="13" t="s">
        <v>531</v>
      </c>
      <c r="P36" s="13" t="s">
        <v>534</v>
      </c>
      <c r="Q36" s="64" t="s">
        <v>8</v>
      </c>
      <c r="R36" s="62">
        <v>20000</v>
      </c>
      <c r="S36" s="63">
        <v>20000</v>
      </c>
      <c r="T36" s="150">
        <v>20000</v>
      </c>
      <c r="U36" s="62">
        <v>95000</v>
      </c>
      <c r="V36" s="150">
        <v>770039</v>
      </c>
      <c r="W36" s="61" t="s">
        <v>11</v>
      </c>
      <c r="X36" s="181">
        <v>1.95E-2</v>
      </c>
      <c r="Y36" s="60">
        <v>43480</v>
      </c>
      <c r="Z36" s="60">
        <v>44607</v>
      </c>
      <c r="AA36" s="60">
        <v>44607</v>
      </c>
      <c r="AB36" s="58">
        <v>1128</v>
      </c>
      <c r="AC36" s="59" t="s">
        <v>10</v>
      </c>
      <c r="AD36" s="58">
        <v>230</v>
      </c>
      <c r="AE36" s="57">
        <v>0.63013698630136983</v>
      </c>
      <c r="AF36" s="56"/>
      <c r="AG36" s="71" t="s">
        <v>1</v>
      </c>
      <c r="AH36" s="71" t="s">
        <v>1</v>
      </c>
      <c r="AI36" s="70" t="s">
        <v>0</v>
      </c>
      <c r="AJ36" s="11" t="s">
        <v>0</v>
      </c>
      <c r="AK36" s="11" t="s">
        <v>271</v>
      </c>
      <c r="AL36" s="13" t="s">
        <v>356</v>
      </c>
      <c r="AM36" s="143">
        <v>7789.99</v>
      </c>
      <c r="AN36" s="143"/>
      <c r="AO36" s="197" t="s">
        <v>34</v>
      </c>
      <c r="AP36" s="198" t="s">
        <v>544</v>
      </c>
      <c r="AQ36" s="143">
        <v>1</v>
      </c>
      <c r="AR36" s="210">
        <v>0.05</v>
      </c>
      <c r="AS36" s="208">
        <v>1000</v>
      </c>
      <c r="AT36" s="208">
        <v>2400</v>
      </c>
      <c r="AU36" s="208" t="b">
        <v>0</v>
      </c>
      <c r="AV36" s="208"/>
      <c r="AW36" s="208">
        <v>1000</v>
      </c>
      <c r="AX36" s="200">
        <v>1000</v>
      </c>
    </row>
    <row r="37" spans="1:51" ht="39.950000000000003" hidden="1" customHeight="1" x14ac:dyDescent="0.2">
      <c r="A37" s="13" t="s">
        <v>204</v>
      </c>
      <c r="B37" s="65" t="s">
        <v>23</v>
      </c>
      <c r="C37" s="66" t="s">
        <v>89</v>
      </c>
      <c r="D37" s="13" t="s">
        <v>542</v>
      </c>
      <c r="E37" s="77" t="s">
        <v>127</v>
      </c>
      <c r="F37" s="14" t="s">
        <v>92</v>
      </c>
      <c r="G37" s="14" t="s">
        <v>108</v>
      </c>
      <c r="H37" s="14" t="s">
        <v>109</v>
      </c>
      <c r="I37" s="14" t="s">
        <v>151</v>
      </c>
      <c r="J37" s="14" t="s">
        <v>220</v>
      </c>
      <c r="K37" s="14" t="s">
        <v>22</v>
      </c>
      <c r="L37" s="65" t="s">
        <v>191</v>
      </c>
      <c r="M37" s="13" t="s">
        <v>59</v>
      </c>
      <c r="N37" s="13" t="s">
        <v>43</v>
      </c>
      <c r="O37" s="13" t="s">
        <v>531</v>
      </c>
      <c r="P37" s="13" t="s">
        <v>534</v>
      </c>
      <c r="Q37" s="64" t="s">
        <v>9</v>
      </c>
      <c r="R37" s="62">
        <v>3594.2106673813992</v>
      </c>
      <c r="S37" s="63">
        <v>1815.3</v>
      </c>
      <c r="T37" s="150">
        <v>2432.7258107745911</v>
      </c>
      <c r="U37" s="62">
        <v>28379.079955892856</v>
      </c>
      <c r="V37" s="150">
        <v>164775.42213883679</v>
      </c>
      <c r="W37" s="61" t="s">
        <v>11</v>
      </c>
      <c r="X37" s="181">
        <v>2.2499999999999999E-2</v>
      </c>
      <c r="Y37" s="60">
        <v>43486</v>
      </c>
      <c r="Z37" s="60">
        <v>46041</v>
      </c>
      <c r="AA37" s="60">
        <v>46041</v>
      </c>
      <c r="AB37" s="58">
        <v>2556</v>
      </c>
      <c r="AC37" s="59" t="s">
        <v>10</v>
      </c>
      <c r="AD37" s="58">
        <v>1664</v>
      </c>
      <c r="AE37" s="57">
        <v>4.558904109589041</v>
      </c>
      <c r="AF37" s="56"/>
      <c r="AG37" s="71" t="s">
        <v>1</v>
      </c>
      <c r="AH37" s="71" t="s">
        <v>1</v>
      </c>
      <c r="AI37" s="70" t="s">
        <v>251</v>
      </c>
      <c r="AJ37" s="11" t="s">
        <v>0</v>
      </c>
      <c r="AK37" s="11" t="s">
        <v>271</v>
      </c>
      <c r="AL37" s="13" t="s">
        <v>357</v>
      </c>
      <c r="AM37" s="143">
        <v>2145</v>
      </c>
      <c r="AN37" s="143"/>
      <c r="AO37" s="197" t="s">
        <v>127</v>
      </c>
      <c r="AP37" s="198" t="s">
        <v>92</v>
      </c>
      <c r="AQ37" s="143"/>
      <c r="AR37" s="143"/>
      <c r="AS37" s="208">
        <v>0</v>
      </c>
      <c r="AT37" s="208">
        <v>291.92709729295092</v>
      </c>
      <c r="AU37" s="208" t="b">
        <v>0</v>
      </c>
      <c r="AV37" s="208"/>
      <c r="AW37" s="208">
        <v>0</v>
      </c>
      <c r="AX37" s="199"/>
      <c r="AY37" s="143"/>
    </row>
    <row r="38" spans="1:51" ht="39.950000000000003" hidden="1" customHeight="1" x14ac:dyDescent="0.2">
      <c r="A38" s="14" t="s">
        <v>190</v>
      </c>
      <c r="B38" s="65" t="s">
        <v>23</v>
      </c>
      <c r="C38" s="66" t="s">
        <v>37</v>
      </c>
      <c r="D38" s="13" t="s">
        <v>540</v>
      </c>
      <c r="E38" s="161" t="s">
        <v>36</v>
      </c>
      <c r="F38" s="14" t="s">
        <v>106</v>
      </c>
      <c r="G38" s="14" t="s">
        <v>106</v>
      </c>
      <c r="H38" s="66" t="s">
        <v>107</v>
      </c>
      <c r="I38" s="14" t="s">
        <v>72</v>
      </c>
      <c r="J38" s="14" t="s">
        <v>219</v>
      </c>
      <c r="K38" s="14" t="s">
        <v>29</v>
      </c>
      <c r="L38" s="65" t="s">
        <v>191</v>
      </c>
      <c r="M38" s="13" t="s">
        <v>323</v>
      </c>
      <c r="N38" s="13" t="s">
        <v>43</v>
      </c>
      <c r="O38" s="13" t="s">
        <v>538</v>
      </c>
      <c r="P38" s="13" t="s">
        <v>548</v>
      </c>
      <c r="Q38" s="64" t="s">
        <v>9</v>
      </c>
      <c r="R38" s="62">
        <v>5695.5239882069154</v>
      </c>
      <c r="S38" s="63">
        <v>3612.5</v>
      </c>
      <c r="T38" s="150">
        <v>4841.1953899758782</v>
      </c>
      <c r="U38" s="62">
        <v>67006.164567140178</v>
      </c>
      <c r="V38" s="150">
        <v>256466.22889305817</v>
      </c>
      <c r="W38" s="61" t="s">
        <v>11</v>
      </c>
      <c r="X38" s="181">
        <v>2.5000000000000001E-2</v>
      </c>
      <c r="Y38" s="60">
        <v>43496</v>
      </c>
      <c r="Z38" s="60">
        <v>44848</v>
      </c>
      <c r="AA38" s="60">
        <v>44848</v>
      </c>
      <c r="AB38" s="58">
        <v>1353</v>
      </c>
      <c r="AC38" s="59" t="s">
        <v>10</v>
      </c>
      <c r="AD38" s="58">
        <v>471</v>
      </c>
      <c r="AE38" s="57">
        <v>1.2904109589041095</v>
      </c>
      <c r="AF38" s="56"/>
      <c r="AG38" s="71" t="s">
        <v>1</v>
      </c>
      <c r="AH38" s="71" t="s">
        <v>1</v>
      </c>
      <c r="AI38" s="70" t="s">
        <v>601</v>
      </c>
      <c r="AJ38" s="11" t="s">
        <v>0</v>
      </c>
      <c r="AK38" s="11" t="s">
        <v>271</v>
      </c>
      <c r="AL38" s="14" t="s">
        <v>361</v>
      </c>
      <c r="AM38" s="143">
        <v>5500</v>
      </c>
      <c r="AN38" s="143"/>
      <c r="AO38" s="197" t="s">
        <v>36</v>
      </c>
      <c r="AP38" s="198" t="s">
        <v>106</v>
      </c>
      <c r="AQ38" s="143"/>
      <c r="AR38" s="143"/>
      <c r="AS38" s="208">
        <v>0</v>
      </c>
      <c r="AT38" s="208">
        <v>580.94344679710537</v>
      </c>
      <c r="AU38" s="208" t="b">
        <v>0</v>
      </c>
      <c r="AV38" s="208"/>
      <c r="AW38" s="208">
        <v>0</v>
      </c>
      <c r="AX38" s="199"/>
      <c r="AY38" s="143"/>
    </row>
    <row r="39" spans="1:51" ht="39.950000000000003" hidden="1" customHeight="1" x14ac:dyDescent="0.2">
      <c r="A39" s="14" t="s">
        <v>185</v>
      </c>
      <c r="B39" s="65" t="s">
        <v>67</v>
      </c>
      <c r="C39" s="66" t="s">
        <v>127</v>
      </c>
      <c r="D39" s="13" t="s">
        <v>542</v>
      </c>
      <c r="E39" s="68" t="s">
        <v>127</v>
      </c>
      <c r="F39" s="14" t="s">
        <v>92</v>
      </c>
      <c r="G39" s="14" t="s">
        <v>93</v>
      </c>
      <c r="H39" s="66" t="s">
        <v>94</v>
      </c>
      <c r="I39" s="14" t="s">
        <v>165</v>
      </c>
      <c r="J39" s="14" t="s">
        <v>220</v>
      </c>
      <c r="K39" s="14" t="s">
        <v>22</v>
      </c>
      <c r="L39" s="65" t="s">
        <v>191</v>
      </c>
      <c r="M39" s="13" t="s">
        <v>59</v>
      </c>
      <c r="N39" s="13" t="s">
        <v>43</v>
      </c>
      <c r="O39" s="13" t="s">
        <v>538</v>
      </c>
      <c r="P39" s="13" t="s">
        <v>534</v>
      </c>
      <c r="Q39" s="64" t="s">
        <v>59</v>
      </c>
      <c r="R39" s="62">
        <v>28473.353686508377</v>
      </c>
      <c r="S39" s="63">
        <v>18000</v>
      </c>
      <c r="T39" s="150">
        <v>28473.353686508377</v>
      </c>
      <c r="U39" s="62">
        <v>237277.94738756979</v>
      </c>
      <c r="V39" s="150">
        <v>1301433.1588022208</v>
      </c>
      <c r="W39" s="61" t="s">
        <v>11</v>
      </c>
      <c r="X39" s="181">
        <v>1.7999999999999999E-2</v>
      </c>
      <c r="Y39" s="60">
        <v>43500</v>
      </c>
      <c r="Z39" s="60">
        <v>45311</v>
      </c>
      <c r="AA39" s="60">
        <v>45311</v>
      </c>
      <c r="AB39" s="58">
        <v>1812</v>
      </c>
      <c r="AC39" s="59" t="s">
        <v>10</v>
      </c>
      <c r="AD39" s="58">
        <v>934</v>
      </c>
      <c r="AE39" s="57">
        <v>2.558904109589041</v>
      </c>
      <c r="AF39" s="56"/>
      <c r="AG39" s="71" t="s">
        <v>1</v>
      </c>
      <c r="AH39" s="71" t="s">
        <v>1</v>
      </c>
      <c r="AI39" s="70" t="s">
        <v>0</v>
      </c>
      <c r="AJ39" s="11" t="s">
        <v>0</v>
      </c>
      <c r="AK39" s="11" t="s">
        <v>271</v>
      </c>
      <c r="AL39" s="14" t="s">
        <v>358</v>
      </c>
      <c r="AM39" s="143">
        <v>23780</v>
      </c>
      <c r="AN39" s="143"/>
      <c r="AO39" s="197" t="s">
        <v>127</v>
      </c>
      <c r="AP39" s="198" t="s">
        <v>92</v>
      </c>
      <c r="AQ39" s="143"/>
      <c r="AR39" s="143"/>
      <c r="AS39" s="208">
        <v>0</v>
      </c>
      <c r="AT39" s="208">
        <v>3416.8024423810052</v>
      </c>
      <c r="AU39" s="208" t="b">
        <v>0</v>
      </c>
      <c r="AV39" s="208"/>
      <c r="AW39" s="208">
        <v>0</v>
      </c>
      <c r="AX39" s="199"/>
      <c r="AY39" s="143"/>
    </row>
    <row r="40" spans="1:51" ht="39.950000000000003" hidden="1" customHeight="1" x14ac:dyDescent="0.2">
      <c r="A40" s="148" t="s">
        <v>203</v>
      </c>
      <c r="B40" s="65" t="s">
        <v>23</v>
      </c>
      <c r="C40" s="66" t="s">
        <v>89</v>
      </c>
      <c r="D40" s="13" t="s">
        <v>542</v>
      </c>
      <c r="E40" s="77" t="s">
        <v>127</v>
      </c>
      <c r="F40" s="14" t="s">
        <v>92</v>
      </c>
      <c r="G40" s="14" t="s">
        <v>108</v>
      </c>
      <c r="H40" s="14" t="s">
        <v>109</v>
      </c>
      <c r="I40" s="14" t="s">
        <v>151</v>
      </c>
      <c r="J40" s="14" t="s">
        <v>220</v>
      </c>
      <c r="K40" s="14" t="s">
        <v>22</v>
      </c>
      <c r="L40" s="65" t="s">
        <v>191</v>
      </c>
      <c r="M40" s="13" t="s">
        <v>59</v>
      </c>
      <c r="N40" s="13" t="s">
        <v>43</v>
      </c>
      <c r="O40" s="13" t="s">
        <v>531</v>
      </c>
      <c r="P40" s="13" t="s">
        <v>534</v>
      </c>
      <c r="Q40" s="64" t="s">
        <v>9</v>
      </c>
      <c r="R40" s="62">
        <v>2653.994907531493</v>
      </c>
      <c r="S40" s="63">
        <v>1367.961</v>
      </c>
      <c r="T40" s="150">
        <v>1833.2363977485929</v>
      </c>
      <c r="U40" s="62">
        <v>21950.764108971511</v>
      </c>
      <c r="V40" s="150">
        <v>128199.82578397213</v>
      </c>
      <c r="W40" s="61" t="s">
        <v>11</v>
      </c>
      <c r="X40" s="181">
        <v>2.2499999999999999E-2</v>
      </c>
      <c r="Y40" s="60">
        <v>43508</v>
      </c>
      <c r="Z40" s="60">
        <v>46081</v>
      </c>
      <c r="AA40" s="60">
        <v>46081</v>
      </c>
      <c r="AB40" s="58">
        <v>2574</v>
      </c>
      <c r="AC40" s="59" t="s">
        <v>10</v>
      </c>
      <c r="AD40" s="58">
        <v>1704</v>
      </c>
      <c r="AE40" s="57">
        <v>4.6684931506849319</v>
      </c>
      <c r="AF40" s="56"/>
      <c r="AG40" s="71" t="s">
        <v>1</v>
      </c>
      <c r="AH40" s="71" t="s">
        <v>1</v>
      </c>
      <c r="AI40" s="70" t="s">
        <v>251</v>
      </c>
      <c r="AJ40" s="11" t="s">
        <v>0</v>
      </c>
      <c r="AK40" s="11" t="s">
        <v>271</v>
      </c>
      <c r="AL40" s="14" t="s">
        <v>360</v>
      </c>
      <c r="AM40" s="143">
        <v>1555</v>
      </c>
      <c r="AN40" s="143"/>
      <c r="AO40" s="197" t="s">
        <v>127</v>
      </c>
      <c r="AP40" s="198" t="s">
        <v>92</v>
      </c>
      <c r="AQ40" s="143"/>
      <c r="AR40" s="143"/>
      <c r="AS40" s="208">
        <v>0</v>
      </c>
      <c r="AT40" s="208">
        <v>219.98836772983114</v>
      </c>
      <c r="AU40" s="208" t="b">
        <v>0</v>
      </c>
      <c r="AV40" s="208"/>
      <c r="AW40" s="208">
        <v>0</v>
      </c>
      <c r="AX40" s="199"/>
      <c r="AY40" s="143"/>
    </row>
    <row r="41" spans="1:51" ht="39.950000000000003" hidden="1" customHeight="1" x14ac:dyDescent="0.2">
      <c r="A41" s="14" t="s">
        <v>187</v>
      </c>
      <c r="B41" s="65" t="s">
        <v>67</v>
      </c>
      <c r="C41" s="66" t="s">
        <v>34</v>
      </c>
      <c r="D41" s="13" t="s">
        <v>34</v>
      </c>
      <c r="E41" s="77" t="s">
        <v>34</v>
      </c>
      <c r="F41" s="14" t="s">
        <v>543</v>
      </c>
      <c r="G41" s="14" t="s">
        <v>97</v>
      </c>
      <c r="H41" s="14" t="s">
        <v>186</v>
      </c>
      <c r="I41" s="14" t="s">
        <v>70</v>
      </c>
      <c r="J41" s="14" t="s">
        <v>218</v>
      </c>
      <c r="K41" s="14" t="s">
        <v>139</v>
      </c>
      <c r="L41" s="65" t="s">
        <v>191</v>
      </c>
      <c r="M41" s="13" t="s">
        <v>323</v>
      </c>
      <c r="N41" s="13" t="s">
        <v>43</v>
      </c>
      <c r="O41" s="13" t="s">
        <v>538</v>
      </c>
      <c r="P41" s="13" t="s">
        <v>534</v>
      </c>
      <c r="Q41" s="15" t="s">
        <v>8</v>
      </c>
      <c r="R41" s="86">
        <v>15000</v>
      </c>
      <c r="S41" s="63">
        <v>15000</v>
      </c>
      <c r="T41" s="169">
        <v>15000</v>
      </c>
      <c r="U41" s="86">
        <v>65000</v>
      </c>
      <c r="V41" s="169">
        <v>1272296</v>
      </c>
      <c r="W41" s="61" t="s">
        <v>11</v>
      </c>
      <c r="X41" s="181">
        <v>0.05</v>
      </c>
      <c r="Y41" s="85">
        <v>43511</v>
      </c>
      <c r="Z41" s="85">
        <v>44845</v>
      </c>
      <c r="AA41" s="85">
        <v>44845</v>
      </c>
      <c r="AB41" s="58">
        <v>1335</v>
      </c>
      <c r="AC41" s="59" t="s">
        <v>10</v>
      </c>
      <c r="AD41" s="58">
        <v>468</v>
      </c>
      <c r="AE41" s="57">
        <v>1.2821917808219179</v>
      </c>
      <c r="AF41" s="56"/>
      <c r="AG41" s="71" t="s">
        <v>1</v>
      </c>
      <c r="AH41" s="71" t="s">
        <v>1</v>
      </c>
      <c r="AI41" s="70" t="s">
        <v>0</v>
      </c>
      <c r="AJ41" s="11" t="s">
        <v>0</v>
      </c>
      <c r="AK41" s="11" t="s">
        <v>271</v>
      </c>
      <c r="AL41" s="14" t="s">
        <v>359</v>
      </c>
      <c r="AM41" s="12">
        <v>5500</v>
      </c>
      <c r="AN41" s="12"/>
      <c r="AO41" s="197" t="s">
        <v>34</v>
      </c>
      <c r="AP41" s="198" t="s">
        <v>543</v>
      </c>
      <c r="AQ41" s="12"/>
      <c r="AR41" s="143"/>
      <c r="AS41" s="208">
        <v>0</v>
      </c>
      <c r="AT41" s="208">
        <v>1800</v>
      </c>
      <c r="AU41" s="208" t="b">
        <v>0</v>
      </c>
      <c r="AV41" s="208"/>
      <c r="AW41" s="208">
        <v>0</v>
      </c>
      <c r="AX41" s="199"/>
      <c r="AY41" s="143"/>
    </row>
    <row r="42" spans="1:51" ht="39.950000000000003" hidden="1" customHeight="1" x14ac:dyDescent="0.2">
      <c r="A42" s="65" t="s">
        <v>194</v>
      </c>
      <c r="B42" s="65" t="s">
        <v>23</v>
      </c>
      <c r="C42" s="66" t="s">
        <v>89</v>
      </c>
      <c r="D42" s="13" t="s">
        <v>542</v>
      </c>
      <c r="E42" s="77" t="s">
        <v>193</v>
      </c>
      <c r="F42" s="14" t="s">
        <v>92</v>
      </c>
      <c r="G42" s="66" t="s">
        <v>134</v>
      </c>
      <c r="H42" s="14" t="s">
        <v>134</v>
      </c>
      <c r="I42" s="14" t="s">
        <v>151</v>
      </c>
      <c r="J42" s="14" t="s">
        <v>220</v>
      </c>
      <c r="K42" s="14" t="s">
        <v>22</v>
      </c>
      <c r="L42" s="65" t="s">
        <v>191</v>
      </c>
      <c r="M42" s="13" t="s">
        <v>59</v>
      </c>
      <c r="N42" s="13" t="s">
        <v>43</v>
      </c>
      <c r="O42" s="13" t="s">
        <v>531</v>
      </c>
      <c r="P42" s="13" t="s">
        <v>534</v>
      </c>
      <c r="Q42" s="64" t="s">
        <v>9</v>
      </c>
      <c r="R42" s="62">
        <v>20101.849370142052</v>
      </c>
      <c r="S42" s="63">
        <v>9230.7692499999994</v>
      </c>
      <c r="T42" s="150">
        <v>12370.368868935942</v>
      </c>
      <c r="U42" s="62">
        <v>112982.70233628161</v>
      </c>
      <c r="V42" s="150">
        <v>1025779.9517555615</v>
      </c>
      <c r="W42" s="61" t="s">
        <v>11</v>
      </c>
      <c r="X42" s="181">
        <v>2.8500000000000001E-2</v>
      </c>
      <c r="Y42" s="60">
        <v>43515</v>
      </c>
      <c r="Z42" s="60">
        <v>46042</v>
      </c>
      <c r="AA42" s="60">
        <v>46042</v>
      </c>
      <c r="AB42" s="58">
        <v>2528</v>
      </c>
      <c r="AC42" s="59" t="s">
        <v>10</v>
      </c>
      <c r="AD42" s="58">
        <v>1665</v>
      </c>
      <c r="AE42" s="57">
        <v>4.5616438356164384</v>
      </c>
      <c r="AF42" s="56"/>
      <c r="AG42" s="71" t="s">
        <v>1</v>
      </c>
      <c r="AH42" s="71" t="s">
        <v>1</v>
      </c>
      <c r="AI42" s="70" t="s">
        <v>269</v>
      </c>
      <c r="AJ42" s="11" t="s">
        <v>0</v>
      </c>
      <c r="AK42" s="11" t="s">
        <v>271</v>
      </c>
      <c r="AL42" s="13" t="s">
        <v>362</v>
      </c>
      <c r="AM42" s="143">
        <v>6472.5</v>
      </c>
      <c r="AN42" s="143"/>
      <c r="AO42" s="197" t="s">
        <v>193</v>
      </c>
      <c r="AP42" s="198" t="s">
        <v>92</v>
      </c>
      <c r="AQ42" s="143"/>
      <c r="AR42" s="143"/>
      <c r="AS42" s="208">
        <v>0</v>
      </c>
      <c r="AT42" s="208">
        <v>1484.4442642723129</v>
      </c>
      <c r="AU42" s="208" t="b">
        <v>0</v>
      </c>
      <c r="AV42" s="208"/>
      <c r="AW42" s="208">
        <v>0</v>
      </c>
      <c r="AX42" s="199"/>
      <c r="AY42" s="143"/>
    </row>
    <row r="43" spans="1:51" ht="39.950000000000003" customHeight="1" x14ac:dyDescent="0.2">
      <c r="A43" s="66" t="s">
        <v>192</v>
      </c>
      <c r="B43" s="65" t="s">
        <v>23</v>
      </c>
      <c r="C43" s="66" t="s">
        <v>149</v>
      </c>
      <c r="D43" s="13" t="s">
        <v>540</v>
      </c>
      <c r="E43" s="161" t="s">
        <v>36</v>
      </c>
      <c r="F43" s="14" t="s">
        <v>544</v>
      </c>
      <c r="G43" s="66" t="s">
        <v>178</v>
      </c>
      <c r="H43" s="66" t="s">
        <v>177</v>
      </c>
      <c r="I43" s="14" t="s">
        <v>148</v>
      </c>
      <c r="J43" s="14" t="s">
        <v>148</v>
      </c>
      <c r="K43" s="14" t="s">
        <v>29</v>
      </c>
      <c r="L43" s="65" t="s">
        <v>191</v>
      </c>
      <c r="M43" s="13" t="s">
        <v>59</v>
      </c>
      <c r="N43" s="13" t="s">
        <v>43</v>
      </c>
      <c r="O43" s="13" t="s">
        <v>539</v>
      </c>
      <c r="P43" s="13" t="s">
        <v>534</v>
      </c>
      <c r="Q43" s="64" t="s">
        <v>9</v>
      </c>
      <c r="R43" s="62">
        <v>10050.924685071026</v>
      </c>
      <c r="S43" s="63">
        <v>7500</v>
      </c>
      <c r="T43" s="150">
        <v>10050.924685071026</v>
      </c>
      <c r="U43" s="62">
        <v>40203.698740284104</v>
      </c>
      <c r="V43" s="150">
        <v>541570.2894666309</v>
      </c>
      <c r="W43" s="61" t="s">
        <v>551</v>
      </c>
      <c r="X43" s="181">
        <v>3.5000000000000003E-2</v>
      </c>
      <c r="Y43" s="60">
        <v>43532</v>
      </c>
      <c r="Z43" s="60">
        <v>45323</v>
      </c>
      <c r="AA43" s="60">
        <v>45323</v>
      </c>
      <c r="AB43" s="58">
        <v>1792</v>
      </c>
      <c r="AC43" s="59" t="s">
        <v>10</v>
      </c>
      <c r="AD43" s="58">
        <v>946</v>
      </c>
      <c r="AE43" s="57">
        <v>2.591780821917808</v>
      </c>
      <c r="AF43" s="56"/>
      <c r="AG43" s="71" t="s">
        <v>1</v>
      </c>
      <c r="AH43" s="71" t="s">
        <v>1</v>
      </c>
      <c r="AI43" s="71" t="s">
        <v>0</v>
      </c>
      <c r="AJ43" s="11" t="s">
        <v>0</v>
      </c>
      <c r="AK43" s="11" t="s">
        <v>271</v>
      </c>
      <c r="AL43" s="14" t="s">
        <v>363</v>
      </c>
      <c r="AM43" s="143">
        <v>8000</v>
      </c>
      <c r="AN43" s="143"/>
      <c r="AO43" s="197" t="s">
        <v>36</v>
      </c>
      <c r="AP43" s="198" t="s">
        <v>544</v>
      </c>
      <c r="AQ43" s="143">
        <v>1</v>
      </c>
      <c r="AR43" s="210">
        <v>0.1</v>
      </c>
      <c r="AS43" s="208">
        <v>1005.0924685071027</v>
      </c>
      <c r="AT43" s="208">
        <v>1206.110962208523</v>
      </c>
      <c r="AU43" s="208" t="b">
        <v>0</v>
      </c>
      <c r="AV43" s="208"/>
      <c r="AW43" s="208">
        <v>1005.0924685071027</v>
      </c>
      <c r="AX43" s="199">
        <v>1012</v>
      </c>
      <c r="AY43" s="12"/>
    </row>
    <row r="44" spans="1:51" ht="39.950000000000003" hidden="1" customHeight="1" x14ac:dyDescent="0.2">
      <c r="A44" s="148" t="s">
        <v>199</v>
      </c>
      <c r="B44" s="65" t="s">
        <v>24</v>
      </c>
      <c r="C44" s="66" t="s">
        <v>34</v>
      </c>
      <c r="D44" s="13" t="s">
        <v>34</v>
      </c>
      <c r="E44" s="130" t="s">
        <v>34</v>
      </c>
      <c r="F44" s="14" t="s">
        <v>544</v>
      </c>
      <c r="G44" s="14" t="s">
        <v>201</v>
      </c>
      <c r="H44" s="66" t="s">
        <v>200</v>
      </c>
      <c r="I44" s="66" t="s">
        <v>70</v>
      </c>
      <c r="J44" s="66" t="s">
        <v>218</v>
      </c>
      <c r="K44" s="14" t="s">
        <v>139</v>
      </c>
      <c r="L44" s="65" t="s">
        <v>191</v>
      </c>
      <c r="M44" s="13" t="s">
        <v>323</v>
      </c>
      <c r="N44" s="65" t="s">
        <v>43</v>
      </c>
      <c r="O44" s="65" t="s">
        <v>531</v>
      </c>
      <c r="P44" s="65" t="s">
        <v>534</v>
      </c>
      <c r="Q44" s="64" t="s">
        <v>8</v>
      </c>
      <c r="R44" s="62">
        <v>10000</v>
      </c>
      <c r="S44" s="149">
        <v>10000</v>
      </c>
      <c r="T44" s="82">
        <v>10000</v>
      </c>
      <c r="U44" s="82">
        <v>138900</v>
      </c>
      <c r="V44" s="82">
        <v>540870</v>
      </c>
      <c r="W44" s="61" t="s">
        <v>11</v>
      </c>
      <c r="X44" s="181">
        <v>3.7499999999999999E-2</v>
      </c>
      <c r="Y44" s="81">
        <v>43592</v>
      </c>
      <c r="Z44" s="81">
        <v>44729</v>
      </c>
      <c r="AA44" s="81">
        <v>44729</v>
      </c>
      <c r="AB44" s="58">
        <v>1138</v>
      </c>
      <c r="AC44" s="151" t="s">
        <v>10</v>
      </c>
      <c r="AD44" s="80">
        <v>352</v>
      </c>
      <c r="AE44" s="57">
        <v>0.96438356164383565</v>
      </c>
      <c r="AF44" s="56"/>
      <c r="AG44" s="71" t="s">
        <v>1</v>
      </c>
      <c r="AH44" s="71" t="s">
        <v>1</v>
      </c>
      <c r="AI44" s="71" t="s">
        <v>0</v>
      </c>
      <c r="AJ44" s="11" t="s">
        <v>0</v>
      </c>
      <c r="AK44" s="11" t="s">
        <v>271</v>
      </c>
      <c r="AL44" s="13" t="s">
        <v>365</v>
      </c>
      <c r="AM44" s="143">
        <v>5500</v>
      </c>
      <c r="AN44" s="143"/>
      <c r="AO44" s="197" t="s">
        <v>34</v>
      </c>
      <c r="AP44" s="198" t="s">
        <v>544</v>
      </c>
      <c r="AQ44" s="143"/>
      <c r="AR44" s="143"/>
      <c r="AS44" s="208">
        <v>0</v>
      </c>
      <c r="AT44" s="208">
        <v>1200</v>
      </c>
      <c r="AU44" s="208" t="b">
        <v>0</v>
      </c>
      <c r="AV44" s="208"/>
      <c r="AW44" s="208">
        <v>0</v>
      </c>
      <c r="AX44" s="199"/>
      <c r="AY44" s="143"/>
    </row>
    <row r="45" spans="1:51" ht="39.950000000000003" hidden="1" customHeight="1" x14ac:dyDescent="0.2">
      <c r="A45" s="130" t="s">
        <v>198</v>
      </c>
      <c r="B45" s="66" t="s">
        <v>51</v>
      </c>
      <c r="C45" s="66" t="s">
        <v>34</v>
      </c>
      <c r="D45" s="13" t="s">
        <v>34</v>
      </c>
      <c r="E45" s="130" t="s">
        <v>34</v>
      </c>
      <c r="F45" s="14" t="s">
        <v>106</v>
      </c>
      <c r="G45" s="66" t="s">
        <v>106</v>
      </c>
      <c r="H45" s="66" t="s">
        <v>107</v>
      </c>
      <c r="I45" s="66" t="s">
        <v>21</v>
      </c>
      <c r="J45" s="66" t="s">
        <v>21</v>
      </c>
      <c r="K45" s="14" t="s">
        <v>101</v>
      </c>
      <c r="L45" s="65" t="s">
        <v>191</v>
      </c>
      <c r="M45" s="14" t="s">
        <v>323</v>
      </c>
      <c r="N45" s="65" t="s">
        <v>43</v>
      </c>
      <c r="O45" s="65" t="s">
        <v>539</v>
      </c>
      <c r="P45" s="65" t="s">
        <v>534</v>
      </c>
      <c r="Q45" s="64" t="s">
        <v>8</v>
      </c>
      <c r="R45" s="62">
        <v>30000</v>
      </c>
      <c r="S45" s="149">
        <v>30000</v>
      </c>
      <c r="T45" s="82">
        <v>30000</v>
      </c>
      <c r="U45" s="82">
        <v>182000</v>
      </c>
      <c r="V45" s="82">
        <v>1178163</v>
      </c>
      <c r="W45" s="61" t="s">
        <v>11</v>
      </c>
      <c r="X45" s="181">
        <v>1.6500000000000001E-2</v>
      </c>
      <c r="Y45" s="81">
        <v>43597</v>
      </c>
      <c r="Z45" s="81">
        <v>44500</v>
      </c>
      <c r="AA45" s="81">
        <v>44500</v>
      </c>
      <c r="AB45" s="58">
        <v>904</v>
      </c>
      <c r="AC45" s="151" t="s">
        <v>10</v>
      </c>
      <c r="AD45" s="80">
        <v>123</v>
      </c>
      <c r="AE45" s="57">
        <v>0.33698630136986302</v>
      </c>
      <c r="AF45" s="56" t="s">
        <v>436</v>
      </c>
      <c r="AG45" s="71" t="s">
        <v>1</v>
      </c>
      <c r="AH45" s="71" t="s">
        <v>1</v>
      </c>
      <c r="AI45" s="71" t="s">
        <v>0</v>
      </c>
      <c r="AJ45" s="11" t="s">
        <v>0</v>
      </c>
      <c r="AK45" s="11" t="s">
        <v>271</v>
      </c>
      <c r="AL45" s="14" t="s">
        <v>364</v>
      </c>
      <c r="AM45" s="143">
        <v>9328.41</v>
      </c>
      <c r="AN45" s="143"/>
      <c r="AO45" s="197" t="s">
        <v>34</v>
      </c>
      <c r="AP45" s="198" t="s">
        <v>106</v>
      </c>
      <c r="AQ45" s="143"/>
      <c r="AR45" s="143"/>
      <c r="AS45" s="208">
        <v>0</v>
      </c>
      <c r="AT45" s="208">
        <v>3600</v>
      </c>
      <c r="AU45" s="208">
        <v>720</v>
      </c>
      <c r="AV45" s="208"/>
      <c r="AW45" s="208">
        <v>0</v>
      </c>
      <c r="AX45" s="199"/>
      <c r="AY45" s="143"/>
    </row>
    <row r="46" spans="1:51" ht="39.950000000000003" hidden="1" customHeight="1" x14ac:dyDescent="0.2">
      <c r="A46" s="148" t="s">
        <v>206</v>
      </c>
      <c r="B46" s="65" t="s">
        <v>23</v>
      </c>
      <c r="C46" s="66" t="s">
        <v>38</v>
      </c>
      <c r="D46" s="13" t="s">
        <v>541</v>
      </c>
      <c r="E46" s="130" t="s">
        <v>37</v>
      </c>
      <c r="F46" s="14" t="s">
        <v>546</v>
      </c>
      <c r="G46" s="66" t="s">
        <v>167</v>
      </c>
      <c r="H46" s="66" t="s">
        <v>167</v>
      </c>
      <c r="I46" s="66" t="s">
        <v>50</v>
      </c>
      <c r="J46" s="66" t="s">
        <v>21</v>
      </c>
      <c r="K46" s="14" t="s">
        <v>29</v>
      </c>
      <c r="L46" s="65" t="s">
        <v>191</v>
      </c>
      <c r="M46" s="13" t="s">
        <v>323</v>
      </c>
      <c r="N46" s="65" t="s">
        <v>43</v>
      </c>
      <c r="O46" s="65" t="s">
        <v>531</v>
      </c>
      <c r="P46" s="13" t="s">
        <v>548</v>
      </c>
      <c r="Q46" s="83" t="s">
        <v>9</v>
      </c>
      <c r="R46" s="62">
        <v>26802.465826856071</v>
      </c>
      <c r="S46" s="149">
        <v>20000</v>
      </c>
      <c r="T46" s="82">
        <v>26802.465826856071</v>
      </c>
      <c r="U46" s="82">
        <v>123291.34280353793</v>
      </c>
      <c r="V46" s="82">
        <v>1052227.2849102118</v>
      </c>
      <c r="W46" s="61" t="s">
        <v>11</v>
      </c>
      <c r="X46" s="181">
        <v>1.4500000000000001E-2</v>
      </c>
      <c r="Y46" s="81">
        <v>43609</v>
      </c>
      <c r="Z46" s="81">
        <v>45044</v>
      </c>
      <c r="AA46" s="81">
        <v>45044</v>
      </c>
      <c r="AB46" s="58">
        <v>1436</v>
      </c>
      <c r="AC46" s="151" t="s">
        <v>10</v>
      </c>
      <c r="AD46" s="80">
        <v>667</v>
      </c>
      <c r="AE46" s="57">
        <v>1.8273972602739725</v>
      </c>
      <c r="AF46" s="56" t="s">
        <v>436</v>
      </c>
      <c r="AG46" s="71" t="s">
        <v>1</v>
      </c>
      <c r="AH46" s="71" t="s">
        <v>1</v>
      </c>
      <c r="AI46" s="71" t="s">
        <v>0</v>
      </c>
      <c r="AJ46" s="11" t="s">
        <v>0</v>
      </c>
      <c r="AK46" s="11" t="s">
        <v>271</v>
      </c>
      <c r="AL46" s="14" t="s">
        <v>367</v>
      </c>
      <c r="AM46" s="143">
        <v>3500</v>
      </c>
      <c r="AN46" s="143"/>
      <c r="AO46" s="197" t="s">
        <v>37</v>
      </c>
      <c r="AP46" s="198" t="s">
        <v>546</v>
      </c>
      <c r="AQ46" s="143"/>
      <c r="AR46" s="143"/>
      <c r="AS46" s="208">
        <v>0</v>
      </c>
      <c r="AT46" s="208">
        <v>3216.2958992227282</v>
      </c>
      <c r="AU46" s="208">
        <v>643.25917984454566</v>
      </c>
      <c r="AV46" s="208"/>
      <c r="AW46" s="208">
        <v>0</v>
      </c>
      <c r="AX46" s="199"/>
      <c r="AY46" s="143"/>
    </row>
    <row r="47" spans="1:51" ht="39.950000000000003" hidden="1" customHeight="1" x14ac:dyDescent="0.2">
      <c r="A47" s="66" t="s">
        <v>205</v>
      </c>
      <c r="B47" s="65" t="s">
        <v>23</v>
      </c>
      <c r="C47" s="66" t="s">
        <v>38</v>
      </c>
      <c r="D47" s="13" t="s">
        <v>540</v>
      </c>
      <c r="E47" s="161" t="s">
        <v>36</v>
      </c>
      <c r="F47" s="14" t="s">
        <v>92</v>
      </c>
      <c r="G47" s="66" t="s">
        <v>134</v>
      </c>
      <c r="H47" s="66" t="s">
        <v>134</v>
      </c>
      <c r="I47" s="66" t="s">
        <v>50</v>
      </c>
      <c r="J47" s="66" t="s">
        <v>21</v>
      </c>
      <c r="K47" s="14" t="s">
        <v>22</v>
      </c>
      <c r="L47" s="65" t="s">
        <v>191</v>
      </c>
      <c r="M47" s="13" t="s">
        <v>323</v>
      </c>
      <c r="N47" s="65" t="s">
        <v>43</v>
      </c>
      <c r="O47" s="65" t="s">
        <v>531</v>
      </c>
      <c r="P47" s="65" t="s">
        <v>534</v>
      </c>
      <c r="Q47" s="83" t="s">
        <v>9</v>
      </c>
      <c r="R47" s="62">
        <v>27137.496649691773</v>
      </c>
      <c r="S47" s="149">
        <v>14523.973</v>
      </c>
      <c r="T47" s="82">
        <v>19463.914500134011</v>
      </c>
      <c r="U47" s="82">
        <v>93042.31721545542</v>
      </c>
      <c r="V47" s="82">
        <v>846038.59555079066</v>
      </c>
      <c r="W47" s="61" t="s">
        <v>11</v>
      </c>
      <c r="X47" s="181">
        <v>1.4E-2</v>
      </c>
      <c r="Y47" s="81">
        <v>43609</v>
      </c>
      <c r="Z47" s="81">
        <v>46457</v>
      </c>
      <c r="AA47" s="81">
        <v>46457</v>
      </c>
      <c r="AB47" s="58">
        <v>2849</v>
      </c>
      <c r="AC47" s="151" t="s">
        <v>10</v>
      </c>
      <c r="AD47" s="80">
        <v>2080</v>
      </c>
      <c r="AE47" s="57">
        <v>5.6986301369863011</v>
      </c>
      <c r="AF47" s="56" t="s">
        <v>436</v>
      </c>
      <c r="AG47" s="71" t="s">
        <v>1</v>
      </c>
      <c r="AH47" s="71" t="s">
        <v>1</v>
      </c>
      <c r="AI47" s="70" t="s">
        <v>606</v>
      </c>
      <c r="AJ47" s="11" t="s">
        <v>0</v>
      </c>
      <c r="AK47" s="11" t="s">
        <v>271</v>
      </c>
      <c r="AL47" s="14" t="s">
        <v>366</v>
      </c>
      <c r="AM47" s="143">
        <v>8100</v>
      </c>
      <c r="AN47" s="143"/>
      <c r="AO47" s="197" t="s">
        <v>36</v>
      </c>
      <c r="AP47" s="198" t="s">
        <v>92</v>
      </c>
      <c r="AQ47" s="143"/>
      <c r="AR47" s="143"/>
      <c r="AS47" s="208">
        <v>0</v>
      </c>
      <c r="AT47" s="208">
        <v>2335.6697400160811</v>
      </c>
      <c r="AU47" s="208">
        <v>467.13394800321623</v>
      </c>
      <c r="AV47" s="208"/>
      <c r="AW47" s="208">
        <v>0</v>
      </c>
      <c r="AX47" s="199"/>
      <c r="AY47" s="143"/>
    </row>
    <row r="48" spans="1:51" ht="39.950000000000003" hidden="1" customHeight="1" x14ac:dyDescent="0.2">
      <c r="A48" s="65" t="s">
        <v>210</v>
      </c>
      <c r="B48" s="65" t="s">
        <v>51</v>
      </c>
      <c r="C48" s="66" t="s">
        <v>211</v>
      </c>
      <c r="D48" s="13" t="s">
        <v>542</v>
      </c>
      <c r="E48" s="77" t="s">
        <v>211</v>
      </c>
      <c r="F48" s="14" t="s">
        <v>102</v>
      </c>
      <c r="G48" s="66" t="s">
        <v>102</v>
      </c>
      <c r="H48" s="66" t="s">
        <v>122</v>
      </c>
      <c r="I48" s="66" t="s">
        <v>212</v>
      </c>
      <c r="J48" s="66" t="s">
        <v>220</v>
      </c>
      <c r="K48" s="14" t="s">
        <v>13</v>
      </c>
      <c r="L48" s="65" t="s">
        <v>191</v>
      </c>
      <c r="M48" s="13" t="s">
        <v>59</v>
      </c>
      <c r="N48" s="65" t="s">
        <v>43</v>
      </c>
      <c r="O48" s="65" t="s">
        <v>538</v>
      </c>
      <c r="P48" s="65" t="s">
        <v>534</v>
      </c>
      <c r="Q48" s="64" t="s">
        <v>59</v>
      </c>
      <c r="R48" s="62">
        <v>12698.324817691444</v>
      </c>
      <c r="S48" s="149">
        <v>8027.5</v>
      </c>
      <c r="T48" s="82">
        <v>12698.324817691444</v>
      </c>
      <c r="U48" s="82">
        <v>25396.649635382888</v>
      </c>
      <c r="V48" s="62">
        <v>592476.1535662876</v>
      </c>
      <c r="W48" s="61" t="s">
        <v>11</v>
      </c>
      <c r="X48" s="181">
        <v>2.5000000000000001E-2</v>
      </c>
      <c r="Y48" s="81">
        <v>43626</v>
      </c>
      <c r="Z48" s="60">
        <v>44904</v>
      </c>
      <c r="AA48" s="157">
        <v>44904</v>
      </c>
      <c r="AB48" s="58">
        <v>1279</v>
      </c>
      <c r="AC48" s="151" t="s">
        <v>10</v>
      </c>
      <c r="AD48" s="80">
        <v>527</v>
      </c>
      <c r="AE48" s="57">
        <v>1.4438356164383561</v>
      </c>
      <c r="AF48" s="56"/>
      <c r="AG48" s="71" t="s">
        <v>1</v>
      </c>
      <c r="AH48" s="71" t="s">
        <v>1</v>
      </c>
      <c r="AI48" s="71" t="s">
        <v>0</v>
      </c>
      <c r="AJ48" s="11" t="s">
        <v>0</v>
      </c>
      <c r="AK48" s="11" t="s">
        <v>271</v>
      </c>
      <c r="AL48" s="14" t="s">
        <v>368</v>
      </c>
      <c r="AM48" s="143">
        <v>11000</v>
      </c>
      <c r="AN48" s="143"/>
      <c r="AO48" s="197" t="s">
        <v>211</v>
      </c>
      <c r="AP48" s="198" t="s">
        <v>102</v>
      </c>
      <c r="AQ48" s="143"/>
      <c r="AR48" s="143"/>
      <c r="AS48" s="208">
        <v>0</v>
      </c>
      <c r="AT48" s="208">
        <v>1523.7989781229733</v>
      </c>
      <c r="AU48" s="208" t="b">
        <v>0</v>
      </c>
      <c r="AV48" s="208"/>
      <c r="AW48" s="208">
        <v>0</v>
      </c>
      <c r="AX48" s="199"/>
      <c r="AY48" s="143"/>
    </row>
    <row r="49" spans="1:51" ht="39.950000000000003" hidden="1" customHeight="1" x14ac:dyDescent="0.2">
      <c r="A49" s="148" t="s">
        <v>216</v>
      </c>
      <c r="B49" s="65" t="s">
        <v>24</v>
      </c>
      <c r="C49" s="66" t="s">
        <v>89</v>
      </c>
      <c r="D49" s="13" t="s">
        <v>542</v>
      </c>
      <c r="E49" s="77" t="s">
        <v>89</v>
      </c>
      <c r="F49" s="14" t="s">
        <v>102</v>
      </c>
      <c r="G49" s="66" t="s">
        <v>102</v>
      </c>
      <c r="H49" s="14" t="s">
        <v>126</v>
      </c>
      <c r="I49" s="66" t="s">
        <v>58</v>
      </c>
      <c r="J49" s="14" t="s">
        <v>220</v>
      </c>
      <c r="K49" s="14" t="s">
        <v>29</v>
      </c>
      <c r="L49" s="65" t="s">
        <v>191</v>
      </c>
      <c r="M49" s="13" t="s">
        <v>59</v>
      </c>
      <c r="N49" s="13" t="s">
        <v>43</v>
      </c>
      <c r="O49" s="13" t="s">
        <v>531</v>
      </c>
      <c r="P49" s="13" t="s">
        <v>534</v>
      </c>
      <c r="Q49" s="64" t="s">
        <v>59</v>
      </c>
      <c r="R49" s="62">
        <v>23727.79473875698</v>
      </c>
      <c r="S49" s="63">
        <v>13687.5</v>
      </c>
      <c r="T49" s="150">
        <v>21651.612699115743</v>
      </c>
      <c r="U49" s="62">
        <v>37529.462011800621</v>
      </c>
      <c r="V49" s="62">
        <v>1308461.6637929671</v>
      </c>
      <c r="W49" s="61" t="s">
        <v>11</v>
      </c>
      <c r="X49" s="181">
        <v>1.15E-2</v>
      </c>
      <c r="Y49" s="60">
        <v>43630</v>
      </c>
      <c r="Z49" s="60">
        <v>47209</v>
      </c>
      <c r="AA49" s="60">
        <v>47209</v>
      </c>
      <c r="AB49" s="58">
        <v>3580</v>
      </c>
      <c r="AC49" s="59" t="s">
        <v>10</v>
      </c>
      <c r="AD49" s="58">
        <v>2832</v>
      </c>
      <c r="AE49" s="57">
        <v>7.7589041095890412</v>
      </c>
      <c r="AF49" s="56"/>
      <c r="AG49" s="71" t="s">
        <v>1</v>
      </c>
      <c r="AH49" s="71" t="s">
        <v>1</v>
      </c>
      <c r="AI49" s="70" t="s">
        <v>570</v>
      </c>
      <c r="AJ49" s="11" t="s">
        <v>0</v>
      </c>
      <c r="AK49" s="11" t="s">
        <v>271</v>
      </c>
      <c r="AL49" s="14" t="s">
        <v>369</v>
      </c>
      <c r="AM49" s="143">
        <v>5000</v>
      </c>
      <c r="AN49" s="143"/>
      <c r="AO49" s="197" t="s">
        <v>89</v>
      </c>
      <c r="AP49" s="198" t="s">
        <v>102</v>
      </c>
      <c r="AQ49" s="143"/>
      <c r="AR49" s="143"/>
      <c r="AS49" s="208">
        <v>0</v>
      </c>
      <c r="AT49" s="208">
        <v>2598.1935238938891</v>
      </c>
      <c r="AU49" s="208" t="b">
        <v>0</v>
      </c>
      <c r="AV49" s="208"/>
      <c r="AW49" s="208">
        <v>0</v>
      </c>
      <c r="AX49" s="199"/>
      <c r="AY49" s="143"/>
    </row>
    <row r="50" spans="1:51" ht="39.950000000000003" hidden="1" customHeight="1" x14ac:dyDescent="0.2">
      <c r="A50" s="13" t="s">
        <v>213</v>
      </c>
      <c r="B50" s="65" t="s">
        <v>67</v>
      </c>
      <c r="C50" s="66" t="s">
        <v>87</v>
      </c>
      <c r="D50" s="13" t="s">
        <v>34</v>
      </c>
      <c r="E50" s="77" t="s">
        <v>34</v>
      </c>
      <c r="F50" s="14" t="s">
        <v>48</v>
      </c>
      <c r="G50" s="66" t="s">
        <v>120</v>
      </c>
      <c r="H50" s="66" t="s">
        <v>214</v>
      </c>
      <c r="I50" s="14" t="s">
        <v>181</v>
      </c>
      <c r="J50" s="14" t="s">
        <v>33</v>
      </c>
      <c r="K50" s="14" t="s">
        <v>209</v>
      </c>
      <c r="L50" s="65" t="s">
        <v>191</v>
      </c>
      <c r="M50" s="13" t="s">
        <v>59</v>
      </c>
      <c r="N50" s="13" t="s">
        <v>43</v>
      </c>
      <c r="O50" s="13" t="s">
        <v>533</v>
      </c>
      <c r="P50" s="13" t="s">
        <v>532</v>
      </c>
      <c r="Q50" s="64" t="s">
        <v>9</v>
      </c>
      <c r="R50" s="62">
        <v>33503.082283570089</v>
      </c>
      <c r="S50" s="63">
        <v>22187.5</v>
      </c>
      <c r="T50" s="150">
        <v>29733.985526668454</v>
      </c>
      <c r="U50" s="62">
        <v>124882.73921200751</v>
      </c>
      <c r="V50" s="76">
        <v>1447582.9000268027</v>
      </c>
      <c r="W50" s="61" t="s">
        <v>11</v>
      </c>
      <c r="X50" s="181">
        <v>0.02</v>
      </c>
      <c r="Y50" s="60">
        <v>43630</v>
      </c>
      <c r="Z50" s="60">
        <v>45365</v>
      </c>
      <c r="AA50" s="60">
        <v>45365</v>
      </c>
      <c r="AB50" s="58">
        <v>1736</v>
      </c>
      <c r="AC50" s="59" t="s">
        <v>10</v>
      </c>
      <c r="AD50" s="58">
        <v>988</v>
      </c>
      <c r="AE50" s="57">
        <v>2.7068493150684931</v>
      </c>
      <c r="AF50" s="56" t="s">
        <v>436</v>
      </c>
      <c r="AG50" s="71" t="s">
        <v>1</v>
      </c>
      <c r="AH50" s="71" t="s">
        <v>1</v>
      </c>
      <c r="AI50" s="70" t="s">
        <v>570</v>
      </c>
      <c r="AJ50" s="11" t="s">
        <v>0</v>
      </c>
      <c r="AK50" s="11" t="s">
        <v>271</v>
      </c>
      <c r="AL50" s="13" t="s">
        <v>370</v>
      </c>
      <c r="AM50" s="143">
        <v>8500</v>
      </c>
      <c r="AN50" s="143"/>
      <c r="AO50" s="197" t="s">
        <v>34</v>
      </c>
      <c r="AP50" s="198" t="s">
        <v>48</v>
      </c>
      <c r="AQ50" s="143"/>
      <c r="AR50" s="143"/>
      <c r="AS50" s="208">
        <v>0</v>
      </c>
      <c r="AT50" s="208">
        <v>3568.0782632002142</v>
      </c>
      <c r="AU50" s="208">
        <v>713.61565264004287</v>
      </c>
      <c r="AV50" s="208"/>
      <c r="AW50" s="208">
        <v>0</v>
      </c>
      <c r="AX50" s="199"/>
      <c r="AY50" s="143"/>
    </row>
    <row r="51" spans="1:51" ht="39.950000000000003" hidden="1" customHeight="1" x14ac:dyDescent="0.2">
      <c r="A51" s="14" t="s">
        <v>189</v>
      </c>
      <c r="B51" s="65" t="s">
        <v>23</v>
      </c>
      <c r="C51" s="66" t="s">
        <v>149</v>
      </c>
      <c r="D51" s="13" t="s">
        <v>34</v>
      </c>
      <c r="E51" s="77" t="s">
        <v>34</v>
      </c>
      <c r="F51" s="14" t="s">
        <v>102</v>
      </c>
      <c r="G51" s="66" t="s">
        <v>102</v>
      </c>
      <c r="H51" s="14" t="s">
        <v>474</v>
      </c>
      <c r="I51" s="14" t="s">
        <v>148</v>
      </c>
      <c r="J51" s="14" t="s">
        <v>148</v>
      </c>
      <c r="K51" s="14" t="s">
        <v>101</v>
      </c>
      <c r="L51" s="65" t="s">
        <v>191</v>
      </c>
      <c r="M51" s="13" t="s">
        <v>59</v>
      </c>
      <c r="N51" s="13" t="s">
        <v>43</v>
      </c>
      <c r="O51" s="13" t="s">
        <v>538</v>
      </c>
      <c r="P51" s="13" t="s">
        <v>534</v>
      </c>
      <c r="Q51" s="64" t="s">
        <v>8</v>
      </c>
      <c r="R51" s="62">
        <v>5000</v>
      </c>
      <c r="S51" s="63">
        <v>5000</v>
      </c>
      <c r="T51" s="150">
        <v>5000</v>
      </c>
      <c r="U51" s="62">
        <v>10000</v>
      </c>
      <c r="V51" s="76">
        <v>97584.95</v>
      </c>
      <c r="W51" s="61" t="s">
        <v>11</v>
      </c>
      <c r="X51" s="181">
        <v>1.7999999999999999E-2</v>
      </c>
      <c r="Y51" s="60">
        <v>43633</v>
      </c>
      <c r="Z51" s="60">
        <v>44719</v>
      </c>
      <c r="AA51" s="60">
        <v>44719</v>
      </c>
      <c r="AB51" s="58">
        <v>1087</v>
      </c>
      <c r="AC51" s="59" t="s">
        <v>10</v>
      </c>
      <c r="AD51" s="58">
        <v>342</v>
      </c>
      <c r="AE51" s="57">
        <v>0.93698630136986305</v>
      </c>
      <c r="AF51" s="56"/>
      <c r="AG51" s="71" t="s">
        <v>1</v>
      </c>
      <c r="AH51" s="71" t="s">
        <v>1</v>
      </c>
      <c r="AI51" s="71" t="s">
        <v>0</v>
      </c>
      <c r="AJ51" s="11" t="s">
        <v>0</v>
      </c>
      <c r="AK51" s="11" t="s">
        <v>271</v>
      </c>
      <c r="AL51" s="14" t="s">
        <v>373</v>
      </c>
      <c r="AM51" s="143">
        <v>6000</v>
      </c>
      <c r="AN51" s="143"/>
      <c r="AO51" s="197" t="s">
        <v>34</v>
      </c>
      <c r="AP51" s="198" t="s">
        <v>102</v>
      </c>
      <c r="AQ51" s="143"/>
      <c r="AR51" s="143"/>
      <c r="AS51" s="208">
        <v>0</v>
      </c>
      <c r="AT51" s="208">
        <v>600</v>
      </c>
      <c r="AU51" s="208" t="b">
        <v>0</v>
      </c>
      <c r="AV51" s="208"/>
      <c r="AW51" s="208">
        <v>0</v>
      </c>
      <c r="AX51" s="199"/>
      <c r="AY51" s="143"/>
    </row>
    <row r="52" spans="1:51" ht="39.950000000000003" hidden="1" customHeight="1" x14ac:dyDescent="0.2">
      <c r="A52" s="14" t="s">
        <v>215</v>
      </c>
      <c r="B52" s="65" t="s">
        <v>67</v>
      </c>
      <c r="C52" s="66" t="s">
        <v>38</v>
      </c>
      <c r="D52" s="13" t="s">
        <v>541</v>
      </c>
      <c r="E52" s="77" t="s">
        <v>37</v>
      </c>
      <c r="F52" s="14" t="s">
        <v>102</v>
      </c>
      <c r="G52" s="66" t="s">
        <v>102</v>
      </c>
      <c r="H52" s="14" t="s">
        <v>122</v>
      </c>
      <c r="I52" s="14" t="s">
        <v>142</v>
      </c>
      <c r="J52" s="66" t="s">
        <v>218</v>
      </c>
      <c r="K52" s="14" t="s">
        <v>101</v>
      </c>
      <c r="L52" s="65" t="s">
        <v>191</v>
      </c>
      <c r="M52" s="13" t="s">
        <v>323</v>
      </c>
      <c r="N52" s="13" t="s">
        <v>43</v>
      </c>
      <c r="O52" s="13" t="s">
        <v>531</v>
      </c>
      <c r="P52" s="13" t="s">
        <v>534</v>
      </c>
      <c r="Q52" s="64" t="s">
        <v>54</v>
      </c>
      <c r="R52" s="62">
        <v>33636.928172221073</v>
      </c>
      <c r="S52" s="63">
        <v>195000</v>
      </c>
      <c r="T52" s="62">
        <v>33636.928172221073</v>
      </c>
      <c r="U52" s="62">
        <v>500241.49589456979</v>
      </c>
      <c r="V52" s="76">
        <v>854553.06009797833</v>
      </c>
      <c r="W52" s="61" t="s">
        <v>551</v>
      </c>
      <c r="X52" s="181">
        <v>1.6799999999999999E-2</v>
      </c>
      <c r="Y52" s="60">
        <v>43633</v>
      </c>
      <c r="Z52" s="60">
        <v>44719</v>
      </c>
      <c r="AA52" s="60">
        <v>44719</v>
      </c>
      <c r="AB52" s="58">
        <v>1087</v>
      </c>
      <c r="AC52" s="59" t="s">
        <v>10</v>
      </c>
      <c r="AD52" s="58">
        <v>342</v>
      </c>
      <c r="AE52" s="57">
        <v>0.93698630136986305</v>
      </c>
      <c r="AF52" s="56" t="s">
        <v>436</v>
      </c>
      <c r="AG52" s="152" t="s">
        <v>1</v>
      </c>
      <c r="AH52" s="152" t="s">
        <v>1</v>
      </c>
      <c r="AI52" s="153" t="s">
        <v>0</v>
      </c>
      <c r="AJ52" s="11" t="s">
        <v>0</v>
      </c>
      <c r="AK52" s="11" t="s">
        <v>271</v>
      </c>
      <c r="AL52" s="14" t="s">
        <v>374</v>
      </c>
      <c r="AM52" s="143">
        <v>8500</v>
      </c>
      <c r="AN52" s="143"/>
      <c r="AO52" s="197" t="s">
        <v>37</v>
      </c>
      <c r="AP52" s="198" t="s">
        <v>102</v>
      </c>
      <c r="AQ52" s="143"/>
      <c r="AR52" s="143"/>
      <c r="AS52" s="208">
        <v>0</v>
      </c>
      <c r="AT52" s="208">
        <v>4036.4313806665286</v>
      </c>
      <c r="AU52" s="208">
        <v>807.28627613330582</v>
      </c>
      <c r="AV52" s="208"/>
      <c r="AW52" s="208">
        <v>0</v>
      </c>
      <c r="AX52" s="199"/>
      <c r="AY52" s="143"/>
    </row>
    <row r="53" spans="1:51" ht="39.950000000000003" hidden="1" customHeight="1" x14ac:dyDescent="0.2">
      <c r="A53" s="14" t="s">
        <v>224</v>
      </c>
      <c r="B53" s="65" t="s">
        <v>67</v>
      </c>
      <c r="C53" s="66" t="s">
        <v>38</v>
      </c>
      <c r="D53" s="13" t="s">
        <v>34</v>
      </c>
      <c r="E53" s="77" t="s">
        <v>34</v>
      </c>
      <c r="F53" s="14" t="s">
        <v>106</v>
      </c>
      <c r="G53" s="66" t="s">
        <v>106</v>
      </c>
      <c r="H53" s="14" t="s">
        <v>129</v>
      </c>
      <c r="I53" s="14" t="s">
        <v>225</v>
      </c>
      <c r="J53" s="66" t="s">
        <v>220</v>
      </c>
      <c r="K53" s="14" t="s">
        <v>209</v>
      </c>
      <c r="L53" s="65" t="s">
        <v>191</v>
      </c>
      <c r="M53" s="13" t="s">
        <v>323</v>
      </c>
      <c r="N53" s="13" t="s">
        <v>43</v>
      </c>
      <c r="O53" s="13" t="s">
        <v>533</v>
      </c>
      <c r="P53" s="13" t="s">
        <v>534</v>
      </c>
      <c r="Q53" s="64" t="s">
        <v>8</v>
      </c>
      <c r="R53" s="62">
        <v>25000</v>
      </c>
      <c r="S53" s="63">
        <v>25000</v>
      </c>
      <c r="T53" s="62">
        <v>25000</v>
      </c>
      <c r="U53" s="62">
        <v>150000</v>
      </c>
      <c r="V53" s="76">
        <v>1202465.75</v>
      </c>
      <c r="W53" s="61" t="s">
        <v>11</v>
      </c>
      <c r="X53" s="181">
        <v>1.6E-2</v>
      </c>
      <c r="Y53" s="60">
        <v>43669</v>
      </c>
      <c r="Z53" s="60">
        <v>46045</v>
      </c>
      <c r="AA53" s="60">
        <v>46076</v>
      </c>
      <c r="AB53" s="58">
        <v>2408</v>
      </c>
      <c r="AC53" s="59" t="s">
        <v>10</v>
      </c>
      <c r="AD53" s="58">
        <v>1699</v>
      </c>
      <c r="AE53" s="57">
        <v>4.6547945205479451</v>
      </c>
      <c r="AF53" s="56" t="s">
        <v>436</v>
      </c>
      <c r="AG53" s="71" t="s">
        <v>1</v>
      </c>
      <c r="AH53" s="71" t="s">
        <v>1</v>
      </c>
      <c r="AI53" s="70" t="s">
        <v>0</v>
      </c>
      <c r="AJ53" s="11" t="s">
        <v>0</v>
      </c>
      <c r="AK53" s="11" t="s">
        <v>271</v>
      </c>
      <c r="AL53" s="14" t="s">
        <v>376</v>
      </c>
      <c r="AM53" s="143">
        <v>10187.5</v>
      </c>
      <c r="AN53" s="143"/>
      <c r="AO53" s="197" t="s">
        <v>34</v>
      </c>
      <c r="AP53" s="198" t="s">
        <v>106</v>
      </c>
      <c r="AQ53" s="143"/>
      <c r="AR53" s="143"/>
      <c r="AS53" s="208">
        <v>0</v>
      </c>
      <c r="AT53" s="208">
        <v>3000</v>
      </c>
      <c r="AU53" s="208">
        <v>600</v>
      </c>
      <c r="AV53" s="208"/>
      <c r="AW53" s="208">
        <v>0</v>
      </c>
      <c r="AX53" s="199"/>
      <c r="AY53" s="143"/>
    </row>
    <row r="54" spans="1:51" ht="39.950000000000003" hidden="1" customHeight="1" x14ac:dyDescent="0.2">
      <c r="A54" s="14" t="s">
        <v>223</v>
      </c>
      <c r="B54" s="65" t="s">
        <v>24</v>
      </c>
      <c r="C54" s="66" t="s">
        <v>38</v>
      </c>
      <c r="D54" s="13" t="s">
        <v>540</v>
      </c>
      <c r="E54" s="77" t="s">
        <v>229</v>
      </c>
      <c r="F54" s="14" t="s">
        <v>92</v>
      </c>
      <c r="G54" s="66" t="s">
        <v>100</v>
      </c>
      <c r="H54" s="14" t="s">
        <v>100</v>
      </c>
      <c r="I54" s="14" t="s">
        <v>230</v>
      </c>
      <c r="J54" s="66" t="s">
        <v>231</v>
      </c>
      <c r="K54" s="14" t="s">
        <v>44</v>
      </c>
      <c r="L54" s="65" t="s">
        <v>191</v>
      </c>
      <c r="M54" s="13" t="s">
        <v>323</v>
      </c>
      <c r="N54" s="13" t="s">
        <v>43</v>
      </c>
      <c r="O54" s="13" t="s">
        <v>539</v>
      </c>
      <c r="P54" s="13" t="s">
        <v>534</v>
      </c>
      <c r="Q54" s="64" t="s">
        <v>9</v>
      </c>
      <c r="R54" s="62">
        <v>14741.35620477084</v>
      </c>
      <c r="S54" s="63">
        <v>10145</v>
      </c>
      <c r="T54" s="62">
        <v>14580.8670597695</v>
      </c>
      <c r="U54" s="62">
        <v>47719.11015813455</v>
      </c>
      <c r="V54" s="76">
        <v>730816.13508442778</v>
      </c>
      <c r="W54" s="61" t="s">
        <v>551</v>
      </c>
      <c r="X54" s="181">
        <v>1.7500000000000002E-2</v>
      </c>
      <c r="Y54" s="60">
        <v>43670</v>
      </c>
      <c r="Z54" s="60">
        <v>47992</v>
      </c>
      <c r="AA54" s="60">
        <v>47992</v>
      </c>
      <c r="AB54" s="58">
        <v>4323</v>
      </c>
      <c r="AC54" s="59" t="s">
        <v>10</v>
      </c>
      <c r="AD54" s="58">
        <v>3615</v>
      </c>
      <c r="AE54" s="57">
        <v>9.9041095890410951</v>
      </c>
      <c r="AF54" s="56"/>
      <c r="AG54" s="71" t="s">
        <v>1</v>
      </c>
      <c r="AH54" s="71" t="s">
        <v>1</v>
      </c>
      <c r="AI54" s="70" t="s">
        <v>571</v>
      </c>
      <c r="AJ54" s="11" t="s">
        <v>0</v>
      </c>
      <c r="AK54" s="11" t="s">
        <v>271</v>
      </c>
      <c r="AL54" s="14" t="s">
        <v>375</v>
      </c>
      <c r="AM54" s="143">
        <v>19997.5</v>
      </c>
      <c r="AN54" s="143"/>
      <c r="AO54" s="197" t="s">
        <v>229</v>
      </c>
      <c r="AP54" s="198" t="s">
        <v>92</v>
      </c>
      <c r="AQ54" s="143"/>
      <c r="AR54" s="143"/>
      <c r="AS54" s="208">
        <v>0</v>
      </c>
      <c r="AT54" s="208">
        <v>1749.7040471723399</v>
      </c>
      <c r="AU54" s="208" t="b">
        <v>0</v>
      </c>
      <c r="AV54" s="208"/>
      <c r="AW54" s="208">
        <v>0</v>
      </c>
      <c r="AX54" s="199"/>
      <c r="AY54" s="143"/>
    </row>
    <row r="55" spans="1:51" ht="39.950000000000003" hidden="1" customHeight="1" x14ac:dyDescent="0.2">
      <c r="A55" s="14" t="s">
        <v>226</v>
      </c>
      <c r="B55" s="65" t="s">
        <v>23</v>
      </c>
      <c r="C55" s="66" t="s">
        <v>87</v>
      </c>
      <c r="D55" s="13" t="s">
        <v>496</v>
      </c>
      <c r="E55" s="77" t="s">
        <v>872</v>
      </c>
      <c r="F55" s="14" t="s">
        <v>475</v>
      </c>
      <c r="G55" s="66" t="s">
        <v>227</v>
      </c>
      <c r="H55" s="14" t="s">
        <v>228</v>
      </c>
      <c r="I55" s="14" t="s">
        <v>181</v>
      </c>
      <c r="J55" s="14" t="s">
        <v>33</v>
      </c>
      <c r="K55" s="14" t="s">
        <v>209</v>
      </c>
      <c r="L55" s="65" t="s">
        <v>191</v>
      </c>
      <c r="M55" s="13" t="s">
        <v>59</v>
      </c>
      <c r="N55" s="13" t="s">
        <v>43</v>
      </c>
      <c r="O55" s="13" t="s">
        <v>538</v>
      </c>
      <c r="P55" s="13" t="s">
        <v>534</v>
      </c>
      <c r="Q55" s="64" t="s">
        <v>9</v>
      </c>
      <c r="R55" s="62">
        <v>30152.774055213082</v>
      </c>
      <c r="S55" s="63">
        <v>22500</v>
      </c>
      <c r="T55" s="62">
        <v>30152.774055213082</v>
      </c>
      <c r="U55" s="62">
        <v>201018.49370142055</v>
      </c>
      <c r="V55" s="76">
        <v>883269.90083087643</v>
      </c>
      <c r="W55" s="61" t="s">
        <v>551</v>
      </c>
      <c r="X55" s="181">
        <v>1.8499999999999999E-2</v>
      </c>
      <c r="Y55" s="60">
        <v>43672</v>
      </c>
      <c r="Z55" s="60">
        <v>45197</v>
      </c>
      <c r="AA55" s="60">
        <v>45197</v>
      </c>
      <c r="AB55" s="58">
        <v>1526</v>
      </c>
      <c r="AC55" s="59" t="s">
        <v>10</v>
      </c>
      <c r="AD55" s="58">
        <v>820</v>
      </c>
      <c r="AE55" s="57">
        <v>2.2465753424657535</v>
      </c>
      <c r="AF55" s="56" t="s">
        <v>436</v>
      </c>
      <c r="AG55" s="71" t="s">
        <v>1</v>
      </c>
      <c r="AH55" s="71" t="s">
        <v>1</v>
      </c>
      <c r="AI55" s="70" t="s">
        <v>0</v>
      </c>
      <c r="AJ55" s="11" t="s">
        <v>0</v>
      </c>
      <c r="AK55" s="11" t="s">
        <v>271</v>
      </c>
      <c r="AL55" s="14" t="s">
        <v>350</v>
      </c>
      <c r="AM55" s="143">
        <v>9195</v>
      </c>
      <c r="AN55" s="143"/>
      <c r="AO55" s="197" t="s">
        <v>872</v>
      </c>
      <c r="AP55" s="198" t="s">
        <v>475</v>
      </c>
      <c r="AQ55" s="143"/>
      <c r="AR55" s="143"/>
      <c r="AS55" s="208">
        <v>0</v>
      </c>
      <c r="AT55" s="208">
        <v>3618.3328866255697</v>
      </c>
      <c r="AU55" s="208">
        <v>723.66657732511396</v>
      </c>
      <c r="AV55" s="208"/>
      <c r="AW55" s="208">
        <v>0</v>
      </c>
      <c r="AX55" s="199"/>
      <c r="AY55" s="143"/>
    </row>
    <row r="56" spans="1:51" ht="39.950000000000003" hidden="1" customHeight="1" x14ac:dyDescent="0.2">
      <c r="A56" s="14" t="s">
        <v>235</v>
      </c>
      <c r="B56" s="65" t="s">
        <v>23</v>
      </c>
      <c r="C56" s="66" t="s">
        <v>37</v>
      </c>
      <c r="D56" s="13" t="s">
        <v>542</v>
      </c>
      <c r="E56" s="77" t="s">
        <v>91</v>
      </c>
      <c r="F56" s="14" t="s">
        <v>173</v>
      </c>
      <c r="G56" s="66" t="s">
        <v>174</v>
      </c>
      <c r="H56" s="14" t="s">
        <v>172</v>
      </c>
      <c r="I56" s="14" t="s">
        <v>236</v>
      </c>
      <c r="J56" s="66" t="s">
        <v>21</v>
      </c>
      <c r="K56" s="14" t="s">
        <v>139</v>
      </c>
      <c r="L56" s="65" t="s">
        <v>191</v>
      </c>
      <c r="M56" s="13" t="s">
        <v>323</v>
      </c>
      <c r="N56" s="13" t="s">
        <v>43</v>
      </c>
      <c r="O56" s="13" t="s">
        <v>533</v>
      </c>
      <c r="P56" s="13" t="s">
        <v>534</v>
      </c>
      <c r="Q56" s="64" t="s">
        <v>59</v>
      </c>
      <c r="R56" s="62">
        <v>15818.529825837986</v>
      </c>
      <c r="S56" s="63">
        <v>7700</v>
      </c>
      <c r="T56" s="62">
        <v>12180.267965895249</v>
      </c>
      <c r="U56" s="62">
        <v>110729.7087808659</v>
      </c>
      <c r="V56" s="76">
        <v>539288.86723507917</v>
      </c>
      <c r="W56" s="61" t="s">
        <v>11</v>
      </c>
      <c r="X56" s="181">
        <v>1.4500000000000001E-2</v>
      </c>
      <c r="Y56" s="60">
        <v>43706</v>
      </c>
      <c r="Z56" s="60">
        <v>45490</v>
      </c>
      <c r="AA56" s="60">
        <v>45490</v>
      </c>
      <c r="AB56" s="58">
        <v>1785</v>
      </c>
      <c r="AC56" s="59" t="s">
        <v>10</v>
      </c>
      <c r="AD56" s="58">
        <v>1113</v>
      </c>
      <c r="AE56" s="57">
        <v>3.0493150684931507</v>
      </c>
      <c r="AF56" s="56"/>
      <c r="AG56" s="71" t="s">
        <v>1</v>
      </c>
      <c r="AH56" s="71" t="s">
        <v>1</v>
      </c>
      <c r="AI56" s="70" t="s">
        <v>0</v>
      </c>
      <c r="AJ56" s="11" t="s">
        <v>0</v>
      </c>
      <c r="AK56" s="11" t="s">
        <v>271</v>
      </c>
      <c r="AL56" s="14" t="s">
        <v>378</v>
      </c>
      <c r="AM56" s="143">
        <v>5000</v>
      </c>
      <c r="AN56" s="143"/>
      <c r="AO56" s="197" t="s">
        <v>91</v>
      </c>
      <c r="AP56" s="198" t="s">
        <v>173</v>
      </c>
      <c r="AQ56" s="143"/>
      <c r="AR56" s="143"/>
      <c r="AS56" s="208">
        <v>0</v>
      </c>
      <c r="AT56" s="208">
        <v>1461.6321559074299</v>
      </c>
      <c r="AU56" s="208" t="b">
        <v>0</v>
      </c>
      <c r="AV56" s="208"/>
      <c r="AW56" s="208">
        <v>0</v>
      </c>
      <c r="AX56" s="199"/>
      <c r="AY56" s="143"/>
    </row>
    <row r="57" spans="1:51" ht="39.950000000000003" hidden="1" customHeight="1" x14ac:dyDescent="0.2">
      <c r="A57" s="14" t="s">
        <v>239</v>
      </c>
      <c r="B57" s="65" t="s">
        <v>24</v>
      </c>
      <c r="C57" s="66" t="s">
        <v>38</v>
      </c>
      <c r="D57" s="13" t="s">
        <v>540</v>
      </c>
      <c r="E57" s="77" t="s">
        <v>49</v>
      </c>
      <c r="F57" s="14" t="s">
        <v>233</v>
      </c>
      <c r="G57" s="66" t="s">
        <v>443</v>
      </c>
      <c r="H57" s="14" t="s">
        <v>234</v>
      </c>
      <c r="I57" s="14" t="s">
        <v>142</v>
      </c>
      <c r="J57" s="14" t="s">
        <v>218</v>
      </c>
      <c r="K57" s="14" t="s">
        <v>139</v>
      </c>
      <c r="L57" s="65" t="s">
        <v>191</v>
      </c>
      <c r="M57" s="13" t="s">
        <v>323</v>
      </c>
      <c r="N57" s="13" t="s">
        <v>43</v>
      </c>
      <c r="O57" s="13" t="s">
        <v>531</v>
      </c>
      <c r="P57" s="13" t="s">
        <v>534</v>
      </c>
      <c r="Q57" s="64" t="s">
        <v>9</v>
      </c>
      <c r="R57" s="62">
        <v>13401.232913428035</v>
      </c>
      <c r="S57" s="63">
        <v>15000</v>
      </c>
      <c r="T57" s="62">
        <v>20101.849370142052</v>
      </c>
      <c r="U57" s="62">
        <v>26802.465826856071</v>
      </c>
      <c r="V57" s="76">
        <v>777085.40605735732</v>
      </c>
      <c r="W57" s="61" t="s">
        <v>11</v>
      </c>
      <c r="X57" s="181">
        <v>6.25E-2</v>
      </c>
      <c r="Y57" s="60">
        <v>43707</v>
      </c>
      <c r="Z57" s="60">
        <v>44756</v>
      </c>
      <c r="AA57" s="60">
        <v>44756</v>
      </c>
      <c r="AB57" s="58">
        <v>1050</v>
      </c>
      <c r="AC57" s="59" t="s">
        <v>10</v>
      </c>
      <c r="AD57" s="58">
        <v>379</v>
      </c>
      <c r="AE57" s="57">
        <v>1.0383561643835617</v>
      </c>
      <c r="AF57" s="56"/>
      <c r="AG57" s="152" t="s">
        <v>1</v>
      </c>
      <c r="AH57" s="152" t="s">
        <v>1</v>
      </c>
      <c r="AI57" s="153" t="s">
        <v>572</v>
      </c>
      <c r="AJ57" s="11" t="s">
        <v>0</v>
      </c>
      <c r="AK57" s="11" t="s">
        <v>271</v>
      </c>
      <c r="AL57" s="14" t="s">
        <v>377</v>
      </c>
      <c r="AM57" s="143">
        <v>11000</v>
      </c>
      <c r="AN57" s="143"/>
      <c r="AO57" s="197" t="s">
        <v>49</v>
      </c>
      <c r="AP57" s="198" t="s">
        <v>233</v>
      </c>
      <c r="AQ57" s="143"/>
      <c r="AR57" s="143"/>
      <c r="AS57" s="208">
        <v>0</v>
      </c>
      <c r="AT57" s="208">
        <v>2412.221924417046</v>
      </c>
      <c r="AU57" s="208" t="b">
        <v>0</v>
      </c>
      <c r="AV57" s="208"/>
      <c r="AW57" s="208">
        <v>0</v>
      </c>
      <c r="AX57" s="199"/>
      <c r="AY57" s="143"/>
    </row>
    <row r="58" spans="1:51" ht="39.950000000000003" hidden="1" customHeight="1" x14ac:dyDescent="0.2">
      <c r="A58" s="14" t="s">
        <v>247</v>
      </c>
      <c r="B58" s="65" t="s">
        <v>67</v>
      </c>
      <c r="C58" s="66" t="s">
        <v>87</v>
      </c>
      <c r="D58" s="13" t="s">
        <v>542</v>
      </c>
      <c r="E58" s="77" t="s">
        <v>87</v>
      </c>
      <c r="F58" s="14" t="s">
        <v>48</v>
      </c>
      <c r="G58" s="66" t="s">
        <v>95</v>
      </c>
      <c r="H58" s="130" t="s">
        <v>447</v>
      </c>
      <c r="I58" s="14" t="s">
        <v>246</v>
      </c>
      <c r="J58" s="14" t="s">
        <v>219</v>
      </c>
      <c r="K58" s="14" t="s">
        <v>140</v>
      </c>
      <c r="L58" s="65" t="s">
        <v>191</v>
      </c>
      <c r="M58" s="13" t="s">
        <v>59</v>
      </c>
      <c r="N58" s="13" t="s">
        <v>43</v>
      </c>
      <c r="O58" s="13" t="s">
        <v>538</v>
      </c>
      <c r="P58" s="13" t="s">
        <v>534</v>
      </c>
      <c r="Q58" s="64" t="s">
        <v>9</v>
      </c>
      <c r="R58" s="62">
        <v>26802.465826856071</v>
      </c>
      <c r="S58" s="63">
        <v>20000</v>
      </c>
      <c r="T58" s="62">
        <v>26802.465826856071</v>
      </c>
      <c r="U58" s="62">
        <v>134012.32913428036</v>
      </c>
      <c r="V58" s="76">
        <v>905166.24229429115</v>
      </c>
      <c r="W58" s="61" t="s">
        <v>11</v>
      </c>
      <c r="X58" s="181">
        <v>8.6999999999999994E-3</v>
      </c>
      <c r="Y58" s="60">
        <v>43732</v>
      </c>
      <c r="Z58" s="60">
        <v>45954</v>
      </c>
      <c r="AA58" s="60">
        <v>45954</v>
      </c>
      <c r="AB58" s="58">
        <v>2223</v>
      </c>
      <c r="AC58" s="59" t="s">
        <v>10</v>
      </c>
      <c r="AD58" s="58">
        <v>1577</v>
      </c>
      <c r="AE58" s="57">
        <v>4.3205479452054796</v>
      </c>
      <c r="AF58" s="56" t="s">
        <v>436</v>
      </c>
      <c r="AG58" s="152" t="s">
        <v>1</v>
      </c>
      <c r="AH58" s="152" t="s">
        <v>1</v>
      </c>
      <c r="AI58" s="153" t="s">
        <v>0</v>
      </c>
      <c r="AJ58" s="11" t="s">
        <v>0</v>
      </c>
      <c r="AK58" s="11" t="s">
        <v>271</v>
      </c>
      <c r="AL58" s="14" t="s">
        <v>381</v>
      </c>
      <c r="AM58" s="143">
        <v>13000</v>
      </c>
      <c r="AN58" s="143"/>
      <c r="AO58" s="197" t="s">
        <v>87</v>
      </c>
      <c r="AP58" s="198" t="s">
        <v>48</v>
      </c>
      <c r="AQ58" s="143"/>
      <c r="AR58" s="143"/>
      <c r="AS58" s="208">
        <v>0</v>
      </c>
      <c r="AT58" s="208">
        <v>3216.2958992227282</v>
      </c>
      <c r="AU58" s="208">
        <v>643.25917984454566</v>
      </c>
      <c r="AV58" s="208"/>
      <c r="AW58" s="208">
        <v>0</v>
      </c>
      <c r="AX58" s="199"/>
      <c r="AY58" s="143"/>
    </row>
    <row r="59" spans="1:51" ht="39.950000000000003" hidden="1" customHeight="1" x14ac:dyDescent="0.2">
      <c r="A59" s="14" t="s">
        <v>240</v>
      </c>
      <c r="B59" s="65" t="s">
        <v>51</v>
      </c>
      <c r="C59" s="66" t="s">
        <v>38</v>
      </c>
      <c r="D59" s="13" t="s">
        <v>541</v>
      </c>
      <c r="E59" s="77" t="s">
        <v>38</v>
      </c>
      <c r="F59" s="14" t="s">
        <v>102</v>
      </c>
      <c r="G59" s="66" t="s">
        <v>102</v>
      </c>
      <c r="H59" s="14" t="s">
        <v>474</v>
      </c>
      <c r="I59" s="14" t="s">
        <v>237</v>
      </c>
      <c r="J59" s="14" t="s">
        <v>219</v>
      </c>
      <c r="K59" s="14" t="s">
        <v>101</v>
      </c>
      <c r="L59" s="65" t="s">
        <v>191</v>
      </c>
      <c r="M59" s="13" t="s">
        <v>323</v>
      </c>
      <c r="N59" s="13" t="s">
        <v>43</v>
      </c>
      <c r="O59" s="13" t="s">
        <v>538</v>
      </c>
      <c r="P59" s="13" t="s">
        <v>534</v>
      </c>
      <c r="Q59" s="64" t="s">
        <v>238</v>
      </c>
      <c r="R59" s="62">
        <v>27764.005949429848</v>
      </c>
      <c r="S59" s="63">
        <v>28000</v>
      </c>
      <c r="T59" s="62">
        <v>27764.005949429848</v>
      </c>
      <c r="U59" s="62">
        <v>99157.164105106596</v>
      </c>
      <c r="V59" s="76">
        <v>1252701.9831432821</v>
      </c>
      <c r="W59" s="61" t="s">
        <v>11</v>
      </c>
      <c r="X59" s="181">
        <v>2.0400000000000001E-2</v>
      </c>
      <c r="Y59" s="60">
        <v>43738</v>
      </c>
      <c r="Z59" s="60">
        <v>45148</v>
      </c>
      <c r="AA59" s="60">
        <v>45148</v>
      </c>
      <c r="AB59" s="58">
        <v>1411</v>
      </c>
      <c r="AC59" s="59" t="s">
        <v>10</v>
      </c>
      <c r="AD59" s="58">
        <v>771</v>
      </c>
      <c r="AE59" s="57">
        <v>2.1123287671232878</v>
      </c>
      <c r="AF59" s="56" t="s">
        <v>436</v>
      </c>
      <c r="AG59" s="152" t="s">
        <v>1</v>
      </c>
      <c r="AH59" s="152" t="s">
        <v>1</v>
      </c>
      <c r="AI59" s="153" t="s">
        <v>0</v>
      </c>
      <c r="AJ59" s="11" t="s">
        <v>0</v>
      </c>
      <c r="AK59" s="11" t="s">
        <v>271</v>
      </c>
      <c r="AL59" s="14" t="s">
        <v>379</v>
      </c>
      <c r="AM59" s="143">
        <v>10372.5</v>
      </c>
      <c r="AN59" s="143"/>
      <c r="AO59" s="197" t="s">
        <v>38</v>
      </c>
      <c r="AP59" s="198" t="s">
        <v>102</v>
      </c>
      <c r="AQ59" s="143"/>
      <c r="AR59" s="143"/>
      <c r="AS59" s="208">
        <v>0</v>
      </c>
      <c r="AT59" s="208">
        <v>3331.6807139315815</v>
      </c>
      <c r="AU59" s="208">
        <v>666.33614278631637</v>
      </c>
      <c r="AV59" s="208"/>
      <c r="AW59" s="208">
        <v>0</v>
      </c>
      <c r="AX59" s="199"/>
      <c r="AY59" s="143"/>
    </row>
    <row r="60" spans="1:51" ht="39.950000000000003" hidden="1" customHeight="1" x14ac:dyDescent="0.2">
      <c r="A60" s="14" t="s">
        <v>244</v>
      </c>
      <c r="B60" s="65" t="s">
        <v>23</v>
      </c>
      <c r="C60" s="66" t="s">
        <v>38</v>
      </c>
      <c r="D60" s="13" t="s">
        <v>541</v>
      </c>
      <c r="E60" s="77" t="s">
        <v>38</v>
      </c>
      <c r="F60" s="14" t="s">
        <v>106</v>
      </c>
      <c r="G60" s="66" t="s">
        <v>106</v>
      </c>
      <c r="H60" s="14" t="s">
        <v>245</v>
      </c>
      <c r="I60" s="14" t="s">
        <v>50</v>
      </c>
      <c r="J60" s="14" t="s">
        <v>21</v>
      </c>
      <c r="K60" s="14" t="s">
        <v>101</v>
      </c>
      <c r="L60" s="65" t="s">
        <v>191</v>
      </c>
      <c r="M60" s="13" t="s">
        <v>323</v>
      </c>
      <c r="N60" s="13" t="s">
        <v>43</v>
      </c>
      <c r="O60" s="13" t="s">
        <v>533</v>
      </c>
      <c r="P60" s="13" t="s">
        <v>534</v>
      </c>
      <c r="Q60" s="64" t="s">
        <v>8</v>
      </c>
      <c r="R60" s="62">
        <v>25000</v>
      </c>
      <c r="S60" s="63">
        <v>25000</v>
      </c>
      <c r="T60" s="62">
        <v>25000</v>
      </c>
      <c r="U60" s="62">
        <v>75000</v>
      </c>
      <c r="V60" s="76">
        <v>711986.31</v>
      </c>
      <c r="W60" s="61" t="s">
        <v>11</v>
      </c>
      <c r="X60" s="181">
        <v>1.35E-2</v>
      </c>
      <c r="Y60" s="60">
        <v>43756</v>
      </c>
      <c r="Z60" s="60">
        <v>45520</v>
      </c>
      <c r="AA60" s="60">
        <v>45520</v>
      </c>
      <c r="AB60" s="58">
        <v>1765</v>
      </c>
      <c r="AC60" s="59" t="s">
        <v>10</v>
      </c>
      <c r="AD60" s="58">
        <v>1143</v>
      </c>
      <c r="AE60" s="57">
        <v>3.1315068493150684</v>
      </c>
      <c r="AF60" s="56" t="s">
        <v>436</v>
      </c>
      <c r="AG60" s="71" t="s">
        <v>1</v>
      </c>
      <c r="AH60" s="71" t="s">
        <v>1</v>
      </c>
      <c r="AI60" s="70" t="s">
        <v>0</v>
      </c>
      <c r="AJ60" s="11" t="s">
        <v>0</v>
      </c>
      <c r="AK60" s="11" t="s">
        <v>271</v>
      </c>
      <c r="AL60" s="14" t="s">
        <v>371</v>
      </c>
      <c r="AM60" s="143">
        <v>6000</v>
      </c>
      <c r="AN60" s="143"/>
      <c r="AO60" s="197" t="s">
        <v>38</v>
      </c>
      <c r="AP60" s="198" t="s">
        <v>106</v>
      </c>
      <c r="AQ60" s="143"/>
      <c r="AR60" s="143"/>
      <c r="AS60" s="208">
        <v>0</v>
      </c>
      <c r="AT60" s="208">
        <v>3000</v>
      </c>
      <c r="AU60" s="208">
        <v>600</v>
      </c>
      <c r="AV60" s="208"/>
      <c r="AW60" s="208">
        <v>0</v>
      </c>
      <c r="AX60" s="199"/>
      <c r="AY60" s="143"/>
    </row>
    <row r="61" spans="1:51" ht="39.950000000000003" hidden="1" customHeight="1" x14ac:dyDescent="0.2">
      <c r="A61" s="14" t="s">
        <v>248</v>
      </c>
      <c r="B61" s="65" t="s">
        <v>24</v>
      </c>
      <c r="C61" s="66" t="s">
        <v>127</v>
      </c>
      <c r="D61" s="13" t="s">
        <v>542</v>
      </c>
      <c r="E61" s="77" t="s">
        <v>127</v>
      </c>
      <c r="F61" s="14" t="s">
        <v>546</v>
      </c>
      <c r="G61" s="66" t="s">
        <v>249</v>
      </c>
      <c r="H61" s="14" t="s">
        <v>249</v>
      </c>
      <c r="I61" s="14" t="s">
        <v>158</v>
      </c>
      <c r="J61" s="14" t="s">
        <v>220</v>
      </c>
      <c r="K61" s="14" t="s">
        <v>29</v>
      </c>
      <c r="L61" s="65" t="s">
        <v>191</v>
      </c>
      <c r="M61" s="13" t="s">
        <v>59</v>
      </c>
      <c r="N61" s="13" t="s">
        <v>43</v>
      </c>
      <c r="O61" s="13" t="s">
        <v>538</v>
      </c>
      <c r="P61" s="13" t="s">
        <v>534</v>
      </c>
      <c r="Q61" s="64" t="s">
        <v>59</v>
      </c>
      <c r="R61" s="62">
        <v>15818.529825837986</v>
      </c>
      <c r="S61" s="63">
        <v>10000</v>
      </c>
      <c r="T61" s="62">
        <v>15818.529825837986</v>
      </c>
      <c r="U61" s="62">
        <v>208115.47526772859</v>
      </c>
      <c r="V61" s="76">
        <v>827083.90148219629</v>
      </c>
      <c r="W61" s="61" t="s">
        <v>11</v>
      </c>
      <c r="X61" s="181">
        <v>1.7500000000000002E-2</v>
      </c>
      <c r="Y61" s="60">
        <v>43784</v>
      </c>
      <c r="Z61" s="60">
        <v>45627</v>
      </c>
      <c r="AA61" s="60">
        <v>45627</v>
      </c>
      <c r="AB61" s="58">
        <v>1844</v>
      </c>
      <c r="AC61" s="59" t="s">
        <v>10</v>
      </c>
      <c r="AD61" s="58">
        <v>1250</v>
      </c>
      <c r="AE61" s="57">
        <v>3.4246575342465753</v>
      </c>
      <c r="AF61" s="56"/>
      <c r="AG61" s="71" t="s">
        <v>1</v>
      </c>
      <c r="AH61" s="71" t="s">
        <v>1</v>
      </c>
      <c r="AI61" s="70" t="s">
        <v>0</v>
      </c>
      <c r="AJ61" s="11" t="s">
        <v>0</v>
      </c>
      <c r="AK61" s="11" t="s">
        <v>271</v>
      </c>
      <c r="AL61" s="14" t="s">
        <v>372</v>
      </c>
      <c r="AM61" s="143">
        <v>8100</v>
      </c>
      <c r="AN61" s="143"/>
      <c r="AO61" s="197" t="s">
        <v>127</v>
      </c>
      <c r="AP61" s="198" t="s">
        <v>546</v>
      </c>
      <c r="AQ61" s="143"/>
      <c r="AR61" s="143"/>
      <c r="AS61" s="208">
        <v>0</v>
      </c>
      <c r="AT61" s="208">
        <v>1898.2235791005583</v>
      </c>
      <c r="AU61" s="208" t="b">
        <v>0</v>
      </c>
      <c r="AV61" s="208"/>
      <c r="AW61" s="208">
        <v>0</v>
      </c>
      <c r="AX61" s="199"/>
      <c r="AY61" s="143"/>
    </row>
    <row r="62" spans="1:51" ht="39.950000000000003" hidden="1" customHeight="1" x14ac:dyDescent="0.2">
      <c r="A62" s="14" t="s">
        <v>260</v>
      </c>
      <c r="B62" s="65" t="s">
        <v>51</v>
      </c>
      <c r="C62" s="66" t="s">
        <v>119</v>
      </c>
      <c r="D62" s="13" t="s">
        <v>542</v>
      </c>
      <c r="E62" s="77" t="s">
        <v>119</v>
      </c>
      <c r="F62" s="14" t="s">
        <v>106</v>
      </c>
      <c r="G62" s="66" t="s">
        <v>106</v>
      </c>
      <c r="H62" s="14" t="s">
        <v>263</v>
      </c>
      <c r="I62" s="14" t="s">
        <v>264</v>
      </c>
      <c r="J62" s="14" t="s">
        <v>221</v>
      </c>
      <c r="K62" s="14" t="s">
        <v>13</v>
      </c>
      <c r="L62" s="65" t="s">
        <v>191</v>
      </c>
      <c r="M62" s="13" t="s">
        <v>59</v>
      </c>
      <c r="N62" s="13" t="s">
        <v>43</v>
      </c>
      <c r="O62" s="13" t="s">
        <v>538</v>
      </c>
      <c r="P62" s="13" t="s">
        <v>534</v>
      </c>
      <c r="Q62" s="64" t="s">
        <v>59</v>
      </c>
      <c r="R62" s="62">
        <v>23727.79473875698</v>
      </c>
      <c r="S62" s="63">
        <v>15000</v>
      </c>
      <c r="T62" s="62">
        <v>23727.79473875698</v>
      </c>
      <c r="U62" s="62">
        <v>76878.054953572617</v>
      </c>
      <c r="V62" s="76">
        <v>919837.92334340431</v>
      </c>
      <c r="W62" s="61" t="s">
        <v>11</v>
      </c>
      <c r="X62" s="181">
        <v>2.1999999999999999E-2</v>
      </c>
      <c r="Y62" s="60">
        <v>43805</v>
      </c>
      <c r="Z62" s="60">
        <v>45306</v>
      </c>
      <c r="AA62" s="60">
        <v>45306</v>
      </c>
      <c r="AB62" s="58">
        <v>1502</v>
      </c>
      <c r="AC62" s="59" t="s">
        <v>10</v>
      </c>
      <c r="AD62" s="58">
        <v>929</v>
      </c>
      <c r="AE62" s="57">
        <v>2.5452054794520547</v>
      </c>
      <c r="AF62" s="56" t="s">
        <v>436</v>
      </c>
      <c r="AG62" s="71" t="s">
        <v>1</v>
      </c>
      <c r="AH62" s="71" t="s">
        <v>1</v>
      </c>
      <c r="AI62" s="70" t="s">
        <v>0</v>
      </c>
      <c r="AJ62" s="11" t="s">
        <v>0</v>
      </c>
      <c r="AK62" s="11" t="s">
        <v>271</v>
      </c>
      <c r="AL62" s="14" t="s">
        <v>380</v>
      </c>
      <c r="AM62" s="143">
        <v>7250</v>
      </c>
      <c r="AN62" s="143"/>
      <c r="AO62" s="197" t="s">
        <v>119</v>
      </c>
      <c r="AP62" s="198" t="s">
        <v>106</v>
      </c>
      <c r="AQ62" s="143"/>
      <c r="AR62" s="143"/>
      <c r="AS62" s="208">
        <v>0</v>
      </c>
      <c r="AT62" s="208">
        <v>2847.3353686508376</v>
      </c>
      <c r="AU62" s="208">
        <v>569.4670737301675</v>
      </c>
      <c r="AV62" s="208"/>
      <c r="AW62" s="208">
        <v>0</v>
      </c>
      <c r="AX62" s="199"/>
      <c r="AY62" s="143"/>
    </row>
    <row r="63" spans="1:51" ht="39.950000000000003" hidden="1" customHeight="1" x14ac:dyDescent="0.2">
      <c r="A63" s="14" t="s">
        <v>261</v>
      </c>
      <c r="B63" s="65" t="s">
        <v>51</v>
      </c>
      <c r="C63" s="66" t="s">
        <v>119</v>
      </c>
      <c r="D63" s="13" t="s">
        <v>542</v>
      </c>
      <c r="E63" s="77" t="s">
        <v>119</v>
      </c>
      <c r="F63" s="14" t="s">
        <v>106</v>
      </c>
      <c r="G63" s="66" t="s">
        <v>106</v>
      </c>
      <c r="H63" s="14" t="s">
        <v>263</v>
      </c>
      <c r="I63" s="14" t="s">
        <v>264</v>
      </c>
      <c r="J63" s="14" t="s">
        <v>221</v>
      </c>
      <c r="K63" s="14" t="s">
        <v>13</v>
      </c>
      <c r="L63" s="65" t="s">
        <v>191</v>
      </c>
      <c r="M63" s="13" t="s">
        <v>59</v>
      </c>
      <c r="N63" s="13" t="s">
        <v>43</v>
      </c>
      <c r="O63" s="13" t="s">
        <v>538</v>
      </c>
      <c r="P63" s="13" t="s">
        <v>534</v>
      </c>
      <c r="Q63" s="64" t="s">
        <v>59</v>
      </c>
      <c r="R63" s="62">
        <v>31637.059651675972</v>
      </c>
      <c r="S63" s="63">
        <v>20000</v>
      </c>
      <c r="T63" s="62">
        <v>31637.059651675972</v>
      </c>
      <c r="U63" s="62">
        <v>142762.23167818782</v>
      </c>
      <c r="V63" s="76">
        <v>757451.00210386445</v>
      </c>
      <c r="W63" s="61" t="s">
        <v>11</v>
      </c>
      <c r="X63" s="181">
        <v>1.7999999999999999E-2</v>
      </c>
      <c r="Y63" s="60">
        <v>43809</v>
      </c>
      <c r="Z63" s="60">
        <v>45674</v>
      </c>
      <c r="AA63" s="60">
        <v>44943</v>
      </c>
      <c r="AB63" s="58">
        <v>1135</v>
      </c>
      <c r="AC63" s="59" t="s">
        <v>10</v>
      </c>
      <c r="AD63" s="58">
        <v>566</v>
      </c>
      <c r="AE63" s="57">
        <v>1.5506849315068494</v>
      </c>
      <c r="AF63" s="56" t="s">
        <v>436</v>
      </c>
      <c r="AG63" s="152" t="s">
        <v>1</v>
      </c>
      <c r="AH63" s="152" t="s">
        <v>1</v>
      </c>
      <c r="AI63" s="153" t="s">
        <v>0</v>
      </c>
      <c r="AJ63" s="11" t="s">
        <v>0</v>
      </c>
      <c r="AK63" s="11" t="s">
        <v>271</v>
      </c>
      <c r="AL63" s="14" t="s">
        <v>383</v>
      </c>
      <c r="AM63" s="143">
        <v>5937.5</v>
      </c>
      <c r="AN63" s="143"/>
      <c r="AO63" s="197" t="s">
        <v>119</v>
      </c>
      <c r="AP63" s="198" t="s">
        <v>106</v>
      </c>
      <c r="AQ63" s="143"/>
      <c r="AR63" s="143"/>
      <c r="AS63" s="208">
        <v>0</v>
      </c>
      <c r="AT63" s="208">
        <v>3796.4471582011165</v>
      </c>
      <c r="AU63" s="208">
        <v>759.28943164022337</v>
      </c>
      <c r="AV63" s="208"/>
      <c r="AW63" s="208">
        <v>0</v>
      </c>
      <c r="AX63" s="199"/>
      <c r="AY63" s="143"/>
    </row>
    <row r="64" spans="1:51" ht="39.950000000000003" hidden="1" customHeight="1" x14ac:dyDescent="0.2">
      <c r="A64" s="14" t="s">
        <v>257</v>
      </c>
      <c r="B64" s="65" t="s">
        <v>67</v>
      </c>
      <c r="C64" s="66" t="s">
        <v>38</v>
      </c>
      <c r="D64" s="13" t="s">
        <v>540</v>
      </c>
      <c r="E64" s="77" t="s">
        <v>35</v>
      </c>
      <c r="F64" s="14" t="s">
        <v>546</v>
      </c>
      <c r="G64" s="66" t="s">
        <v>259</v>
      </c>
      <c r="H64" s="14" t="s">
        <v>258</v>
      </c>
      <c r="I64" s="14" t="s">
        <v>142</v>
      </c>
      <c r="J64" s="14" t="s">
        <v>218</v>
      </c>
      <c r="K64" s="14" t="s">
        <v>139</v>
      </c>
      <c r="L64" s="65" t="s">
        <v>191</v>
      </c>
      <c r="M64" s="13" t="s">
        <v>323</v>
      </c>
      <c r="N64" s="13" t="s">
        <v>43</v>
      </c>
      <c r="O64" s="13" t="s">
        <v>538</v>
      </c>
      <c r="P64" s="13" t="s">
        <v>534</v>
      </c>
      <c r="Q64" s="64" t="s">
        <v>9</v>
      </c>
      <c r="R64" s="62">
        <v>13401.232913428035</v>
      </c>
      <c r="S64" s="63">
        <v>10000</v>
      </c>
      <c r="T64" s="62">
        <v>13401.232913428035</v>
      </c>
      <c r="U64" s="62">
        <v>120611.09622085233</v>
      </c>
      <c r="V64" s="62">
        <v>1198001.4071294561</v>
      </c>
      <c r="W64" s="61" t="s">
        <v>11</v>
      </c>
      <c r="X64" s="181">
        <v>0.04</v>
      </c>
      <c r="Y64" s="60">
        <v>43815</v>
      </c>
      <c r="Z64" s="60">
        <v>45439</v>
      </c>
      <c r="AA64" s="60">
        <v>45439</v>
      </c>
      <c r="AB64" s="58">
        <v>1625</v>
      </c>
      <c r="AC64" s="59" t="s">
        <v>10</v>
      </c>
      <c r="AD64" s="58">
        <v>1062</v>
      </c>
      <c r="AE64" s="57">
        <v>2.9095890410958902</v>
      </c>
      <c r="AF64" s="56"/>
      <c r="AG64" s="71" t="s">
        <v>1</v>
      </c>
      <c r="AH64" s="71" t="s">
        <v>1</v>
      </c>
      <c r="AI64" s="70" t="s">
        <v>270</v>
      </c>
      <c r="AJ64" s="11" t="s">
        <v>0</v>
      </c>
      <c r="AK64" s="11" t="s">
        <v>271</v>
      </c>
      <c r="AL64" s="14" t="s">
        <v>382</v>
      </c>
      <c r="AM64" s="143">
        <v>10000</v>
      </c>
      <c r="AN64" s="143"/>
      <c r="AO64" s="197" t="s">
        <v>35</v>
      </c>
      <c r="AP64" s="198" t="s">
        <v>546</v>
      </c>
      <c r="AQ64" s="143"/>
      <c r="AR64" s="143"/>
      <c r="AS64" s="208">
        <v>0</v>
      </c>
      <c r="AT64" s="208">
        <v>1608.1479496113641</v>
      </c>
      <c r="AU64" s="208" t="b">
        <v>0</v>
      </c>
      <c r="AV64" s="208"/>
      <c r="AW64" s="208">
        <v>0</v>
      </c>
      <c r="AX64" s="199"/>
      <c r="AY64" s="143"/>
    </row>
    <row r="65" spans="1:51" ht="39.950000000000003" hidden="1" customHeight="1" x14ac:dyDescent="0.2">
      <c r="A65" s="14" t="s">
        <v>262</v>
      </c>
      <c r="B65" s="65" t="s">
        <v>51</v>
      </c>
      <c r="C65" s="66" t="s">
        <v>127</v>
      </c>
      <c r="D65" s="13" t="s">
        <v>499</v>
      </c>
      <c r="E65" s="77" t="s">
        <v>162</v>
      </c>
      <c r="F65" s="14" t="s">
        <v>547</v>
      </c>
      <c r="G65" s="66" t="s">
        <v>265</v>
      </c>
      <c r="H65" s="14" t="s">
        <v>266</v>
      </c>
      <c r="I65" s="14" t="s">
        <v>158</v>
      </c>
      <c r="J65" s="14" t="s">
        <v>220</v>
      </c>
      <c r="K65" s="14" t="s">
        <v>29</v>
      </c>
      <c r="L65" s="65" t="s">
        <v>191</v>
      </c>
      <c r="M65" s="13" t="s">
        <v>59</v>
      </c>
      <c r="N65" s="13" t="s">
        <v>43</v>
      </c>
      <c r="O65" s="13" t="s">
        <v>538</v>
      </c>
      <c r="P65" s="13" t="s">
        <v>534</v>
      </c>
      <c r="Q65" s="64" t="s">
        <v>9</v>
      </c>
      <c r="R65" s="62">
        <v>26802.465826856071</v>
      </c>
      <c r="S65" s="63">
        <v>20000</v>
      </c>
      <c r="T65" s="62">
        <v>26802.465826856071</v>
      </c>
      <c r="U65" s="62">
        <v>167515.41141785044</v>
      </c>
      <c r="V65" s="76">
        <v>805958.56338783167</v>
      </c>
      <c r="W65" s="61" t="s">
        <v>551</v>
      </c>
      <c r="X65" s="181">
        <v>2.2499999999999999E-2</v>
      </c>
      <c r="Y65" s="60">
        <v>43819</v>
      </c>
      <c r="Z65" s="60">
        <v>44791</v>
      </c>
      <c r="AA65" s="60">
        <v>44791</v>
      </c>
      <c r="AB65" s="58">
        <v>973</v>
      </c>
      <c r="AC65" s="59" t="s">
        <v>10</v>
      </c>
      <c r="AD65" s="58">
        <v>414</v>
      </c>
      <c r="AE65" s="57">
        <v>1.1342465753424658</v>
      </c>
      <c r="AF65" s="56" t="s">
        <v>436</v>
      </c>
      <c r="AG65" s="71" t="s">
        <v>1</v>
      </c>
      <c r="AH65" s="71" t="s">
        <v>1</v>
      </c>
      <c r="AI65" s="70" t="s">
        <v>0</v>
      </c>
      <c r="AJ65" s="11" t="s">
        <v>0</v>
      </c>
      <c r="AK65" s="11" t="s">
        <v>271</v>
      </c>
      <c r="AL65" s="14" t="s">
        <v>384</v>
      </c>
      <c r="AM65" s="143">
        <v>7012.5</v>
      </c>
      <c r="AN65" s="143"/>
      <c r="AO65" s="197" t="s">
        <v>162</v>
      </c>
      <c r="AP65" s="198" t="s">
        <v>547</v>
      </c>
      <c r="AQ65" s="143"/>
      <c r="AR65" s="143"/>
      <c r="AS65" s="208">
        <v>0</v>
      </c>
      <c r="AT65" s="208">
        <v>3216.2958992227282</v>
      </c>
      <c r="AU65" s="208">
        <v>643.25917984454566</v>
      </c>
      <c r="AV65" s="208"/>
      <c r="AW65" s="208">
        <v>0</v>
      </c>
      <c r="AX65" s="199"/>
      <c r="AY65" s="143"/>
    </row>
    <row r="66" spans="1:51" ht="39.950000000000003" hidden="1" customHeight="1" x14ac:dyDescent="0.2">
      <c r="A66" s="14" t="s">
        <v>276</v>
      </c>
      <c r="B66" s="65" t="s">
        <v>51</v>
      </c>
      <c r="C66" s="66" t="s">
        <v>38</v>
      </c>
      <c r="D66" s="13" t="s">
        <v>540</v>
      </c>
      <c r="E66" s="77" t="s">
        <v>274</v>
      </c>
      <c r="F66" s="14" t="s">
        <v>48</v>
      </c>
      <c r="G66" s="66" t="s">
        <v>95</v>
      </c>
      <c r="H66" s="14" t="s">
        <v>275</v>
      </c>
      <c r="I66" s="14" t="s">
        <v>50</v>
      </c>
      <c r="J66" s="14" t="s">
        <v>21</v>
      </c>
      <c r="K66" s="14" t="s">
        <v>45</v>
      </c>
      <c r="L66" s="65" t="s">
        <v>191</v>
      </c>
      <c r="M66" s="13" t="s">
        <v>323</v>
      </c>
      <c r="N66" s="13" t="s">
        <v>43</v>
      </c>
      <c r="O66" s="13" t="s">
        <v>538</v>
      </c>
      <c r="P66" s="13" t="s">
        <v>548</v>
      </c>
      <c r="Q66" s="64" t="s">
        <v>9</v>
      </c>
      <c r="R66" s="62">
        <v>26802.465826856071</v>
      </c>
      <c r="S66" s="63">
        <v>20000</v>
      </c>
      <c r="T66" s="62">
        <v>26802.465826856071</v>
      </c>
      <c r="U66" s="62">
        <v>175000</v>
      </c>
      <c r="V66" s="76">
        <v>671215.491825248</v>
      </c>
      <c r="W66" s="61" t="s">
        <v>11</v>
      </c>
      <c r="X66" s="181">
        <v>1.77E-2</v>
      </c>
      <c r="Y66" s="60">
        <v>43850</v>
      </c>
      <c r="Z66" s="60">
        <v>45562</v>
      </c>
      <c r="AA66" s="60">
        <v>45562</v>
      </c>
      <c r="AB66" s="58">
        <v>1713</v>
      </c>
      <c r="AC66" s="59" t="s">
        <v>10</v>
      </c>
      <c r="AD66" s="58">
        <v>1185</v>
      </c>
      <c r="AE66" s="57">
        <v>3.2465753424657535</v>
      </c>
      <c r="AF66" s="56" t="s">
        <v>436</v>
      </c>
      <c r="AG66" s="71" t="s">
        <v>1</v>
      </c>
      <c r="AH66" s="71" t="s">
        <v>1</v>
      </c>
      <c r="AI66" s="70" t="s">
        <v>0</v>
      </c>
      <c r="AJ66" s="11" t="s">
        <v>0</v>
      </c>
      <c r="AK66" s="11" t="s">
        <v>271</v>
      </c>
      <c r="AL66" s="14" t="s">
        <v>385</v>
      </c>
      <c r="AM66" s="143">
        <v>6697.5</v>
      </c>
      <c r="AN66" s="143">
        <v>7000</v>
      </c>
      <c r="AO66" s="197" t="s">
        <v>274</v>
      </c>
      <c r="AP66" s="198" t="s">
        <v>48</v>
      </c>
      <c r="AQ66" s="143"/>
      <c r="AR66" s="143"/>
      <c r="AS66" s="208">
        <v>0</v>
      </c>
      <c r="AT66" s="208">
        <v>3216.2958992227282</v>
      </c>
      <c r="AU66" s="208">
        <v>643.25917984454566</v>
      </c>
      <c r="AV66" s="208"/>
      <c r="AW66" s="208">
        <v>0</v>
      </c>
      <c r="AX66" s="199"/>
      <c r="AY66" s="143"/>
    </row>
    <row r="67" spans="1:51" ht="39.950000000000003" hidden="1" customHeight="1" x14ac:dyDescent="0.2">
      <c r="A67" s="14" t="s">
        <v>284</v>
      </c>
      <c r="B67" s="65" t="s">
        <v>24</v>
      </c>
      <c r="C67" s="66" t="s">
        <v>127</v>
      </c>
      <c r="D67" s="13" t="s">
        <v>542</v>
      </c>
      <c r="E67" s="77" t="s">
        <v>88</v>
      </c>
      <c r="F67" s="14" t="s">
        <v>104</v>
      </c>
      <c r="G67" s="66" t="s">
        <v>105</v>
      </c>
      <c r="H67" s="14" t="s">
        <v>285</v>
      </c>
      <c r="I67" s="14" t="s">
        <v>286</v>
      </c>
      <c r="J67" s="14" t="s">
        <v>220</v>
      </c>
      <c r="K67" s="14" t="s">
        <v>209</v>
      </c>
      <c r="L67" s="65" t="s">
        <v>191</v>
      </c>
      <c r="M67" s="13" t="s">
        <v>59</v>
      </c>
      <c r="N67" s="13" t="s">
        <v>43</v>
      </c>
      <c r="O67" s="13" t="s">
        <v>538</v>
      </c>
      <c r="P67" s="13" t="s">
        <v>548</v>
      </c>
      <c r="Q67" s="64" t="s">
        <v>59</v>
      </c>
      <c r="R67" s="62">
        <v>23727.79473875698</v>
      </c>
      <c r="S67" s="76">
        <v>15000</v>
      </c>
      <c r="T67" s="62">
        <v>23727.79473875698</v>
      </c>
      <c r="U67" s="62">
        <v>189822.35791005584</v>
      </c>
      <c r="V67" s="62">
        <v>899200.23095053551</v>
      </c>
      <c r="W67" s="61" t="s">
        <v>11</v>
      </c>
      <c r="X67" s="181">
        <v>0.01</v>
      </c>
      <c r="Y67" s="60">
        <v>43861</v>
      </c>
      <c r="Z67" s="60">
        <v>45868</v>
      </c>
      <c r="AA67" s="60">
        <v>45868</v>
      </c>
      <c r="AB67" s="58">
        <v>2008</v>
      </c>
      <c r="AC67" s="75" t="s">
        <v>10</v>
      </c>
      <c r="AD67" s="58">
        <v>1491</v>
      </c>
      <c r="AE67" s="57">
        <v>4.0849315068493155</v>
      </c>
      <c r="AF67" s="56"/>
      <c r="AG67" s="71" t="s">
        <v>1</v>
      </c>
      <c r="AH67" s="71" t="s">
        <v>1</v>
      </c>
      <c r="AI67" s="70" t="s">
        <v>287</v>
      </c>
      <c r="AJ67" s="11" t="s">
        <v>0</v>
      </c>
      <c r="AK67" s="11" t="s">
        <v>271</v>
      </c>
      <c r="AL67" s="14" t="s">
        <v>389</v>
      </c>
      <c r="AM67" s="143">
        <v>10000</v>
      </c>
      <c r="AN67" s="143">
        <v>30000</v>
      </c>
      <c r="AO67" s="197" t="s">
        <v>88</v>
      </c>
      <c r="AP67" s="198" t="s">
        <v>104</v>
      </c>
      <c r="AQ67" s="143"/>
      <c r="AR67" s="143"/>
      <c r="AS67" s="208">
        <v>0</v>
      </c>
      <c r="AT67" s="208">
        <v>2847.3353686508376</v>
      </c>
      <c r="AU67" s="208" t="b">
        <v>0</v>
      </c>
      <c r="AV67" s="208"/>
      <c r="AW67" s="208">
        <v>0</v>
      </c>
      <c r="AX67" s="199"/>
      <c r="AY67" s="143"/>
    </row>
    <row r="68" spans="1:51" ht="39.950000000000003" hidden="1" customHeight="1" x14ac:dyDescent="0.2">
      <c r="A68" s="14" t="s">
        <v>278</v>
      </c>
      <c r="B68" s="65" t="s">
        <v>24</v>
      </c>
      <c r="C68" s="66" t="s">
        <v>38</v>
      </c>
      <c r="D68" s="13" t="s">
        <v>540</v>
      </c>
      <c r="E68" s="77" t="s">
        <v>35</v>
      </c>
      <c r="F68" s="14" t="s">
        <v>546</v>
      </c>
      <c r="G68" s="66" t="s">
        <v>259</v>
      </c>
      <c r="H68" s="14" t="s">
        <v>258</v>
      </c>
      <c r="I68" s="14" t="s">
        <v>688</v>
      </c>
      <c r="J68" s="14" t="s">
        <v>687</v>
      </c>
      <c r="K68" s="14" t="s">
        <v>209</v>
      </c>
      <c r="L68" s="65" t="s">
        <v>191</v>
      </c>
      <c r="M68" s="13" t="s">
        <v>323</v>
      </c>
      <c r="N68" s="13" t="s">
        <v>43</v>
      </c>
      <c r="O68" s="13" t="s">
        <v>531</v>
      </c>
      <c r="P68" s="13" t="s">
        <v>534</v>
      </c>
      <c r="Q68" s="64" t="s">
        <v>9</v>
      </c>
      <c r="R68" s="62">
        <v>13401.232913428035</v>
      </c>
      <c r="S68" s="73">
        <v>10000</v>
      </c>
      <c r="T68" s="62">
        <v>13401.232913428035</v>
      </c>
      <c r="U68" s="62">
        <v>40203.698740284104</v>
      </c>
      <c r="V68" s="62">
        <v>1418913.5888501743</v>
      </c>
      <c r="W68" s="61" t="s">
        <v>11</v>
      </c>
      <c r="X68" s="181">
        <v>0.04</v>
      </c>
      <c r="Y68" s="60">
        <v>43868</v>
      </c>
      <c r="Z68" s="60">
        <v>45553</v>
      </c>
      <c r="AA68" s="60">
        <v>45553</v>
      </c>
      <c r="AB68" s="58">
        <v>1686</v>
      </c>
      <c r="AC68" s="59" t="s">
        <v>10</v>
      </c>
      <c r="AD68" s="58">
        <v>1176</v>
      </c>
      <c r="AE68" s="57">
        <v>3.2219178082191782</v>
      </c>
      <c r="AF68" s="56"/>
      <c r="AG68" s="71" t="s">
        <v>1</v>
      </c>
      <c r="AH68" s="71" t="s">
        <v>1</v>
      </c>
      <c r="AI68" s="70" t="s">
        <v>279</v>
      </c>
      <c r="AJ68" s="11" t="s">
        <v>0</v>
      </c>
      <c r="AK68" s="11" t="s">
        <v>271</v>
      </c>
      <c r="AL68" s="14" t="s">
        <v>386</v>
      </c>
      <c r="AM68" s="143">
        <v>10000</v>
      </c>
      <c r="AN68" s="143">
        <v>66600</v>
      </c>
      <c r="AO68" s="197" t="s">
        <v>35</v>
      </c>
      <c r="AP68" s="198" t="s">
        <v>546</v>
      </c>
      <c r="AQ68" s="143"/>
      <c r="AR68" s="143"/>
      <c r="AS68" s="208">
        <v>0</v>
      </c>
      <c r="AT68" s="208">
        <v>1608.1479496113641</v>
      </c>
      <c r="AU68" s="208" t="b">
        <v>0</v>
      </c>
      <c r="AV68" s="208"/>
      <c r="AW68" s="208">
        <v>0</v>
      </c>
      <c r="AX68" s="199"/>
      <c r="AY68" s="143"/>
    </row>
    <row r="69" spans="1:51" ht="39.950000000000003" hidden="1" customHeight="1" x14ac:dyDescent="0.2">
      <c r="A69" s="14" t="s">
        <v>280</v>
      </c>
      <c r="B69" s="65" t="s">
        <v>23</v>
      </c>
      <c r="C69" s="66" t="s">
        <v>89</v>
      </c>
      <c r="D69" s="13" t="s">
        <v>542</v>
      </c>
      <c r="E69" s="77" t="s">
        <v>89</v>
      </c>
      <c r="F69" s="14" t="s">
        <v>546</v>
      </c>
      <c r="G69" s="66" t="s">
        <v>249</v>
      </c>
      <c r="H69" s="14" t="s">
        <v>249</v>
      </c>
      <c r="I69" s="14" t="s">
        <v>281</v>
      </c>
      <c r="J69" s="14" t="s">
        <v>256</v>
      </c>
      <c r="K69" s="14" t="s">
        <v>29</v>
      </c>
      <c r="L69" s="65" t="s">
        <v>191</v>
      </c>
      <c r="M69" s="13" t="s">
        <v>59</v>
      </c>
      <c r="N69" s="65" t="s">
        <v>43</v>
      </c>
      <c r="O69" s="65" t="s">
        <v>538</v>
      </c>
      <c r="P69" s="65" t="s">
        <v>534</v>
      </c>
      <c r="Q69" s="64" t="s">
        <v>9</v>
      </c>
      <c r="R69" s="62">
        <v>10050.924685071026</v>
      </c>
      <c r="S69" s="63">
        <v>7500</v>
      </c>
      <c r="T69" s="62">
        <v>10050.924685071026</v>
      </c>
      <c r="U69" s="62">
        <v>153310.10452961674</v>
      </c>
      <c r="V69" s="62">
        <v>446991.45001340128</v>
      </c>
      <c r="W69" s="61" t="s">
        <v>11</v>
      </c>
      <c r="X69" s="181">
        <v>2.2499999999999999E-2</v>
      </c>
      <c r="Y69" s="60">
        <v>43872</v>
      </c>
      <c r="Z69" s="60">
        <v>45558</v>
      </c>
      <c r="AA69" s="60">
        <v>45558</v>
      </c>
      <c r="AB69" s="58">
        <v>1687</v>
      </c>
      <c r="AC69" s="59" t="s">
        <v>10</v>
      </c>
      <c r="AD69" s="58">
        <v>1181</v>
      </c>
      <c r="AE69" s="57">
        <v>3.2356164383561645</v>
      </c>
      <c r="AF69" s="56"/>
      <c r="AG69" s="71" t="s">
        <v>1</v>
      </c>
      <c r="AH69" s="71" t="s">
        <v>1</v>
      </c>
      <c r="AI69" s="70" t="s">
        <v>0</v>
      </c>
      <c r="AJ69" s="11" t="s">
        <v>0</v>
      </c>
      <c r="AK69" s="11" t="s">
        <v>271</v>
      </c>
      <c r="AL69" s="14" t="s">
        <v>387</v>
      </c>
      <c r="AM69" s="143">
        <v>7255</v>
      </c>
      <c r="AN69" s="143">
        <v>25000</v>
      </c>
      <c r="AO69" s="197" t="s">
        <v>89</v>
      </c>
      <c r="AP69" s="198" t="s">
        <v>546</v>
      </c>
      <c r="AQ69" s="143"/>
      <c r="AR69" s="143"/>
      <c r="AS69" s="208">
        <v>0</v>
      </c>
      <c r="AT69" s="208">
        <v>1206.110962208523</v>
      </c>
      <c r="AU69" s="208" t="b">
        <v>0</v>
      </c>
      <c r="AV69" s="208"/>
      <c r="AW69" s="208">
        <v>0</v>
      </c>
      <c r="AX69" s="199"/>
      <c r="AY69" s="143"/>
    </row>
    <row r="70" spans="1:51" ht="39.950000000000003" hidden="1" customHeight="1" x14ac:dyDescent="0.2">
      <c r="A70" s="14" t="s">
        <v>282</v>
      </c>
      <c r="B70" s="65" t="s">
        <v>23</v>
      </c>
      <c r="C70" s="66" t="s">
        <v>88</v>
      </c>
      <c r="D70" s="13" t="s">
        <v>540</v>
      </c>
      <c r="E70" s="77" t="s">
        <v>49</v>
      </c>
      <c r="F70" s="14" t="s">
        <v>104</v>
      </c>
      <c r="G70" s="66" t="s">
        <v>111</v>
      </c>
      <c r="H70" s="14" t="s">
        <v>135</v>
      </c>
      <c r="I70" s="14" t="s">
        <v>283</v>
      </c>
      <c r="J70" s="14" t="s">
        <v>148</v>
      </c>
      <c r="K70" s="14" t="s">
        <v>140</v>
      </c>
      <c r="L70" s="65" t="s">
        <v>191</v>
      </c>
      <c r="M70" s="13" t="s">
        <v>59</v>
      </c>
      <c r="N70" s="13" t="s">
        <v>43</v>
      </c>
      <c r="O70" s="13" t="s">
        <v>531</v>
      </c>
      <c r="P70" s="13" t="s">
        <v>534</v>
      </c>
      <c r="Q70" s="64" t="s">
        <v>9</v>
      </c>
      <c r="R70" s="62">
        <v>10050.924685071026</v>
      </c>
      <c r="S70" s="63">
        <v>7500</v>
      </c>
      <c r="T70" s="62">
        <v>10050.924685071026</v>
      </c>
      <c r="U70" s="62">
        <v>20101.849370142052</v>
      </c>
      <c r="V70" s="62">
        <v>1360296.1672473869</v>
      </c>
      <c r="W70" s="61" t="s">
        <v>11</v>
      </c>
      <c r="X70" s="181">
        <v>3.0700000000000002E-2</v>
      </c>
      <c r="Y70" s="60">
        <v>43878</v>
      </c>
      <c r="Z70" s="60">
        <v>47382</v>
      </c>
      <c r="AA70" s="60">
        <v>47382</v>
      </c>
      <c r="AB70" s="58">
        <v>3505</v>
      </c>
      <c r="AC70" s="59" t="s">
        <v>10</v>
      </c>
      <c r="AD70" s="58">
        <v>3005</v>
      </c>
      <c r="AE70" s="57">
        <v>8.2328767123287676</v>
      </c>
      <c r="AF70" s="56"/>
      <c r="AG70" s="71" t="s">
        <v>1</v>
      </c>
      <c r="AH70" s="71" t="s">
        <v>1</v>
      </c>
      <c r="AI70" s="70" t="s">
        <v>0</v>
      </c>
      <c r="AJ70" s="11" t="s">
        <v>0</v>
      </c>
      <c r="AK70" s="11" t="s">
        <v>271</v>
      </c>
      <c r="AL70" s="14" t="s">
        <v>388</v>
      </c>
      <c r="AM70" s="143">
        <v>7700</v>
      </c>
      <c r="AN70" s="143">
        <v>50000</v>
      </c>
      <c r="AO70" s="197" t="s">
        <v>49</v>
      </c>
      <c r="AP70" s="198" t="s">
        <v>104</v>
      </c>
      <c r="AQ70" s="143"/>
      <c r="AR70" s="143"/>
      <c r="AS70" s="208">
        <v>0</v>
      </c>
      <c r="AT70" s="208">
        <v>1206.110962208523</v>
      </c>
      <c r="AU70" s="208" t="b">
        <v>0</v>
      </c>
      <c r="AV70" s="208"/>
      <c r="AW70" s="208">
        <v>0</v>
      </c>
      <c r="AX70" s="199"/>
      <c r="AY70" s="143"/>
    </row>
    <row r="71" spans="1:51" ht="39.950000000000003" hidden="1" customHeight="1" x14ac:dyDescent="0.2">
      <c r="A71" s="13" t="s">
        <v>317</v>
      </c>
      <c r="B71" s="65" t="s">
        <v>23</v>
      </c>
      <c r="C71" s="66" t="s">
        <v>34</v>
      </c>
      <c r="D71" s="13" t="s">
        <v>34</v>
      </c>
      <c r="E71" s="77" t="s">
        <v>34</v>
      </c>
      <c r="F71" s="14" t="s">
        <v>48</v>
      </c>
      <c r="G71" s="66" t="s">
        <v>95</v>
      </c>
      <c r="H71" s="14" t="s">
        <v>130</v>
      </c>
      <c r="I71" s="14" t="s">
        <v>321</v>
      </c>
      <c r="J71" s="14" t="s">
        <v>26</v>
      </c>
      <c r="K71" s="14" t="s">
        <v>29</v>
      </c>
      <c r="L71" s="65" t="s">
        <v>191</v>
      </c>
      <c r="M71" s="13" t="s">
        <v>323</v>
      </c>
      <c r="N71" s="13" t="s">
        <v>43</v>
      </c>
      <c r="O71" s="13" t="s">
        <v>537</v>
      </c>
      <c r="P71" s="13" t="s">
        <v>534</v>
      </c>
      <c r="Q71" s="64" t="s">
        <v>8</v>
      </c>
      <c r="R71" s="62">
        <v>10000</v>
      </c>
      <c r="S71" s="63">
        <v>10000</v>
      </c>
      <c r="T71" s="62">
        <v>10000</v>
      </c>
      <c r="U71" s="62">
        <v>50000</v>
      </c>
      <c r="V71" s="62">
        <v>286672.40000000002</v>
      </c>
      <c r="W71" s="61" t="s">
        <v>11</v>
      </c>
      <c r="X71" s="181">
        <v>2.1499999999999998E-2</v>
      </c>
      <c r="Y71" s="60">
        <v>43886</v>
      </c>
      <c r="Z71" s="60">
        <v>45152</v>
      </c>
      <c r="AA71" s="60">
        <v>45152</v>
      </c>
      <c r="AB71" s="58">
        <v>1267</v>
      </c>
      <c r="AC71" s="59" t="s">
        <v>10</v>
      </c>
      <c r="AD71" s="58">
        <v>775</v>
      </c>
      <c r="AE71" s="57">
        <v>2.1232876712328768</v>
      </c>
      <c r="AF71" s="56"/>
      <c r="AG71" s="71" t="s">
        <v>1</v>
      </c>
      <c r="AH71" s="71" t="s">
        <v>1</v>
      </c>
      <c r="AI71" s="70" t="s">
        <v>0</v>
      </c>
      <c r="AJ71" s="11" t="s">
        <v>0</v>
      </c>
      <c r="AK71" s="11" t="s">
        <v>271</v>
      </c>
      <c r="AL71" s="78" t="s">
        <v>399</v>
      </c>
      <c r="AM71" s="143"/>
      <c r="AN71" s="143"/>
      <c r="AO71" s="197" t="s">
        <v>34</v>
      </c>
      <c r="AP71" s="198" t="s">
        <v>48</v>
      </c>
      <c r="AQ71" s="143"/>
      <c r="AR71" s="143"/>
      <c r="AS71" s="208">
        <v>0</v>
      </c>
      <c r="AT71" s="208">
        <v>1200</v>
      </c>
      <c r="AU71" s="208" t="b">
        <v>0</v>
      </c>
      <c r="AV71" s="208"/>
      <c r="AW71" s="208">
        <v>0</v>
      </c>
      <c r="AX71" s="199"/>
      <c r="AY71" s="143"/>
    </row>
    <row r="72" spans="1:51" ht="39.950000000000003" hidden="1" customHeight="1" x14ac:dyDescent="0.2">
      <c r="A72" s="14" t="s">
        <v>291</v>
      </c>
      <c r="B72" s="65" t="s">
        <v>23</v>
      </c>
      <c r="C72" s="66" t="s">
        <v>37</v>
      </c>
      <c r="D72" s="13" t="s">
        <v>541</v>
      </c>
      <c r="E72" s="77" t="s">
        <v>37</v>
      </c>
      <c r="F72" s="14" t="s">
        <v>102</v>
      </c>
      <c r="G72" s="66" t="s">
        <v>102</v>
      </c>
      <c r="H72" s="14" t="s">
        <v>474</v>
      </c>
      <c r="I72" s="14" t="s">
        <v>79</v>
      </c>
      <c r="J72" s="14" t="s">
        <v>222</v>
      </c>
      <c r="K72" s="14" t="s">
        <v>101</v>
      </c>
      <c r="L72" s="65" t="s">
        <v>191</v>
      </c>
      <c r="M72" s="13" t="s">
        <v>323</v>
      </c>
      <c r="N72" s="13" t="s">
        <v>43</v>
      </c>
      <c r="O72" s="13" t="s">
        <v>531</v>
      </c>
      <c r="P72" s="13" t="s">
        <v>534</v>
      </c>
      <c r="Q72" s="64" t="s">
        <v>9</v>
      </c>
      <c r="R72" s="62">
        <v>26802.465826856071</v>
      </c>
      <c r="S72" s="63">
        <v>20000</v>
      </c>
      <c r="T72" s="62">
        <v>26802.465826856071</v>
      </c>
      <c r="U72" s="62">
        <v>67006.164567140178</v>
      </c>
      <c r="V72" s="62">
        <v>901239.60064325924</v>
      </c>
      <c r="W72" s="61" t="s">
        <v>11</v>
      </c>
      <c r="X72" s="181">
        <v>0.03</v>
      </c>
      <c r="Y72" s="60">
        <v>43896</v>
      </c>
      <c r="Z72" s="60">
        <v>44705</v>
      </c>
      <c r="AA72" s="60">
        <v>44705</v>
      </c>
      <c r="AB72" s="58">
        <v>810</v>
      </c>
      <c r="AC72" s="59" t="s">
        <v>10</v>
      </c>
      <c r="AD72" s="58">
        <v>328</v>
      </c>
      <c r="AE72" s="57">
        <v>0.89863013698630134</v>
      </c>
      <c r="AF72" s="56" t="s">
        <v>436</v>
      </c>
      <c r="AG72" s="71" t="s">
        <v>1</v>
      </c>
      <c r="AH72" s="71" t="s">
        <v>1</v>
      </c>
      <c r="AI72" s="70" t="s">
        <v>0</v>
      </c>
      <c r="AJ72" s="11" t="s">
        <v>0</v>
      </c>
      <c r="AK72" s="11" t="s">
        <v>271</v>
      </c>
      <c r="AL72" s="14" t="s">
        <v>390</v>
      </c>
      <c r="AM72" s="143">
        <v>5000</v>
      </c>
      <c r="AN72" s="143">
        <v>75000</v>
      </c>
      <c r="AO72" s="197" t="s">
        <v>37</v>
      </c>
      <c r="AP72" s="198" t="s">
        <v>102</v>
      </c>
      <c r="AQ72" s="143"/>
      <c r="AR72" s="143"/>
      <c r="AS72" s="208">
        <v>0</v>
      </c>
      <c r="AT72" s="208">
        <v>3216.2958992227282</v>
      </c>
      <c r="AU72" s="208">
        <v>643.25917984454566</v>
      </c>
      <c r="AV72" s="208"/>
      <c r="AW72" s="208">
        <v>0</v>
      </c>
      <c r="AX72" s="199"/>
      <c r="AY72" s="143"/>
    </row>
    <row r="73" spans="1:51" ht="39.950000000000003" hidden="1" customHeight="1" x14ac:dyDescent="0.2">
      <c r="A73" s="14" t="s">
        <v>312</v>
      </c>
      <c r="B73" s="65" t="s">
        <v>67</v>
      </c>
      <c r="C73" s="66" t="s">
        <v>149</v>
      </c>
      <c r="D73" s="13" t="s">
        <v>540</v>
      </c>
      <c r="E73" s="77" t="s">
        <v>229</v>
      </c>
      <c r="F73" s="14" t="s">
        <v>104</v>
      </c>
      <c r="G73" s="66" t="s">
        <v>292</v>
      </c>
      <c r="H73" s="14" t="s">
        <v>292</v>
      </c>
      <c r="I73" s="14" t="s">
        <v>148</v>
      </c>
      <c r="J73" s="14" t="s">
        <v>148</v>
      </c>
      <c r="K73" s="14" t="s">
        <v>29</v>
      </c>
      <c r="L73" s="65" t="s">
        <v>191</v>
      </c>
      <c r="M73" s="65" t="s">
        <v>59</v>
      </c>
      <c r="N73" s="13" t="s">
        <v>43</v>
      </c>
      <c r="O73" s="13" t="s">
        <v>538</v>
      </c>
      <c r="P73" s="13" t="s">
        <v>534</v>
      </c>
      <c r="Q73" s="64" t="s">
        <v>9</v>
      </c>
      <c r="R73" s="62">
        <v>4187.8852854462612</v>
      </c>
      <c r="S73" s="63">
        <v>3125</v>
      </c>
      <c r="T73" s="62">
        <v>4187.8852854462612</v>
      </c>
      <c r="U73" s="62">
        <v>8375.7705708925223</v>
      </c>
      <c r="V73" s="62">
        <v>223430.28678638436</v>
      </c>
      <c r="W73" s="61" t="s">
        <v>11</v>
      </c>
      <c r="X73" s="181">
        <v>3.5000000000000003E-2</v>
      </c>
      <c r="Y73" s="60">
        <v>43908</v>
      </c>
      <c r="Z73" s="60">
        <v>45412</v>
      </c>
      <c r="AA73" s="60">
        <v>45412</v>
      </c>
      <c r="AB73" s="58">
        <v>1505</v>
      </c>
      <c r="AC73" s="59" t="s">
        <v>10</v>
      </c>
      <c r="AD73" s="58">
        <v>1035</v>
      </c>
      <c r="AE73" s="57">
        <v>2.8356164383561642</v>
      </c>
      <c r="AF73" s="56"/>
      <c r="AG73" s="71" t="s">
        <v>1</v>
      </c>
      <c r="AH73" s="71" t="s">
        <v>1</v>
      </c>
      <c r="AI73" s="70" t="s">
        <v>293</v>
      </c>
      <c r="AJ73" s="11" t="s">
        <v>0</v>
      </c>
      <c r="AK73" s="11" t="s">
        <v>271</v>
      </c>
      <c r="AL73" s="14" t="s">
        <v>351</v>
      </c>
      <c r="AM73" s="143">
        <v>7500</v>
      </c>
      <c r="AN73" s="143">
        <v>12750</v>
      </c>
      <c r="AO73" s="197" t="s">
        <v>229</v>
      </c>
      <c r="AP73" s="198" t="s">
        <v>104</v>
      </c>
      <c r="AQ73" s="143"/>
      <c r="AR73" s="143"/>
      <c r="AS73" s="208">
        <v>0</v>
      </c>
      <c r="AT73" s="208">
        <v>502.54623425355135</v>
      </c>
      <c r="AU73" s="208" t="b">
        <v>0</v>
      </c>
      <c r="AV73" s="208"/>
      <c r="AW73" s="208">
        <v>0</v>
      </c>
      <c r="AX73" s="199"/>
      <c r="AY73" s="143"/>
    </row>
    <row r="74" spans="1:51" ht="39.950000000000003" hidden="1" customHeight="1" x14ac:dyDescent="0.2">
      <c r="A74" s="14" t="s">
        <v>294</v>
      </c>
      <c r="B74" s="65" t="s">
        <v>24</v>
      </c>
      <c r="C74" s="66" t="s">
        <v>295</v>
      </c>
      <c r="D74" s="13" t="s">
        <v>34</v>
      </c>
      <c r="E74" s="77" t="s">
        <v>295</v>
      </c>
      <c r="F74" s="14" t="s">
        <v>106</v>
      </c>
      <c r="G74" s="66" t="s">
        <v>106</v>
      </c>
      <c r="H74" s="66" t="s">
        <v>107</v>
      </c>
      <c r="I74" s="66" t="s">
        <v>296</v>
      </c>
      <c r="J74" s="66" t="s">
        <v>687</v>
      </c>
      <c r="K74" s="14" t="s">
        <v>101</v>
      </c>
      <c r="L74" s="65" t="s">
        <v>191</v>
      </c>
      <c r="M74" s="65" t="s">
        <v>323</v>
      </c>
      <c r="N74" s="13" t="s">
        <v>43</v>
      </c>
      <c r="O74" s="13" t="s">
        <v>531</v>
      </c>
      <c r="P74" s="13" t="s">
        <v>534</v>
      </c>
      <c r="Q74" s="64" t="s">
        <v>297</v>
      </c>
      <c r="R74" s="62">
        <v>32192.358119498032</v>
      </c>
      <c r="S74" s="63">
        <v>34375</v>
      </c>
      <c r="T74" s="62">
        <v>32192.358119498032</v>
      </c>
      <c r="U74" s="62">
        <v>58531.560217269151</v>
      </c>
      <c r="V74" s="62">
        <v>745118.95486046071</v>
      </c>
      <c r="W74" s="61" t="s">
        <v>11</v>
      </c>
      <c r="X74" s="181">
        <v>2.5000000000000001E-2</v>
      </c>
      <c r="Y74" s="60">
        <v>43910</v>
      </c>
      <c r="Z74" s="60">
        <v>44830</v>
      </c>
      <c r="AA74" s="60">
        <v>44830</v>
      </c>
      <c r="AB74" s="58">
        <v>921</v>
      </c>
      <c r="AC74" s="59" t="s">
        <v>10</v>
      </c>
      <c r="AD74" s="58">
        <v>453</v>
      </c>
      <c r="AE74" s="57">
        <v>1.2410958904109588</v>
      </c>
      <c r="AF74" s="56" t="s">
        <v>436</v>
      </c>
      <c r="AG74" s="71" t="s">
        <v>1</v>
      </c>
      <c r="AH74" s="71" t="s">
        <v>1</v>
      </c>
      <c r="AI74" s="70" t="s">
        <v>0</v>
      </c>
      <c r="AJ74" s="11" t="s">
        <v>0</v>
      </c>
      <c r="AK74" s="11" t="s">
        <v>1</v>
      </c>
      <c r="AL74" s="14" t="s">
        <v>391</v>
      </c>
      <c r="AM74" s="143">
        <v>13000</v>
      </c>
      <c r="AN74" s="143">
        <v>60000</v>
      </c>
      <c r="AO74" s="197" t="s">
        <v>295</v>
      </c>
      <c r="AP74" s="198" t="s">
        <v>106</v>
      </c>
      <c r="AQ74" s="143"/>
      <c r="AR74" s="143"/>
      <c r="AS74" s="208">
        <v>0</v>
      </c>
      <c r="AT74" s="208">
        <v>3863.082974339764</v>
      </c>
      <c r="AU74" s="208">
        <v>772.61659486795281</v>
      </c>
      <c r="AV74" s="208"/>
      <c r="AW74" s="208">
        <v>0</v>
      </c>
      <c r="AX74" s="199"/>
      <c r="AY74" s="143"/>
    </row>
    <row r="75" spans="1:51" ht="39.950000000000003" hidden="1" customHeight="1" x14ac:dyDescent="0.2">
      <c r="A75" s="14" t="s">
        <v>313</v>
      </c>
      <c r="B75" s="65" t="s">
        <v>67</v>
      </c>
      <c r="C75" s="66" t="s">
        <v>87</v>
      </c>
      <c r="D75" s="13" t="s">
        <v>499</v>
      </c>
      <c r="E75" s="77" t="s">
        <v>162</v>
      </c>
      <c r="F75" s="14" t="s">
        <v>546</v>
      </c>
      <c r="G75" s="66" t="s">
        <v>167</v>
      </c>
      <c r="H75" s="66" t="s">
        <v>167</v>
      </c>
      <c r="I75" s="14" t="s">
        <v>298</v>
      </c>
      <c r="J75" s="66" t="s">
        <v>218</v>
      </c>
      <c r="K75" s="14" t="s">
        <v>209</v>
      </c>
      <c r="L75" s="65" t="s">
        <v>191</v>
      </c>
      <c r="M75" s="65" t="s">
        <v>59</v>
      </c>
      <c r="N75" s="13" t="s">
        <v>43</v>
      </c>
      <c r="O75" s="13" t="s">
        <v>531</v>
      </c>
      <c r="P75" s="13" t="s">
        <v>534</v>
      </c>
      <c r="Q75" s="64" t="s">
        <v>9</v>
      </c>
      <c r="R75" s="62">
        <v>20101.849370142052</v>
      </c>
      <c r="S75" s="76">
        <v>15000</v>
      </c>
      <c r="T75" s="62">
        <v>20101.849370142052</v>
      </c>
      <c r="U75" s="62">
        <v>40203.698740284104</v>
      </c>
      <c r="V75" s="62">
        <v>3752903.6317341197</v>
      </c>
      <c r="W75" s="61" t="s">
        <v>11</v>
      </c>
      <c r="X75" s="181">
        <v>5.3800000000000001E-2</v>
      </c>
      <c r="Y75" s="60">
        <v>43915</v>
      </c>
      <c r="Z75" s="60">
        <v>46372</v>
      </c>
      <c r="AA75" s="60">
        <v>46372</v>
      </c>
      <c r="AB75" s="58">
        <v>2458</v>
      </c>
      <c r="AC75" s="75" t="s">
        <v>10</v>
      </c>
      <c r="AD75" s="58">
        <v>1995</v>
      </c>
      <c r="AE75" s="57">
        <v>5.4657534246575343</v>
      </c>
      <c r="AF75" s="56"/>
      <c r="AG75" s="71" t="s">
        <v>182</v>
      </c>
      <c r="AH75" s="71" t="s">
        <v>182</v>
      </c>
      <c r="AI75" s="70" t="s">
        <v>0</v>
      </c>
      <c r="AJ75" s="11" t="s">
        <v>0</v>
      </c>
      <c r="AK75" s="11" t="s">
        <v>271</v>
      </c>
      <c r="AL75" s="14" t="s">
        <v>392</v>
      </c>
      <c r="AM75" s="143">
        <v>12000</v>
      </c>
      <c r="AN75" s="143">
        <v>250000</v>
      </c>
      <c r="AO75" s="197" t="s">
        <v>162</v>
      </c>
      <c r="AP75" s="198" t="s">
        <v>546</v>
      </c>
      <c r="AQ75" s="143"/>
      <c r="AR75" s="143"/>
      <c r="AS75" s="208">
        <v>0</v>
      </c>
      <c r="AT75" s="208">
        <v>2412.221924417046</v>
      </c>
      <c r="AU75" s="208" t="b">
        <v>0</v>
      </c>
      <c r="AV75" s="208"/>
      <c r="AW75" s="208">
        <v>0</v>
      </c>
      <c r="AX75" s="199"/>
      <c r="AY75" s="143"/>
    </row>
    <row r="76" spans="1:51" ht="39.950000000000003" hidden="1" customHeight="1" x14ac:dyDescent="0.2">
      <c r="A76" s="13" t="s">
        <v>301</v>
      </c>
      <c r="B76" s="65" t="s">
        <v>24</v>
      </c>
      <c r="C76" s="66" t="s">
        <v>37</v>
      </c>
      <c r="D76" s="13" t="s">
        <v>542</v>
      </c>
      <c r="E76" s="130" t="s">
        <v>87</v>
      </c>
      <c r="F76" s="14" t="s">
        <v>102</v>
      </c>
      <c r="G76" s="66" t="s">
        <v>102</v>
      </c>
      <c r="H76" s="66" t="s">
        <v>110</v>
      </c>
      <c r="I76" s="14" t="s">
        <v>55</v>
      </c>
      <c r="J76" s="66" t="s">
        <v>218</v>
      </c>
      <c r="K76" s="14" t="s">
        <v>101</v>
      </c>
      <c r="L76" s="65" t="s">
        <v>191</v>
      </c>
      <c r="M76" s="13" t="s">
        <v>323</v>
      </c>
      <c r="N76" s="13" t="s">
        <v>43</v>
      </c>
      <c r="O76" s="13" t="s">
        <v>538</v>
      </c>
      <c r="P76" s="13" t="s">
        <v>534</v>
      </c>
      <c r="Q76" s="15" t="s">
        <v>59</v>
      </c>
      <c r="R76" s="62">
        <v>28372.378342076212</v>
      </c>
      <c r="S76" s="63">
        <v>17936.166416510318</v>
      </c>
      <c r="T76" s="62">
        <v>28372.378342076212</v>
      </c>
      <c r="U76" s="62">
        <v>37829.918365998696</v>
      </c>
      <c r="V76" s="62">
        <v>985478.36684274697</v>
      </c>
      <c r="W76" s="61" t="s">
        <v>11</v>
      </c>
      <c r="X76" s="181">
        <v>2.6499999999999999E-2</v>
      </c>
      <c r="Y76" s="60">
        <v>43915</v>
      </c>
      <c r="Z76" s="60">
        <v>44970</v>
      </c>
      <c r="AA76" s="60">
        <v>44970</v>
      </c>
      <c r="AB76" s="58">
        <v>1056</v>
      </c>
      <c r="AC76" s="59" t="s">
        <v>10</v>
      </c>
      <c r="AD76" s="58">
        <v>593</v>
      </c>
      <c r="AE76" s="57">
        <v>1.6246575342465754</v>
      </c>
      <c r="AF76" s="56" t="s">
        <v>436</v>
      </c>
      <c r="AG76" s="71" t="s">
        <v>1</v>
      </c>
      <c r="AH76" s="71" t="s">
        <v>1</v>
      </c>
      <c r="AI76" s="70" t="s">
        <v>0</v>
      </c>
      <c r="AJ76" s="11" t="s">
        <v>0</v>
      </c>
      <c r="AK76" s="11" t="s">
        <v>271</v>
      </c>
      <c r="AL76" s="14" t="s">
        <v>394</v>
      </c>
      <c r="AM76" s="143">
        <v>6000</v>
      </c>
      <c r="AN76" s="143">
        <v>55000</v>
      </c>
      <c r="AO76" s="197" t="s">
        <v>87</v>
      </c>
      <c r="AP76" s="198" t="s">
        <v>102</v>
      </c>
      <c r="AQ76" s="143"/>
      <c r="AR76" s="143"/>
      <c r="AS76" s="208">
        <v>0</v>
      </c>
      <c r="AT76" s="208">
        <v>3404.6854010491452</v>
      </c>
      <c r="AU76" s="208">
        <v>680.93708020982911</v>
      </c>
      <c r="AV76" s="208"/>
      <c r="AW76" s="208">
        <v>0</v>
      </c>
      <c r="AX76" s="199"/>
      <c r="AY76" s="143"/>
    </row>
    <row r="77" spans="1:51" ht="39.950000000000003" hidden="1" customHeight="1" x14ac:dyDescent="0.2">
      <c r="A77" s="14" t="s">
        <v>299</v>
      </c>
      <c r="B77" s="65" t="s">
        <v>51</v>
      </c>
      <c r="C77" s="66" t="s">
        <v>38</v>
      </c>
      <c r="D77" s="13" t="s">
        <v>540</v>
      </c>
      <c r="E77" s="130" t="s">
        <v>35</v>
      </c>
      <c r="F77" s="14" t="s">
        <v>102</v>
      </c>
      <c r="G77" s="66" t="s">
        <v>102</v>
      </c>
      <c r="H77" s="66" t="s">
        <v>122</v>
      </c>
      <c r="I77" s="14" t="s">
        <v>300</v>
      </c>
      <c r="J77" s="66" t="s">
        <v>218</v>
      </c>
      <c r="K77" s="14" t="s">
        <v>101</v>
      </c>
      <c r="L77" s="65" t="s">
        <v>191</v>
      </c>
      <c r="M77" s="13" t="s">
        <v>323</v>
      </c>
      <c r="N77" s="13" t="s">
        <v>43</v>
      </c>
      <c r="O77" s="13" t="s">
        <v>531</v>
      </c>
      <c r="P77" s="13" t="s">
        <v>534</v>
      </c>
      <c r="Q77" s="64" t="s">
        <v>66</v>
      </c>
      <c r="R77" s="62">
        <v>32024.255906995102</v>
      </c>
      <c r="S77" s="63">
        <v>1785000</v>
      </c>
      <c r="T77" s="62">
        <v>32024.255906995102</v>
      </c>
      <c r="U77" s="62">
        <v>64048.511813990204</v>
      </c>
      <c r="V77" s="62">
        <v>1823189.1314878273</v>
      </c>
      <c r="W77" s="61" t="s">
        <v>11</v>
      </c>
      <c r="X77" s="181">
        <v>4.4999999999999998E-2</v>
      </c>
      <c r="Y77" s="60">
        <v>43916</v>
      </c>
      <c r="Z77" s="60">
        <v>44968</v>
      </c>
      <c r="AA77" s="60">
        <v>44968</v>
      </c>
      <c r="AB77" s="58">
        <v>1053</v>
      </c>
      <c r="AC77" s="59" t="s">
        <v>10</v>
      </c>
      <c r="AD77" s="58">
        <v>591</v>
      </c>
      <c r="AE77" s="57">
        <v>1.6191780821917807</v>
      </c>
      <c r="AF77" s="56" t="s">
        <v>436</v>
      </c>
      <c r="AG77" s="71" t="s">
        <v>1</v>
      </c>
      <c r="AH77" s="71" t="s">
        <v>1</v>
      </c>
      <c r="AI77" s="70" t="s">
        <v>0</v>
      </c>
      <c r="AJ77" s="11" t="s">
        <v>0</v>
      </c>
      <c r="AK77" s="11" t="s">
        <v>271</v>
      </c>
      <c r="AL77" s="14" t="s">
        <v>393</v>
      </c>
      <c r="AM77" s="143">
        <v>7500</v>
      </c>
      <c r="AN77" s="143">
        <v>10715000</v>
      </c>
      <c r="AO77" s="197" t="s">
        <v>35</v>
      </c>
      <c r="AP77" s="198" t="s">
        <v>102</v>
      </c>
      <c r="AQ77" s="143"/>
      <c r="AR77" s="143"/>
      <c r="AS77" s="208">
        <v>0</v>
      </c>
      <c r="AT77" s="208">
        <v>3842.9107088394121</v>
      </c>
      <c r="AU77" s="208">
        <v>768.58214176788249</v>
      </c>
      <c r="AV77" s="208"/>
      <c r="AW77" s="208">
        <v>0</v>
      </c>
      <c r="AX77" s="199"/>
      <c r="AY77" s="143"/>
    </row>
    <row r="78" spans="1:51" ht="39.950000000000003" hidden="1" customHeight="1" x14ac:dyDescent="0.2">
      <c r="A78" s="13" t="s">
        <v>305</v>
      </c>
      <c r="B78" s="65" t="s">
        <v>23</v>
      </c>
      <c r="C78" s="66" t="s">
        <v>88</v>
      </c>
      <c r="D78" s="13" t="s">
        <v>542</v>
      </c>
      <c r="E78" s="130" t="s">
        <v>127</v>
      </c>
      <c r="F78" s="14" t="s">
        <v>92</v>
      </c>
      <c r="G78" s="66" t="s">
        <v>134</v>
      </c>
      <c r="H78" s="66" t="s">
        <v>134</v>
      </c>
      <c r="I78" s="66" t="s">
        <v>61</v>
      </c>
      <c r="J78" s="66" t="s">
        <v>220</v>
      </c>
      <c r="K78" s="14" t="s">
        <v>68</v>
      </c>
      <c r="L78" s="65" t="s">
        <v>191</v>
      </c>
      <c r="M78" s="13" t="s">
        <v>59</v>
      </c>
      <c r="N78" s="13" t="s">
        <v>43</v>
      </c>
      <c r="O78" s="13" t="s">
        <v>531</v>
      </c>
      <c r="P78" s="13" t="s">
        <v>534</v>
      </c>
      <c r="Q78" s="64" t="s">
        <v>9</v>
      </c>
      <c r="R78" s="62">
        <v>20101.849370142052</v>
      </c>
      <c r="S78" s="76">
        <v>15000</v>
      </c>
      <c r="T78" s="62">
        <v>20101.849370142052</v>
      </c>
      <c r="U78" s="62">
        <v>140712.94559099438</v>
      </c>
      <c r="V78" s="62">
        <v>347627.98177432327</v>
      </c>
      <c r="W78" s="61" t="s">
        <v>11</v>
      </c>
      <c r="X78" s="181">
        <v>1.3100000000000001E-2</v>
      </c>
      <c r="Y78" s="60">
        <v>43920</v>
      </c>
      <c r="Z78" s="60">
        <v>45125</v>
      </c>
      <c r="AA78" s="60">
        <v>45125</v>
      </c>
      <c r="AB78" s="58">
        <v>1206</v>
      </c>
      <c r="AC78" s="59" t="s">
        <v>10</v>
      </c>
      <c r="AD78" s="58">
        <v>748</v>
      </c>
      <c r="AE78" s="57">
        <v>2.0493150684931507</v>
      </c>
      <c r="AF78" s="56"/>
      <c r="AG78" s="71" t="s">
        <v>1</v>
      </c>
      <c r="AH78" s="71" t="s">
        <v>1</v>
      </c>
      <c r="AI78" s="70" t="s">
        <v>0</v>
      </c>
      <c r="AJ78" s="11" t="s">
        <v>0</v>
      </c>
      <c r="AK78" s="11" t="s">
        <v>271</v>
      </c>
      <c r="AL78" s="14" t="s">
        <v>397</v>
      </c>
      <c r="AM78" s="143">
        <v>6500</v>
      </c>
      <c r="AN78" s="143">
        <v>15000</v>
      </c>
      <c r="AO78" s="197" t="s">
        <v>127</v>
      </c>
      <c r="AP78" s="198" t="s">
        <v>92</v>
      </c>
      <c r="AQ78" s="143"/>
      <c r="AR78" s="143"/>
      <c r="AS78" s="208">
        <v>0</v>
      </c>
      <c r="AT78" s="208">
        <v>2412.221924417046</v>
      </c>
      <c r="AU78" s="208" t="b">
        <v>0</v>
      </c>
      <c r="AV78" s="208"/>
      <c r="AW78" s="208">
        <v>0</v>
      </c>
      <c r="AX78" s="199"/>
      <c r="AY78" s="143"/>
    </row>
    <row r="79" spans="1:51" ht="39.950000000000003" hidden="1" customHeight="1" x14ac:dyDescent="0.2">
      <c r="A79" s="13" t="s">
        <v>306</v>
      </c>
      <c r="B79" s="65" t="s">
        <v>243</v>
      </c>
      <c r="C79" s="66" t="s">
        <v>89</v>
      </c>
      <c r="D79" s="13" t="s">
        <v>542</v>
      </c>
      <c r="E79" s="130" t="s">
        <v>308</v>
      </c>
      <c r="F79" s="14" t="s">
        <v>92</v>
      </c>
      <c r="G79" s="66" t="s">
        <v>134</v>
      </c>
      <c r="H79" s="66" t="s">
        <v>134</v>
      </c>
      <c r="I79" s="66" t="s">
        <v>311</v>
      </c>
      <c r="J79" s="66" t="s">
        <v>256</v>
      </c>
      <c r="K79" s="14" t="s">
        <v>68</v>
      </c>
      <c r="L79" s="65" t="s">
        <v>191</v>
      </c>
      <c r="M79" s="65" t="s">
        <v>59</v>
      </c>
      <c r="N79" s="13" t="s">
        <v>43</v>
      </c>
      <c r="O79" s="13" t="s">
        <v>538</v>
      </c>
      <c r="P79" s="13" t="s">
        <v>534</v>
      </c>
      <c r="Q79" s="64" t="s">
        <v>9</v>
      </c>
      <c r="R79" s="62">
        <v>10720.986330742429</v>
      </c>
      <c r="S79" s="63">
        <v>7333.33</v>
      </c>
      <c r="T79" s="62">
        <v>9827.5663361029219</v>
      </c>
      <c r="U79" s="62">
        <v>56329.849008308767</v>
      </c>
      <c r="V79" s="62">
        <v>583666.10828196199</v>
      </c>
      <c r="W79" s="61" t="s">
        <v>11</v>
      </c>
      <c r="X79" s="181">
        <v>0.02</v>
      </c>
      <c r="Y79" s="60">
        <v>43921</v>
      </c>
      <c r="Z79" s="60">
        <v>45660</v>
      </c>
      <c r="AA79" s="60">
        <v>45660</v>
      </c>
      <c r="AB79" s="58">
        <v>1740</v>
      </c>
      <c r="AC79" s="59" t="s">
        <v>10</v>
      </c>
      <c r="AD79" s="58">
        <v>1283</v>
      </c>
      <c r="AE79" s="57">
        <v>3.515068493150685</v>
      </c>
      <c r="AF79" s="56"/>
      <c r="AG79" s="71" t="s">
        <v>1</v>
      </c>
      <c r="AH79" s="71" t="s">
        <v>1</v>
      </c>
      <c r="AI79" s="70" t="s">
        <v>607</v>
      </c>
      <c r="AJ79" s="11" t="s">
        <v>0</v>
      </c>
      <c r="AK79" s="11" t="s">
        <v>271</v>
      </c>
      <c r="AL79" s="13" t="s">
        <v>396</v>
      </c>
      <c r="AM79" s="143">
        <v>10480</v>
      </c>
      <c r="AN79" s="143">
        <v>31210</v>
      </c>
      <c r="AO79" s="197" t="s">
        <v>308</v>
      </c>
      <c r="AP79" s="198" t="s">
        <v>92</v>
      </c>
      <c r="AQ79" s="143"/>
      <c r="AR79" s="143"/>
      <c r="AS79" s="208">
        <v>0</v>
      </c>
      <c r="AT79" s="208">
        <v>1179.3079603323506</v>
      </c>
      <c r="AU79" s="208" t="b">
        <v>0</v>
      </c>
      <c r="AV79" s="208"/>
      <c r="AW79" s="208">
        <v>0</v>
      </c>
      <c r="AX79" s="199"/>
      <c r="AY79" s="143"/>
    </row>
    <row r="80" spans="1:51" ht="39.950000000000003" customHeight="1" x14ac:dyDescent="0.2">
      <c r="A80" s="13" t="s">
        <v>303</v>
      </c>
      <c r="B80" s="65" t="s">
        <v>23</v>
      </c>
      <c r="C80" s="66" t="s">
        <v>38</v>
      </c>
      <c r="D80" s="13" t="s">
        <v>540</v>
      </c>
      <c r="E80" s="130" t="s">
        <v>49</v>
      </c>
      <c r="F80" s="14" t="s">
        <v>544</v>
      </c>
      <c r="G80" s="66" t="s">
        <v>304</v>
      </c>
      <c r="H80" s="14" t="s">
        <v>310</v>
      </c>
      <c r="I80" s="66" t="s">
        <v>142</v>
      </c>
      <c r="J80" s="66" t="s">
        <v>218</v>
      </c>
      <c r="K80" s="14" t="s">
        <v>29</v>
      </c>
      <c r="L80" s="65" t="s">
        <v>191</v>
      </c>
      <c r="M80" s="65" t="s">
        <v>323</v>
      </c>
      <c r="N80" s="13" t="s">
        <v>43</v>
      </c>
      <c r="O80" s="13" t="s">
        <v>538</v>
      </c>
      <c r="P80" s="13" t="s">
        <v>534</v>
      </c>
      <c r="Q80" s="64" t="s">
        <v>59</v>
      </c>
      <c r="R80" s="62">
        <v>11863.89736937849</v>
      </c>
      <c r="S80" s="63">
        <v>7500</v>
      </c>
      <c r="T80" s="62">
        <v>11863.89736937849</v>
      </c>
      <c r="U80" s="62">
        <v>15818.529825837986</v>
      </c>
      <c r="V80" s="62">
        <v>644430.8651153961</v>
      </c>
      <c r="W80" s="61" t="s">
        <v>11</v>
      </c>
      <c r="X80" s="181">
        <v>2.7E-2</v>
      </c>
      <c r="Y80" s="60">
        <v>43921</v>
      </c>
      <c r="Z80" s="60">
        <v>45691</v>
      </c>
      <c r="AA80" s="60">
        <v>45691</v>
      </c>
      <c r="AB80" s="58">
        <v>1771</v>
      </c>
      <c r="AC80" s="59" t="s">
        <v>10</v>
      </c>
      <c r="AD80" s="58">
        <v>1314</v>
      </c>
      <c r="AE80" s="57">
        <v>3.6</v>
      </c>
      <c r="AF80" s="56"/>
      <c r="AG80" s="71" t="s">
        <v>1</v>
      </c>
      <c r="AH80" s="71" t="s">
        <v>1</v>
      </c>
      <c r="AI80" s="70" t="s">
        <v>309</v>
      </c>
      <c r="AJ80" s="11" t="s">
        <v>0</v>
      </c>
      <c r="AK80" s="11" t="s">
        <v>271</v>
      </c>
      <c r="AL80" s="14" t="s">
        <v>395</v>
      </c>
      <c r="AM80" s="143">
        <v>10000</v>
      </c>
      <c r="AN80" s="143">
        <v>45000</v>
      </c>
      <c r="AO80" s="197" t="s">
        <v>49</v>
      </c>
      <c r="AP80" s="198" t="s">
        <v>544</v>
      </c>
      <c r="AQ80" s="143">
        <v>1</v>
      </c>
      <c r="AR80" s="210">
        <v>0.1</v>
      </c>
      <c r="AS80" s="208">
        <v>1186.389736937849</v>
      </c>
      <c r="AT80" s="208">
        <v>1423.6676843254188</v>
      </c>
      <c r="AU80" s="208" t="b">
        <v>0</v>
      </c>
      <c r="AV80" s="208"/>
      <c r="AW80" s="208">
        <v>1186.389736937849</v>
      </c>
      <c r="AX80" s="199">
        <v>1225</v>
      </c>
      <c r="AY80" s="12"/>
    </row>
    <row r="81" spans="1:51" ht="39.950000000000003" hidden="1" customHeight="1" x14ac:dyDescent="0.2">
      <c r="A81" s="13" t="s">
        <v>320</v>
      </c>
      <c r="B81" s="65" t="s">
        <v>51</v>
      </c>
      <c r="C81" s="66" t="s">
        <v>87</v>
      </c>
      <c r="D81" s="13" t="s">
        <v>542</v>
      </c>
      <c r="E81" s="130" t="s">
        <v>87</v>
      </c>
      <c r="F81" s="14" t="s">
        <v>173</v>
      </c>
      <c r="G81" s="66" t="s">
        <v>316</v>
      </c>
      <c r="H81" s="14" t="s">
        <v>197</v>
      </c>
      <c r="I81" s="77" t="s">
        <v>75</v>
      </c>
      <c r="J81" s="66" t="s">
        <v>21</v>
      </c>
      <c r="K81" s="14" t="s">
        <v>29</v>
      </c>
      <c r="L81" s="65" t="s">
        <v>191</v>
      </c>
      <c r="M81" s="65" t="s">
        <v>59</v>
      </c>
      <c r="N81" s="13" t="s">
        <v>43</v>
      </c>
      <c r="O81" s="13" t="s">
        <v>538</v>
      </c>
      <c r="P81" s="13" t="s">
        <v>548</v>
      </c>
      <c r="Q81" s="64" t="s">
        <v>156</v>
      </c>
      <c r="R81" s="62">
        <v>18476.774694209376</v>
      </c>
      <c r="S81" s="63">
        <v>6500</v>
      </c>
      <c r="T81" s="62">
        <v>12009.903551236095</v>
      </c>
      <c r="U81" s="62">
        <v>147814.19755367501</v>
      </c>
      <c r="V81" s="62">
        <v>324064.9643398248</v>
      </c>
      <c r="W81" s="61" t="s">
        <v>11</v>
      </c>
      <c r="X81" s="181">
        <v>7.7000000000000002E-3</v>
      </c>
      <c r="Y81" s="60">
        <v>43927</v>
      </c>
      <c r="Z81" s="60">
        <v>46081</v>
      </c>
      <c r="AA81" s="60">
        <v>46081</v>
      </c>
      <c r="AB81" s="58">
        <v>2155</v>
      </c>
      <c r="AC81" s="75" t="s">
        <v>10</v>
      </c>
      <c r="AD81" s="58">
        <v>1704</v>
      </c>
      <c r="AE81" s="57">
        <v>4.6684931506849319</v>
      </c>
      <c r="AF81" s="56"/>
      <c r="AG81" s="71" t="s">
        <v>1</v>
      </c>
      <c r="AH81" s="71" t="s">
        <v>1</v>
      </c>
      <c r="AI81" s="70" t="s">
        <v>0</v>
      </c>
      <c r="AJ81" s="11" t="s">
        <v>0</v>
      </c>
      <c r="AK81" s="11" t="s">
        <v>271</v>
      </c>
      <c r="AL81" s="13" t="s">
        <v>398</v>
      </c>
      <c r="AM81" s="143">
        <v>10230</v>
      </c>
      <c r="AN81" s="143"/>
      <c r="AO81" s="197" t="s">
        <v>87</v>
      </c>
      <c r="AP81" s="198" t="s">
        <v>173</v>
      </c>
      <c r="AQ81" s="143"/>
      <c r="AR81" s="143"/>
      <c r="AS81" s="208">
        <v>0</v>
      </c>
      <c r="AT81" s="208">
        <v>1441.1884261483315</v>
      </c>
      <c r="AU81" s="208" t="b">
        <v>0</v>
      </c>
      <c r="AV81" s="208"/>
      <c r="AW81" s="208">
        <v>0</v>
      </c>
      <c r="AX81" s="199"/>
      <c r="AY81" s="143"/>
    </row>
    <row r="82" spans="1:51" ht="39.950000000000003" hidden="1" customHeight="1" x14ac:dyDescent="0.2">
      <c r="A82" s="13" t="s">
        <v>550</v>
      </c>
      <c r="B82" s="65" t="s">
        <v>23</v>
      </c>
      <c r="C82" s="66" t="s">
        <v>37</v>
      </c>
      <c r="D82" s="13" t="s">
        <v>540</v>
      </c>
      <c r="E82" s="161" t="s">
        <v>36</v>
      </c>
      <c r="F82" s="14" t="s">
        <v>104</v>
      </c>
      <c r="G82" s="66" t="s">
        <v>111</v>
      </c>
      <c r="H82" s="66" t="s">
        <v>449</v>
      </c>
      <c r="I82" s="14" t="s">
        <v>77</v>
      </c>
      <c r="J82" s="66" t="s">
        <v>220</v>
      </c>
      <c r="K82" s="14" t="s">
        <v>29</v>
      </c>
      <c r="L82" s="65" t="s">
        <v>191</v>
      </c>
      <c r="M82" s="13" t="s">
        <v>323</v>
      </c>
      <c r="N82" s="13" t="s">
        <v>43</v>
      </c>
      <c r="O82" s="13" t="s">
        <v>531</v>
      </c>
      <c r="P82" s="13" t="s">
        <v>548</v>
      </c>
      <c r="Q82" s="64" t="s">
        <v>9</v>
      </c>
      <c r="R82" s="62">
        <v>9380.8630393996245</v>
      </c>
      <c r="S82" s="63">
        <v>9000</v>
      </c>
      <c r="T82" s="62">
        <v>12061.109622085232</v>
      </c>
      <c r="U82" s="62">
        <v>247922.80889841868</v>
      </c>
      <c r="V82" s="62">
        <v>804828.61163227016</v>
      </c>
      <c r="W82" s="61" t="s">
        <v>11</v>
      </c>
      <c r="X82" s="181">
        <v>3.7499999999999999E-2</v>
      </c>
      <c r="Y82" s="60">
        <v>43938</v>
      </c>
      <c r="Z82" s="60">
        <v>45063</v>
      </c>
      <c r="AA82" s="60">
        <v>45063</v>
      </c>
      <c r="AB82" s="58">
        <v>1126</v>
      </c>
      <c r="AC82" s="59" t="s">
        <v>10</v>
      </c>
      <c r="AD82" s="58">
        <v>686</v>
      </c>
      <c r="AE82" s="57">
        <v>1.8794520547945206</v>
      </c>
      <c r="AF82" s="56"/>
      <c r="AG82" s="71" t="s">
        <v>1</v>
      </c>
      <c r="AH82" s="71" t="s">
        <v>1</v>
      </c>
      <c r="AI82" s="70" t="s">
        <v>608</v>
      </c>
      <c r="AJ82" s="11" t="s">
        <v>0</v>
      </c>
      <c r="AK82" s="11" t="s">
        <v>1</v>
      </c>
      <c r="AL82" s="13" t="s">
        <v>401</v>
      </c>
      <c r="AM82" s="143">
        <v>12225</v>
      </c>
      <c r="AN82" s="143"/>
      <c r="AO82" s="197" t="s">
        <v>36</v>
      </c>
      <c r="AP82" s="198" t="s">
        <v>104</v>
      </c>
      <c r="AQ82" s="143"/>
      <c r="AR82" s="143"/>
      <c r="AS82" s="208">
        <v>0</v>
      </c>
      <c r="AT82" s="208">
        <v>1447.3331546502279</v>
      </c>
      <c r="AU82" s="208" t="b">
        <v>0</v>
      </c>
      <c r="AV82" s="208"/>
      <c r="AW82" s="208">
        <v>0</v>
      </c>
      <c r="AX82" s="199"/>
      <c r="AY82" s="143"/>
    </row>
    <row r="83" spans="1:51" ht="39.950000000000003" hidden="1" customHeight="1" x14ac:dyDescent="0.2">
      <c r="A83" s="13" t="s">
        <v>319</v>
      </c>
      <c r="B83" s="65" t="s">
        <v>23</v>
      </c>
      <c r="C83" s="66" t="s">
        <v>89</v>
      </c>
      <c r="D83" s="13" t="s">
        <v>542</v>
      </c>
      <c r="E83" s="130" t="s">
        <v>166</v>
      </c>
      <c r="F83" s="14" t="s">
        <v>92</v>
      </c>
      <c r="G83" s="66" t="s">
        <v>134</v>
      </c>
      <c r="H83" s="14" t="s">
        <v>134</v>
      </c>
      <c r="I83" s="66" t="s">
        <v>58</v>
      </c>
      <c r="J83" s="14" t="s">
        <v>220</v>
      </c>
      <c r="K83" s="14" t="s">
        <v>68</v>
      </c>
      <c r="L83" s="65" t="s">
        <v>191</v>
      </c>
      <c r="M83" s="65" t="s">
        <v>59</v>
      </c>
      <c r="N83" s="13" t="s">
        <v>43</v>
      </c>
      <c r="O83" s="13" t="s">
        <v>539</v>
      </c>
      <c r="P83" s="13" t="s">
        <v>534</v>
      </c>
      <c r="Q83" s="64" t="s">
        <v>9</v>
      </c>
      <c r="R83" s="62">
        <v>26802.465826856071</v>
      </c>
      <c r="S83" s="63">
        <v>17002.12341</v>
      </c>
      <c r="T83" s="62">
        <v>22784.941584025732</v>
      </c>
      <c r="U83" s="62">
        <v>71562.58375770571</v>
      </c>
      <c r="V83" s="62">
        <v>1187406.8614312517</v>
      </c>
      <c r="W83" s="61" t="s">
        <v>11</v>
      </c>
      <c r="X83" s="181">
        <v>2.1999999999999999E-2</v>
      </c>
      <c r="Y83" s="60">
        <v>43943</v>
      </c>
      <c r="Z83" s="60">
        <v>45860</v>
      </c>
      <c r="AA83" s="60">
        <v>45860</v>
      </c>
      <c r="AB83" s="58">
        <v>1918</v>
      </c>
      <c r="AC83" s="59" t="s">
        <v>10</v>
      </c>
      <c r="AD83" s="58">
        <v>1483</v>
      </c>
      <c r="AE83" s="57">
        <v>4.0630136986301366</v>
      </c>
      <c r="AF83" s="56" t="s">
        <v>436</v>
      </c>
      <c r="AG83" s="71" t="s">
        <v>1</v>
      </c>
      <c r="AH83" s="71" t="s">
        <v>1</v>
      </c>
      <c r="AI83" s="70" t="s">
        <v>322</v>
      </c>
      <c r="AJ83" s="11" t="s">
        <v>0</v>
      </c>
      <c r="AK83" s="11" t="s">
        <v>271</v>
      </c>
      <c r="AL83" s="13" t="s">
        <v>402</v>
      </c>
      <c r="AM83" s="143">
        <v>6000</v>
      </c>
      <c r="AN83" s="143"/>
      <c r="AO83" s="197" t="s">
        <v>166</v>
      </c>
      <c r="AP83" s="198" t="s">
        <v>92</v>
      </c>
      <c r="AQ83" s="143"/>
      <c r="AR83" s="143"/>
      <c r="AS83" s="208">
        <v>0</v>
      </c>
      <c r="AT83" s="208">
        <v>2734.1929900830878</v>
      </c>
      <c r="AU83" s="208">
        <v>546.83859801661754</v>
      </c>
      <c r="AV83" s="208"/>
      <c r="AW83" s="208">
        <v>0</v>
      </c>
      <c r="AX83" s="199"/>
      <c r="AY83" s="143"/>
    </row>
    <row r="84" spans="1:51" ht="39.950000000000003" hidden="1" customHeight="1" x14ac:dyDescent="0.2">
      <c r="A84" s="13" t="s">
        <v>318</v>
      </c>
      <c r="B84" s="65" t="s">
        <v>24</v>
      </c>
      <c r="C84" s="66" t="s">
        <v>38</v>
      </c>
      <c r="D84" s="13" t="s">
        <v>540</v>
      </c>
      <c r="E84" s="161" t="s">
        <v>36</v>
      </c>
      <c r="F84" s="14" t="s">
        <v>102</v>
      </c>
      <c r="G84" s="14" t="s">
        <v>102</v>
      </c>
      <c r="H84" s="130" t="s">
        <v>473</v>
      </c>
      <c r="I84" s="14" t="s">
        <v>225</v>
      </c>
      <c r="J84" s="14" t="s">
        <v>220</v>
      </c>
      <c r="K84" s="14" t="s">
        <v>101</v>
      </c>
      <c r="L84" s="65" t="s">
        <v>191</v>
      </c>
      <c r="M84" s="65" t="s">
        <v>323</v>
      </c>
      <c r="N84" s="13" t="s">
        <v>43</v>
      </c>
      <c r="O84" s="13" t="s">
        <v>531</v>
      </c>
      <c r="P84" s="13" t="s">
        <v>534</v>
      </c>
      <c r="Q84" s="64" t="s">
        <v>238</v>
      </c>
      <c r="R84" s="62">
        <v>13981.160138820031</v>
      </c>
      <c r="S84" s="63">
        <v>14100</v>
      </c>
      <c r="T84" s="62">
        <v>13981.160138820031</v>
      </c>
      <c r="U84" s="62">
        <v>51264.253842340113</v>
      </c>
      <c r="V84" s="62">
        <v>775916.0535448686</v>
      </c>
      <c r="W84" s="61" t="s">
        <v>11</v>
      </c>
      <c r="X84" s="181">
        <v>2.3E-2</v>
      </c>
      <c r="Y84" s="60">
        <v>43948</v>
      </c>
      <c r="Z84" s="60">
        <v>45748</v>
      </c>
      <c r="AA84" s="60">
        <v>45748</v>
      </c>
      <c r="AB84" s="58">
        <v>1801</v>
      </c>
      <c r="AC84" s="59" t="s">
        <v>10</v>
      </c>
      <c r="AD84" s="58">
        <v>1371</v>
      </c>
      <c r="AE84" s="57">
        <v>3.7561643835616438</v>
      </c>
      <c r="AF84" s="56"/>
      <c r="AG84" s="71" t="s">
        <v>1</v>
      </c>
      <c r="AH84" s="71" t="s">
        <v>1</v>
      </c>
      <c r="AI84" s="70" t="s">
        <v>0</v>
      </c>
      <c r="AJ84" s="11" t="s">
        <v>0</v>
      </c>
      <c r="AK84" s="11" t="s">
        <v>271</v>
      </c>
      <c r="AL84" s="14" t="s">
        <v>400</v>
      </c>
      <c r="AM84" s="143">
        <v>15933</v>
      </c>
      <c r="AN84" s="143"/>
      <c r="AO84" s="197" t="s">
        <v>36</v>
      </c>
      <c r="AP84" s="198" t="s">
        <v>102</v>
      </c>
      <c r="AQ84" s="143"/>
      <c r="AR84" s="143"/>
      <c r="AS84" s="208">
        <v>0</v>
      </c>
      <c r="AT84" s="208">
        <v>1677.7392166584036</v>
      </c>
      <c r="AU84" s="208" t="b">
        <v>0</v>
      </c>
      <c r="AV84" s="208"/>
      <c r="AW84" s="208">
        <v>0</v>
      </c>
      <c r="AX84" s="199"/>
      <c r="AY84" s="143"/>
    </row>
    <row r="85" spans="1:51" ht="39.950000000000003" hidden="1" customHeight="1" x14ac:dyDescent="0.2">
      <c r="A85" s="13" t="s">
        <v>404</v>
      </c>
      <c r="B85" s="65" t="s">
        <v>67</v>
      </c>
      <c r="C85" s="66" t="s">
        <v>87</v>
      </c>
      <c r="D85" s="13" t="s">
        <v>34</v>
      </c>
      <c r="E85" s="130" t="s">
        <v>34</v>
      </c>
      <c r="F85" s="14" t="s">
        <v>546</v>
      </c>
      <c r="G85" s="14" t="s">
        <v>167</v>
      </c>
      <c r="H85" s="14" t="s">
        <v>167</v>
      </c>
      <c r="I85" s="66" t="s">
        <v>298</v>
      </c>
      <c r="J85" s="14" t="s">
        <v>218</v>
      </c>
      <c r="K85" s="14" t="s">
        <v>209</v>
      </c>
      <c r="L85" s="65" t="s">
        <v>191</v>
      </c>
      <c r="M85" s="65" t="s">
        <v>59</v>
      </c>
      <c r="N85" s="13" t="s">
        <v>43</v>
      </c>
      <c r="O85" s="13" t="s">
        <v>531</v>
      </c>
      <c r="P85" s="13" t="s">
        <v>534</v>
      </c>
      <c r="Q85" s="64" t="s">
        <v>8</v>
      </c>
      <c r="R85" s="62">
        <v>30000</v>
      </c>
      <c r="S85" s="63">
        <v>30000</v>
      </c>
      <c r="T85" s="62">
        <v>30000</v>
      </c>
      <c r="U85" s="62">
        <v>60000</v>
      </c>
      <c r="V85" s="62">
        <v>3639452.05</v>
      </c>
      <c r="W85" s="61" t="s">
        <v>11</v>
      </c>
      <c r="X85" s="181">
        <v>4.4999999999999998E-2</v>
      </c>
      <c r="Y85" s="60">
        <v>43955</v>
      </c>
      <c r="Z85" s="60">
        <v>45768</v>
      </c>
      <c r="AA85" s="60">
        <v>45768</v>
      </c>
      <c r="AB85" s="58">
        <v>1814</v>
      </c>
      <c r="AC85" s="59" t="s">
        <v>10</v>
      </c>
      <c r="AD85" s="58">
        <v>1391</v>
      </c>
      <c r="AE85" s="57">
        <v>3.8109589041095893</v>
      </c>
      <c r="AF85" s="56" t="s">
        <v>436</v>
      </c>
      <c r="AG85" s="71" t="s">
        <v>1</v>
      </c>
      <c r="AH85" s="71" t="s">
        <v>1</v>
      </c>
      <c r="AI85" s="70" t="s">
        <v>0</v>
      </c>
      <c r="AJ85" s="11" t="s">
        <v>0</v>
      </c>
      <c r="AK85" s="11" t="s">
        <v>271</v>
      </c>
      <c r="AL85" s="13" t="s">
        <v>406</v>
      </c>
      <c r="AM85" s="143">
        <v>12267.5</v>
      </c>
      <c r="AN85" s="143"/>
      <c r="AO85" s="197" t="s">
        <v>34</v>
      </c>
      <c r="AP85" s="198" t="s">
        <v>546</v>
      </c>
      <c r="AQ85" s="143"/>
      <c r="AR85" s="143"/>
      <c r="AS85" s="208">
        <v>0</v>
      </c>
      <c r="AT85" s="208">
        <v>3600</v>
      </c>
      <c r="AU85" s="208">
        <v>720</v>
      </c>
      <c r="AV85" s="208"/>
      <c r="AW85" s="208">
        <v>0</v>
      </c>
      <c r="AX85" s="199"/>
      <c r="AY85" s="143"/>
    </row>
    <row r="86" spans="1:51" ht="39.950000000000003" hidden="1" customHeight="1" x14ac:dyDescent="0.2">
      <c r="A86" s="13" t="s">
        <v>405</v>
      </c>
      <c r="B86" s="65" t="s">
        <v>67</v>
      </c>
      <c r="C86" s="66" t="s">
        <v>34</v>
      </c>
      <c r="D86" s="13" t="s">
        <v>34</v>
      </c>
      <c r="E86" s="130" t="s">
        <v>34</v>
      </c>
      <c r="F86" s="14" t="s">
        <v>106</v>
      </c>
      <c r="G86" s="14" t="s">
        <v>106</v>
      </c>
      <c r="H86" s="14" t="s">
        <v>245</v>
      </c>
      <c r="I86" s="66" t="s">
        <v>409</v>
      </c>
      <c r="J86" s="14" t="s">
        <v>408</v>
      </c>
      <c r="K86" s="14" t="s">
        <v>29</v>
      </c>
      <c r="L86" s="65" t="s">
        <v>191</v>
      </c>
      <c r="M86" s="13" t="s">
        <v>323</v>
      </c>
      <c r="N86" s="13" t="s">
        <v>43</v>
      </c>
      <c r="O86" s="13" t="s">
        <v>533</v>
      </c>
      <c r="P86" s="13" t="s">
        <v>534</v>
      </c>
      <c r="Q86" s="64" t="s">
        <v>8</v>
      </c>
      <c r="R86" s="62">
        <v>25000</v>
      </c>
      <c r="S86" s="63">
        <v>25000</v>
      </c>
      <c r="T86" s="62">
        <v>25000</v>
      </c>
      <c r="U86" s="62">
        <v>50000</v>
      </c>
      <c r="V86" s="62">
        <v>1429880.14</v>
      </c>
      <c r="W86" s="61" t="s">
        <v>11</v>
      </c>
      <c r="X86" s="181">
        <v>2.1999999999999999E-2</v>
      </c>
      <c r="Y86" s="60">
        <v>43957</v>
      </c>
      <c r="Z86" s="60">
        <v>45628</v>
      </c>
      <c r="AA86" s="60">
        <v>45628</v>
      </c>
      <c r="AB86" s="58">
        <v>1672</v>
      </c>
      <c r="AC86" s="59" t="s">
        <v>10</v>
      </c>
      <c r="AD86" s="58">
        <v>1251</v>
      </c>
      <c r="AE86" s="57">
        <v>3.4273972602739726</v>
      </c>
      <c r="AF86" s="56" t="s">
        <v>436</v>
      </c>
      <c r="AG86" s="71" t="s">
        <v>1</v>
      </c>
      <c r="AH86" s="71" t="s">
        <v>1</v>
      </c>
      <c r="AI86" s="70" t="s">
        <v>0</v>
      </c>
      <c r="AJ86" s="11" t="s">
        <v>0</v>
      </c>
      <c r="AK86" s="11" t="s">
        <v>271</v>
      </c>
      <c r="AL86" s="13" t="s">
        <v>407</v>
      </c>
      <c r="AM86" s="143">
        <v>4500</v>
      </c>
      <c r="AN86" s="143"/>
      <c r="AO86" s="197" t="s">
        <v>34</v>
      </c>
      <c r="AP86" s="198" t="s">
        <v>106</v>
      </c>
      <c r="AQ86" s="143"/>
      <c r="AR86" s="143"/>
      <c r="AS86" s="208">
        <v>0</v>
      </c>
      <c r="AT86" s="208">
        <v>3000</v>
      </c>
      <c r="AU86" s="208">
        <v>600</v>
      </c>
      <c r="AV86" s="208"/>
      <c r="AW86" s="208">
        <v>0</v>
      </c>
      <c r="AX86" s="199"/>
      <c r="AY86" s="143"/>
    </row>
    <row r="87" spans="1:51" ht="39.950000000000003" hidden="1" customHeight="1" x14ac:dyDescent="0.2">
      <c r="A87" s="13" t="s">
        <v>411</v>
      </c>
      <c r="B87" s="65" t="s">
        <v>243</v>
      </c>
      <c r="C87" s="66" t="s">
        <v>89</v>
      </c>
      <c r="D87" s="13" t="s">
        <v>542</v>
      </c>
      <c r="E87" s="130" t="s">
        <v>87</v>
      </c>
      <c r="F87" s="14" t="s">
        <v>543</v>
      </c>
      <c r="G87" s="14" t="s">
        <v>133</v>
      </c>
      <c r="H87" s="130" t="s">
        <v>133</v>
      </c>
      <c r="I87" s="14" t="s">
        <v>281</v>
      </c>
      <c r="J87" s="14" t="s">
        <v>256</v>
      </c>
      <c r="K87" s="14" t="s">
        <v>29</v>
      </c>
      <c r="L87" s="65" t="s">
        <v>191</v>
      </c>
      <c r="M87" s="13" t="s">
        <v>59</v>
      </c>
      <c r="N87" s="13" t="s">
        <v>43</v>
      </c>
      <c r="O87" s="13" t="s">
        <v>533</v>
      </c>
      <c r="P87" s="13" t="s">
        <v>532</v>
      </c>
      <c r="Q87" s="64" t="s">
        <v>156</v>
      </c>
      <c r="R87" s="62">
        <v>18137.3700265714</v>
      </c>
      <c r="S87" s="63" t="s">
        <v>53</v>
      </c>
      <c r="T87" s="62">
        <v>18137.3700265714</v>
      </c>
      <c r="U87" s="62">
        <v>243893.42596356379</v>
      </c>
      <c r="V87" s="62">
        <v>250992.02046859873</v>
      </c>
      <c r="W87" s="61" t="s">
        <v>551</v>
      </c>
      <c r="X87" s="181">
        <v>1.4E-2</v>
      </c>
      <c r="Y87" s="60">
        <v>43964</v>
      </c>
      <c r="Z87" s="60">
        <v>45442</v>
      </c>
      <c r="AA87" s="60">
        <v>45442</v>
      </c>
      <c r="AB87" s="58">
        <v>1479</v>
      </c>
      <c r="AC87" s="59" t="s">
        <v>10</v>
      </c>
      <c r="AD87" s="58">
        <v>1065</v>
      </c>
      <c r="AE87" s="57">
        <v>2.9178082191780823</v>
      </c>
      <c r="AF87" s="56"/>
      <c r="AG87" s="71" t="s">
        <v>1</v>
      </c>
      <c r="AH87" s="71" t="s">
        <v>1</v>
      </c>
      <c r="AI87" s="70" t="s">
        <v>0</v>
      </c>
      <c r="AJ87" s="11" t="s">
        <v>0</v>
      </c>
      <c r="AK87" s="11" t="s">
        <v>271</v>
      </c>
      <c r="AL87" s="13" t="s">
        <v>417</v>
      </c>
      <c r="AM87" s="143">
        <v>16213</v>
      </c>
      <c r="AN87" s="143"/>
      <c r="AO87" s="197" t="s">
        <v>87</v>
      </c>
      <c r="AP87" s="198" t="s">
        <v>543</v>
      </c>
      <c r="AQ87" s="143"/>
      <c r="AR87" s="143"/>
      <c r="AS87" s="208">
        <v>0</v>
      </c>
      <c r="AT87" s="208">
        <v>2176.4844031885677</v>
      </c>
      <c r="AU87" s="208" t="b">
        <v>0</v>
      </c>
      <c r="AV87" s="208"/>
      <c r="AW87" s="208">
        <v>0</v>
      </c>
      <c r="AX87" s="199"/>
      <c r="AY87" s="143"/>
    </row>
    <row r="88" spans="1:51" ht="39.950000000000003" hidden="1" customHeight="1" x14ac:dyDescent="0.2">
      <c r="A88" s="13" t="s">
        <v>412</v>
      </c>
      <c r="B88" s="65" t="s">
        <v>243</v>
      </c>
      <c r="C88" s="66" t="s">
        <v>87</v>
      </c>
      <c r="D88" s="13" t="s">
        <v>469</v>
      </c>
      <c r="E88" s="130" t="s">
        <v>413</v>
      </c>
      <c r="F88" s="14" t="s">
        <v>48</v>
      </c>
      <c r="G88" s="131" t="s">
        <v>95</v>
      </c>
      <c r="H88" s="130" t="s">
        <v>521</v>
      </c>
      <c r="I88" s="14" t="s">
        <v>181</v>
      </c>
      <c r="J88" s="14" t="s">
        <v>33</v>
      </c>
      <c r="K88" s="14" t="s">
        <v>140</v>
      </c>
      <c r="L88" s="65" t="s">
        <v>191</v>
      </c>
      <c r="M88" s="13" t="s">
        <v>59</v>
      </c>
      <c r="N88" s="13" t="s">
        <v>43</v>
      </c>
      <c r="O88" s="13" t="s">
        <v>538</v>
      </c>
      <c r="P88" s="13" t="s">
        <v>534</v>
      </c>
      <c r="Q88" s="64" t="s">
        <v>9</v>
      </c>
      <c r="R88" s="62">
        <v>10050.924685071026</v>
      </c>
      <c r="S88" s="63">
        <v>7500</v>
      </c>
      <c r="T88" s="62">
        <v>10050.924685071026</v>
      </c>
      <c r="U88" s="62">
        <v>33503.082283570089</v>
      </c>
      <c r="V88" s="62">
        <v>1285471.7233985527</v>
      </c>
      <c r="W88" s="61" t="s">
        <v>11</v>
      </c>
      <c r="X88" s="181">
        <v>3.7499999999999999E-2</v>
      </c>
      <c r="Y88" s="60">
        <v>43965</v>
      </c>
      <c r="Z88" s="60">
        <v>47238</v>
      </c>
      <c r="AA88" s="60">
        <v>47238</v>
      </c>
      <c r="AB88" s="58">
        <v>3274</v>
      </c>
      <c r="AC88" s="59" t="s">
        <v>10</v>
      </c>
      <c r="AD88" s="58">
        <v>2861</v>
      </c>
      <c r="AE88" s="57">
        <v>7.838356164383562</v>
      </c>
      <c r="AF88" s="56"/>
      <c r="AG88" s="71" t="s">
        <v>1</v>
      </c>
      <c r="AH88" s="71" t="s">
        <v>1</v>
      </c>
      <c r="AI88" s="70" t="s">
        <v>0</v>
      </c>
      <c r="AJ88" s="11" t="s">
        <v>0</v>
      </c>
      <c r="AK88" s="11" t="s">
        <v>271</v>
      </c>
      <c r="AL88" s="13" t="s">
        <v>416</v>
      </c>
      <c r="AM88" s="143">
        <v>10237</v>
      </c>
      <c r="AN88" s="143"/>
      <c r="AO88" s="197" t="s">
        <v>413</v>
      </c>
      <c r="AP88" s="198" t="s">
        <v>48</v>
      </c>
      <c r="AQ88" s="143"/>
      <c r="AR88" s="143"/>
      <c r="AS88" s="208">
        <v>0</v>
      </c>
      <c r="AT88" s="208">
        <v>1206.110962208523</v>
      </c>
      <c r="AU88" s="208" t="b">
        <v>0</v>
      </c>
      <c r="AV88" s="208"/>
      <c r="AW88" s="208">
        <v>0</v>
      </c>
      <c r="AX88" s="199"/>
      <c r="AY88" s="143"/>
    </row>
    <row r="89" spans="1:51" ht="39.950000000000003" hidden="1" customHeight="1" x14ac:dyDescent="0.2">
      <c r="A89" s="13" t="s">
        <v>410</v>
      </c>
      <c r="B89" s="65" t="s">
        <v>23</v>
      </c>
      <c r="C89" s="66" t="s">
        <v>34</v>
      </c>
      <c r="D89" s="13" t="s">
        <v>34</v>
      </c>
      <c r="E89" s="130" t="s">
        <v>34</v>
      </c>
      <c r="F89" s="14" t="s">
        <v>543</v>
      </c>
      <c r="G89" s="14" t="s">
        <v>133</v>
      </c>
      <c r="H89" s="130" t="s">
        <v>133</v>
      </c>
      <c r="I89" s="77" t="s">
        <v>21</v>
      </c>
      <c r="J89" s="14" t="s">
        <v>21</v>
      </c>
      <c r="K89" s="14" t="s">
        <v>44</v>
      </c>
      <c r="L89" s="65" t="s">
        <v>191</v>
      </c>
      <c r="M89" s="13" t="s">
        <v>323</v>
      </c>
      <c r="N89" s="13" t="s">
        <v>43</v>
      </c>
      <c r="O89" s="13" t="s">
        <v>533</v>
      </c>
      <c r="P89" s="13" t="s">
        <v>534</v>
      </c>
      <c r="Q89" s="64" t="s">
        <v>9</v>
      </c>
      <c r="R89" s="62">
        <v>26802.465826856071</v>
      </c>
      <c r="S89" s="63">
        <v>20000</v>
      </c>
      <c r="T89" s="62">
        <v>26802.465826856071</v>
      </c>
      <c r="U89" s="62">
        <v>62583.757705708929</v>
      </c>
      <c r="V89" s="62">
        <v>885661.5652640044</v>
      </c>
      <c r="W89" s="61" t="s">
        <v>11</v>
      </c>
      <c r="X89" s="181">
        <v>2.1000000000000001E-2</v>
      </c>
      <c r="Y89" s="60">
        <v>43966</v>
      </c>
      <c r="Z89" s="60">
        <v>45823</v>
      </c>
      <c r="AA89" s="60">
        <v>45823</v>
      </c>
      <c r="AB89" s="72">
        <v>1858</v>
      </c>
      <c r="AC89" s="59" t="s">
        <v>10</v>
      </c>
      <c r="AD89" s="58">
        <v>1446</v>
      </c>
      <c r="AE89" s="57">
        <v>3.9616438356164383</v>
      </c>
      <c r="AF89" s="56" t="s">
        <v>436</v>
      </c>
      <c r="AG89" s="71" t="s">
        <v>1</v>
      </c>
      <c r="AH89" s="71" t="s">
        <v>1</v>
      </c>
      <c r="AI89" s="70" t="s">
        <v>0</v>
      </c>
      <c r="AJ89" s="11" t="s">
        <v>0</v>
      </c>
      <c r="AK89" s="11" t="s">
        <v>271</v>
      </c>
      <c r="AL89" s="13" t="s">
        <v>418</v>
      </c>
      <c r="AM89" s="143">
        <v>6000</v>
      </c>
      <c r="AN89" s="143"/>
      <c r="AO89" s="197" t="s">
        <v>34</v>
      </c>
      <c r="AP89" s="198" t="s">
        <v>543</v>
      </c>
      <c r="AQ89" s="143"/>
      <c r="AR89" s="143"/>
      <c r="AS89" s="208">
        <v>0</v>
      </c>
      <c r="AT89" s="208">
        <v>3216.2958992227282</v>
      </c>
      <c r="AU89" s="208">
        <v>643.25917984454566</v>
      </c>
      <c r="AV89" s="208"/>
      <c r="AW89" s="208">
        <v>0</v>
      </c>
      <c r="AX89" s="199"/>
      <c r="AY89" s="143"/>
    </row>
    <row r="90" spans="1:51" ht="39.950000000000003" hidden="1" customHeight="1" x14ac:dyDescent="0.2">
      <c r="A90" s="13" t="s">
        <v>414</v>
      </c>
      <c r="B90" s="65" t="s">
        <v>24</v>
      </c>
      <c r="C90" s="66" t="s">
        <v>166</v>
      </c>
      <c r="D90" s="13" t="s">
        <v>542</v>
      </c>
      <c r="E90" s="130" t="s">
        <v>166</v>
      </c>
      <c r="F90" s="14" t="s">
        <v>102</v>
      </c>
      <c r="G90" s="14" t="s">
        <v>102</v>
      </c>
      <c r="H90" s="130" t="s">
        <v>122</v>
      </c>
      <c r="I90" s="66" t="s">
        <v>168</v>
      </c>
      <c r="J90" s="14" t="s">
        <v>220</v>
      </c>
      <c r="K90" s="14" t="s">
        <v>101</v>
      </c>
      <c r="L90" s="65" t="s">
        <v>191</v>
      </c>
      <c r="M90" s="13" t="s">
        <v>59</v>
      </c>
      <c r="N90" s="13" t="s">
        <v>43</v>
      </c>
      <c r="O90" s="13" t="s">
        <v>531</v>
      </c>
      <c r="P90" s="13" t="s">
        <v>534</v>
      </c>
      <c r="Q90" s="64" t="s">
        <v>59</v>
      </c>
      <c r="R90" s="62">
        <v>23727.79473875698</v>
      </c>
      <c r="S90" s="63">
        <v>15000</v>
      </c>
      <c r="T90" s="62">
        <v>23727.79473875698</v>
      </c>
      <c r="U90" s="62">
        <v>83838.20807694133</v>
      </c>
      <c r="V90" s="62">
        <v>913472.64185266616</v>
      </c>
      <c r="W90" s="61" t="s">
        <v>11</v>
      </c>
      <c r="X90" s="181">
        <v>1.2E-2</v>
      </c>
      <c r="Y90" s="60">
        <v>43966</v>
      </c>
      <c r="Z90" s="60">
        <v>46523</v>
      </c>
      <c r="AA90" s="60">
        <v>46523</v>
      </c>
      <c r="AB90" s="58">
        <v>2558</v>
      </c>
      <c r="AC90" s="59" t="s">
        <v>10</v>
      </c>
      <c r="AD90" s="58">
        <v>2146</v>
      </c>
      <c r="AE90" s="57">
        <v>5.8794520547945206</v>
      </c>
      <c r="AF90" s="56"/>
      <c r="AG90" s="71" t="s">
        <v>1</v>
      </c>
      <c r="AH90" s="71" t="s">
        <v>1</v>
      </c>
      <c r="AI90" s="70" t="s">
        <v>0</v>
      </c>
      <c r="AJ90" s="11" t="s">
        <v>0</v>
      </c>
      <c r="AK90" s="11" t="s">
        <v>271</v>
      </c>
      <c r="AL90" s="13" t="s">
        <v>415</v>
      </c>
      <c r="AM90" s="143">
        <v>8850</v>
      </c>
      <c r="AN90" s="143"/>
      <c r="AO90" s="197" t="s">
        <v>166</v>
      </c>
      <c r="AP90" s="198" t="s">
        <v>102</v>
      </c>
      <c r="AQ90" s="143"/>
      <c r="AR90" s="143"/>
      <c r="AS90" s="208">
        <v>0</v>
      </c>
      <c r="AT90" s="208">
        <v>2847.3353686508376</v>
      </c>
      <c r="AU90" s="208" t="b">
        <v>0</v>
      </c>
      <c r="AV90" s="208"/>
      <c r="AW90" s="208">
        <v>0</v>
      </c>
      <c r="AX90" s="199"/>
      <c r="AY90" s="143"/>
    </row>
    <row r="91" spans="1:51" ht="39.950000000000003" hidden="1" customHeight="1" x14ac:dyDescent="0.2">
      <c r="A91" s="13" t="s">
        <v>419</v>
      </c>
      <c r="B91" s="65" t="s">
        <v>51</v>
      </c>
      <c r="C91" s="66" t="s">
        <v>166</v>
      </c>
      <c r="D91" s="13" t="s">
        <v>542</v>
      </c>
      <c r="E91" s="130" t="s">
        <v>166</v>
      </c>
      <c r="F91" s="14" t="s">
        <v>102</v>
      </c>
      <c r="G91" s="14" t="s">
        <v>102</v>
      </c>
      <c r="H91" s="130" t="s">
        <v>110</v>
      </c>
      <c r="I91" s="66" t="s">
        <v>145</v>
      </c>
      <c r="J91" s="14" t="s">
        <v>221</v>
      </c>
      <c r="K91" s="14" t="s">
        <v>209</v>
      </c>
      <c r="L91" s="65" t="s">
        <v>191</v>
      </c>
      <c r="M91" s="13" t="s">
        <v>59</v>
      </c>
      <c r="N91" s="13" t="s">
        <v>43</v>
      </c>
      <c r="O91" s="13" t="s">
        <v>538</v>
      </c>
      <c r="P91" s="13" t="s">
        <v>534</v>
      </c>
      <c r="Q91" s="64" t="s">
        <v>59</v>
      </c>
      <c r="R91" s="62">
        <v>31637.059651675972</v>
      </c>
      <c r="S91" s="63">
        <v>20000</v>
      </c>
      <c r="T91" s="62">
        <v>31637.059651675972</v>
      </c>
      <c r="U91" s="62">
        <v>102820.44386794692</v>
      </c>
      <c r="V91" s="62">
        <v>985056.56706265709</v>
      </c>
      <c r="W91" s="61" t="s">
        <v>551</v>
      </c>
      <c r="X91" s="181">
        <v>1.2699999999999999E-2</v>
      </c>
      <c r="Y91" s="60">
        <v>43971</v>
      </c>
      <c r="Z91" s="60">
        <v>45046</v>
      </c>
      <c r="AA91" s="60">
        <v>45046</v>
      </c>
      <c r="AB91" s="58">
        <v>1076</v>
      </c>
      <c r="AC91" s="59" t="s">
        <v>10</v>
      </c>
      <c r="AD91" s="58">
        <v>669</v>
      </c>
      <c r="AE91" s="57">
        <v>1.832876712328767</v>
      </c>
      <c r="AF91" s="56" t="s">
        <v>436</v>
      </c>
      <c r="AG91" s="71" t="s">
        <v>1</v>
      </c>
      <c r="AH91" s="71" t="s">
        <v>1</v>
      </c>
      <c r="AI91" s="70" t="s">
        <v>0</v>
      </c>
      <c r="AJ91" s="11" t="s">
        <v>0</v>
      </c>
      <c r="AK91" s="11" t="s">
        <v>1</v>
      </c>
      <c r="AL91" s="13" t="s">
        <v>420</v>
      </c>
      <c r="AM91" s="143">
        <v>3367.5</v>
      </c>
      <c r="AN91" s="143"/>
      <c r="AO91" s="197" t="s">
        <v>166</v>
      </c>
      <c r="AP91" s="198" t="s">
        <v>102</v>
      </c>
      <c r="AQ91" s="143"/>
      <c r="AR91" s="143"/>
      <c r="AS91" s="208">
        <v>0</v>
      </c>
      <c r="AT91" s="208">
        <v>3796.4471582011165</v>
      </c>
      <c r="AU91" s="208">
        <v>759.28943164022337</v>
      </c>
      <c r="AV91" s="208"/>
      <c r="AW91" s="208">
        <v>0</v>
      </c>
      <c r="AX91" s="199"/>
      <c r="AY91" s="143"/>
    </row>
    <row r="92" spans="1:51" ht="39.950000000000003" hidden="1" customHeight="1" x14ac:dyDescent="0.2">
      <c r="A92" s="13" t="s">
        <v>421</v>
      </c>
      <c r="B92" s="69" t="s">
        <v>51</v>
      </c>
      <c r="C92" s="66" t="s">
        <v>127</v>
      </c>
      <c r="D92" s="13" t="s">
        <v>499</v>
      </c>
      <c r="E92" s="130" t="s">
        <v>162</v>
      </c>
      <c r="F92" s="14" t="s">
        <v>475</v>
      </c>
      <c r="G92" s="14" t="s">
        <v>227</v>
      </c>
      <c r="H92" s="130" t="s">
        <v>422</v>
      </c>
      <c r="I92" s="14" t="s">
        <v>158</v>
      </c>
      <c r="J92" s="14" t="s">
        <v>220</v>
      </c>
      <c r="K92" s="14" t="s">
        <v>209</v>
      </c>
      <c r="L92" s="65" t="s">
        <v>191</v>
      </c>
      <c r="M92" s="13" t="s">
        <v>59</v>
      </c>
      <c r="N92" s="13" t="s">
        <v>43</v>
      </c>
      <c r="O92" s="13" t="s">
        <v>533</v>
      </c>
      <c r="P92" s="13" t="s">
        <v>534</v>
      </c>
      <c r="Q92" s="64" t="s">
        <v>9</v>
      </c>
      <c r="R92" s="62">
        <v>26802.465826856071</v>
      </c>
      <c r="S92" s="63">
        <v>19268.712</v>
      </c>
      <c r="T92" s="62">
        <v>25822.449745376576</v>
      </c>
      <c r="U92" s="62">
        <v>87108.01393728223</v>
      </c>
      <c r="V92" s="62">
        <v>1225564.5671401769</v>
      </c>
      <c r="W92" s="61" t="s">
        <v>11</v>
      </c>
      <c r="X92" s="181">
        <v>1.7500000000000002E-2</v>
      </c>
      <c r="Y92" s="60">
        <v>43973</v>
      </c>
      <c r="Z92" s="60">
        <v>45735</v>
      </c>
      <c r="AA92" s="60">
        <v>45735</v>
      </c>
      <c r="AB92" s="72">
        <v>1763</v>
      </c>
      <c r="AC92" s="59" t="s">
        <v>10</v>
      </c>
      <c r="AD92" s="58">
        <v>1358</v>
      </c>
      <c r="AE92" s="57">
        <v>3.7205479452054795</v>
      </c>
      <c r="AF92" s="56" t="s">
        <v>436</v>
      </c>
      <c r="AG92" s="71" t="s">
        <v>1</v>
      </c>
      <c r="AH92" s="71" t="s">
        <v>1</v>
      </c>
      <c r="AI92" s="70" t="s">
        <v>609</v>
      </c>
      <c r="AJ92" s="11" t="s">
        <v>0</v>
      </c>
      <c r="AK92" s="11" t="s">
        <v>1</v>
      </c>
      <c r="AL92" s="13" t="s">
        <v>423</v>
      </c>
      <c r="AM92" s="143">
        <v>8500</v>
      </c>
      <c r="AN92" s="143"/>
      <c r="AO92" s="197" t="s">
        <v>162</v>
      </c>
      <c r="AP92" s="198" t="s">
        <v>475</v>
      </c>
      <c r="AQ92" s="143"/>
      <c r="AR92" s="143"/>
      <c r="AS92" s="208">
        <v>0</v>
      </c>
      <c r="AT92" s="208">
        <v>3098.6939694451889</v>
      </c>
      <c r="AU92" s="208">
        <v>619.73879388903788</v>
      </c>
      <c r="AV92" s="208"/>
      <c r="AW92" s="208">
        <v>0</v>
      </c>
      <c r="AX92" s="199"/>
      <c r="AY92" s="143"/>
    </row>
    <row r="93" spans="1:51" s="21" customFormat="1" ht="39.950000000000003" customHeight="1" x14ac:dyDescent="0.2">
      <c r="A93" s="13" t="s">
        <v>424</v>
      </c>
      <c r="B93" s="74" t="s">
        <v>67</v>
      </c>
      <c r="C93" s="66" t="s">
        <v>87</v>
      </c>
      <c r="D93" s="13" t="s">
        <v>541</v>
      </c>
      <c r="E93" s="130" t="s">
        <v>425</v>
      </c>
      <c r="F93" s="14" t="s">
        <v>439</v>
      </c>
      <c r="G93" s="14" t="s">
        <v>445</v>
      </c>
      <c r="H93" s="68" t="s">
        <v>463</v>
      </c>
      <c r="I93" s="66" t="s">
        <v>298</v>
      </c>
      <c r="J93" s="66" t="s">
        <v>218</v>
      </c>
      <c r="K93" s="65" t="s">
        <v>45</v>
      </c>
      <c r="L93" s="65" t="s">
        <v>191</v>
      </c>
      <c r="M93" s="65" t="s">
        <v>59</v>
      </c>
      <c r="N93" s="13" t="s">
        <v>43</v>
      </c>
      <c r="O93" s="13" t="s">
        <v>538</v>
      </c>
      <c r="P93" s="13" t="s">
        <v>534</v>
      </c>
      <c r="Q93" s="64" t="s">
        <v>9</v>
      </c>
      <c r="R93" s="62">
        <v>13401.232913428035</v>
      </c>
      <c r="S93" s="73">
        <v>10000</v>
      </c>
      <c r="T93" s="62">
        <v>13401.232913428035</v>
      </c>
      <c r="U93" s="62">
        <v>77727.150897882602</v>
      </c>
      <c r="V93" s="62">
        <v>592180.88984186552</v>
      </c>
      <c r="W93" s="61" t="s">
        <v>11</v>
      </c>
      <c r="X93" s="181">
        <v>2.2499999999999999E-2</v>
      </c>
      <c r="Y93" s="60">
        <v>44006</v>
      </c>
      <c r="Z93" s="60">
        <v>47634</v>
      </c>
      <c r="AA93" s="60">
        <v>47634</v>
      </c>
      <c r="AB93" s="72">
        <v>3629</v>
      </c>
      <c r="AC93" s="59" t="s">
        <v>10</v>
      </c>
      <c r="AD93" s="58">
        <v>3257</v>
      </c>
      <c r="AE93" s="57">
        <v>8.9232876712328775</v>
      </c>
      <c r="AF93" s="56"/>
      <c r="AG93" s="71" t="s">
        <v>1</v>
      </c>
      <c r="AH93" s="71" t="s">
        <v>1</v>
      </c>
      <c r="AI93" s="70" t="s">
        <v>527</v>
      </c>
      <c r="AJ93" s="11" t="s">
        <v>0</v>
      </c>
      <c r="AK93" s="11" t="s">
        <v>1</v>
      </c>
      <c r="AL93" s="13" t="s">
        <v>426</v>
      </c>
      <c r="AM93" s="143">
        <v>8075</v>
      </c>
      <c r="AN93" s="143"/>
      <c r="AO93" s="197" t="s">
        <v>425</v>
      </c>
      <c r="AP93" s="198" t="s">
        <v>439</v>
      </c>
      <c r="AQ93" s="143">
        <v>1</v>
      </c>
      <c r="AR93" s="210">
        <v>0.05</v>
      </c>
      <c r="AS93" s="208">
        <v>670.06164567140183</v>
      </c>
      <c r="AT93" s="208">
        <v>1608.1479496113641</v>
      </c>
      <c r="AU93" s="208" t="b">
        <v>0</v>
      </c>
      <c r="AV93" s="208"/>
      <c r="AW93" s="208">
        <v>670.06164567140183</v>
      </c>
      <c r="AX93" s="199">
        <v>674</v>
      </c>
      <c r="AY93" s="12"/>
    </row>
    <row r="94" spans="1:51" ht="39.950000000000003" hidden="1" customHeight="1" x14ac:dyDescent="0.2">
      <c r="A94" s="13" t="s">
        <v>465</v>
      </c>
      <c r="B94" s="74" t="s">
        <v>24</v>
      </c>
      <c r="C94" s="66" t="s">
        <v>34</v>
      </c>
      <c r="D94" s="13" t="s">
        <v>34</v>
      </c>
      <c r="E94" s="130" t="s">
        <v>34</v>
      </c>
      <c r="F94" s="14" t="s">
        <v>233</v>
      </c>
      <c r="G94" s="14" t="s">
        <v>443</v>
      </c>
      <c r="H94" s="130" t="s">
        <v>234</v>
      </c>
      <c r="I94" s="14" t="s">
        <v>225</v>
      </c>
      <c r="J94" s="66" t="s">
        <v>220</v>
      </c>
      <c r="K94" s="65" t="s">
        <v>29</v>
      </c>
      <c r="L94" s="65" t="s">
        <v>191</v>
      </c>
      <c r="M94" s="65" t="s">
        <v>323</v>
      </c>
      <c r="N94" s="13" t="s">
        <v>43</v>
      </c>
      <c r="O94" s="13" t="s">
        <v>538</v>
      </c>
      <c r="P94" s="13" t="s">
        <v>534</v>
      </c>
      <c r="Q94" s="64" t="s">
        <v>8</v>
      </c>
      <c r="R94" s="62">
        <v>15000</v>
      </c>
      <c r="S94" s="73">
        <v>15000</v>
      </c>
      <c r="T94" s="62">
        <v>15000</v>
      </c>
      <c r="U94" s="62">
        <v>95000</v>
      </c>
      <c r="V94" s="62">
        <v>426028.14</v>
      </c>
      <c r="W94" s="61" t="s">
        <v>11</v>
      </c>
      <c r="X94" s="181">
        <v>1.2500000000000001E-2</v>
      </c>
      <c r="Y94" s="60">
        <v>44014</v>
      </c>
      <c r="Z94" s="60">
        <v>45478</v>
      </c>
      <c r="AA94" s="60">
        <v>45478</v>
      </c>
      <c r="AB94" s="72">
        <v>1465</v>
      </c>
      <c r="AC94" s="59" t="s">
        <v>10</v>
      </c>
      <c r="AD94" s="58">
        <v>1101</v>
      </c>
      <c r="AE94" s="57">
        <v>3.0164383561643837</v>
      </c>
      <c r="AF94" s="56"/>
      <c r="AG94" s="152" t="s">
        <v>1</v>
      </c>
      <c r="AH94" s="152" t="s">
        <v>1</v>
      </c>
      <c r="AI94" s="153" t="s">
        <v>0</v>
      </c>
      <c r="AJ94" s="11" t="s">
        <v>0</v>
      </c>
      <c r="AK94" s="154" t="s">
        <v>1</v>
      </c>
      <c r="AL94" s="13" t="s">
        <v>466</v>
      </c>
      <c r="AM94" s="143">
        <v>8000</v>
      </c>
      <c r="AN94" s="143"/>
      <c r="AO94" s="197" t="s">
        <v>34</v>
      </c>
      <c r="AP94" s="198" t="s">
        <v>233</v>
      </c>
      <c r="AQ94" s="143"/>
      <c r="AR94" s="143"/>
      <c r="AS94" s="208">
        <v>0</v>
      </c>
      <c r="AT94" s="208">
        <v>1800</v>
      </c>
      <c r="AU94" s="208" t="b">
        <v>0</v>
      </c>
      <c r="AV94" s="208"/>
      <c r="AW94" s="208">
        <v>0</v>
      </c>
      <c r="AX94" s="199"/>
      <c r="AY94" s="143"/>
    </row>
    <row r="95" spans="1:51" ht="39.950000000000003" hidden="1" customHeight="1" x14ac:dyDescent="0.2">
      <c r="A95" s="132" t="s">
        <v>520</v>
      </c>
      <c r="B95" s="132" t="s">
        <v>243</v>
      </c>
      <c r="C95" s="66" t="s">
        <v>87</v>
      </c>
      <c r="D95" s="131" t="s">
        <v>469</v>
      </c>
      <c r="E95" s="130" t="s">
        <v>413</v>
      </c>
      <c r="F95" s="66" t="s">
        <v>48</v>
      </c>
      <c r="G95" s="131" t="s">
        <v>95</v>
      </c>
      <c r="H95" s="130" t="s">
        <v>521</v>
      </c>
      <c r="I95" s="161" t="s">
        <v>522</v>
      </c>
      <c r="J95" s="133" t="s">
        <v>219</v>
      </c>
      <c r="K95" s="66" t="s">
        <v>45</v>
      </c>
      <c r="L95" s="134" t="s">
        <v>191</v>
      </c>
      <c r="M95" s="134" t="s">
        <v>59</v>
      </c>
      <c r="N95" s="132" t="s">
        <v>43</v>
      </c>
      <c r="O95" s="132" t="s">
        <v>538</v>
      </c>
      <c r="P95" s="132" t="s">
        <v>534</v>
      </c>
      <c r="Q95" s="135" t="s">
        <v>9</v>
      </c>
      <c r="R95" s="136">
        <v>13401.232913428035</v>
      </c>
      <c r="S95" s="73">
        <v>10000</v>
      </c>
      <c r="T95" s="136">
        <v>13401.232913428035</v>
      </c>
      <c r="U95" s="136">
        <v>134012.32913428036</v>
      </c>
      <c r="V95" s="136">
        <v>1394802</v>
      </c>
      <c r="W95" s="147" t="s">
        <v>11</v>
      </c>
      <c r="X95" s="181">
        <v>3.7499999999999999E-2</v>
      </c>
      <c r="Y95" s="137">
        <v>44039</v>
      </c>
      <c r="Z95" s="137">
        <v>47238</v>
      </c>
      <c r="AA95" s="137">
        <v>47238</v>
      </c>
      <c r="AB95" s="138">
        <v>3200</v>
      </c>
      <c r="AC95" s="139" t="s">
        <v>10</v>
      </c>
      <c r="AD95" s="138">
        <v>2861</v>
      </c>
      <c r="AE95" s="140">
        <v>7.838356164383562</v>
      </c>
      <c r="AF95" s="56"/>
      <c r="AG95" s="141" t="s">
        <v>1</v>
      </c>
      <c r="AH95" s="141" t="s">
        <v>1</v>
      </c>
      <c r="AI95" s="142" t="s">
        <v>523</v>
      </c>
      <c r="AJ95" s="11" t="s">
        <v>0</v>
      </c>
      <c r="AK95" s="154" t="s">
        <v>1</v>
      </c>
      <c r="AL95" s="132" t="s">
        <v>519</v>
      </c>
      <c r="AM95" s="143"/>
      <c r="AN95" s="52"/>
      <c r="AO95" s="197" t="s">
        <v>413</v>
      </c>
      <c r="AP95" s="198" t="s">
        <v>48</v>
      </c>
      <c r="AQ95" s="201"/>
      <c r="AR95" s="143"/>
      <c r="AS95" s="208">
        <v>0</v>
      </c>
      <c r="AT95" s="208">
        <v>1608.1479496113641</v>
      </c>
      <c r="AU95" s="208" t="b">
        <v>0</v>
      </c>
      <c r="AV95" s="208"/>
      <c r="AW95" s="208">
        <v>0</v>
      </c>
      <c r="AX95" s="199"/>
      <c r="AY95" s="143"/>
    </row>
    <row r="96" spans="1:51" ht="39.950000000000003" hidden="1" customHeight="1" x14ac:dyDescent="0.2">
      <c r="A96" s="13" t="s">
        <v>470</v>
      </c>
      <c r="B96" s="74" t="s">
        <v>51</v>
      </c>
      <c r="C96" s="66" t="s">
        <v>87</v>
      </c>
      <c r="D96" s="13" t="s">
        <v>542</v>
      </c>
      <c r="E96" s="130" t="s">
        <v>87</v>
      </c>
      <c r="F96" s="14" t="s">
        <v>545</v>
      </c>
      <c r="G96" s="66" t="s">
        <v>85</v>
      </c>
      <c r="H96" s="14" t="s">
        <v>288</v>
      </c>
      <c r="I96" s="66" t="s">
        <v>75</v>
      </c>
      <c r="J96" s="66" t="s">
        <v>21</v>
      </c>
      <c r="K96" s="65" t="s">
        <v>29</v>
      </c>
      <c r="L96" s="65" t="s">
        <v>191</v>
      </c>
      <c r="M96" s="65" t="s">
        <v>59</v>
      </c>
      <c r="N96" s="13" t="s">
        <v>43</v>
      </c>
      <c r="O96" s="13" t="s">
        <v>538</v>
      </c>
      <c r="P96" s="13" t="s">
        <v>548</v>
      </c>
      <c r="Q96" s="64" t="s">
        <v>156</v>
      </c>
      <c r="R96" s="62">
        <v>27715.162041314066</v>
      </c>
      <c r="S96" s="73">
        <v>18000</v>
      </c>
      <c r="T96" s="62">
        <v>33258.194449576877</v>
      </c>
      <c r="U96" s="62">
        <v>92383.873471046885</v>
      </c>
      <c r="V96" s="62">
        <v>892275.45175714127</v>
      </c>
      <c r="W96" s="61" t="s">
        <v>11</v>
      </c>
      <c r="X96" s="181">
        <v>0.02</v>
      </c>
      <c r="Y96" s="60">
        <v>44047</v>
      </c>
      <c r="Z96" s="60">
        <v>45163</v>
      </c>
      <c r="AA96" s="60">
        <v>45102</v>
      </c>
      <c r="AB96" s="58">
        <v>1056</v>
      </c>
      <c r="AC96" s="151" t="s">
        <v>10</v>
      </c>
      <c r="AD96" s="58">
        <v>725</v>
      </c>
      <c r="AE96" s="57">
        <v>1.9863013698630136</v>
      </c>
      <c r="AF96" s="56" t="s">
        <v>436</v>
      </c>
      <c r="AG96" s="71" t="s">
        <v>1</v>
      </c>
      <c r="AH96" s="71" t="s">
        <v>1</v>
      </c>
      <c r="AI96" s="70" t="s">
        <v>0</v>
      </c>
      <c r="AJ96" s="11" t="s">
        <v>0</v>
      </c>
      <c r="AK96" s="11" t="s">
        <v>1</v>
      </c>
      <c r="AL96" s="13" t="s">
        <v>472</v>
      </c>
      <c r="AM96" s="143">
        <v>7800</v>
      </c>
      <c r="AN96" s="52">
        <v>73907.098776837505</v>
      </c>
      <c r="AO96" s="197" t="s">
        <v>87</v>
      </c>
      <c r="AP96" s="198" t="s">
        <v>545</v>
      </c>
      <c r="AQ96" s="201"/>
      <c r="AR96" s="143"/>
      <c r="AS96" s="208">
        <v>0</v>
      </c>
      <c r="AT96" s="208">
        <v>3990.9833339492252</v>
      </c>
      <c r="AU96" s="208">
        <v>798.19666678984504</v>
      </c>
      <c r="AV96" s="208"/>
      <c r="AW96" s="208">
        <v>0</v>
      </c>
      <c r="AX96" s="199"/>
      <c r="AY96" s="143"/>
    </row>
    <row r="97" spans="1:51" ht="39.950000000000003" hidden="1" customHeight="1" x14ac:dyDescent="0.2">
      <c r="A97" s="13" t="s">
        <v>492</v>
      </c>
      <c r="B97" s="74" t="s">
        <v>24</v>
      </c>
      <c r="C97" s="66" t="s">
        <v>34</v>
      </c>
      <c r="D97" s="13" t="s">
        <v>34</v>
      </c>
      <c r="E97" s="130" t="s">
        <v>34</v>
      </c>
      <c r="F97" s="14" t="s">
        <v>102</v>
      </c>
      <c r="G97" s="14" t="s">
        <v>102</v>
      </c>
      <c r="H97" s="130" t="s">
        <v>122</v>
      </c>
      <c r="I97" s="66" t="s">
        <v>70</v>
      </c>
      <c r="J97" s="66" t="s">
        <v>218</v>
      </c>
      <c r="K97" s="65" t="s">
        <v>101</v>
      </c>
      <c r="L97" s="65" t="s">
        <v>191</v>
      </c>
      <c r="M97" s="65" t="s">
        <v>323</v>
      </c>
      <c r="N97" s="13" t="s">
        <v>43</v>
      </c>
      <c r="O97" s="13" t="s">
        <v>531</v>
      </c>
      <c r="P97" s="13" t="s">
        <v>534</v>
      </c>
      <c r="Q97" s="64" t="s">
        <v>8</v>
      </c>
      <c r="R97" s="62">
        <v>25000</v>
      </c>
      <c r="S97" s="73">
        <v>25000</v>
      </c>
      <c r="T97" s="62">
        <v>25000</v>
      </c>
      <c r="U97" s="62">
        <v>50000</v>
      </c>
      <c r="V97" s="62">
        <v>1166537.21</v>
      </c>
      <c r="W97" s="61" t="s">
        <v>11</v>
      </c>
      <c r="X97" s="181">
        <v>1.7999999999999999E-2</v>
      </c>
      <c r="Y97" s="60">
        <v>44064</v>
      </c>
      <c r="Z97" s="60">
        <v>45674</v>
      </c>
      <c r="AA97" s="60">
        <v>45674</v>
      </c>
      <c r="AB97" s="72">
        <v>1611</v>
      </c>
      <c r="AC97" s="59" t="s">
        <v>10</v>
      </c>
      <c r="AD97" s="58">
        <v>1297</v>
      </c>
      <c r="AE97" s="57">
        <v>3.5534246575342467</v>
      </c>
      <c r="AF97" s="56" t="s">
        <v>436</v>
      </c>
      <c r="AG97" s="71" t="s">
        <v>1</v>
      </c>
      <c r="AH97" s="71" t="s">
        <v>1</v>
      </c>
      <c r="AI97" s="70" t="s">
        <v>0</v>
      </c>
      <c r="AJ97" s="11" t="s">
        <v>0</v>
      </c>
      <c r="AK97" s="11" t="s">
        <v>1</v>
      </c>
      <c r="AL97" s="13" t="s">
        <v>478</v>
      </c>
      <c r="AM97" s="143">
        <v>8815</v>
      </c>
      <c r="AN97" s="52">
        <v>125000</v>
      </c>
      <c r="AO97" s="197" t="s">
        <v>34</v>
      </c>
      <c r="AP97" s="198" t="s">
        <v>102</v>
      </c>
      <c r="AQ97" s="201"/>
      <c r="AR97" s="143"/>
      <c r="AS97" s="208">
        <v>0</v>
      </c>
      <c r="AT97" s="208">
        <v>3000</v>
      </c>
      <c r="AU97" s="208">
        <v>600</v>
      </c>
      <c r="AV97" s="208"/>
      <c r="AW97" s="208">
        <v>0</v>
      </c>
      <c r="AX97" s="199"/>
      <c r="AY97" s="143"/>
    </row>
    <row r="98" spans="1:51" ht="39.950000000000003" hidden="1" customHeight="1" x14ac:dyDescent="0.2">
      <c r="A98" s="14" t="s">
        <v>501</v>
      </c>
      <c r="B98" s="13" t="s">
        <v>51</v>
      </c>
      <c r="C98" s="66" t="s">
        <v>38</v>
      </c>
      <c r="D98" s="13" t="s">
        <v>541</v>
      </c>
      <c r="E98" s="66" t="s">
        <v>38</v>
      </c>
      <c r="F98" s="14" t="s">
        <v>547</v>
      </c>
      <c r="G98" s="14" t="s">
        <v>124</v>
      </c>
      <c r="H98" s="130" t="s">
        <v>123</v>
      </c>
      <c r="I98" s="66" t="s">
        <v>502</v>
      </c>
      <c r="J98" s="66" t="s">
        <v>219</v>
      </c>
      <c r="K98" s="65" t="s">
        <v>29</v>
      </c>
      <c r="L98" s="65" t="s">
        <v>191</v>
      </c>
      <c r="M98" s="66" t="s">
        <v>323</v>
      </c>
      <c r="N98" s="14" t="s">
        <v>43</v>
      </c>
      <c r="O98" s="14" t="s">
        <v>533</v>
      </c>
      <c r="P98" s="14" t="s">
        <v>532</v>
      </c>
      <c r="Q98" s="64" t="s">
        <v>9</v>
      </c>
      <c r="R98" s="62">
        <v>18359.689091396409</v>
      </c>
      <c r="S98" s="73">
        <v>13700</v>
      </c>
      <c r="T98" s="62">
        <v>18359.689091396409</v>
      </c>
      <c r="U98" s="62">
        <v>113910.4797641383</v>
      </c>
      <c r="V98" s="62">
        <v>234333.0340391316</v>
      </c>
      <c r="W98" s="61" t="s">
        <v>11</v>
      </c>
      <c r="X98" s="181">
        <v>1.0999999999999999E-2</v>
      </c>
      <c r="Y98" s="60">
        <v>44084</v>
      </c>
      <c r="Z98" s="60">
        <v>45208</v>
      </c>
      <c r="AA98" s="60">
        <v>45208</v>
      </c>
      <c r="AB98" s="72">
        <v>1125</v>
      </c>
      <c r="AC98" s="59" t="s">
        <v>10</v>
      </c>
      <c r="AD98" s="58">
        <v>831</v>
      </c>
      <c r="AE98" s="57">
        <v>2.2767123287671232</v>
      </c>
      <c r="AF98" s="56"/>
      <c r="AG98" s="152" t="s">
        <v>1</v>
      </c>
      <c r="AH98" s="152" t="s">
        <v>182</v>
      </c>
      <c r="AI98" s="153" t="s">
        <v>503</v>
      </c>
      <c r="AJ98" s="11" t="s">
        <v>0</v>
      </c>
      <c r="AK98" s="154" t="s">
        <v>1</v>
      </c>
      <c r="AL98" s="13" t="s">
        <v>504</v>
      </c>
      <c r="AM98" s="143"/>
      <c r="AN98" s="52">
        <v>20101.849370142052</v>
      </c>
      <c r="AO98" s="197" t="s">
        <v>38</v>
      </c>
      <c r="AP98" s="198" t="s">
        <v>547</v>
      </c>
      <c r="AQ98" s="201"/>
      <c r="AR98" s="143"/>
      <c r="AS98" s="208">
        <v>0</v>
      </c>
      <c r="AT98" s="208">
        <v>2203.1626909675688</v>
      </c>
      <c r="AU98" s="208" t="b">
        <v>0</v>
      </c>
      <c r="AV98" s="208"/>
      <c r="AW98" s="208">
        <v>0</v>
      </c>
      <c r="AX98" s="199"/>
      <c r="AY98" s="143"/>
    </row>
    <row r="99" spans="1:51" ht="39.950000000000003" hidden="1" customHeight="1" x14ac:dyDescent="0.2">
      <c r="A99" s="13" t="s">
        <v>491</v>
      </c>
      <c r="B99" s="74" t="s">
        <v>67</v>
      </c>
      <c r="C99" s="66" t="s">
        <v>87</v>
      </c>
      <c r="D99" s="13" t="s">
        <v>499</v>
      </c>
      <c r="E99" s="130" t="s">
        <v>162</v>
      </c>
      <c r="F99" s="14" t="s">
        <v>546</v>
      </c>
      <c r="G99" s="14" t="s">
        <v>167</v>
      </c>
      <c r="H99" s="130" t="s">
        <v>167</v>
      </c>
      <c r="I99" s="66" t="s">
        <v>298</v>
      </c>
      <c r="J99" s="14" t="s">
        <v>218</v>
      </c>
      <c r="K99" s="65" t="s">
        <v>209</v>
      </c>
      <c r="L99" s="65" t="s">
        <v>191</v>
      </c>
      <c r="M99" s="65" t="s">
        <v>59</v>
      </c>
      <c r="N99" s="13" t="s">
        <v>43</v>
      </c>
      <c r="O99" s="13" t="s">
        <v>538</v>
      </c>
      <c r="P99" s="13" t="s">
        <v>534</v>
      </c>
      <c r="Q99" s="64" t="s">
        <v>9</v>
      </c>
      <c r="R99" s="62">
        <v>26802.465826856071</v>
      </c>
      <c r="S99" s="73">
        <v>20000</v>
      </c>
      <c r="T99" s="62">
        <v>26802.465826856071</v>
      </c>
      <c r="U99" s="62">
        <v>100509.24685071027</v>
      </c>
      <c r="V99" s="62">
        <v>1115238.5419458591</v>
      </c>
      <c r="W99" s="61" t="s">
        <v>11</v>
      </c>
      <c r="X99" s="181">
        <v>3.5000000000000003E-2</v>
      </c>
      <c r="Y99" s="60">
        <v>44088</v>
      </c>
      <c r="Z99" s="60">
        <v>45151</v>
      </c>
      <c r="AA99" s="60">
        <v>45151</v>
      </c>
      <c r="AB99" s="72">
        <v>1064</v>
      </c>
      <c r="AC99" s="59" t="s">
        <v>10</v>
      </c>
      <c r="AD99" s="58">
        <v>774</v>
      </c>
      <c r="AE99" s="57">
        <v>2.1205479452054794</v>
      </c>
      <c r="AF99" s="56" t="s">
        <v>436</v>
      </c>
      <c r="AG99" s="71" t="s">
        <v>1</v>
      </c>
      <c r="AH99" s="71" t="s">
        <v>1</v>
      </c>
      <c r="AI99" s="70" t="s">
        <v>0</v>
      </c>
      <c r="AJ99" s="11" t="s">
        <v>0</v>
      </c>
      <c r="AK99" s="11" t="s">
        <v>1</v>
      </c>
      <c r="AL99" s="13" t="s">
        <v>484</v>
      </c>
      <c r="AM99" s="143">
        <v>9855</v>
      </c>
      <c r="AN99" s="52">
        <v>100000</v>
      </c>
      <c r="AO99" s="197" t="s">
        <v>162</v>
      </c>
      <c r="AP99" s="198" t="s">
        <v>546</v>
      </c>
      <c r="AQ99" s="201"/>
      <c r="AR99" s="143"/>
      <c r="AS99" s="208">
        <v>0</v>
      </c>
      <c r="AT99" s="208">
        <v>3216.2958992227282</v>
      </c>
      <c r="AU99" s="208">
        <v>643.25917984454566</v>
      </c>
      <c r="AV99" s="208"/>
      <c r="AW99" s="208">
        <v>0</v>
      </c>
      <c r="AX99" s="199"/>
      <c r="AY99" s="143"/>
    </row>
    <row r="100" spans="1:51" ht="39.950000000000003" hidden="1" customHeight="1" x14ac:dyDescent="0.2">
      <c r="A100" s="13" t="s">
        <v>493</v>
      </c>
      <c r="B100" s="69" t="s">
        <v>243</v>
      </c>
      <c r="C100" s="66" t="s">
        <v>87</v>
      </c>
      <c r="D100" s="13" t="s">
        <v>542</v>
      </c>
      <c r="E100" s="130" t="s">
        <v>308</v>
      </c>
      <c r="F100" s="14" t="s">
        <v>102</v>
      </c>
      <c r="G100" s="14" t="s">
        <v>102</v>
      </c>
      <c r="H100" s="67" t="s">
        <v>473</v>
      </c>
      <c r="I100" s="66" t="s">
        <v>298</v>
      </c>
      <c r="J100" s="66" t="s">
        <v>218</v>
      </c>
      <c r="K100" s="128" t="s">
        <v>101</v>
      </c>
      <c r="L100" s="65" t="s">
        <v>191</v>
      </c>
      <c r="M100" s="65" t="s">
        <v>59</v>
      </c>
      <c r="N100" s="13" t="s">
        <v>43</v>
      </c>
      <c r="O100" s="13" t="s">
        <v>533</v>
      </c>
      <c r="P100" s="13" t="s">
        <v>534</v>
      </c>
      <c r="Q100" s="64" t="s">
        <v>487</v>
      </c>
      <c r="R100" s="62">
        <v>24588.280352355421</v>
      </c>
      <c r="S100" s="63">
        <v>160500</v>
      </c>
      <c r="T100" s="62">
        <v>24588.280352355421</v>
      </c>
      <c r="U100" s="62">
        <v>151666.02834163155</v>
      </c>
      <c r="V100" s="62">
        <v>1456642.5124473383</v>
      </c>
      <c r="W100" s="61" t="s">
        <v>11</v>
      </c>
      <c r="X100" s="181">
        <v>2.5000000000000001E-2</v>
      </c>
      <c r="Y100" s="60">
        <v>44091</v>
      </c>
      <c r="Z100" s="60">
        <v>45595</v>
      </c>
      <c r="AA100" s="60">
        <v>45595</v>
      </c>
      <c r="AB100" s="58">
        <v>1505</v>
      </c>
      <c r="AC100" s="59" t="s">
        <v>10</v>
      </c>
      <c r="AD100" s="58">
        <v>1218</v>
      </c>
      <c r="AE100" s="57">
        <v>3.3369863013698629</v>
      </c>
      <c r="AF100" s="56" t="s">
        <v>436</v>
      </c>
      <c r="AG100" s="55" t="s">
        <v>1</v>
      </c>
      <c r="AH100" s="55" t="s">
        <v>1</v>
      </c>
      <c r="AI100" s="54" t="s">
        <v>0</v>
      </c>
      <c r="AJ100" s="11" t="s">
        <v>0</v>
      </c>
      <c r="AK100" s="53" t="s">
        <v>1</v>
      </c>
      <c r="AL100" s="13" t="s">
        <v>483</v>
      </c>
      <c r="AM100" s="143">
        <v>900</v>
      </c>
      <c r="AN100" s="52"/>
      <c r="AO100" s="197" t="s">
        <v>308</v>
      </c>
      <c r="AP100" s="198" t="s">
        <v>102</v>
      </c>
      <c r="AQ100" s="201"/>
      <c r="AR100" s="143"/>
      <c r="AS100" s="208">
        <v>0</v>
      </c>
      <c r="AT100" s="208">
        <v>2950.5936422826503</v>
      </c>
      <c r="AU100" s="208">
        <v>590.11872845653011</v>
      </c>
      <c r="AV100" s="208"/>
      <c r="AW100" s="208">
        <v>0</v>
      </c>
      <c r="AX100" s="199"/>
      <c r="AY100" s="143"/>
    </row>
    <row r="101" spans="1:51" ht="39.950000000000003" customHeight="1" x14ac:dyDescent="0.2">
      <c r="A101" s="13" t="s">
        <v>497</v>
      </c>
      <c r="B101" s="69" t="s">
        <v>24</v>
      </c>
      <c r="C101" s="66" t="s">
        <v>34</v>
      </c>
      <c r="D101" s="13" t="s">
        <v>34</v>
      </c>
      <c r="E101" s="14" t="s">
        <v>34</v>
      </c>
      <c r="F101" s="14" t="s">
        <v>92</v>
      </c>
      <c r="G101" s="66" t="s">
        <v>100</v>
      </c>
      <c r="H101" s="14" t="s">
        <v>100</v>
      </c>
      <c r="I101" s="66" t="s">
        <v>232</v>
      </c>
      <c r="J101" s="66" t="s">
        <v>21</v>
      </c>
      <c r="K101" s="65" t="s">
        <v>44</v>
      </c>
      <c r="L101" s="65" t="s">
        <v>191</v>
      </c>
      <c r="M101" s="65" t="s">
        <v>323</v>
      </c>
      <c r="N101" s="13" t="s">
        <v>43</v>
      </c>
      <c r="O101" s="13" t="s">
        <v>531</v>
      </c>
      <c r="P101" s="13" t="s">
        <v>534</v>
      </c>
      <c r="Q101" s="64" t="s">
        <v>8</v>
      </c>
      <c r="R101" s="62">
        <v>25000</v>
      </c>
      <c r="S101" s="63">
        <v>25000</v>
      </c>
      <c r="T101" s="62">
        <v>25000</v>
      </c>
      <c r="U101" s="62">
        <v>93608.577000000005</v>
      </c>
      <c r="V101" s="62">
        <v>954545</v>
      </c>
      <c r="W101" s="61" t="s">
        <v>551</v>
      </c>
      <c r="X101" s="181">
        <v>3.5000000000000003E-2</v>
      </c>
      <c r="Y101" s="60">
        <v>44097</v>
      </c>
      <c r="Z101" s="60">
        <v>45277</v>
      </c>
      <c r="AA101" s="60">
        <v>45277</v>
      </c>
      <c r="AB101" s="58">
        <v>1181</v>
      </c>
      <c r="AC101" s="59" t="s">
        <v>10</v>
      </c>
      <c r="AD101" s="58">
        <v>900</v>
      </c>
      <c r="AE101" s="57">
        <v>2.4657534246575343</v>
      </c>
      <c r="AF101" s="56"/>
      <c r="AG101" s="55" t="s">
        <v>1</v>
      </c>
      <c r="AH101" s="55" t="s">
        <v>1</v>
      </c>
      <c r="AI101" s="54" t="s">
        <v>0</v>
      </c>
      <c r="AJ101" s="11" t="s">
        <v>0</v>
      </c>
      <c r="AK101" s="53" t="s">
        <v>1</v>
      </c>
      <c r="AL101" s="13" t="s">
        <v>486</v>
      </c>
      <c r="AM101" s="143">
        <v>17910</v>
      </c>
      <c r="AN101" s="52">
        <v>35000</v>
      </c>
      <c r="AO101" s="197" t="s">
        <v>34</v>
      </c>
      <c r="AP101" s="198" t="s">
        <v>92</v>
      </c>
      <c r="AQ101" s="199">
        <v>1</v>
      </c>
      <c r="AR101" s="210">
        <v>0.05</v>
      </c>
      <c r="AS101" s="208">
        <v>1250</v>
      </c>
      <c r="AT101" s="208">
        <v>3000</v>
      </c>
      <c r="AU101" s="208" t="b">
        <v>0</v>
      </c>
      <c r="AV101" s="208"/>
      <c r="AW101" s="208">
        <v>1250</v>
      </c>
      <c r="AX101" s="199">
        <v>1250</v>
      </c>
      <c r="AY101" s="12"/>
    </row>
    <row r="102" spans="1:51" ht="39.950000000000003" hidden="1" customHeight="1" x14ac:dyDescent="0.2">
      <c r="A102" s="13" t="s">
        <v>494</v>
      </c>
      <c r="B102" s="69" t="s">
        <v>243</v>
      </c>
      <c r="C102" s="66" t="s">
        <v>87</v>
      </c>
      <c r="D102" s="13" t="s">
        <v>541</v>
      </c>
      <c r="E102" s="130" t="s">
        <v>152</v>
      </c>
      <c r="F102" s="14" t="s">
        <v>439</v>
      </c>
      <c r="G102" s="66" t="s">
        <v>445</v>
      </c>
      <c r="H102" s="14" t="s">
        <v>463</v>
      </c>
      <c r="I102" s="14" t="s">
        <v>298</v>
      </c>
      <c r="J102" s="66" t="s">
        <v>218</v>
      </c>
      <c r="K102" s="65" t="s">
        <v>209</v>
      </c>
      <c r="L102" s="65" t="s">
        <v>191</v>
      </c>
      <c r="M102" s="13" t="s">
        <v>59</v>
      </c>
      <c r="N102" s="65" t="s">
        <v>43</v>
      </c>
      <c r="O102" s="65" t="s">
        <v>531</v>
      </c>
      <c r="P102" s="65" t="s">
        <v>534</v>
      </c>
      <c r="Q102" s="64" t="s">
        <v>488</v>
      </c>
      <c r="R102" s="62">
        <v>22404.574122908285</v>
      </c>
      <c r="S102" s="63">
        <v>1843650</v>
      </c>
      <c r="T102" s="62">
        <v>22404.574122908285</v>
      </c>
      <c r="U102" s="62">
        <v>168673.82031620265</v>
      </c>
      <c r="V102" s="62">
        <v>434923.81727812951</v>
      </c>
      <c r="W102" s="61" t="s">
        <v>11</v>
      </c>
      <c r="X102" s="181">
        <v>0.02</v>
      </c>
      <c r="Y102" s="60">
        <v>44099</v>
      </c>
      <c r="Z102" s="60">
        <v>45539</v>
      </c>
      <c r="AA102" s="60">
        <v>45539</v>
      </c>
      <c r="AB102" s="58">
        <v>1441</v>
      </c>
      <c r="AC102" s="59" t="s">
        <v>10</v>
      </c>
      <c r="AD102" s="58">
        <v>1162</v>
      </c>
      <c r="AE102" s="57">
        <v>3.1835616438356165</v>
      </c>
      <c r="AF102" s="56" t="s">
        <v>436</v>
      </c>
      <c r="AG102" s="55" t="s">
        <v>1</v>
      </c>
      <c r="AH102" s="55" t="s">
        <v>1</v>
      </c>
      <c r="AI102" s="54" t="s">
        <v>0</v>
      </c>
      <c r="AJ102" s="11" t="s">
        <v>0</v>
      </c>
      <c r="AK102" s="53" t="s">
        <v>1</v>
      </c>
      <c r="AL102" s="13" t="s">
        <v>485</v>
      </c>
      <c r="AM102" s="143"/>
      <c r="AN102" s="52"/>
      <c r="AO102" s="197" t="s">
        <v>152</v>
      </c>
      <c r="AP102" s="198" t="s">
        <v>439</v>
      </c>
      <c r="AQ102" s="201"/>
      <c r="AR102" s="143"/>
      <c r="AS102" s="208">
        <v>0</v>
      </c>
      <c r="AT102" s="208">
        <v>2688.5488947489939</v>
      </c>
      <c r="AU102" s="208">
        <v>537.70977894979876</v>
      </c>
      <c r="AV102" s="208"/>
      <c r="AW102" s="208">
        <v>0</v>
      </c>
      <c r="AX102" s="199">
        <v>0</v>
      </c>
      <c r="AY102" s="143"/>
    </row>
    <row r="103" spans="1:51" ht="39.950000000000003" hidden="1" customHeight="1" x14ac:dyDescent="0.2">
      <c r="A103" s="14" t="s">
        <v>489</v>
      </c>
      <c r="B103" s="74" t="s">
        <v>23</v>
      </c>
      <c r="C103" s="130" t="s">
        <v>87</v>
      </c>
      <c r="D103" s="13" t="s">
        <v>34</v>
      </c>
      <c r="E103" s="68" t="s">
        <v>34</v>
      </c>
      <c r="F103" s="14" t="s">
        <v>106</v>
      </c>
      <c r="G103" s="14" t="s">
        <v>106</v>
      </c>
      <c r="H103" s="130" t="s">
        <v>263</v>
      </c>
      <c r="I103" s="66" t="s">
        <v>181</v>
      </c>
      <c r="J103" s="66" t="s">
        <v>33</v>
      </c>
      <c r="K103" s="166" t="s">
        <v>101</v>
      </c>
      <c r="L103" s="65" t="s">
        <v>191</v>
      </c>
      <c r="M103" s="65" t="s">
        <v>59</v>
      </c>
      <c r="N103" s="13" t="s">
        <v>43</v>
      </c>
      <c r="O103" s="13" t="s">
        <v>539</v>
      </c>
      <c r="P103" s="13" t="s">
        <v>534</v>
      </c>
      <c r="Q103" s="64" t="s">
        <v>8</v>
      </c>
      <c r="R103" s="62">
        <v>15000</v>
      </c>
      <c r="S103" s="73">
        <v>15000</v>
      </c>
      <c r="T103" s="62">
        <v>15000</v>
      </c>
      <c r="U103" s="62">
        <v>60000</v>
      </c>
      <c r="V103" s="62">
        <v>340837</v>
      </c>
      <c r="W103" s="61" t="s">
        <v>11</v>
      </c>
      <c r="X103" s="181">
        <v>1.8499999999999999E-2</v>
      </c>
      <c r="Y103" s="60">
        <v>44104</v>
      </c>
      <c r="Z103" s="60">
        <v>44812</v>
      </c>
      <c r="AA103" s="60">
        <v>44812</v>
      </c>
      <c r="AB103" s="58">
        <v>709</v>
      </c>
      <c r="AC103" s="59" t="s">
        <v>10</v>
      </c>
      <c r="AD103" s="58">
        <v>435</v>
      </c>
      <c r="AE103" s="57">
        <v>1.1917808219178083</v>
      </c>
      <c r="AF103" s="56"/>
      <c r="AG103" s="152" t="s">
        <v>1</v>
      </c>
      <c r="AH103" s="152" t="s">
        <v>182</v>
      </c>
      <c r="AI103" s="153" t="s">
        <v>0</v>
      </c>
      <c r="AJ103" s="11" t="s">
        <v>0</v>
      </c>
      <c r="AK103" s="154" t="s">
        <v>1</v>
      </c>
      <c r="AL103" s="13" t="s">
        <v>490</v>
      </c>
      <c r="AM103" s="143"/>
      <c r="AN103" s="52">
        <v>21250</v>
      </c>
      <c r="AO103" s="197" t="s">
        <v>34</v>
      </c>
      <c r="AP103" s="198" t="s">
        <v>106</v>
      </c>
      <c r="AQ103" s="201"/>
      <c r="AR103" s="143"/>
      <c r="AS103" s="208">
        <v>0</v>
      </c>
      <c r="AT103" s="208">
        <v>1800</v>
      </c>
      <c r="AU103" s="208" t="b">
        <v>0</v>
      </c>
      <c r="AV103" s="208"/>
      <c r="AW103" s="208">
        <v>0</v>
      </c>
      <c r="AX103" s="199">
        <v>0</v>
      </c>
      <c r="AY103" s="143"/>
    </row>
    <row r="104" spans="1:51" ht="39.950000000000003" hidden="1" customHeight="1" x14ac:dyDescent="0.2">
      <c r="A104" s="14" t="s">
        <v>498</v>
      </c>
      <c r="B104" s="13" t="s">
        <v>67</v>
      </c>
      <c r="C104" s="130" t="s">
        <v>87</v>
      </c>
      <c r="D104" s="13" t="s">
        <v>499</v>
      </c>
      <c r="E104" s="148" t="s">
        <v>162</v>
      </c>
      <c r="F104" s="14" t="s">
        <v>546</v>
      </c>
      <c r="G104" s="14" t="s">
        <v>167</v>
      </c>
      <c r="H104" s="130" t="s">
        <v>167</v>
      </c>
      <c r="I104" s="66" t="s">
        <v>298</v>
      </c>
      <c r="J104" s="66" t="s">
        <v>218</v>
      </c>
      <c r="K104" s="128" t="s">
        <v>29</v>
      </c>
      <c r="L104" s="65" t="s">
        <v>191</v>
      </c>
      <c r="M104" s="65" t="s">
        <v>59</v>
      </c>
      <c r="N104" s="13" t="s">
        <v>43</v>
      </c>
      <c r="O104" s="13" t="s">
        <v>531</v>
      </c>
      <c r="P104" s="13" t="s">
        <v>534</v>
      </c>
      <c r="Q104" s="64" t="s">
        <v>9</v>
      </c>
      <c r="R104" s="62">
        <v>26802.465826856071</v>
      </c>
      <c r="S104" s="73">
        <v>20000</v>
      </c>
      <c r="T104" s="62">
        <v>26802.465826856071</v>
      </c>
      <c r="U104" s="62">
        <v>167515.41141785044</v>
      </c>
      <c r="V104" s="62">
        <v>2470171.7367997854</v>
      </c>
      <c r="W104" s="61" t="s">
        <v>11</v>
      </c>
      <c r="X104" s="181">
        <v>3.2500000000000001E-2</v>
      </c>
      <c r="Y104" s="60">
        <v>44111</v>
      </c>
      <c r="Z104" s="60">
        <v>45923</v>
      </c>
      <c r="AA104" s="60">
        <v>45923</v>
      </c>
      <c r="AB104" s="58">
        <v>1813</v>
      </c>
      <c r="AC104" s="59" t="s">
        <v>10</v>
      </c>
      <c r="AD104" s="58">
        <v>1546</v>
      </c>
      <c r="AE104" s="57">
        <v>4.2356164383561641</v>
      </c>
      <c r="AF104" s="56" t="s">
        <v>436</v>
      </c>
      <c r="AG104" s="152" t="s">
        <v>1</v>
      </c>
      <c r="AH104" s="152" t="s">
        <v>182</v>
      </c>
      <c r="AI104" s="153" t="s">
        <v>0</v>
      </c>
      <c r="AJ104" s="11" t="s">
        <v>0</v>
      </c>
      <c r="AK104" s="154" t="s">
        <v>1</v>
      </c>
      <c r="AL104" s="13" t="s">
        <v>500</v>
      </c>
      <c r="AM104" s="143"/>
      <c r="AN104" s="52">
        <v>147413.5620477084</v>
      </c>
      <c r="AO104" s="197" t="s">
        <v>162</v>
      </c>
      <c r="AP104" s="198" t="s">
        <v>546</v>
      </c>
      <c r="AQ104" s="201"/>
      <c r="AR104" s="143"/>
      <c r="AS104" s="208">
        <v>0</v>
      </c>
      <c r="AT104" s="208">
        <v>3216.2958992227282</v>
      </c>
      <c r="AU104" s="208">
        <v>643.25917984454566</v>
      </c>
      <c r="AV104" s="208"/>
      <c r="AW104" s="208">
        <v>0</v>
      </c>
      <c r="AX104" s="199">
        <v>0</v>
      </c>
      <c r="AY104" s="143"/>
    </row>
    <row r="105" spans="1:51" ht="39.950000000000003" hidden="1" customHeight="1" x14ac:dyDescent="0.2">
      <c r="A105" s="131" t="s">
        <v>505</v>
      </c>
      <c r="B105" s="132" t="s">
        <v>24</v>
      </c>
      <c r="C105" s="66" t="s">
        <v>162</v>
      </c>
      <c r="D105" s="13" t="s">
        <v>499</v>
      </c>
      <c r="E105" s="130" t="s">
        <v>162</v>
      </c>
      <c r="F105" s="14" t="s">
        <v>48</v>
      </c>
      <c r="G105" s="131" t="s">
        <v>95</v>
      </c>
      <c r="H105" s="130" t="s">
        <v>447</v>
      </c>
      <c r="I105" s="131" t="s">
        <v>506</v>
      </c>
      <c r="J105" s="131" t="s">
        <v>221</v>
      </c>
      <c r="K105" s="171" t="s">
        <v>209</v>
      </c>
      <c r="L105" s="134" t="s">
        <v>191</v>
      </c>
      <c r="M105" s="134" t="s">
        <v>59</v>
      </c>
      <c r="N105" s="132" t="s">
        <v>43</v>
      </c>
      <c r="O105" s="132" t="s">
        <v>538</v>
      </c>
      <c r="P105" s="132" t="s">
        <v>534</v>
      </c>
      <c r="Q105" s="135" t="s">
        <v>9</v>
      </c>
      <c r="R105" s="136">
        <v>13401.232913428035</v>
      </c>
      <c r="S105" s="73">
        <v>10000</v>
      </c>
      <c r="T105" s="136">
        <v>13401.232913428035</v>
      </c>
      <c r="U105" s="136">
        <v>134012.32913428036</v>
      </c>
      <c r="V105" s="136">
        <v>309571.16054677032</v>
      </c>
      <c r="W105" s="61" t="s">
        <v>11</v>
      </c>
      <c r="X105" s="181">
        <v>2.5000000000000001E-2</v>
      </c>
      <c r="Y105" s="137">
        <v>44136</v>
      </c>
      <c r="Z105" s="137">
        <v>45504</v>
      </c>
      <c r="AA105" s="137">
        <v>45504</v>
      </c>
      <c r="AB105" s="58">
        <v>1369</v>
      </c>
      <c r="AC105" s="59" t="s">
        <v>10</v>
      </c>
      <c r="AD105" s="138">
        <v>1127</v>
      </c>
      <c r="AE105" s="140">
        <v>3.0876712328767124</v>
      </c>
      <c r="AF105" s="56"/>
      <c r="AG105" s="141" t="s">
        <v>1</v>
      </c>
      <c r="AH105" s="141" t="s">
        <v>1</v>
      </c>
      <c r="AI105" s="142" t="s">
        <v>0</v>
      </c>
      <c r="AJ105" s="11" t="s">
        <v>0</v>
      </c>
      <c r="AK105" s="144" t="s">
        <v>1</v>
      </c>
      <c r="AL105" s="132" t="s">
        <v>507</v>
      </c>
      <c r="AM105" s="143"/>
      <c r="AN105" s="52"/>
      <c r="AO105" s="197" t="s">
        <v>162</v>
      </c>
      <c r="AP105" s="198" t="s">
        <v>48</v>
      </c>
      <c r="AQ105" s="201"/>
      <c r="AR105" s="143"/>
      <c r="AS105" s="208">
        <v>0</v>
      </c>
      <c r="AT105" s="208">
        <v>1608.1479496113641</v>
      </c>
      <c r="AU105" s="208" t="b">
        <v>0</v>
      </c>
      <c r="AV105" s="208"/>
      <c r="AW105" s="208">
        <v>0</v>
      </c>
      <c r="AX105" s="199">
        <v>0</v>
      </c>
      <c r="AY105" s="143"/>
    </row>
    <row r="106" spans="1:51" ht="39.950000000000003" hidden="1" customHeight="1" x14ac:dyDescent="0.2">
      <c r="A106" s="131" t="s">
        <v>518</v>
      </c>
      <c r="B106" s="132" t="s">
        <v>67</v>
      </c>
      <c r="C106" s="133" t="s">
        <v>127</v>
      </c>
      <c r="D106" s="13" t="s">
        <v>542</v>
      </c>
      <c r="E106" s="161" t="s">
        <v>127</v>
      </c>
      <c r="F106" s="14" t="s">
        <v>546</v>
      </c>
      <c r="G106" s="131" t="s">
        <v>259</v>
      </c>
      <c r="H106" s="66" t="s">
        <v>460</v>
      </c>
      <c r="I106" s="66" t="s">
        <v>158</v>
      </c>
      <c r="J106" s="66" t="s">
        <v>220</v>
      </c>
      <c r="K106" s="13" t="s">
        <v>45</v>
      </c>
      <c r="L106" s="65" t="s">
        <v>191</v>
      </c>
      <c r="M106" s="134" t="s">
        <v>59</v>
      </c>
      <c r="N106" s="132" t="s">
        <v>43</v>
      </c>
      <c r="O106" s="132" t="s">
        <v>533</v>
      </c>
      <c r="P106" s="13" t="s">
        <v>548</v>
      </c>
      <c r="Q106" s="135" t="s">
        <v>59</v>
      </c>
      <c r="R106" s="136">
        <v>23727.79473875698</v>
      </c>
      <c r="S106" s="73">
        <v>15000</v>
      </c>
      <c r="T106" s="136">
        <v>23727.79473875698</v>
      </c>
      <c r="U106" s="136">
        <v>335352.83230776532</v>
      </c>
      <c r="V106" s="136">
        <v>1077381.9384026448</v>
      </c>
      <c r="W106" s="61" t="s">
        <v>11</v>
      </c>
      <c r="X106" s="181">
        <v>1.17E-2</v>
      </c>
      <c r="Y106" s="137">
        <v>44146</v>
      </c>
      <c r="Z106" s="137">
        <v>45910</v>
      </c>
      <c r="AA106" s="137">
        <v>45910</v>
      </c>
      <c r="AB106" s="138">
        <v>1765</v>
      </c>
      <c r="AC106" s="59" t="s">
        <v>10</v>
      </c>
      <c r="AD106" s="138">
        <v>1533</v>
      </c>
      <c r="AE106" s="140">
        <v>4.2</v>
      </c>
      <c r="AF106" s="56"/>
      <c r="AG106" s="141" t="s">
        <v>1</v>
      </c>
      <c r="AH106" s="141" t="s">
        <v>1</v>
      </c>
      <c r="AI106" s="142" t="s">
        <v>0</v>
      </c>
      <c r="AJ106" s="11" t="s">
        <v>0</v>
      </c>
      <c r="AK106" s="144" t="s">
        <v>1</v>
      </c>
      <c r="AL106" s="132" t="s">
        <v>512</v>
      </c>
      <c r="AM106" s="143"/>
      <c r="AN106" s="52"/>
      <c r="AO106" s="197" t="s">
        <v>127</v>
      </c>
      <c r="AP106" s="198" t="s">
        <v>546</v>
      </c>
      <c r="AQ106" s="201"/>
      <c r="AR106" s="143"/>
      <c r="AS106" s="208">
        <v>0</v>
      </c>
      <c r="AT106" s="208">
        <v>2847.3353686508376</v>
      </c>
      <c r="AU106" s="208" t="b">
        <v>0</v>
      </c>
      <c r="AV106" s="208"/>
      <c r="AW106" s="208">
        <v>0</v>
      </c>
      <c r="AX106" s="199">
        <v>0</v>
      </c>
      <c r="AY106" s="143"/>
    </row>
    <row r="107" spans="1:51" ht="39.950000000000003" hidden="1" customHeight="1" x14ac:dyDescent="0.2">
      <c r="A107" s="131" t="s">
        <v>508</v>
      </c>
      <c r="B107" s="132" t="s">
        <v>243</v>
      </c>
      <c r="C107" s="66" t="s">
        <v>162</v>
      </c>
      <c r="D107" s="13" t="s">
        <v>499</v>
      </c>
      <c r="E107" s="130" t="s">
        <v>162</v>
      </c>
      <c r="F107" s="14" t="s">
        <v>102</v>
      </c>
      <c r="G107" s="131" t="s">
        <v>102</v>
      </c>
      <c r="H107" s="130" t="s">
        <v>103</v>
      </c>
      <c r="I107" s="131" t="s">
        <v>509</v>
      </c>
      <c r="J107" s="133" t="s">
        <v>222</v>
      </c>
      <c r="K107" s="65" t="s">
        <v>101</v>
      </c>
      <c r="L107" s="134" t="s">
        <v>191</v>
      </c>
      <c r="M107" s="134" t="s">
        <v>59</v>
      </c>
      <c r="N107" s="132" t="s">
        <v>43</v>
      </c>
      <c r="O107" s="132" t="s">
        <v>531</v>
      </c>
      <c r="P107" s="132" t="s">
        <v>534</v>
      </c>
      <c r="Q107" s="135" t="s">
        <v>9</v>
      </c>
      <c r="R107" s="136">
        <v>26802.465826856071</v>
      </c>
      <c r="S107" s="73">
        <v>20000</v>
      </c>
      <c r="T107" s="136">
        <v>26802.465826856071</v>
      </c>
      <c r="U107" s="136">
        <v>100509.24685071027</v>
      </c>
      <c r="V107" s="136">
        <v>764347</v>
      </c>
      <c r="W107" s="61" t="s">
        <v>11</v>
      </c>
      <c r="X107" s="181">
        <v>1.6E-2</v>
      </c>
      <c r="Y107" s="137">
        <v>44148</v>
      </c>
      <c r="Z107" s="137">
        <v>45734</v>
      </c>
      <c r="AA107" s="137">
        <v>45734</v>
      </c>
      <c r="AB107" s="58">
        <v>1587</v>
      </c>
      <c r="AC107" s="59" t="s">
        <v>10</v>
      </c>
      <c r="AD107" s="138">
        <v>1357</v>
      </c>
      <c r="AE107" s="140">
        <v>3.7178082191780821</v>
      </c>
      <c r="AF107" s="56" t="s">
        <v>436</v>
      </c>
      <c r="AG107" s="141" t="s">
        <v>1</v>
      </c>
      <c r="AH107" s="141" t="s">
        <v>1</v>
      </c>
      <c r="AI107" s="142" t="s">
        <v>0</v>
      </c>
      <c r="AJ107" s="11" t="s">
        <v>0</v>
      </c>
      <c r="AK107" s="144" t="s">
        <v>1</v>
      </c>
      <c r="AL107" s="132" t="s">
        <v>510</v>
      </c>
      <c r="AM107" s="143"/>
      <c r="AN107" s="52"/>
      <c r="AO107" s="197" t="s">
        <v>162</v>
      </c>
      <c r="AP107" s="198" t="s">
        <v>102</v>
      </c>
      <c r="AQ107" s="201"/>
      <c r="AR107" s="143"/>
      <c r="AS107" s="208">
        <v>0</v>
      </c>
      <c r="AT107" s="208">
        <v>3216.2958992227282</v>
      </c>
      <c r="AU107" s="208">
        <v>643.25917984454566</v>
      </c>
      <c r="AV107" s="208"/>
      <c r="AW107" s="208">
        <v>0</v>
      </c>
      <c r="AX107" s="199">
        <v>0</v>
      </c>
      <c r="AY107" s="143"/>
    </row>
    <row r="108" spans="1:51" ht="39.950000000000003" hidden="1" customHeight="1" x14ac:dyDescent="0.2">
      <c r="A108" s="132" t="s">
        <v>513</v>
      </c>
      <c r="B108" s="132" t="s">
        <v>51</v>
      </c>
      <c r="C108" s="133" t="s">
        <v>88</v>
      </c>
      <c r="D108" s="13" t="s">
        <v>542</v>
      </c>
      <c r="E108" s="145" t="s">
        <v>88</v>
      </c>
      <c r="F108" s="66" t="s">
        <v>106</v>
      </c>
      <c r="G108" s="131" t="s">
        <v>106</v>
      </c>
      <c r="H108" s="66" t="s">
        <v>107</v>
      </c>
      <c r="I108" s="133" t="s">
        <v>61</v>
      </c>
      <c r="J108" s="133" t="s">
        <v>220</v>
      </c>
      <c r="K108" s="14" t="s">
        <v>101</v>
      </c>
      <c r="L108" s="134" t="s">
        <v>191</v>
      </c>
      <c r="M108" s="134" t="s">
        <v>59</v>
      </c>
      <c r="N108" s="132" t="s">
        <v>43</v>
      </c>
      <c r="O108" s="132" t="s">
        <v>533</v>
      </c>
      <c r="P108" s="13" t="s">
        <v>548</v>
      </c>
      <c r="Q108" s="135" t="s">
        <v>59</v>
      </c>
      <c r="R108" s="136">
        <v>4745.5589477513959</v>
      </c>
      <c r="S108" s="73">
        <v>3000</v>
      </c>
      <c r="T108" s="136">
        <v>4745.5589477513959</v>
      </c>
      <c r="U108" s="136">
        <v>31637.059651675972</v>
      </c>
      <c r="V108" s="136">
        <v>115993</v>
      </c>
      <c r="W108" s="61" t="s">
        <v>11</v>
      </c>
      <c r="X108" s="181">
        <v>0.01</v>
      </c>
      <c r="Y108" s="137">
        <v>44159</v>
      </c>
      <c r="Z108" s="137">
        <v>45792</v>
      </c>
      <c r="AA108" s="137">
        <v>45792</v>
      </c>
      <c r="AB108" s="138">
        <v>1634</v>
      </c>
      <c r="AC108" s="139" t="s">
        <v>10</v>
      </c>
      <c r="AD108" s="138">
        <v>1415</v>
      </c>
      <c r="AE108" s="140">
        <v>3.8767123287671232</v>
      </c>
      <c r="AF108" s="56"/>
      <c r="AG108" s="141" t="s">
        <v>1</v>
      </c>
      <c r="AH108" s="141" t="s">
        <v>1</v>
      </c>
      <c r="AI108" s="187" t="s">
        <v>0</v>
      </c>
      <c r="AJ108" s="11" t="s">
        <v>0</v>
      </c>
      <c r="AK108" s="144" t="s">
        <v>1</v>
      </c>
      <c r="AL108" s="132" t="s">
        <v>514</v>
      </c>
      <c r="AM108" s="143"/>
      <c r="AN108" s="52"/>
      <c r="AO108" s="197" t="s">
        <v>88</v>
      </c>
      <c r="AP108" s="198" t="s">
        <v>106</v>
      </c>
      <c r="AQ108" s="201"/>
      <c r="AR108" s="143"/>
      <c r="AS108" s="208">
        <v>0</v>
      </c>
      <c r="AT108" s="208">
        <v>569.4670737301675</v>
      </c>
      <c r="AU108" s="208" t="b">
        <v>0</v>
      </c>
      <c r="AV108" s="208"/>
      <c r="AW108" s="208">
        <v>0</v>
      </c>
      <c r="AX108" s="199">
        <v>0</v>
      </c>
      <c r="AY108" s="143"/>
    </row>
    <row r="109" spans="1:51" ht="39.950000000000003" hidden="1" customHeight="1" x14ac:dyDescent="0.2">
      <c r="A109" s="132" t="s">
        <v>515</v>
      </c>
      <c r="B109" s="132" t="s">
        <v>24</v>
      </c>
      <c r="C109" s="133" t="s">
        <v>38</v>
      </c>
      <c r="D109" s="13" t="s">
        <v>541</v>
      </c>
      <c r="E109" s="145" t="s">
        <v>35</v>
      </c>
      <c r="F109" s="14" t="s">
        <v>159</v>
      </c>
      <c r="G109" s="131" t="s">
        <v>259</v>
      </c>
      <c r="H109" s="130" t="s">
        <v>258</v>
      </c>
      <c r="I109" s="10" t="s">
        <v>142</v>
      </c>
      <c r="J109" s="133" t="s">
        <v>218</v>
      </c>
      <c r="K109" s="65" t="s">
        <v>29</v>
      </c>
      <c r="L109" s="134" t="s">
        <v>191</v>
      </c>
      <c r="M109" s="134" t="s">
        <v>323</v>
      </c>
      <c r="N109" s="132" t="s">
        <v>43</v>
      </c>
      <c r="O109" s="132" t="s">
        <v>538</v>
      </c>
      <c r="P109" s="132" t="s">
        <v>534</v>
      </c>
      <c r="Q109" s="135" t="s">
        <v>9</v>
      </c>
      <c r="R109" s="136">
        <v>20101.849370142052</v>
      </c>
      <c r="S109" s="73">
        <v>15000</v>
      </c>
      <c r="T109" s="136">
        <v>20101.849370142052</v>
      </c>
      <c r="U109" s="136">
        <v>40203.698740284104</v>
      </c>
      <c r="V109" s="136">
        <v>2102.4015009380864</v>
      </c>
      <c r="W109" s="61" t="s">
        <v>11</v>
      </c>
      <c r="X109" s="181">
        <v>4.4999999999999998E-2</v>
      </c>
      <c r="Y109" s="137">
        <v>44165</v>
      </c>
      <c r="Z109" s="137">
        <v>45922</v>
      </c>
      <c r="AA109" s="137">
        <v>45922</v>
      </c>
      <c r="AB109" s="159">
        <v>1758</v>
      </c>
      <c r="AC109" s="139" t="s">
        <v>10</v>
      </c>
      <c r="AD109" s="138">
        <v>1545</v>
      </c>
      <c r="AE109" s="140">
        <v>4.2328767123287667</v>
      </c>
      <c r="AF109" s="56"/>
      <c r="AG109" s="141" t="s">
        <v>1</v>
      </c>
      <c r="AH109" s="141" t="s">
        <v>1</v>
      </c>
      <c r="AI109" s="142" t="s">
        <v>517</v>
      </c>
      <c r="AJ109" s="11" t="s">
        <v>0</v>
      </c>
      <c r="AK109" s="144" t="s">
        <v>1</v>
      </c>
      <c r="AL109" s="132" t="s">
        <v>516</v>
      </c>
      <c r="AM109" s="143"/>
      <c r="AN109" s="52"/>
      <c r="AO109" s="197" t="s">
        <v>35</v>
      </c>
      <c r="AP109" s="198" t="s">
        <v>159</v>
      </c>
      <c r="AQ109" s="201"/>
      <c r="AR109" s="143"/>
      <c r="AS109" s="208">
        <v>0</v>
      </c>
      <c r="AT109" s="208">
        <v>2412.221924417046</v>
      </c>
      <c r="AU109" s="208" t="b">
        <v>0</v>
      </c>
      <c r="AV109" s="208"/>
      <c r="AW109" s="208">
        <v>0</v>
      </c>
      <c r="AX109" s="199">
        <v>0</v>
      </c>
      <c r="AY109" s="143"/>
    </row>
    <row r="110" spans="1:51" ht="39.950000000000003" hidden="1" customHeight="1" x14ac:dyDescent="0.2">
      <c r="A110" s="132" t="s">
        <v>524</v>
      </c>
      <c r="B110" s="132" t="s">
        <v>24</v>
      </c>
      <c r="C110" s="133" t="s">
        <v>37</v>
      </c>
      <c r="D110" s="13" t="s">
        <v>541</v>
      </c>
      <c r="E110" s="145" t="s">
        <v>152</v>
      </c>
      <c r="F110" s="14" t="s">
        <v>102</v>
      </c>
      <c r="G110" s="14" t="s">
        <v>102</v>
      </c>
      <c r="H110" s="130" t="s">
        <v>473</v>
      </c>
      <c r="I110" s="146" t="s">
        <v>526</v>
      </c>
      <c r="J110" s="133" t="s">
        <v>221</v>
      </c>
      <c r="K110" s="14" t="s">
        <v>101</v>
      </c>
      <c r="L110" s="134" t="s">
        <v>191</v>
      </c>
      <c r="M110" s="134" t="s">
        <v>323</v>
      </c>
      <c r="N110" s="132" t="s">
        <v>43</v>
      </c>
      <c r="O110" s="132" t="s">
        <v>533</v>
      </c>
      <c r="P110" s="132" t="s">
        <v>534</v>
      </c>
      <c r="Q110" s="135" t="s">
        <v>488</v>
      </c>
      <c r="R110" s="136">
        <v>31595.960577963033</v>
      </c>
      <c r="S110" s="73">
        <v>2600000</v>
      </c>
      <c r="T110" s="136">
        <v>31595.960577963033</v>
      </c>
      <c r="U110" s="136">
        <v>85066.047709900478</v>
      </c>
      <c r="V110" s="136">
        <v>668514.47945654951</v>
      </c>
      <c r="W110" s="147" t="s">
        <v>11</v>
      </c>
      <c r="X110" s="181">
        <v>0.01</v>
      </c>
      <c r="Y110" s="137">
        <v>44166</v>
      </c>
      <c r="Z110" s="137">
        <v>45504</v>
      </c>
      <c r="AA110" s="137">
        <v>45504</v>
      </c>
      <c r="AB110" s="138">
        <v>1339</v>
      </c>
      <c r="AC110" s="139" t="s">
        <v>10</v>
      </c>
      <c r="AD110" s="138">
        <v>1127</v>
      </c>
      <c r="AE110" s="140">
        <v>3.0876712328767124</v>
      </c>
      <c r="AF110" s="56" t="s">
        <v>436</v>
      </c>
      <c r="AG110" s="141" t="s">
        <v>1</v>
      </c>
      <c r="AH110" s="141" t="s">
        <v>1</v>
      </c>
      <c r="AI110" s="187" t="s">
        <v>0</v>
      </c>
      <c r="AJ110" s="11" t="s">
        <v>0</v>
      </c>
      <c r="AK110" s="164" t="s">
        <v>563</v>
      </c>
      <c r="AL110" s="132" t="s">
        <v>525</v>
      </c>
      <c r="AM110" s="143"/>
      <c r="AN110" s="52"/>
      <c r="AO110" s="197" t="s">
        <v>152</v>
      </c>
      <c r="AP110" s="198" t="s">
        <v>102</v>
      </c>
      <c r="AQ110" s="201"/>
      <c r="AR110" s="143"/>
      <c r="AS110" s="208">
        <v>0</v>
      </c>
      <c r="AT110" s="208">
        <v>3791.5152693555638</v>
      </c>
      <c r="AU110" s="208">
        <v>758.30305387111275</v>
      </c>
      <c r="AV110" s="208"/>
      <c r="AW110" s="208">
        <v>0</v>
      </c>
      <c r="AX110" s="199">
        <v>0</v>
      </c>
      <c r="AY110" s="143"/>
    </row>
    <row r="111" spans="1:51" ht="39.950000000000003" hidden="1" customHeight="1" x14ac:dyDescent="0.2">
      <c r="A111" s="131" t="s">
        <v>155</v>
      </c>
      <c r="B111" s="132" t="s">
        <v>51</v>
      </c>
      <c r="C111" s="133" t="s">
        <v>87</v>
      </c>
      <c r="D111" s="13" t="s">
        <v>542</v>
      </c>
      <c r="E111" s="145" t="s">
        <v>87</v>
      </c>
      <c r="F111" s="14" t="s">
        <v>102</v>
      </c>
      <c r="G111" s="131" t="s">
        <v>102</v>
      </c>
      <c r="H111" s="130" t="s">
        <v>122</v>
      </c>
      <c r="I111" s="133" t="s">
        <v>154</v>
      </c>
      <c r="J111" s="133" t="s">
        <v>220</v>
      </c>
      <c r="K111" s="66" t="s">
        <v>101</v>
      </c>
      <c r="L111" s="134" t="s">
        <v>191</v>
      </c>
      <c r="M111" s="134" t="s">
        <v>59</v>
      </c>
      <c r="N111" s="132" t="s">
        <v>43</v>
      </c>
      <c r="O111" s="132" t="s">
        <v>533</v>
      </c>
      <c r="P111" s="132" t="s">
        <v>534</v>
      </c>
      <c r="Q111" s="135" t="s">
        <v>156</v>
      </c>
      <c r="R111" s="136">
        <v>9238.3873471046882</v>
      </c>
      <c r="S111" s="73">
        <v>5000</v>
      </c>
      <c r="T111" s="136">
        <v>9238.3873471046882</v>
      </c>
      <c r="U111" s="136">
        <v>166290.97224788441</v>
      </c>
      <c r="V111" s="136">
        <v>362828.42467018956</v>
      </c>
      <c r="W111" s="147" t="s">
        <v>11</v>
      </c>
      <c r="X111" s="181">
        <v>1.7999999999999999E-2</v>
      </c>
      <c r="Y111" s="137">
        <v>44211</v>
      </c>
      <c r="Z111" s="137">
        <v>46029</v>
      </c>
      <c r="AA111" s="137">
        <v>46029</v>
      </c>
      <c r="AB111" s="138">
        <v>1819</v>
      </c>
      <c r="AC111" s="172" t="s">
        <v>10</v>
      </c>
      <c r="AD111" s="138">
        <v>1652</v>
      </c>
      <c r="AE111" s="140">
        <v>4.5260273972602736</v>
      </c>
      <c r="AF111" s="56"/>
      <c r="AG111" s="162" t="s">
        <v>1</v>
      </c>
      <c r="AH111" s="162" t="s">
        <v>1</v>
      </c>
      <c r="AI111" s="187" t="s">
        <v>0</v>
      </c>
      <c r="AJ111" s="11" t="s">
        <v>0</v>
      </c>
      <c r="AK111" s="164" t="s">
        <v>1</v>
      </c>
      <c r="AL111" s="131" t="s">
        <v>348</v>
      </c>
      <c r="AM111" s="143">
        <v>6807.5</v>
      </c>
      <c r="AN111" s="143"/>
      <c r="AO111" s="197" t="s">
        <v>87</v>
      </c>
      <c r="AP111" s="198" t="s">
        <v>102</v>
      </c>
      <c r="AQ111" s="143"/>
      <c r="AR111" s="143"/>
      <c r="AS111" s="208">
        <v>0</v>
      </c>
      <c r="AT111" s="208">
        <v>1108.6064816525625</v>
      </c>
      <c r="AU111" s="208" t="b">
        <v>0</v>
      </c>
      <c r="AV111" s="208"/>
      <c r="AW111" s="208">
        <v>0</v>
      </c>
      <c r="AX111" s="199">
        <v>0</v>
      </c>
      <c r="AY111" s="143"/>
    </row>
    <row r="112" spans="1:51" ht="39.950000000000003" hidden="1" customHeight="1" x14ac:dyDescent="0.2">
      <c r="A112" s="132" t="s">
        <v>528</v>
      </c>
      <c r="B112" s="132" t="s">
        <v>24</v>
      </c>
      <c r="C112" s="133" t="s">
        <v>34</v>
      </c>
      <c r="D112" s="131" t="s">
        <v>34</v>
      </c>
      <c r="E112" s="161" t="s">
        <v>34</v>
      </c>
      <c r="F112" s="14" t="s">
        <v>102</v>
      </c>
      <c r="G112" s="14" t="s">
        <v>102</v>
      </c>
      <c r="H112" s="66" t="s">
        <v>103</v>
      </c>
      <c r="I112" s="66" t="s">
        <v>70</v>
      </c>
      <c r="J112" s="66" t="s">
        <v>218</v>
      </c>
      <c r="K112" s="13" t="s">
        <v>101</v>
      </c>
      <c r="L112" s="65" t="s">
        <v>191</v>
      </c>
      <c r="M112" s="65" t="s">
        <v>323</v>
      </c>
      <c r="N112" s="13" t="s">
        <v>43</v>
      </c>
      <c r="O112" s="13" t="s">
        <v>533</v>
      </c>
      <c r="P112" s="13" t="s">
        <v>534</v>
      </c>
      <c r="Q112" s="64" t="s">
        <v>8</v>
      </c>
      <c r="R112" s="136">
        <v>30000</v>
      </c>
      <c r="S112" s="73">
        <v>30000</v>
      </c>
      <c r="T112" s="136">
        <v>30000</v>
      </c>
      <c r="U112" s="136">
        <v>319000</v>
      </c>
      <c r="V112" s="136">
        <v>1021098</v>
      </c>
      <c r="W112" s="61" t="s">
        <v>11</v>
      </c>
      <c r="X112" s="181">
        <v>3.15E-2</v>
      </c>
      <c r="Y112" s="137">
        <v>44218</v>
      </c>
      <c r="Z112" s="137">
        <v>44962</v>
      </c>
      <c r="AA112" s="137">
        <v>44962</v>
      </c>
      <c r="AB112" s="58">
        <v>745</v>
      </c>
      <c r="AC112" s="59" t="s">
        <v>10</v>
      </c>
      <c r="AD112" s="138">
        <v>585</v>
      </c>
      <c r="AE112" s="140">
        <v>1.6027397260273972</v>
      </c>
      <c r="AF112" s="56" t="s">
        <v>436</v>
      </c>
      <c r="AG112" s="141" t="s">
        <v>1</v>
      </c>
      <c r="AH112" s="141" t="s">
        <v>1</v>
      </c>
      <c r="AI112" s="142" t="s">
        <v>530</v>
      </c>
      <c r="AJ112" s="11" t="s">
        <v>0</v>
      </c>
      <c r="AK112" s="164" t="s">
        <v>1</v>
      </c>
      <c r="AL112" s="132" t="s">
        <v>529</v>
      </c>
      <c r="AM112" s="143"/>
      <c r="AN112" s="52"/>
      <c r="AO112" s="197" t="s">
        <v>34</v>
      </c>
      <c r="AP112" s="198" t="s">
        <v>102</v>
      </c>
      <c r="AQ112" s="201"/>
      <c r="AR112" s="143"/>
      <c r="AS112" s="208">
        <v>0</v>
      </c>
      <c r="AT112" s="208">
        <v>3600</v>
      </c>
      <c r="AU112" s="208">
        <v>720</v>
      </c>
      <c r="AV112" s="208"/>
      <c r="AW112" s="208">
        <v>0</v>
      </c>
      <c r="AX112" s="199">
        <v>0</v>
      </c>
      <c r="AY112" s="143"/>
    </row>
    <row r="113" spans="1:51" ht="39.950000000000003" hidden="1" customHeight="1" x14ac:dyDescent="0.2">
      <c r="A113" s="131" t="s">
        <v>554</v>
      </c>
      <c r="B113" s="132" t="s">
        <v>51</v>
      </c>
      <c r="C113" s="133" t="s">
        <v>88</v>
      </c>
      <c r="D113" s="13" t="s">
        <v>542</v>
      </c>
      <c r="E113" s="133" t="s">
        <v>88</v>
      </c>
      <c r="F113" s="14" t="s">
        <v>102</v>
      </c>
      <c r="G113" s="131" t="s">
        <v>102</v>
      </c>
      <c r="H113" s="66" t="s">
        <v>474</v>
      </c>
      <c r="I113" s="133" t="s">
        <v>555</v>
      </c>
      <c r="J113" s="133" t="s">
        <v>220</v>
      </c>
      <c r="K113" s="14" t="s">
        <v>101</v>
      </c>
      <c r="L113" s="134" t="s">
        <v>191</v>
      </c>
      <c r="M113" s="134" t="s">
        <v>59</v>
      </c>
      <c r="N113" s="132" t="s">
        <v>43</v>
      </c>
      <c r="O113" s="132" t="s">
        <v>533</v>
      </c>
      <c r="P113" s="167" t="s">
        <v>548</v>
      </c>
      <c r="Q113" s="135" t="s">
        <v>59</v>
      </c>
      <c r="R113" s="136">
        <v>15818.529825837986</v>
      </c>
      <c r="S113" s="73">
        <v>10000</v>
      </c>
      <c r="T113" s="136">
        <v>15818.529825837986</v>
      </c>
      <c r="U113" s="136">
        <v>25000</v>
      </c>
      <c r="V113" s="136">
        <v>418657.16500308464</v>
      </c>
      <c r="W113" s="147" t="s">
        <v>11</v>
      </c>
      <c r="X113" s="181">
        <v>1.35E-2</v>
      </c>
      <c r="Y113" s="137">
        <v>44225</v>
      </c>
      <c r="Z113" s="137">
        <v>45337</v>
      </c>
      <c r="AA113" s="137">
        <v>45337</v>
      </c>
      <c r="AB113" s="138">
        <v>1113</v>
      </c>
      <c r="AC113" s="139" t="s">
        <v>10</v>
      </c>
      <c r="AD113" s="138">
        <v>960</v>
      </c>
      <c r="AE113" s="140">
        <v>2.6301369863013697</v>
      </c>
      <c r="AF113" s="56"/>
      <c r="AG113" s="162" t="s">
        <v>1</v>
      </c>
      <c r="AH113" s="162" t="s">
        <v>1</v>
      </c>
      <c r="AI113" s="187" t="s">
        <v>0</v>
      </c>
      <c r="AJ113" s="11" t="s">
        <v>0</v>
      </c>
      <c r="AK113" s="164" t="s">
        <v>1</v>
      </c>
      <c r="AL113" s="131" t="s">
        <v>556</v>
      </c>
      <c r="AM113" s="143"/>
      <c r="AN113" s="143"/>
      <c r="AO113" s="197" t="s">
        <v>88</v>
      </c>
      <c r="AP113" s="198" t="s">
        <v>102</v>
      </c>
      <c r="AQ113" s="143"/>
      <c r="AR113" s="143"/>
      <c r="AS113" s="208">
        <v>0</v>
      </c>
      <c r="AT113" s="208">
        <v>1898.2235791005583</v>
      </c>
      <c r="AU113" s="208" t="b">
        <v>0</v>
      </c>
      <c r="AV113" s="208"/>
      <c r="AW113" s="208">
        <v>0</v>
      </c>
      <c r="AX113" s="199">
        <v>0</v>
      </c>
      <c r="AY113" s="143"/>
    </row>
    <row r="114" spans="1:51" ht="39.950000000000003" hidden="1" customHeight="1" x14ac:dyDescent="0.2">
      <c r="A114" s="131" t="s">
        <v>557</v>
      </c>
      <c r="B114" s="132" t="s">
        <v>51</v>
      </c>
      <c r="C114" s="133" t="s">
        <v>89</v>
      </c>
      <c r="D114" s="13" t="s">
        <v>542</v>
      </c>
      <c r="E114" s="161" t="s">
        <v>89</v>
      </c>
      <c r="F114" s="131" t="s">
        <v>547</v>
      </c>
      <c r="G114" s="131" t="s">
        <v>124</v>
      </c>
      <c r="H114" s="130" t="s">
        <v>123</v>
      </c>
      <c r="I114" s="133" t="s">
        <v>220</v>
      </c>
      <c r="J114" s="133" t="s">
        <v>220</v>
      </c>
      <c r="K114" s="14" t="s">
        <v>29</v>
      </c>
      <c r="L114" s="134" t="s">
        <v>191</v>
      </c>
      <c r="M114" s="134" t="s">
        <v>59</v>
      </c>
      <c r="N114" s="132" t="s">
        <v>43</v>
      </c>
      <c r="O114" s="167" t="s">
        <v>538</v>
      </c>
      <c r="P114" s="167" t="s">
        <v>534</v>
      </c>
      <c r="Q114" s="135" t="s">
        <v>59</v>
      </c>
      <c r="R114" s="136">
        <v>15818.529825837986</v>
      </c>
      <c r="S114" s="73">
        <v>10000</v>
      </c>
      <c r="T114" s="136">
        <v>15818.529825837986</v>
      </c>
      <c r="U114" s="136">
        <v>166094.56317129885</v>
      </c>
      <c r="V114" s="136">
        <v>305746.87188572693</v>
      </c>
      <c r="W114" s="147" t="s">
        <v>11</v>
      </c>
      <c r="X114" s="181">
        <v>1.2999999999999999E-2</v>
      </c>
      <c r="Y114" s="137">
        <v>44236</v>
      </c>
      <c r="Z114" s="137">
        <v>45322</v>
      </c>
      <c r="AA114" s="137">
        <v>45322</v>
      </c>
      <c r="AB114" s="138">
        <v>1087</v>
      </c>
      <c r="AC114" s="139" t="s">
        <v>10</v>
      </c>
      <c r="AD114" s="138">
        <v>945</v>
      </c>
      <c r="AE114" s="140">
        <v>2.5890410958904111</v>
      </c>
      <c r="AF114" s="56"/>
      <c r="AG114" s="162" t="s">
        <v>1</v>
      </c>
      <c r="AH114" s="162" t="s">
        <v>1</v>
      </c>
      <c r="AI114" s="187" t="s">
        <v>0</v>
      </c>
      <c r="AJ114" s="11" t="s">
        <v>0</v>
      </c>
      <c r="AK114" s="164" t="s">
        <v>1</v>
      </c>
      <c r="AL114" s="131" t="s">
        <v>558</v>
      </c>
      <c r="AM114" s="143"/>
      <c r="AN114" s="143"/>
      <c r="AO114" s="197" t="s">
        <v>89</v>
      </c>
      <c r="AP114" s="198" t="s">
        <v>547</v>
      </c>
      <c r="AQ114" s="143"/>
      <c r="AR114" s="143"/>
      <c r="AS114" s="208">
        <v>0</v>
      </c>
      <c r="AT114" s="208">
        <v>1898.2235791005583</v>
      </c>
      <c r="AU114" s="208" t="b">
        <v>0</v>
      </c>
      <c r="AV114" s="208"/>
      <c r="AW114" s="208">
        <v>0</v>
      </c>
      <c r="AX114" s="199">
        <v>0</v>
      </c>
      <c r="AY114" s="143"/>
    </row>
    <row r="115" spans="1:51" ht="39.950000000000003" hidden="1" customHeight="1" x14ac:dyDescent="0.2">
      <c r="A115" s="131" t="s">
        <v>559</v>
      </c>
      <c r="B115" s="132" t="s">
        <v>243</v>
      </c>
      <c r="C115" s="133" t="s">
        <v>560</v>
      </c>
      <c r="D115" s="131" t="s">
        <v>499</v>
      </c>
      <c r="E115" s="161" t="s">
        <v>162</v>
      </c>
      <c r="F115" s="131" t="s">
        <v>48</v>
      </c>
      <c r="G115" s="131" t="s">
        <v>120</v>
      </c>
      <c r="H115" s="66" t="s">
        <v>121</v>
      </c>
      <c r="I115" s="133" t="s">
        <v>561</v>
      </c>
      <c r="J115" s="133" t="s">
        <v>220</v>
      </c>
      <c r="K115" s="14" t="s">
        <v>29</v>
      </c>
      <c r="L115" s="134" t="s">
        <v>191</v>
      </c>
      <c r="M115" s="134" t="s">
        <v>59</v>
      </c>
      <c r="N115" s="132" t="s">
        <v>43</v>
      </c>
      <c r="O115" s="167" t="s">
        <v>533</v>
      </c>
      <c r="P115" s="167" t="s">
        <v>534</v>
      </c>
      <c r="Q115" s="135" t="s">
        <v>9</v>
      </c>
      <c r="R115" s="136">
        <v>13401.232913428035</v>
      </c>
      <c r="S115" s="73">
        <v>9875</v>
      </c>
      <c r="T115" s="136">
        <v>13233.717502010186</v>
      </c>
      <c r="U115" s="136">
        <v>81747.520771911019</v>
      </c>
      <c r="V115" s="136">
        <v>1415008.1479496115</v>
      </c>
      <c r="W115" s="147" t="s">
        <v>11</v>
      </c>
      <c r="X115" s="181">
        <v>3.8100000000000002E-2</v>
      </c>
      <c r="Y115" s="137">
        <v>44246</v>
      </c>
      <c r="Z115" s="137">
        <v>46079</v>
      </c>
      <c r="AA115" s="137">
        <v>46079</v>
      </c>
      <c r="AB115" s="138">
        <v>1834</v>
      </c>
      <c r="AC115" s="139" t="s">
        <v>10</v>
      </c>
      <c r="AD115" s="138">
        <v>1702</v>
      </c>
      <c r="AE115" s="140">
        <v>4.6630136986301371</v>
      </c>
      <c r="AF115" s="56"/>
      <c r="AG115" s="162" t="s">
        <v>1</v>
      </c>
      <c r="AH115" s="162" t="s">
        <v>1</v>
      </c>
      <c r="AI115" s="163" t="s">
        <v>610</v>
      </c>
      <c r="AJ115" s="11" t="s">
        <v>0</v>
      </c>
      <c r="AK115" s="164" t="s">
        <v>1</v>
      </c>
      <c r="AL115" s="131" t="s">
        <v>562</v>
      </c>
      <c r="AM115" s="143"/>
      <c r="AN115" s="143"/>
      <c r="AO115" s="197" t="s">
        <v>162</v>
      </c>
      <c r="AP115" s="198" t="s">
        <v>48</v>
      </c>
      <c r="AQ115" s="143"/>
      <c r="AR115" s="143"/>
      <c r="AS115" s="208">
        <v>0</v>
      </c>
      <c r="AT115" s="208">
        <v>1588.0461002412223</v>
      </c>
      <c r="AU115" s="208" t="b">
        <v>0</v>
      </c>
      <c r="AV115" s="208"/>
      <c r="AW115" s="208">
        <v>0</v>
      </c>
      <c r="AX115" s="199">
        <v>0</v>
      </c>
      <c r="AY115" s="143"/>
    </row>
    <row r="116" spans="1:51" ht="39.950000000000003" hidden="1" customHeight="1" x14ac:dyDescent="0.2">
      <c r="A116" s="131" t="s">
        <v>564</v>
      </c>
      <c r="B116" s="132" t="s">
        <v>23</v>
      </c>
      <c r="C116" s="133" t="s">
        <v>88</v>
      </c>
      <c r="D116" s="131" t="s">
        <v>542</v>
      </c>
      <c r="E116" s="161" t="s">
        <v>193</v>
      </c>
      <c r="F116" s="131" t="s">
        <v>92</v>
      </c>
      <c r="G116" s="131" t="s">
        <v>134</v>
      </c>
      <c r="H116" s="66" t="s">
        <v>134</v>
      </c>
      <c r="I116" s="133" t="s">
        <v>61</v>
      </c>
      <c r="J116" s="133" t="s">
        <v>220</v>
      </c>
      <c r="K116" s="14" t="s">
        <v>68</v>
      </c>
      <c r="L116" s="134" t="s">
        <v>191</v>
      </c>
      <c r="M116" s="134" t="s">
        <v>59</v>
      </c>
      <c r="N116" s="132" t="s">
        <v>43</v>
      </c>
      <c r="O116" s="167" t="s">
        <v>538</v>
      </c>
      <c r="P116" s="167" t="s">
        <v>534</v>
      </c>
      <c r="Q116" s="135" t="s">
        <v>9</v>
      </c>
      <c r="R116" s="136">
        <v>13401.232913428035</v>
      </c>
      <c r="S116" s="73">
        <v>10000</v>
      </c>
      <c r="T116" s="136">
        <v>13401.232913428035</v>
      </c>
      <c r="U116" s="136">
        <v>67006.164567140178</v>
      </c>
      <c r="V116" s="136">
        <v>520191.75824175827</v>
      </c>
      <c r="W116" s="147" t="s">
        <v>11</v>
      </c>
      <c r="X116" s="181">
        <v>4.4999999999999998E-2</v>
      </c>
      <c r="Y116" s="137">
        <v>44264</v>
      </c>
      <c r="Z116" s="137">
        <v>45213</v>
      </c>
      <c r="AA116" s="137">
        <v>45213</v>
      </c>
      <c r="AB116" s="138">
        <v>950</v>
      </c>
      <c r="AC116" s="139" t="s">
        <v>10</v>
      </c>
      <c r="AD116" s="138">
        <v>836</v>
      </c>
      <c r="AE116" s="140">
        <v>2.2904109589041095</v>
      </c>
      <c r="AF116" s="56"/>
      <c r="AG116" s="162" t="s">
        <v>1</v>
      </c>
      <c r="AH116" s="162" t="s">
        <v>1</v>
      </c>
      <c r="AI116" s="187" t="s">
        <v>0</v>
      </c>
      <c r="AJ116" s="11" t="s">
        <v>0</v>
      </c>
      <c r="AK116" s="164" t="s">
        <v>563</v>
      </c>
      <c r="AL116" s="131" t="s">
        <v>565</v>
      </c>
      <c r="AM116" s="143"/>
      <c r="AN116" s="143"/>
      <c r="AO116" s="197" t="s">
        <v>193</v>
      </c>
      <c r="AP116" s="198" t="s">
        <v>92</v>
      </c>
      <c r="AQ116" s="143"/>
      <c r="AR116" s="143"/>
      <c r="AS116" s="208">
        <v>0</v>
      </c>
      <c r="AT116" s="208">
        <v>1608.1479496113641</v>
      </c>
      <c r="AU116" s="208" t="b">
        <v>0</v>
      </c>
      <c r="AV116" s="208"/>
      <c r="AW116" s="208">
        <v>0</v>
      </c>
      <c r="AX116" s="199">
        <v>0</v>
      </c>
      <c r="AY116" s="143"/>
    </row>
    <row r="117" spans="1:51" ht="39.950000000000003" hidden="1" customHeight="1" x14ac:dyDescent="0.2">
      <c r="A117" s="131" t="s">
        <v>566</v>
      </c>
      <c r="B117" s="132" t="s">
        <v>23</v>
      </c>
      <c r="C117" s="133" t="s">
        <v>88</v>
      </c>
      <c r="D117" s="131" t="s">
        <v>542</v>
      </c>
      <c r="E117" s="161" t="s">
        <v>166</v>
      </c>
      <c r="F117" s="131" t="s">
        <v>92</v>
      </c>
      <c r="G117" s="131" t="s">
        <v>134</v>
      </c>
      <c r="H117" s="66" t="s">
        <v>134</v>
      </c>
      <c r="I117" s="133" t="s">
        <v>61</v>
      </c>
      <c r="J117" s="133" t="s">
        <v>220</v>
      </c>
      <c r="K117" s="14" t="s">
        <v>68</v>
      </c>
      <c r="L117" s="134" t="s">
        <v>191</v>
      </c>
      <c r="M117" s="134" t="s">
        <v>59</v>
      </c>
      <c r="N117" s="132" t="s">
        <v>43</v>
      </c>
      <c r="O117" s="167" t="s">
        <v>538</v>
      </c>
      <c r="P117" s="167" t="s">
        <v>548</v>
      </c>
      <c r="Q117" s="135" t="s">
        <v>9</v>
      </c>
      <c r="R117" s="136">
        <v>6700.6164567140177</v>
      </c>
      <c r="S117" s="73">
        <v>5000</v>
      </c>
      <c r="T117" s="136">
        <v>6700.6164567140177</v>
      </c>
      <c r="U117" s="136">
        <v>67006.164567140178</v>
      </c>
      <c r="V117" s="136">
        <v>155859.04583221657</v>
      </c>
      <c r="W117" s="147" t="s">
        <v>11</v>
      </c>
      <c r="X117" s="181">
        <v>3.4000000000000002E-2</v>
      </c>
      <c r="Y117" s="137">
        <v>44274</v>
      </c>
      <c r="Z117" s="137">
        <v>45016</v>
      </c>
      <c r="AA117" s="174">
        <v>45016</v>
      </c>
      <c r="AB117" s="175">
        <v>743</v>
      </c>
      <c r="AC117" s="176" t="s">
        <v>10</v>
      </c>
      <c r="AD117" s="175">
        <v>639</v>
      </c>
      <c r="AE117" s="177">
        <v>1.7506849315068493</v>
      </c>
      <c r="AF117" s="173"/>
      <c r="AG117" s="178" t="s">
        <v>1</v>
      </c>
      <c r="AH117" s="178" t="s">
        <v>1</v>
      </c>
      <c r="AI117" s="187" t="s">
        <v>0</v>
      </c>
      <c r="AJ117" s="180" t="s">
        <v>0</v>
      </c>
      <c r="AK117" s="164" t="s">
        <v>563</v>
      </c>
      <c r="AL117" s="168" t="s">
        <v>567</v>
      </c>
      <c r="AM117" s="143">
        <v>6000</v>
      </c>
      <c r="AN117" s="143"/>
      <c r="AO117" s="197" t="s">
        <v>166</v>
      </c>
      <c r="AP117" s="198" t="s">
        <v>92</v>
      </c>
      <c r="AQ117" s="143"/>
      <c r="AR117" s="143"/>
      <c r="AS117" s="208">
        <v>0</v>
      </c>
      <c r="AT117" s="208">
        <v>804.07397480568204</v>
      </c>
      <c r="AU117" s="208" t="b">
        <v>0</v>
      </c>
      <c r="AV117" s="208"/>
      <c r="AW117" s="208">
        <v>0</v>
      </c>
      <c r="AX117" s="199">
        <v>0</v>
      </c>
      <c r="AY117" s="143"/>
    </row>
    <row r="118" spans="1:51" ht="39.950000000000003" hidden="1" customHeight="1" x14ac:dyDescent="0.2">
      <c r="A118" s="131" t="s">
        <v>575</v>
      </c>
      <c r="B118" s="132" t="s">
        <v>23</v>
      </c>
      <c r="C118" s="133" t="s">
        <v>37</v>
      </c>
      <c r="D118" s="131" t="s">
        <v>540</v>
      </c>
      <c r="E118" s="161" t="s">
        <v>36</v>
      </c>
      <c r="F118" s="131" t="s">
        <v>104</v>
      </c>
      <c r="G118" s="131" t="s">
        <v>111</v>
      </c>
      <c r="H118" s="66" t="s">
        <v>449</v>
      </c>
      <c r="I118" s="133" t="s">
        <v>77</v>
      </c>
      <c r="J118" s="133" t="s">
        <v>220</v>
      </c>
      <c r="K118" s="14" t="s">
        <v>29</v>
      </c>
      <c r="L118" s="134" t="s">
        <v>191</v>
      </c>
      <c r="M118" s="134" t="s">
        <v>323</v>
      </c>
      <c r="N118" s="132" t="s">
        <v>43</v>
      </c>
      <c r="O118" s="167" t="s">
        <v>531</v>
      </c>
      <c r="P118" s="167" t="s">
        <v>548</v>
      </c>
      <c r="Q118" s="135" t="s">
        <v>9</v>
      </c>
      <c r="R118" s="136">
        <v>14741.35620477084</v>
      </c>
      <c r="S118" s="73">
        <v>11000</v>
      </c>
      <c r="T118" s="136">
        <v>14741.35620477084</v>
      </c>
      <c r="U118" s="136">
        <v>130662.02090592335</v>
      </c>
      <c r="V118" s="136">
        <v>674902</v>
      </c>
      <c r="W118" s="147" t="s">
        <v>11</v>
      </c>
      <c r="X118" s="181">
        <v>3.7999999999999999E-2</v>
      </c>
      <c r="Y118" s="137">
        <v>44285</v>
      </c>
      <c r="Z118" s="137">
        <v>45413</v>
      </c>
      <c r="AA118" s="174">
        <v>45413</v>
      </c>
      <c r="AB118" s="175">
        <v>1129</v>
      </c>
      <c r="AC118" s="176" t="s">
        <v>10</v>
      </c>
      <c r="AD118" s="175">
        <v>1036</v>
      </c>
      <c r="AE118" s="177">
        <v>2.8383561643835615</v>
      </c>
      <c r="AF118" s="173"/>
      <c r="AG118" s="178" t="s">
        <v>1</v>
      </c>
      <c r="AH118" s="178" t="s">
        <v>1</v>
      </c>
      <c r="AI118" s="179" t="s">
        <v>568</v>
      </c>
      <c r="AJ118" s="180" t="s">
        <v>0</v>
      </c>
      <c r="AK118" s="164" t="s">
        <v>563</v>
      </c>
      <c r="AL118" s="168" t="s">
        <v>576</v>
      </c>
      <c r="AM118" s="143">
        <v>12225</v>
      </c>
      <c r="AN118" s="143"/>
      <c r="AO118" s="197" t="s">
        <v>36</v>
      </c>
      <c r="AP118" s="198" t="s">
        <v>104</v>
      </c>
      <c r="AQ118" s="143"/>
      <c r="AR118" s="143"/>
      <c r="AS118" s="208">
        <v>0</v>
      </c>
      <c r="AT118" s="208">
        <v>1768.9627445725007</v>
      </c>
      <c r="AU118" s="208" t="b">
        <v>0</v>
      </c>
      <c r="AV118" s="208"/>
      <c r="AW118" s="208">
        <v>0</v>
      </c>
      <c r="AX118" s="199">
        <v>0</v>
      </c>
      <c r="AY118" s="143"/>
    </row>
    <row r="119" spans="1:51" ht="39.950000000000003" hidden="1" customHeight="1" x14ac:dyDescent="0.2">
      <c r="A119" s="131" t="s">
        <v>578</v>
      </c>
      <c r="B119" s="132" t="s">
        <v>23</v>
      </c>
      <c r="C119" s="133" t="s">
        <v>149</v>
      </c>
      <c r="D119" s="131" t="s">
        <v>542</v>
      </c>
      <c r="E119" s="161" t="s">
        <v>125</v>
      </c>
      <c r="F119" s="131" t="s">
        <v>104</v>
      </c>
      <c r="G119" s="131" t="s">
        <v>111</v>
      </c>
      <c r="H119" s="66" t="s">
        <v>450</v>
      </c>
      <c r="I119" s="133" t="s">
        <v>283</v>
      </c>
      <c r="J119" s="133" t="s">
        <v>148</v>
      </c>
      <c r="K119" s="14" t="s">
        <v>209</v>
      </c>
      <c r="L119" s="134" t="s">
        <v>191</v>
      </c>
      <c r="M119" s="134" t="s">
        <v>59</v>
      </c>
      <c r="N119" s="132" t="s">
        <v>43</v>
      </c>
      <c r="O119" s="167" t="s">
        <v>531</v>
      </c>
      <c r="P119" s="167" t="s">
        <v>548</v>
      </c>
      <c r="Q119" s="135" t="s">
        <v>9</v>
      </c>
      <c r="R119" s="136">
        <v>20101.849370142052</v>
      </c>
      <c r="S119" s="73">
        <v>15000</v>
      </c>
      <c r="T119" s="136">
        <v>20101.849370142052</v>
      </c>
      <c r="U119" s="136">
        <v>107209.86330742428</v>
      </c>
      <c r="V119" s="136">
        <v>2799246.8641114985</v>
      </c>
      <c r="W119" s="147" t="s">
        <v>11</v>
      </c>
      <c r="X119" s="185">
        <v>0.03</v>
      </c>
      <c r="Y119" s="137">
        <v>44328</v>
      </c>
      <c r="Z119" s="137">
        <v>46505</v>
      </c>
      <c r="AA119" s="137">
        <v>46505</v>
      </c>
      <c r="AB119" s="175">
        <v>2178</v>
      </c>
      <c r="AC119" s="176" t="s">
        <v>10</v>
      </c>
      <c r="AD119" s="138">
        <v>2128</v>
      </c>
      <c r="AE119" s="140">
        <v>5.8301369863013699</v>
      </c>
      <c r="AF119" s="184"/>
      <c r="AG119" s="186" t="s">
        <v>1</v>
      </c>
      <c r="AH119" s="186" t="s">
        <v>1</v>
      </c>
      <c r="AI119" s="187" t="s">
        <v>0</v>
      </c>
      <c r="AJ119" s="180" t="s">
        <v>0</v>
      </c>
      <c r="AK119" s="164" t="s">
        <v>563</v>
      </c>
      <c r="AL119" s="188" t="s">
        <v>579</v>
      </c>
      <c r="AM119" s="143"/>
      <c r="AN119" s="143"/>
      <c r="AO119" s="197" t="s">
        <v>125</v>
      </c>
      <c r="AP119" s="198" t="s">
        <v>104</v>
      </c>
      <c r="AQ119" s="143"/>
      <c r="AR119" s="143"/>
      <c r="AS119" s="208">
        <v>0</v>
      </c>
      <c r="AT119" s="208">
        <v>2412.221924417046</v>
      </c>
      <c r="AU119" s="208" t="b">
        <v>0</v>
      </c>
      <c r="AV119" s="208"/>
      <c r="AW119" s="208">
        <v>0</v>
      </c>
      <c r="AX119" s="199">
        <v>0</v>
      </c>
      <c r="AY119" s="143"/>
    </row>
    <row r="120" spans="1:51" ht="39.950000000000003" hidden="1" customHeight="1" x14ac:dyDescent="0.2">
      <c r="A120" s="131" t="s">
        <v>586</v>
      </c>
      <c r="B120" s="132" t="s">
        <v>67</v>
      </c>
      <c r="C120" s="133" t="s">
        <v>38</v>
      </c>
      <c r="D120" s="13" t="s">
        <v>541</v>
      </c>
      <c r="E120" s="161" t="s">
        <v>229</v>
      </c>
      <c r="F120" s="14" t="s">
        <v>102</v>
      </c>
      <c r="G120" s="131" t="s">
        <v>102</v>
      </c>
      <c r="H120" s="66" t="s">
        <v>474</v>
      </c>
      <c r="I120" s="133" t="s">
        <v>142</v>
      </c>
      <c r="J120" s="66" t="s">
        <v>218</v>
      </c>
      <c r="K120" s="14" t="s">
        <v>209</v>
      </c>
      <c r="L120" s="134" t="s">
        <v>191</v>
      </c>
      <c r="M120" s="134" t="s">
        <v>323</v>
      </c>
      <c r="N120" s="132" t="s">
        <v>43</v>
      </c>
      <c r="O120" s="167" t="s">
        <v>531</v>
      </c>
      <c r="P120" s="13" t="s">
        <v>534</v>
      </c>
      <c r="Q120" s="135" t="s">
        <v>9</v>
      </c>
      <c r="R120" s="136">
        <v>10050.924685071026</v>
      </c>
      <c r="S120" s="73">
        <v>7500</v>
      </c>
      <c r="T120" s="136">
        <v>10050.924685071026</v>
      </c>
      <c r="U120" s="136">
        <v>12563.655856338784</v>
      </c>
      <c r="V120" s="136">
        <v>929584.89681050659</v>
      </c>
      <c r="W120" s="147" t="s">
        <v>11</v>
      </c>
      <c r="X120" s="185">
        <v>0.06</v>
      </c>
      <c r="Y120" s="137">
        <v>44349</v>
      </c>
      <c r="Z120" s="137">
        <v>45419</v>
      </c>
      <c r="AA120" s="137">
        <v>45419</v>
      </c>
      <c r="AB120" s="175">
        <v>1071</v>
      </c>
      <c r="AC120" s="176" t="s">
        <v>10</v>
      </c>
      <c r="AD120" s="138">
        <v>1042</v>
      </c>
      <c r="AE120" s="140">
        <v>2.8547945205479452</v>
      </c>
      <c r="AF120" s="184"/>
      <c r="AG120" s="186" t="s">
        <v>1</v>
      </c>
      <c r="AH120" s="186" t="s">
        <v>1</v>
      </c>
      <c r="AI120" s="187" t="s">
        <v>0</v>
      </c>
      <c r="AJ120" s="180" t="s">
        <v>0</v>
      </c>
      <c r="AK120" s="164" t="s">
        <v>1</v>
      </c>
      <c r="AL120" s="188" t="s">
        <v>580</v>
      </c>
      <c r="AM120" s="143"/>
      <c r="AN120" s="143"/>
      <c r="AO120" s="197" t="s">
        <v>229</v>
      </c>
      <c r="AP120" s="198" t="s">
        <v>102</v>
      </c>
      <c r="AQ120" s="143"/>
      <c r="AR120" s="143"/>
      <c r="AS120" s="208">
        <v>0</v>
      </c>
      <c r="AT120" s="208">
        <v>1206.110962208523</v>
      </c>
      <c r="AU120" s="208" t="b">
        <v>0</v>
      </c>
      <c r="AV120" s="208"/>
      <c r="AW120" s="208">
        <v>0</v>
      </c>
      <c r="AX120" s="199">
        <v>0</v>
      </c>
      <c r="AY120" s="143"/>
    </row>
    <row r="121" spans="1:51" ht="39.950000000000003" hidden="1" customHeight="1" x14ac:dyDescent="0.2">
      <c r="A121" s="131" t="s">
        <v>587</v>
      </c>
      <c r="B121" s="132" t="s">
        <v>67</v>
      </c>
      <c r="C121" s="133" t="s">
        <v>588</v>
      </c>
      <c r="D121" s="131" t="s">
        <v>499</v>
      </c>
      <c r="E121" s="161" t="s">
        <v>162</v>
      </c>
      <c r="F121" s="131" t="s">
        <v>233</v>
      </c>
      <c r="G121" s="131" t="s">
        <v>443</v>
      </c>
      <c r="H121" s="66" t="s">
        <v>234</v>
      </c>
      <c r="I121" s="133" t="s">
        <v>589</v>
      </c>
      <c r="J121" s="66" t="s">
        <v>218</v>
      </c>
      <c r="K121" s="14" t="s">
        <v>209</v>
      </c>
      <c r="L121" s="134" t="s">
        <v>191</v>
      </c>
      <c r="M121" s="134" t="s">
        <v>59</v>
      </c>
      <c r="N121" s="132" t="s">
        <v>43</v>
      </c>
      <c r="O121" s="167" t="s">
        <v>531</v>
      </c>
      <c r="P121" s="13" t="s">
        <v>534</v>
      </c>
      <c r="Q121" s="135" t="s">
        <v>9</v>
      </c>
      <c r="R121" s="136">
        <v>20101.849370142052</v>
      </c>
      <c r="S121" s="73">
        <v>15000</v>
      </c>
      <c r="T121" s="136">
        <v>20101.849370142052</v>
      </c>
      <c r="U121" s="136">
        <v>40203.698740284104</v>
      </c>
      <c r="V121" s="136">
        <v>2158101.7287590457</v>
      </c>
      <c r="W121" s="147" t="s">
        <v>11</v>
      </c>
      <c r="X121" s="185">
        <v>5.7500000000000002E-2</v>
      </c>
      <c r="Y121" s="137">
        <v>44365</v>
      </c>
      <c r="Z121" s="137">
        <v>46107</v>
      </c>
      <c r="AA121" s="137">
        <v>46107</v>
      </c>
      <c r="AB121" s="175">
        <v>1743</v>
      </c>
      <c r="AC121" s="176" t="s">
        <v>10</v>
      </c>
      <c r="AD121" s="138">
        <v>1730</v>
      </c>
      <c r="AE121" s="140">
        <v>4.7397260273972606</v>
      </c>
      <c r="AF121" s="184"/>
      <c r="AG121" s="186" t="s">
        <v>1</v>
      </c>
      <c r="AH121" s="186" t="s">
        <v>1</v>
      </c>
      <c r="AI121" s="187" t="s">
        <v>0</v>
      </c>
      <c r="AJ121" s="180" t="s">
        <v>0</v>
      </c>
      <c r="AK121" s="164" t="s">
        <v>1</v>
      </c>
      <c r="AL121" s="188" t="s">
        <v>581</v>
      </c>
      <c r="AM121" s="143"/>
      <c r="AN121" s="143"/>
      <c r="AO121" s="197" t="s">
        <v>162</v>
      </c>
      <c r="AP121" s="198" t="s">
        <v>233</v>
      </c>
      <c r="AQ121" s="143"/>
      <c r="AR121" s="143"/>
      <c r="AS121" s="208">
        <v>0</v>
      </c>
      <c r="AT121" s="208">
        <v>2412.221924417046</v>
      </c>
      <c r="AU121" s="208" t="b">
        <v>0</v>
      </c>
      <c r="AV121" s="208"/>
      <c r="AW121" s="208">
        <v>0</v>
      </c>
      <c r="AX121" s="199">
        <v>0</v>
      </c>
      <c r="AY121" s="143"/>
    </row>
    <row r="122" spans="1:51" ht="39.950000000000003" hidden="1" customHeight="1" x14ac:dyDescent="0.2">
      <c r="A122" s="131" t="s">
        <v>590</v>
      </c>
      <c r="B122" s="132" t="s">
        <v>24</v>
      </c>
      <c r="C122" s="192" t="s">
        <v>38</v>
      </c>
      <c r="D122" s="188" t="s">
        <v>541</v>
      </c>
      <c r="E122" s="161" t="s">
        <v>35</v>
      </c>
      <c r="F122" s="131" t="s">
        <v>104</v>
      </c>
      <c r="G122" s="131" t="s">
        <v>111</v>
      </c>
      <c r="H122" s="66" t="s">
        <v>450</v>
      </c>
      <c r="I122" s="133" t="s">
        <v>591</v>
      </c>
      <c r="J122" s="133" t="s">
        <v>218</v>
      </c>
      <c r="K122" s="168" t="s">
        <v>209</v>
      </c>
      <c r="L122" s="194" t="s">
        <v>191</v>
      </c>
      <c r="M122" s="134" t="s">
        <v>323</v>
      </c>
      <c r="N122" s="167" t="s">
        <v>43</v>
      </c>
      <c r="O122" s="167" t="s">
        <v>538</v>
      </c>
      <c r="P122" s="167" t="s">
        <v>534</v>
      </c>
      <c r="Q122" s="135" t="s">
        <v>66</v>
      </c>
      <c r="R122" s="136">
        <v>19953.04903209602</v>
      </c>
      <c r="S122" s="73">
        <v>1112163</v>
      </c>
      <c r="T122" s="136">
        <v>19953.04903209602</v>
      </c>
      <c r="U122" s="136">
        <v>60406.555553562139</v>
      </c>
      <c r="V122" s="136">
        <v>1239989.4594449131</v>
      </c>
      <c r="W122" s="147" t="s">
        <v>11</v>
      </c>
      <c r="X122" s="185">
        <v>0.05</v>
      </c>
      <c r="Y122" s="137">
        <v>44369</v>
      </c>
      <c r="Z122" s="137">
        <v>45415</v>
      </c>
      <c r="AA122" s="137">
        <v>45415</v>
      </c>
      <c r="AB122" s="138">
        <v>1047</v>
      </c>
      <c r="AC122" s="139" t="s">
        <v>10</v>
      </c>
      <c r="AD122" s="138">
        <v>1038</v>
      </c>
      <c r="AE122" s="140">
        <v>2.8438356164383563</v>
      </c>
      <c r="AF122" s="184"/>
      <c r="AG122" s="186" t="s">
        <v>1</v>
      </c>
      <c r="AH122" s="186" t="s">
        <v>1</v>
      </c>
      <c r="AI122" s="187" t="s">
        <v>0</v>
      </c>
      <c r="AJ122" s="180" t="s">
        <v>0</v>
      </c>
      <c r="AK122" s="164" t="s">
        <v>563</v>
      </c>
      <c r="AL122" s="188" t="s">
        <v>592</v>
      </c>
      <c r="AM122" s="143"/>
      <c r="AN122" s="143"/>
      <c r="AO122" s="197" t="s">
        <v>35</v>
      </c>
      <c r="AP122" s="198" t="s">
        <v>104</v>
      </c>
      <c r="AQ122" s="143"/>
      <c r="AR122" s="143"/>
      <c r="AS122" s="208">
        <v>0</v>
      </c>
      <c r="AT122" s="208">
        <v>2394.3658838515221</v>
      </c>
      <c r="AU122" s="208" t="b">
        <v>0</v>
      </c>
      <c r="AV122" s="208"/>
      <c r="AW122" s="208">
        <v>0</v>
      </c>
      <c r="AX122" s="199">
        <v>0</v>
      </c>
      <c r="AY122" s="143"/>
    </row>
    <row r="123" spans="1:51" ht="39.950000000000003" hidden="1" customHeight="1" x14ac:dyDescent="0.2">
      <c r="A123" s="131" t="s">
        <v>593</v>
      </c>
      <c r="B123" s="132" t="s">
        <v>67</v>
      </c>
      <c r="C123" s="133" t="s">
        <v>588</v>
      </c>
      <c r="D123" s="188" t="s">
        <v>542</v>
      </c>
      <c r="E123" s="161" t="s">
        <v>127</v>
      </c>
      <c r="F123" s="131" t="s">
        <v>159</v>
      </c>
      <c r="G123" s="131" t="s">
        <v>167</v>
      </c>
      <c r="H123" s="131" t="s">
        <v>167</v>
      </c>
      <c r="I123" s="133" t="s">
        <v>589</v>
      </c>
      <c r="J123" s="133" t="s">
        <v>218</v>
      </c>
      <c r="K123" s="14" t="s">
        <v>140</v>
      </c>
      <c r="L123" s="194" t="s">
        <v>191</v>
      </c>
      <c r="M123" s="134" t="s">
        <v>59</v>
      </c>
      <c r="N123" s="167" t="s">
        <v>43</v>
      </c>
      <c r="O123" s="167" t="s">
        <v>538</v>
      </c>
      <c r="P123" s="167" t="s">
        <v>534</v>
      </c>
      <c r="Q123" s="135" t="s">
        <v>59</v>
      </c>
      <c r="R123" s="136">
        <v>23727.79473875698</v>
      </c>
      <c r="S123" s="73">
        <v>15000</v>
      </c>
      <c r="T123" s="136">
        <v>23727.79473875698</v>
      </c>
      <c r="U123" s="136">
        <v>158185.29825837986</v>
      </c>
      <c r="V123" s="136">
        <v>1604077.7480740938</v>
      </c>
      <c r="W123" s="147" t="s">
        <v>11</v>
      </c>
      <c r="X123" s="185">
        <v>2.8500000000000001E-2</v>
      </c>
      <c r="Y123" s="137">
        <v>44372</v>
      </c>
      <c r="Z123" s="137">
        <v>46475</v>
      </c>
      <c r="AA123" s="137">
        <v>46475</v>
      </c>
      <c r="AB123" s="138">
        <v>2104</v>
      </c>
      <c r="AC123" s="139" t="s">
        <v>10</v>
      </c>
      <c r="AD123" s="138">
        <v>2098</v>
      </c>
      <c r="AE123" s="140">
        <v>5.7479452054794518</v>
      </c>
      <c r="AF123" s="184"/>
      <c r="AG123" s="186" t="s">
        <v>1</v>
      </c>
      <c r="AH123" s="186" t="s">
        <v>1</v>
      </c>
      <c r="AI123" s="187" t="s">
        <v>0</v>
      </c>
      <c r="AJ123" s="180" t="s">
        <v>0</v>
      </c>
      <c r="AK123" s="164" t="s">
        <v>563</v>
      </c>
      <c r="AL123" s="188" t="s">
        <v>582</v>
      </c>
      <c r="AM123" s="143"/>
      <c r="AN123" s="143"/>
      <c r="AO123" s="197" t="s">
        <v>127</v>
      </c>
      <c r="AP123" s="198" t="s">
        <v>159</v>
      </c>
      <c r="AQ123" s="143"/>
      <c r="AR123" s="143"/>
      <c r="AS123" s="208">
        <v>0</v>
      </c>
      <c r="AT123" s="208">
        <v>2847.3353686508376</v>
      </c>
      <c r="AU123" s="208" t="b">
        <v>0</v>
      </c>
      <c r="AV123" s="208"/>
      <c r="AW123" s="208">
        <v>0</v>
      </c>
      <c r="AX123" s="199">
        <v>0</v>
      </c>
      <c r="AY123" s="143"/>
    </row>
    <row r="124" spans="1:51" ht="39.950000000000003" hidden="1" customHeight="1" x14ac:dyDescent="0.2">
      <c r="A124" s="131" t="s">
        <v>594</v>
      </c>
      <c r="B124" s="132" t="s">
        <v>67</v>
      </c>
      <c r="C124" s="133" t="s">
        <v>588</v>
      </c>
      <c r="D124" s="188" t="s">
        <v>499</v>
      </c>
      <c r="E124" s="193" t="s">
        <v>162</v>
      </c>
      <c r="F124" s="188" t="s">
        <v>233</v>
      </c>
      <c r="G124" s="188" t="s">
        <v>443</v>
      </c>
      <c r="H124" s="191" t="s">
        <v>234</v>
      </c>
      <c r="I124" s="133" t="s">
        <v>589</v>
      </c>
      <c r="J124" s="133" t="s">
        <v>218</v>
      </c>
      <c r="K124" s="168" t="s">
        <v>209</v>
      </c>
      <c r="L124" s="194" t="s">
        <v>191</v>
      </c>
      <c r="M124" s="134" t="s">
        <v>59</v>
      </c>
      <c r="N124" s="167" t="s">
        <v>43</v>
      </c>
      <c r="O124" s="167" t="s">
        <v>538</v>
      </c>
      <c r="P124" s="167" t="s">
        <v>534</v>
      </c>
      <c r="Q124" s="135" t="s">
        <v>9</v>
      </c>
      <c r="R124" s="136">
        <v>20101.849370142052</v>
      </c>
      <c r="S124" s="73">
        <v>15000</v>
      </c>
      <c r="T124" s="136">
        <v>20101.849370142052</v>
      </c>
      <c r="U124" s="136">
        <v>93540.605735727688</v>
      </c>
      <c r="V124" s="136">
        <v>1703788.7295631198</v>
      </c>
      <c r="W124" s="147" t="s">
        <v>11</v>
      </c>
      <c r="X124" s="185">
        <v>4.4999999999999998E-2</v>
      </c>
      <c r="Y124" s="137">
        <v>44372</v>
      </c>
      <c r="Z124" s="137">
        <v>46112</v>
      </c>
      <c r="AA124" s="137">
        <v>46112</v>
      </c>
      <c r="AB124" s="138">
        <v>1741</v>
      </c>
      <c r="AC124" s="139" t="s">
        <v>10</v>
      </c>
      <c r="AD124" s="138">
        <v>1735</v>
      </c>
      <c r="AE124" s="140">
        <v>4.7534246575342465</v>
      </c>
      <c r="AF124" s="184"/>
      <c r="AG124" s="186" t="s">
        <v>1</v>
      </c>
      <c r="AH124" s="186" t="s">
        <v>1</v>
      </c>
      <c r="AI124" s="187" t="s">
        <v>0</v>
      </c>
      <c r="AJ124" s="180" t="s">
        <v>0</v>
      </c>
      <c r="AK124" s="164" t="s">
        <v>563</v>
      </c>
      <c r="AL124" s="188" t="s">
        <v>583</v>
      </c>
      <c r="AM124" s="143"/>
      <c r="AN124" s="143"/>
      <c r="AO124" s="197" t="s">
        <v>162</v>
      </c>
      <c r="AP124" s="198" t="s">
        <v>233</v>
      </c>
      <c r="AQ124" s="143"/>
      <c r="AR124" s="143"/>
      <c r="AS124" s="208">
        <v>0</v>
      </c>
      <c r="AT124" s="208">
        <v>2412.221924417046</v>
      </c>
      <c r="AU124" s="208" t="b">
        <v>0</v>
      </c>
      <c r="AV124" s="208"/>
      <c r="AW124" s="208">
        <v>0</v>
      </c>
      <c r="AX124" s="199">
        <v>0</v>
      </c>
      <c r="AY124" s="143"/>
    </row>
    <row r="125" spans="1:51" ht="39.950000000000003" hidden="1" customHeight="1" x14ac:dyDescent="0.2">
      <c r="A125" s="131" t="s">
        <v>595</v>
      </c>
      <c r="B125" s="132" t="s">
        <v>51</v>
      </c>
      <c r="C125" s="192" t="s">
        <v>38</v>
      </c>
      <c r="D125" s="188" t="s">
        <v>541</v>
      </c>
      <c r="E125" s="161" t="s">
        <v>36</v>
      </c>
      <c r="F125" s="188" t="s">
        <v>102</v>
      </c>
      <c r="G125" s="188" t="s">
        <v>102</v>
      </c>
      <c r="H125" s="190" t="s">
        <v>474</v>
      </c>
      <c r="I125" s="133" t="s">
        <v>142</v>
      </c>
      <c r="J125" s="133" t="s">
        <v>218</v>
      </c>
      <c r="K125" s="168" t="s">
        <v>209</v>
      </c>
      <c r="L125" s="194" t="s">
        <v>191</v>
      </c>
      <c r="M125" s="134" t="s">
        <v>323</v>
      </c>
      <c r="N125" s="167" t="s">
        <v>43</v>
      </c>
      <c r="O125" s="167" t="s">
        <v>538</v>
      </c>
      <c r="P125" s="167" t="s">
        <v>534</v>
      </c>
      <c r="Q125" s="135" t="s">
        <v>9</v>
      </c>
      <c r="R125" s="136">
        <v>20101.849370142052</v>
      </c>
      <c r="S125" s="73">
        <v>15000</v>
      </c>
      <c r="T125" s="136">
        <v>20101.849370142052</v>
      </c>
      <c r="U125" s="136">
        <v>40203.698740284104</v>
      </c>
      <c r="V125" s="136">
        <v>2449633.7175020101</v>
      </c>
      <c r="W125" s="147" t="s">
        <v>11</v>
      </c>
      <c r="X125" s="185">
        <v>7.85E-2</v>
      </c>
      <c r="Y125" s="137">
        <v>44377</v>
      </c>
      <c r="Z125" s="137">
        <v>45460</v>
      </c>
      <c r="AA125" s="137">
        <v>45460</v>
      </c>
      <c r="AB125" s="138">
        <v>1084</v>
      </c>
      <c r="AC125" s="139" t="s">
        <v>10</v>
      </c>
      <c r="AD125" s="138">
        <v>1083</v>
      </c>
      <c r="AE125" s="140">
        <v>2.967123287671233</v>
      </c>
      <c r="AF125" s="184"/>
      <c r="AG125" s="186" t="s">
        <v>1</v>
      </c>
      <c r="AH125" s="186" t="s">
        <v>1</v>
      </c>
      <c r="AI125" s="187" t="s">
        <v>0</v>
      </c>
      <c r="AJ125" s="180" t="s">
        <v>0</v>
      </c>
      <c r="AK125" s="164" t="s">
        <v>563</v>
      </c>
      <c r="AL125" s="188" t="s">
        <v>584</v>
      </c>
      <c r="AM125" s="143"/>
      <c r="AN125" s="143"/>
      <c r="AO125" s="197" t="s">
        <v>36</v>
      </c>
      <c r="AP125" s="198" t="s">
        <v>102</v>
      </c>
      <c r="AQ125" s="143"/>
      <c r="AR125" s="143"/>
      <c r="AS125" s="208">
        <v>0</v>
      </c>
      <c r="AT125" s="208">
        <v>2412.221924417046</v>
      </c>
      <c r="AU125" s="208" t="b">
        <v>0</v>
      </c>
      <c r="AV125" s="208"/>
      <c r="AW125" s="208">
        <v>0</v>
      </c>
      <c r="AX125" s="199">
        <v>0</v>
      </c>
      <c r="AY125" s="143"/>
    </row>
    <row r="126" spans="1:51" ht="39.950000000000003" hidden="1" customHeight="1" x14ac:dyDescent="0.2">
      <c r="A126" s="131" t="s">
        <v>596</v>
      </c>
      <c r="B126" s="132" t="s">
        <v>24</v>
      </c>
      <c r="C126" s="133" t="s">
        <v>166</v>
      </c>
      <c r="D126" s="188" t="s">
        <v>542</v>
      </c>
      <c r="E126" s="161" t="s">
        <v>166</v>
      </c>
      <c r="F126" s="188" t="s">
        <v>102</v>
      </c>
      <c r="G126" s="188" t="s">
        <v>102</v>
      </c>
      <c r="H126" s="66" t="s">
        <v>103</v>
      </c>
      <c r="I126" s="133" t="s">
        <v>597</v>
      </c>
      <c r="J126" s="192" t="s">
        <v>220</v>
      </c>
      <c r="K126" s="168" t="s">
        <v>209</v>
      </c>
      <c r="L126" s="194" t="s">
        <v>191</v>
      </c>
      <c r="M126" s="134" t="s">
        <v>59</v>
      </c>
      <c r="N126" s="167" t="s">
        <v>43</v>
      </c>
      <c r="O126" s="167" t="s">
        <v>538</v>
      </c>
      <c r="P126" s="167" t="s">
        <v>534</v>
      </c>
      <c r="Q126" s="135" t="s">
        <v>59</v>
      </c>
      <c r="R126" s="136">
        <v>34800.765616843571</v>
      </c>
      <c r="S126" s="73">
        <v>22000</v>
      </c>
      <c r="T126" s="136">
        <v>34800.765616843571</v>
      </c>
      <c r="U126" s="136">
        <v>293591.91356755304</v>
      </c>
      <c r="V126" s="136">
        <v>2054074.1098122341</v>
      </c>
      <c r="W126" s="147" t="s">
        <v>11</v>
      </c>
      <c r="X126" s="185">
        <v>1.4500000000000001E-2</v>
      </c>
      <c r="Y126" s="137">
        <v>44376</v>
      </c>
      <c r="Z126" s="137">
        <v>46565</v>
      </c>
      <c r="AA126" s="137">
        <v>46565</v>
      </c>
      <c r="AB126" s="138">
        <v>2190</v>
      </c>
      <c r="AC126" s="139" t="s">
        <v>10</v>
      </c>
      <c r="AD126" s="138">
        <v>2188</v>
      </c>
      <c r="AE126" s="140">
        <v>5.9945205479452053</v>
      </c>
      <c r="AF126" s="184" t="s">
        <v>436</v>
      </c>
      <c r="AG126" s="186" t="s">
        <v>1</v>
      </c>
      <c r="AH126" s="186" t="s">
        <v>1</v>
      </c>
      <c r="AI126" s="187" t="s">
        <v>0</v>
      </c>
      <c r="AJ126" s="180" t="s">
        <v>0</v>
      </c>
      <c r="AK126" s="164" t="s">
        <v>563</v>
      </c>
      <c r="AL126" s="188" t="s">
        <v>585</v>
      </c>
      <c r="AM126" s="143"/>
      <c r="AN126" s="143"/>
      <c r="AO126" s="197" t="s">
        <v>166</v>
      </c>
      <c r="AP126" s="198" t="s">
        <v>102</v>
      </c>
      <c r="AQ126" s="143"/>
      <c r="AR126" s="143"/>
      <c r="AS126" s="208">
        <v>0</v>
      </c>
      <c r="AT126" s="208">
        <v>4176.0918740212283</v>
      </c>
      <c r="AU126" s="208">
        <v>835.21837480424574</v>
      </c>
      <c r="AV126" s="208"/>
      <c r="AW126" s="208">
        <v>0</v>
      </c>
      <c r="AX126" s="199">
        <v>0</v>
      </c>
      <c r="AY126" s="143"/>
    </row>
    <row r="127" spans="1:51" x14ac:dyDescent="0.2">
      <c r="A127" s="129"/>
      <c r="B127" s="129"/>
      <c r="C127" s="129"/>
      <c r="D127" s="129"/>
      <c r="E127" s="129"/>
      <c r="F127" s="129"/>
      <c r="G127" s="129"/>
      <c r="H127" s="129"/>
      <c r="I127" s="129"/>
      <c r="J127" s="129"/>
      <c r="K127" s="129"/>
      <c r="L127" s="129"/>
      <c r="M127" s="129"/>
      <c r="N127" s="127"/>
      <c r="O127" s="127"/>
      <c r="P127" s="127"/>
      <c r="Q127" s="51" t="s">
        <v>428</v>
      </c>
      <c r="R127" s="50">
        <v>2496741.3595505301</v>
      </c>
      <c r="S127" s="50"/>
      <c r="T127" s="50">
        <v>2406003.4144413732</v>
      </c>
      <c r="U127" s="50">
        <v>13610994.344064195</v>
      </c>
      <c r="V127" s="50">
        <v>129929044.79881647</v>
      </c>
      <c r="W127" s="49"/>
      <c r="X127" s="183">
        <v>2.4356637833282412E-2</v>
      </c>
      <c r="Y127" s="48"/>
      <c r="Z127" s="48"/>
      <c r="AA127" s="48" t="s">
        <v>495</v>
      </c>
      <c r="AB127" s="189">
        <v>1755.3819759805049</v>
      </c>
      <c r="AC127" s="47">
        <v>4.8092656876178212</v>
      </c>
      <c r="AD127" s="189">
        <v>1084.2754679543957</v>
      </c>
      <c r="AE127" s="46">
        <v>2.970617720423002</v>
      </c>
      <c r="AF127" s="45"/>
      <c r="AG127" s="28"/>
      <c r="AH127" s="28"/>
      <c r="AI127" s="44"/>
      <c r="AJ127" s="28"/>
      <c r="AK127" s="28"/>
      <c r="AL127" s="28"/>
      <c r="AM127" s="28"/>
      <c r="AN127" s="28"/>
      <c r="AO127" s="202"/>
      <c r="AP127" s="202"/>
      <c r="AQ127" s="203">
        <v>9</v>
      </c>
      <c r="AS127" s="204"/>
      <c r="AT127" s="204"/>
      <c r="AU127" s="204"/>
      <c r="AW127" s="205">
        <v>8854.2624377618085</v>
      </c>
      <c r="AX127" s="205">
        <v>9096</v>
      </c>
      <c r="AY127" s="203"/>
    </row>
    <row r="128" spans="1:51" s="27" customFormat="1" x14ac:dyDescent="0.2">
      <c r="A128" s="37"/>
      <c r="B128" s="37"/>
      <c r="C128" s="35"/>
      <c r="D128" s="35"/>
      <c r="E128" s="35"/>
      <c r="F128" s="28"/>
      <c r="G128" s="28"/>
      <c r="H128" s="28"/>
      <c r="I128" s="36"/>
      <c r="J128" s="28"/>
      <c r="K128" s="28"/>
      <c r="L128" s="28"/>
      <c r="M128" s="35"/>
      <c r="N128" s="28"/>
      <c r="O128" s="28"/>
      <c r="P128" s="28"/>
      <c r="Q128" s="42" t="s">
        <v>429</v>
      </c>
      <c r="R128" s="41">
        <v>3833.194</v>
      </c>
      <c r="S128" s="41"/>
      <c r="T128" s="41">
        <v>3833.194</v>
      </c>
      <c r="U128" s="41">
        <v>3833.194</v>
      </c>
      <c r="V128" s="41">
        <v>511810.27</v>
      </c>
      <c r="W128" s="30"/>
      <c r="X128" s="30"/>
      <c r="Y128" s="30"/>
      <c r="Z128" s="28"/>
      <c r="AA128" s="40" t="s">
        <v>242</v>
      </c>
      <c r="AB128" s="38">
        <v>1702.6245188974397</v>
      </c>
      <c r="AC128" s="39"/>
      <c r="AD128" s="38">
        <v>1199.5867456675664</v>
      </c>
      <c r="AE128" s="38">
        <v>3.2865390292262093</v>
      </c>
      <c r="AF128" s="29"/>
      <c r="AG128" s="28"/>
      <c r="AH128" s="28"/>
      <c r="AI128" s="28"/>
      <c r="AJ128" s="28"/>
      <c r="AK128" s="28"/>
      <c r="AL128" s="28"/>
      <c r="AM128" s="28"/>
      <c r="AN128" s="28"/>
      <c r="AO128" s="206"/>
      <c r="AP128" s="207"/>
      <c r="AQ128" s="204"/>
      <c r="AR128" s="204"/>
      <c r="AS128" s="204"/>
      <c r="AT128" s="204"/>
      <c r="AU128" s="204"/>
      <c r="AV128" s="204"/>
      <c r="AW128" s="204"/>
      <c r="AX128" s="204"/>
      <c r="AY128" s="204"/>
    </row>
    <row r="129" spans="1:51" s="27" customFormat="1" x14ac:dyDescent="0.2">
      <c r="A129" s="37"/>
      <c r="B129" s="37"/>
      <c r="C129" s="35"/>
      <c r="D129" s="35"/>
      <c r="E129" s="35"/>
      <c r="F129" s="28"/>
      <c r="G129" s="28"/>
      <c r="H129" s="28"/>
      <c r="I129" s="36"/>
      <c r="J129" s="28"/>
      <c r="K129" s="28"/>
      <c r="L129" s="28"/>
      <c r="M129" s="35"/>
      <c r="N129" s="28"/>
      <c r="O129" s="28"/>
      <c r="P129" s="28"/>
      <c r="Q129" s="34" t="s">
        <v>6</v>
      </c>
      <c r="R129" s="33">
        <v>2500574.5535505302</v>
      </c>
      <c r="S129" s="33"/>
      <c r="T129" s="32">
        <v>2409836.6084413733</v>
      </c>
      <c r="U129" s="31">
        <v>13614827.538064195</v>
      </c>
      <c r="V129" s="31">
        <v>130440855.06881647</v>
      </c>
      <c r="W129" s="30"/>
      <c r="X129" s="30"/>
      <c r="Y129" s="30"/>
      <c r="Z129" s="28"/>
      <c r="AA129" s="28"/>
      <c r="AB129" s="28"/>
      <c r="AC129" s="29"/>
      <c r="AD129" s="28"/>
      <c r="AE129" s="28"/>
      <c r="AF129" s="29"/>
      <c r="AG129" s="28"/>
      <c r="AH129" s="28"/>
      <c r="AI129" s="28"/>
      <c r="AJ129" s="28"/>
      <c r="AK129" s="28"/>
      <c r="AL129" s="28"/>
      <c r="AM129" s="28"/>
      <c r="AN129" s="28"/>
      <c r="AO129" s="206"/>
      <c r="AP129" s="207"/>
      <c r="AQ129" s="204"/>
      <c r="AR129" s="204"/>
      <c r="AS129" s="204"/>
      <c r="AT129" s="204"/>
      <c r="AU129" s="204"/>
      <c r="AV129" s="204"/>
      <c r="AW129" s="204"/>
      <c r="AX129" s="204"/>
      <c r="AY129" s="204"/>
    </row>
    <row r="130" spans="1:51" x14ac:dyDescent="0.2">
      <c r="Q130" s="160"/>
      <c r="R130" s="24"/>
      <c r="S130" s="24"/>
      <c r="T130" s="26"/>
      <c r="W130" s="23"/>
      <c r="X130" s="23"/>
      <c r="Y130" s="23"/>
      <c r="Z130" s="11"/>
      <c r="AA130" s="11" t="s">
        <v>437</v>
      </c>
      <c r="AB130" s="22">
        <v>1037868.6626063626</v>
      </c>
    </row>
    <row r="131" spans="1:51" x14ac:dyDescent="0.2">
      <c r="E131" s="11">
        <v>124</v>
      </c>
      <c r="I131" s="11"/>
      <c r="Q131" s="25"/>
      <c r="U131" s="24"/>
      <c r="V131" s="24"/>
      <c r="W131" s="23"/>
      <c r="X131" s="23"/>
      <c r="Y131" s="23"/>
      <c r="Z131" s="11"/>
      <c r="AG131" s="22"/>
      <c r="AO131" s="11">
        <v>124</v>
      </c>
    </row>
    <row r="132" spans="1:51" x14ac:dyDescent="0.2">
      <c r="I132" s="11"/>
      <c r="R132" s="19"/>
      <c r="S132" s="19"/>
      <c r="T132" s="19"/>
      <c r="U132" s="19"/>
      <c r="V132" s="19"/>
      <c r="W132" s="19"/>
      <c r="X132" s="19"/>
    </row>
    <row r="133" spans="1:51" x14ac:dyDescent="0.2">
      <c r="I133" s="11"/>
      <c r="T133" s="19"/>
    </row>
    <row r="134" spans="1:51" x14ac:dyDescent="0.2">
      <c r="I134" s="11"/>
      <c r="T134" s="19"/>
    </row>
    <row r="135" spans="1:51" x14ac:dyDescent="0.2">
      <c r="I135" s="11"/>
      <c r="P135" s="17"/>
      <c r="T135" s="19"/>
    </row>
    <row r="136" spans="1:51" x14ac:dyDescent="0.2">
      <c r="I136" s="11"/>
      <c r="P136" s="18"/>
      <c r="T136" s="19"/>
    </row>
    <row r="137" spans="1:51" x14ac:dyDescent="0.2">
      <c r="I137" s="11"/>
      <c r="T137" s="19"/>
    </row>
    <row r="138" spans="1:51" x14ac:dyDescent="0.2">
      <c r="I138" s="11"/>
      <c r="T138" s="19"/>
    </row>
    <row r="139" spans="1:51" x14ac:dyDescent="0.2">
      <c r="I139" s="11"/>
      <c r="T139" s="19"/>
    </row>
    <row r="140" spans="1:51" x14ac:dyDescent="0.2">
      <c r="I140" s="11"/>
      <c r="T140" s="19"/>
    </row>
    <row r="141" spans="1:51" x14ac:dyDescent="0.2">
      <c r="I141" s="11"/>
      <c r="T141" s="19"/>
    </row>
    <row r="142" spans="1:51" x14ac:dyDescent="0.2">
      <c r="I142" s="11"/>
    </row>
    <row r="143" spans="1:51" x14ac:dyDescent="0.2">
      <c r="I143" s="11"/>
    </row>
    <row r="144" spans="1:51" x14ac:dyDescent="0.2">
      <c r="I144" s="11"/>
    </row>
    <row r="145" spans="9:9" x14ac:dyDescent="0.2">
      <c r="I145" s="11"/>
    </row>
    <row r="146" spans="9:9" x14ac:dyDescent="0.2">
      <c r="I146" s="11"/>
    </row>
    <row r="147" spans="9:9" x14ac:dyDescent="0.2">
      <c r="I147" s="11"/>
    </row>
    <row r="148" spans="9:9" x14ac:dyDescent="0.2">
      <c r="I148" s="11"/>
    </row>
    <row r="149" spans="9:9" x14ac:dyDescent="0.2">
      <c r="I149" s="11"/>
    </row>
    <row r="150" spans="9:9" x14ac:dyDescent="0.2">
      <c r="I150" s="11"/>
    </row>
    <row r="151" spans="9:9" x14ac:dyDescent="0.2">
      <c r="I151" s="11"/>
    </row>
  </sheetData>
  <conditionalFormatting sqref="AJ3:AJ123">
    <cfRule type="containsText" dxfId="537" priority="27" operator="containsText" text="SEND NOTICE">
      <formula>NOT(ISERROR(SEARCH("SEND NOTICE",AJ3)))</formula>
    </cfRule>
  </conditionalFormatting>
  <conditionalFormatting sqref="D102:E102 A101:A105 N100:W100 A100:C100 C101:C102 L101 N101:P101 Q102:V104 W101:W105 AD101:AE111 R105:V105 AB104:AB110 R111:V111 G100:L100 R106:W110 Y103:AA111 Y100:AE100 Y101:AB102">
    <cfRule type="cellIs" dxfId="536" priority="26" operator="equal">
      <formula>#REF!</formula>
    </cfRule>
  </conditionalFormatting>
  <conditionalFormatting sqref="Q101:V101">
    <cfRule type="cellIs" dxfId="535" priority="25" operator="equal">
      <formula>#REF!</formula>
    </cfRule>
  </conditionalFormatting>
  <conditionalFormatting sqref="E100">
    <cfRule type="cellIs" dxfId="534" priority="24" operator="equal">
      <formula>#REF!</formula>
    </cfRule>
  </conditionalFormatting>
  <conditionalFormatting sqref="D100">
    <cfRule type="cellIs" dxfId="533" priority="23" operator="equal">
      <formula>#REF!</formula>
    </cfRule>
  </conditionalFormatting>
  <conditionalFormatting sqref="J101">
    <cfRule type="cellIs" dxfId="532" priority="22" operator="equal">
      <formula>#REF!</formula>
    </cfRule>
  </conditionalFormatting>
  <conditionalFormatting sqref="L102:L103">
    <cfRule type="cellIs" dxfId="531" priority="21" operator="equal">
      <formula>#REF!</formula>
    </cfRule>
  </conditionalFormatting>
  <conditionalFormatting sqref="I104">
    <cfRule type="cellIs" dxfId="530" priority="20" operator="equal">
      <formula>#REF!</formula>
    </cfRule>
  </conditionalFormatting>
  <conditionalFormatting sqref="J102:J104">
    <cfRule type="cellIs" dxfId="529" priority="19" operator="equal">
      <formula>#REF!</formula>
    </cfRule>
  </conditionalFormatting>
  <conditionalFormatting sqref="K104">
    <cfRule type="cellIs" dxfId="528" priority="18" operator="equal">
      <formula>#REF!</formula>
    </cfRule>
  </conditionalFormatting>
  <conditionalFormatting sqref="L104">
    <cfRule type="cellIs" dxfId="527" priority="17" operator="equal">
      <formula>#REF!</formula>
    </cfRule>
  </conditionalFormatting>
  <conditionalFormatting sqref="Q109:Q110">
    <cfRule type="cellIs" dxfId="526" priority="16" operator="equal">
      <formula>#REF!</formula>
    </cfRule>
  </conditionalFormatting>
  <conditionalFormatting sqref="AK4">
    <cfRule type="containsText" dxfId="525" priority="15" operator="containsText" text="SEND NOTICE">
      <formula>NOT(ISERROR(SEARCH("SEND NOTICE",AK4)))</formula>
    </cfRule>
  </conditionalFormatting>
  <conditionalFormatting sqref="AK33">
    <cfRule type="containsText" dxfId="524" priority="14" operator="containsText" text="SEND NOTICE">
      <formula>NOT(ISERROR(SEARCH("SEND NOTICE",AK33)))</formula>
    </cfRule>
  </conditionalFormatting>
  <conditionalFormatting sqref="AJ116">
    <cfRule type="containsText" dxfId="523" priority="13" operator="containsText" text="SEND NOTICE">
      <formula>NOT(ISERROR(SEARCH("SEND NOTICE",AJ116)))</formula>
    </cfRule>
  </conditionalFormatting>
  <conditionalFormatting sqref="AJ117:AJ118">
    <cfRule type="containsText" dxfId="522" priority="12" operator="containsText" text="SEND NOTICE">
      <formula>NOT(ISERROR(SEARCH("SEND NOTICE",AJ117)))</formula>
    </cfRule>
  </conditionalFormatting>
  <conditionalFormatting sqref="AJ119:AJ123">
    <cfRule type="containsText" dxfId="521" priority="11" operator="containsText" text="SEND NOTICE">
      <formula>NOT(ISERROR(SEARCH("SEND NOTICE",AJ119)))</formula>
    </cfRule>
  </conditionalFormatting>
  <conditionalFormatting sqref="AJ119:AJ123">
    <cfRule type="containsText" dxfId="520" priority="10" operator="containsText" text="SEND NOTICE">
      <formula>NOT(ISERROR(SEARCH("SEND NOTICE",AJ119)))</formula>
    </cfRule>
  </conditionalFormatting>
  <conditionalFormatting sqref="AJ124">
    <cfRule type="containsText" dxfId="519" priority="9" operator="containsText" text="SEND NOTICE">
      <formula>NOT(ISERROR(SEARCH("SEND NOTICE",AJ124)))</formula>
    </cfRule>
  </conditionalFormatting>
  <conditionalFormatting sqref="AJ124">
    <cfRule type="containsText" dxfId="518" priority="8" operator="containsText" text="SEND NOTICE">
      <formula>NOT(ISERROR(SEARCH("SEND NOTICE",AJ124)))</formula>
    </cfRule>
  </conditionalFormatting>
  <conditionalFormatting sqref="AJ124">
    <cfRule type="containsText" dxfId="517" priority="7" operator="containsText" text="SEND NOTICE">
      <formula>NOT(ISERROR(SEARCH("SEND NOTICE",AJ124)))</formula>
    </cfRule>
  </conditionalFormatting>
  <conditionalFormatting sqref="AJ125">
    <cfRule type="containsText" dxfId="516" priority="6" operator="containsText" text="SEND NOTICE">
      <formula>NOT(ISERROR(SEARCH("SEND NOTICE",AJ125)))</formula>
    </cfRule>
  </conditionalFormatting>
  <conditionalFormatting sqref="AJ125">
    <cfRule type="containsText" dxfId="515" priority="5" operator="containsText" text="SEND NOTICE">
      <formula>NOT(ISERROR(SEARCH("SEND NOTICE",AJ125)))</formula>
    </cfRule>
  </conditionalFormatting>
  <conditionalFormatting sqref="AJ125">
    <cfRule type="containsText" dxfId="514" priority="4" operator="containsText" text="SEND NOTICE">
      <formula>NOT(ISERROR(SEARCH("SEND NOTICE",AJ125)))</formula>
    </cfRule>
  </conditionalFormatting>
  <conditionalFormatting sqref="AJ126">
    <cfRule type="containsText" dxfId="513" priority="3" operator="containsText" text="SEND NOTICE">
      <formula>NOT(ISERROR(SEARCH("SEND NOTICE",AJ126)))</formula>
    </cfRule>
  </conditionalFormatting>
  <conditionalFormatting sqref="AJ126">
    <cfRule type="containsText" dxfId="512" priority="2" operator="containsText" text="SEND NOTICE">
      <formula>NOT(ISERROR(SEARCH("SEND NOTICE",AJ126)))</formula>
    </cfRule>
  </conditionalFormatting>
  <conditionalFormatting sqref="AJ126">
    <cfRule type="containsText" dxfId="511" priority="1" operator="containsText" text="SEND NOTICE">
      <formula>NOT(ISERROR(SEARCH("SEND NOTICE",AJ126)))</formula>
    </cfRule>
  </conditionalFormatting>
  <pageMargins left="0.25" right="0.25" top="0.75" bottom="0.75" header="0.3" footer="0.3"/>
  <pageSetup paperSize="8" scale="18" fitToHeight="0"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F80AD-B271-41E4-AE90-8C47C96A77BC}">
  <sheetPr codeName="Sheet23">
    <tabColor theme="9" tint="0.79998168889431442"/>
    <pageSetUpPr fitToPage="1"/>
  </sheetPr>
  <dimension ref="A1:BA153"/>
  <sheetViews>
    <sheetView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1"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11" customWidth="1"/>
    <col min="20" max="20" width="14" style="11" customWidth="1"/>
    <col min="21" max="21" width="14.42578125" style="11" customWidth="1"/>
    <col min="22" max="22" width="17" style="11" customWidth="1"/>
    <col min="23" max="24" width="11.28515625" style="11" customWidth="1"/>
    <col min="25" max="25" width="10.85546875" style="11" customWidth="1"/>
    <col min="26" max="26" width="11.7109375" style="20" customWidth="1"/>
    <col min="27" max="27" width="10.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ustomWidth="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2" width="9.140625" style="11" customWidth="1"/>
    <col min="53" max="16384" width="9.140625" style="11"/>
  </cols>
  <sheetData>
    <row r="1" spans="1:53" x14ac:dyDescent="0.2">
      <c r="A1" s="126">
        <v>44469</v>
      </c>
      <c r="B1" s="125"/>
      <c r="C1" s="124"/>
      <c r="D1" s="124"/>
      <c r="E1" s="124"/>
      <c r="M1" s="124"/>
      <c r="AO1" s="195"/>
      <c r="AP1" s="196"/>
      <c r="AQ1" s="196"/>
      <c r="AR1" s="196"/>
      <c r="AS1" s="196"/>
      <c r="AT1" s="196"/>
      <c r="AU1" s="196"/>
      <c r="AV1" s="196"/>
      <c r="AW1" s="196"/>
      <c r="AX1" s="196"/>
      <c r="AY1" s="196"/>
    </row>
    <row r="2" spans="1:53" s="112" customFormat="1" ht="51" x14ac:dyDescent="0.2">
      <c r="A2" s="123" t="s">
        <v>14</v>
      </c>
      <c r="B2" s="122" t="s">
        <v>63</v>
      </c>
      <c r="C2" s="121" t="s">
        <v>84</v>
      </c>
      <c r="D2" s="121" t="s">
        <v>468</v>
      </c>
      <c r="E2" s="121" t="s">
        <v>467</v>
      </c>
      <c r="F2" s="121" t="s">
        <v>81</v>
      </c>
      <c r="G2" s="121" t="s">
        <v>82</v>
      </c>
      <c r="H2" s="121" t="s">
        <v>83</v>
      </c>
      <c r="I2" s="122" t="s">
        <v>2</v>
      </c>
      <c r="J2" s="121" t="s">
        <v>217</v>
      </c>
      <c r="K2" s="121" t="s">
        <v>39</v>
      </c>
      <c r="L2" s="120" t="s">
        <v>5</v>
      </c>
      <c r="M2" s="118" t="s">
        <v>427</v>
      </c>
      <c r="N2" s="119" t="s">
        <v>41</v>
      </c>
      <c r="O2" s="119" t="s">
        <v>535</v>
      </c>
      <c r="P2" s="119" t="s">
        <v>536</v>
      </c>
      <c r="Q2" s="114" t="s">
        <v>403</v>
      </c>
      <c r="R2" s="117" t="s">
        <v>479</v>
      </c>
      <c r="S2" s="118" t="s">
        <v>430</v>
      </c>
      <c r="T2" s="117" t="s">
        <v>431</v>
      </c>
      <c r="U2" s="117" t="s">
        <v>432</v>
      </c>
      <c r="V2" s="117" t="s">
        <v>208</v>
      </c>
      <c r="W2" s="117" t="s">
        <v>12</v>
      </c>
      <c r="X2" s="117" t="s">
        <v>573</v>
      </c>
      <c r="Y2" s="117" t="s">
        <v>471</v>
      </c>
      <c r="Z2" s="117" t="s">
        <v>433</v>
      </c>
      <c r="AA2" s="117" t="s">
        <v>15</v>
      </c>
      <c r="AB2" s="116" t="s">
        <v>17</v>
      </c>
      <c r="AC2" s="116" t="s">
        <v>18</v>
      </c>
      <c r="AD2" s="116" t="s">
        <v>434</v>
      </c>
      <c r="AE2" s="116" t="s">
        <v>435</v>
      </c>
      <c r="AF2" s="116" t="s">
        <v>436</v>
      </c>
      <c r="AG2" s="115" t="s">
        <v>46</v>
      </c>
      <c r="AH2" s="115" t="s">
        <v>19</v>
      </c>
      <c r="AI2" s="115" t="s">
        <v>20</v>
      </c>
      <c r="AJ2" s="115" t="s">
        <v>170</v>
      </c>
      <c r="AK2" s="115" t="s">
        <v>241</v>
      </c>
      <c r="AL2" s="114" t="s">
        <v>324</v>
      </c>
      <c r="AM2" s="113" t="s">
        <v>482</v>
      </c>
      <c r="AN2" s="113" t="s">
        <v>481</v>
      </c>
      <c r="AO2" s="118" t="s">
        <v>612</v>
      </c>
      <c r="AP2" s="118" t="s">
        <v>613</v>
      </c>
      <c r="AQ2" s="113" t="s">
        <v>614</v>
      </c>
      <c r="AR2" s="113" t="s">
        <v>615</v>
      </c>
      <c r="AS2" s="113" t="s">
        <v>616</v>
      </c>
      <c r="AT2" s="113" t="s">
        <v>617</v>
      </c>
      <c r="AU2" s="113" t="s">
        <v>618</v>
      </c>
      <c r="AV2" s="113" t="s">
        <v>619</v>
      </c>
      <c r="AW2" s="113" t="s">
        <v>620</v>
      </c>
      <c r="AX2" s="113" t="s">
        <v>665</v>
      </c>
      <c r="AY2" s="113" t="s">
        <v>623</v>
      </c>
    </row>
    <row r="3" spans="1:53" ht="39.950000000000003" hidden="1" customHeight="1" x14ac:dyDescent="0.2">
      <c r="A3" s="111" t="s">
        <v>25</v>
      </c>
      <c r="B3" s="65" t="s">
        <v>24</v>
      </c>
      <c r="C3" s="110" t="s">
        <v>34</v>
      </c>
      <c r="D3" s="16" t="s">
        <v>34</v>
      </c>
      <c r="E3" s="130" t="s">
        <v>34</v>
      </c>
      <c r="F3" s="14" t="s">
        <v>543</v>
      </c>
      <c r="G3" s="14" t="s">
        <v>97</v>
      </c>
      <c r="H3" s="66" t="s">
        <v>98</v>
      </c>
      <c r="I3" s="66" t="s">
        <v>26</v>
      </c>
      <c r="J3" s="66" t="s">
        <v>26</v>
      </c>
      <c r="K3" s="13" t="s">
        <v>45</v>
      </c>
      <c r="L3" s="65" t="s">
        <v>191</v>
      </c>
      <c r="M3" s="65" t="s">
        <v>323</v>
      </c>
      <c r="N3" s="65" t="s">
        <v>43</v>
      </c>
      <c r="O3" s="65" t="s">
        <v>531</v>
      </c>
      <c r="P3" s="65" t="s">
        <v>534</v>
      </c>
      <c r="Q3" s="64" t="s">
        <v>8</v>
      </c>
      <c r="R3" s="62">
        <v>10000</v>
      </c>
      <c r="S3" s="150">
        <v>10000</v>
      </c>
      <c r="T3" s="62">
        <v>6881.63</v>
      </c>
      <c r="U3" s="62">
        <v>32395.415789999999</v>
      </c>
      <c r="V3" s="62">
        <v>782554.47</v>
      </c>
      <c r="W3" s="61" t="s">
        <v>11</v>
      </c>
      <c r="X3" s="181">
        <v>1.6666666666666666E-2</v>
      </c>
      <c r="Y3" s="105">
        <v>41884</v>
      </c>
      <c r="Z3" s="60">
        <v>44806</v>
      </c>
      <c r="AA3" s="60">
        <v>45173</v>
      </c>
      <c r="AB3" s="58">
        <v>3290</v>
      </c>
      <c r="AC3" s="59" t="s">
        <v>10</v>
      </c>
      <c r="AD3" s="58">
        <v>704</v>
      </c>
      <c r="AE3" s="57">
        <v>1.9287671232876713</v>
      </c>
      <c r="AF3" s="56"/>
      <c r="AG3" s="71" t="s">
        <v>1</v>
      </c>
      <c r="AH3" s="71" t="s">
        <v>1</v>
      </c>
      <c r="AI3" s="71" t="s">
        <v>250</v>
      </c>
      <c r="AJ3" s="11" t="s">
        <v>0</v>
      </c>
      <c r="AK3" s="11" t="s">
        <v>271</v>
      </c>
      <c r="AL3" s="14" t="s">
        <v>327</v>
      </c>
      <c r="AM3" s="11">
        <v>25104.400000000001</v>
      </c>
      <c r="AN3" s="11">
        <v>45000</v>
      </c>
      <c r="AO3" s="197" t="s">
        <v>34</v>
      </c>
      <c r="AP3" s="198" t="s">
        <v>543</v>
      </c>
      <c r="AS3" s="212">
        <v>0</v>
      </c>
      <c r="AT3" s="212">
        <v>825.79560000000004</v>
      </c>
      <c r="AU3" s="212" t="b">
        <v>0</v>
      </c>
      <c r="AV3" s="212"/>
      <c r="AW3" s="212">
        <v>0</v>
      </c>
      <c r="AX3" s="212">
        <v>0</v>
      </c>
      <c r="BA3" s="11">
        <v>0</v>
      </c>
    </row>
    <row r="4" spans="1:53" ht="39.950000000000003" hidden="1" customHeight="1" x14ac:dyDescent="0.2">
      <c r="A4" s="87" t="s">
        <v>27</v>
      </c>
      <c r="B4" s="100" t="s">
        <v>24</v>
      </c>
      <c r="C4" s="104" t="s">
        <v>34</v>
      </c>
      <c r="D4" s="103" t="s">
        <v>34</v>
      </c>
      <c r="E4" s="170" t="s">
        <v>34</v>
      </c>
      <c r="F4" s="104" t="s">
        <v>544</v>
      </c>
      <c r="G4" s="104" t="s">
        <v>117</v>
      </c>
      <c r="H4" s="109" t="s">
        <v>118</v>
      </c>
      <c r="I4" s="104" t="s">
        <v>28</v>
      </c>
      <c r="J4" s="104" t="s">
        <v>28</v>
      </c>
      <c r="K4" s="103" t="s">
        <v>13</v>
      </c>
      <c r="L4" s="100" t="s">
        <v>40</v>
      </c>
      <c r="M4" s="100"/>
      <c r="N4" s="100" t="s">
        <v>42</v>
      </c>
      <c r="O4" s="100" t="s">
        <v>533</v>
      </c>
      <c r="P4" s="100" t="s">
        <v>532</v>
      </c>
      <c r="Q4" s="99" t="s">
        <v>8</v>
      </c>
      <c r="R4" s="97">
        <v>3323.194</v>
      </c>
      <c r="S4" s="158" t="s">
        <v>4</v>
      </c>
      <c r="T4" s="97">
        <v>3323.194</v>
      </c>
      <c r="U4" s="97">
        <v>3323.194</v>
      </c>
      <c r="V4" s="97">
        <v>505185.27</v>
      </c>
      <c r="W4" s="96" t="s">
        <v>11</v>
      </c>
      <c r="X4" s="182">
        <v>2.2499999999999999E-2</v>
      </c>
      <c r="Y4" s="108">
        <v>42065</v>
      </c>
      <c r="Z4" s="95">
        <v>44530</v>
      </c>
      <c r="AA4" s="95">
        <v>44530</v>
      </c>
      <c r="AB4" s="93">
        <v>2465</v>
      </c>
      <c r="AC4" s="94" t="s">
        <v>10</v>
      </c>
      <c r="AD4" s="93">
        <v>61</v>
      </c>
      <c r="AE4" s="92">
        <v>0.16712328767123288</v>
      </c>
      <c r="AF4" s="91"/>
      <c r="AG4" s="90" t="s">
        <v>1</v>
      </c>
      <c r="AH4" s="90" t="s">
        <v>1</v>
      </c>
      <c r="AI4" s="89" t="s">
        <v>0</v>
      </c>
      <c r="AJ4" s="11" t="s">
        <v>0</v>
      </c>
      <c r="AK4" s="107" t="s">
        <v>271</v>
      </c>
      <c r="AL4" s="87"/>
      <c r="AO4" s="197" t="s">
        <v>34</v>
      </c>
      <c r="AP4" s="198" t="s">
        <v>544</v>
      </c>
      <c r="AS4" s="212">
        <v>0</v>
      </c>
      <c r="AT4" s="212">
        <v>398.78327999999999</v>
      </c>
      <c r="AU4" s="212" t="b">
        <v>0</v>
      </c>
      <c r="AV4" s="212"/>
      <c r="AW4" s="212">
        <v>0</v>
      </c>
      <c r="AX4" s="212">
        <v>0</v>
      </c>
      <c r="BA4" s="11">
        <v>0</v>
      </c>
    </row>
    <row r="5" spans="1:53" ht="39.950000000000003" customHeight="1" x14ac:dyDescent="0.2">
      <c r="A5" s="13" t="s">
        <v>30</v>
      </c>
      <c r="B5" s="65" t="s">
        <v>24</v>
      </c>
      <c r="C5" s="66" t="s">
        <v>34</v>
      </c>
      <c r="D5" s="13" t="s">
        <v>34</v>
      </c>
      <c r="E5" s="130" t="s">
        <v>34</v>
      </c>
      <c r="F5" s="66" t="s">
        <v>545</v>
      </c>
      <c r="G5" s="66" t="s">
        <v>85</v>
      </c>
      <c r="H5" s="66" t="s">
        <v>99</v>
      </c>
      <c r="I5" s="66" t="s">
        <v>21</v>
      </c>
      <c r="J5" s="66" t="s">
        <v>21</v>
      </c>
      <c r="K5" s="13" t="s">
        <v>139</v>
      </c>
      <c r="L5" s="65" t="s">
        <v>191</v>
      </c>
      <c r="M5" s="65" t="s">
        <v>323</v>
      </c>
      <c r="N5" s="65" t="s">
        <v>43</v>
      </c>
      <c r="O5" s="65" t="s">
        <v>538</v>
      </c>
      <c r="P5" s="65" t="s">
        <v>534</v>
      </c>
      <c r="Q5" s="64" t="s">
        <v>8</v>
      </c>
      <c r="R5" s="62">
        <v>25000</v>
      </c>
      <c r="S5" s="150">
        <v>22694.903999999999</v>
      </c>
      <c r="T5" s="62">
        <v>22694.903999999999</v>
      </c>
      <c r="U5" s="62">
        <v>50000</v>
      </c>
      <c r="V5" s="62">
        <v>2717895.94</v>
      </c>
      <c r="W5" s="61" t="s">
        <v>551</v>
      </c>
      <c r="X5" s="181">
        <v>2.7500000000000004E-2</v>
      </c>
      <c r="Y5" s="105">
        <v>42152</v>
      </c>
      <c r="Z5" s="105">
        <v>45441</v>
      </c>
      <c r="AA5" s="60">
        <v>45441</v>
      </c>
      <c r="AB5" s="58">
        <v>3290</v>
      </c>
      <c r="AC5" s="59" t="s">
        <v>10</v>
      </c>
      <c r="AD5" s="58">
        <v>972</v>
      </c>
      <c r="AE5" s="57">
        <v>2.6630136986301371</v>
      </c>
      <c r="AF5" s="56" t="s">
        <v>436</v>
      </c>
      <c r="AG5" s="71" t="s">
        <v>1</v>
      </c>
      <c r="AH5" s="71" t="s">
        <v>1</v>
      </c>
      <c r="AI5" s="71" t="s">
        <v>0</v>
      </c>
      <c r="AJ5" s="11" t="s">
        <v>0</v>
      </c>
      <c r="AK5" s="11" t="s">
        <v>271</v>
      </c>
      <c r="AL5" s="13" t="s">
        <v>328</v>
      </c>
      <c r="AM5" s="11">
        <v>15700</v>
      </c>
      <c r="AN5" s="213">
        <v>50000</v>
      </c>
      <c r="AO5" s="197" t="s">
        <v>34</v>
      </c>
      <c r="AP5" s="198" t="s">
        <v>545</v>
      </c>
      <c r="AQ5" s="199">
        <v>1</v>
      </c>
      <c r="AR5" s="214">
        <v>0.05</v>
      </c>
      <c r="AS5" s="212">
        <v>1134.7452000000001</v>
      </c>
      <c r="AT5" s="212">
        <v>2723.3884799999996</v>
      </c>
      <c r="AU5" s="212">
        <v>544.67769599999997</v>
      </c>
      <c r="AV5" s="212"/>
      <c r="AW5" s="212">
        <v>1134.7452000000001</v>
      </c>
      <c r="AX5" s="212">
        <v>1134.7452000000001</v>
      </c>
      <c r="AY5" s="12"/>
      <c r="BA5" s="11">
        <v>1134.7452000000001</v>
      </c>
    </row>
    <row r="6" spans="1:53" ht="39.950000000000003" hidden="1" customHeight="1" x14ac:dyDescent="0.2">
      <c r="A6" s="14" t="s">
        <v>31</v>
      </c>
      <c r="B6" s="65" t="s">
        <v>23</v>
      </c>
      <c r="C6" s="66" t="s">
        <v>34</v>
      </c>
      <c r="D6" s="13" t="s">
        <v>34</v>
      </c>
      <c r="E6" s="130" t="s">
        <v>34</v>
      </c>
      <c r="F6" s="66" t="s">
        <v>106</v>
      </c>
      <c r="G6" s="66" t="s">
        <v>106</v>
      </c>
      <c r="H6" s="66" t="s">
        <v>129</v>
      </c>
      <c r="I6" s="66" t="s">
        <v>3</v>
      </c>
      <c r="J6" s="66" t="s">
        <v>3</v>
      </c>
      <c r="K6" s="13" t="s">
        <v>13</v>
      </c>
      <c r="L6" s="65" t="s">
        <v>191</v>
      </c>
      <c r="M6" s="65" t="s">
        <v>323</v>
      </c>
      <c r="N6" s="13" t="s">
        <v>42</v>
      </c>
      <c r="O6" s="13" t="s">
        <v>538</v>
      </c>
      <c r="P6" s="13" t="s">
        <v>532</v>
      </c>
      <c r="Q6" s="64" t="s">
        <v>8</v>
      </c>
      <c r="R6" s="62">
        <v>18000</v>
      </c>
      <c r="S6" s="76">
        <v>18000</v>
      </c>
      <c r="T6" s="150">
        <v>1147.1866</v>
      </c>
      <c r="U6" s="62">
        <v>1147.1866</v>
      </c>
      <c r="V6" s="150">
        <v>2716834.5552336448</v>
      </c>
      <c r="W6" s="61" t="s">
        <v>11</v>
      </c>
      <c r="X6" s="181">
        <v>2.75E-2</v>
      </c>
      <c r="Y6" s="60">
        <v>42339</v>
      </c>
      <c r="Z6" s="105">
        <v>43465</v>
      </c>
      <c r="AA6" s="105">
        <v>44616</v>
      </c>
      <c r="AB6" s="58">
        <v>2278</v>
      </c>
      <c r="AC6" s="59" t="s">
        <v>10</v>
      </c>
      <c r="AD6" s="58">
        <v>147</v>
      </c>
      <c r="AE6" s="57">
        <v>0.40273972602739727</v>
      </c>
      <c r="AF6" s="56"/>
      <c r="AG6" s="152" t="s">
        <v>1</v>
      </c>
      <c r="AH6" s="152" t="s">
        <v>1</v>
      </c>
      <c r="AI6" s="152" t="s">
        <v>599</v>
      </c>
      <c r="AJ6" s="11" t="s">
        <v>0</v>
      </c>
      <c r="AK6" s="11" t="s">
        <v>271</v>
      </c>
      <c r="AL6" s="14" t="s">
        <v>329</v>
      </c>
      <c r="AM6" s="11">
        <v>13812.1</v>
      </c>
      <c r="AO6" s="197" t="s">
        <v>34</v>
      </c>
      <c r="AP6" s="198" t="s">
        <v>106</v>
      </c>
      <c r="AS6" s="212">
        <v>0</v>
      </c>
      <c r="AT6" s="212">
        <v>137.66239199999998</v>
      </c>
      <c r="AU6" s="212" t="b">
        <v>0</v>
      </c>
      <c r="AV6" s="212"/>
      <c r="AW6" s="212">
        <v>0</v>
      </c>
      <c r="AX6" s="212">
        <v>0</v>
      </c>
      <c r="BA6" s="11">
        <v>0</v>
      </c>
    </row>
    <row r="7" spans="1:53" ht="39.950000000000003" hidden="1" customHeight="1" x14ac:dyDescent="0.2">
      <c r="A7" s="13" t="s">
        <v>57</v>
      </c>
      <c r="B7" s="65" t="s">
        <v>24</v>
      </c>
      <c r="C7" s="66" t="s">
        <v>89</v>
      </c>
      <c r="D7" s="13" t="s">
        <v>542</v>
      </c>
      <c r="E7" s="77" t="s">
        <v>89</v>
      </c>
      <c r="F7" s="14" t="s">
        <v>92</v>
      </c>
      <c r="G7" s="14" t="s">
        <v>108</v>
      </c>
      <c r="H7" s="66" t="s">
        <v>109</v>
      </c>
      <c r="I7" s="66" t="s">
        <v>58</v>
      </c>
      <c r="J7" s="66" t="s">
        <v>220</v>
      </c>
      <c r="K7" s="13" t="s">
        <v>29</v>
      </c>
      <c r="L7" s="65" t="s">
        <v>191</v>
      </c>
      <c r="M7" s="13" t="s">
        <v>59</v>
      </c>
      <c r="N7" s="65" t="s">
        <v>43</v>
      </c>
      <c r="O7" s="65" t="s">
        <v>539</v>
      </c>
      <c r="P7" s="65" t="s">
        <v>534</v>
      </c>
      <c r="Q7" s="64" t="s">
        <v>59</v>
      </c>
      <c r="R7" s="62">
        <v>23630.625290376327</v>
      </c>
      <c r="S7" s="63">
        <v>11187.5</v>
      </c>
      <c r="T7" s="150">
        <v>12538.22714237652</v>
      </c>
      <c r="U7" s="62">
        <v>64569.744659994605</v>
      </c>
      <c r="V7" s="150">
        <v>825513.06493215205</v>
      </c>
      <c r="W7" s="61" t="s">
        <v>551</v>
      </c>
      <c r="X7" s="181">
        <v>1.6666666666666666E-2</v>
      </c>
      <c r="Y7" s="60">
        <v>42877</v>
      </c>
      <c r="Z7" s="60">
        <v>43242</v>
      </c>
      <c r="AA7" s="60">
        <v>44703</v>
      </c>
      <c r="AB7" s="58">
        <v>1827</v>
      </c>
      <c r="AC7" s="59" t="s">
        <v>10</v>
      </c>
      <c r="AD7" s="58">
        <v>234</v>
      </c>
      <c r="AE7" s="57">
        <v>0.64109589041095894</v>
      </c>
      <c r="AF7" s="56"/>
      <c r="AG7" s="71" t="s">
        <v>1</v>
      </c>
      <c r="AH7" s="71" t="s">
        <v>1</v>
      </c>
      <c r="AI7" s="71" t="s">
        <v>251</v>
      </c>
      <c r="AJ7" s="11" t="s">
        <v>0</v>
      </c>
      <c r="AK7" s="11" t="s">
        <v>271</v>
      </c>
      <c r="AL7" s="13" t="s">
        <v>330</v>
      </c>
      <c r="AM7" s="11">
        <v>29400</v>
      </c>
      <c r="AN7" s="11">
        <v>60000</v>
      </c>
      <c r="AO7" s="197" t="s">
        <v>89</v>
      </c>
      <c r="AP7" s="198" t="s">
        <v>92</v>
      </c>
      <c r="AS7" s="212">
        <v>0</v>
      </c>
      <c r="AT7" s="212">
        <v>1504.5872570851823</v>
      </c>
      <c r="AU7" s="212" t="b">
        <v>0</v>
      </c>
      <c r="AV7" s="212"/>
      <c r="AW7" s="212">
        <v>0</v>
      </c>
      <c r="AX7" s="212">
        <v>0</v>
      </c>
      <c r="BA7" s="11">
        <v>0</v>
      </c>
    </row>
    <row r="8" spans="1:53" ht="39.950000000000003" hidden="1" customHeight="1" x14ac:dyDescent="0.2">
      <c r="A8" s="13" t="s">
        <v>62</v>
      </c>
      <c r="B8" s="65" t="s">
        <v>24</v>
      </c>
      <c r="C8" s="66" t="s">
        <v>37</v>
      </c>
      <c r="D8" s="13" t="s">
        <v>540</v>
      </c>
      <c r="E8" s="77" t="s">
        <v>90</v>
      </c>
      <c r="F8" s="14" t="s">
        <v>102</v>
      </c>
      <c r="G8" s="14" t="s">
        <v>102</v>
      </c>
      <c r="H8" s="66" t="s">
        <v>110</v>
      </c>
      <c r="I8" s="66" t="s">
        <v>55</v>
      </c>
      <c r="J8" s="66" t="s">
        <v>218</v>
      </c>
      <c r="K8" s="13" t="s">
        <v>101</v>
      </c>
      <c r="L8" s="65" t="s">
        <v>191</v>
      </c>
      <c r="M8" s="13" t="s">
        <v>323</v>
      </c>
      <c r="N8" s="13" t="s">
        <v>43</v>
      </c>
      <c r="O8" s="13" t="s">
        <v>531</v>
      </c>
      <c r="P8" s="13" t="s">
        <v>534</v>
      </c>
      <c r="Q8" s="64" t="s">
        <v>59</v>
      </c>
      <c r="R8" s="62">
        <v>32041.525817459427</v>
      </c>
      <c r="S8" s="63">
        <v>20000</v>
      </c>
      <c r="T8" s="62">
        <v>32041.525817459427</v>
      </c>
      <c r="U8" s="62">
        <v>160207.62908729713</v>
      </c>
      <c r="V8" s="62">
        <v>2121289.9918294107</v>
      </c>
      <c r="W8" s="61" t="s">
        <v>11</v>
      </c>
      <c r="X8" s="181">
        <v>2.2166666666666668E-2</v>
      </c>
      <c r="Y8" s="60">
        <v>42879</v>
      </c>
      <c r="Z8" s="60">
        <v>44705</v>
      </c>
      <c r="AA8" s="105">
        <v>44721</v>
      </c>
      <c r="AB8" s="58">
        <v>1843</v>
      </c>
      <c r="AC8" s="59" t="s">
        <v>10</v>
      </c>
      <c r="AD8" s="58">
        <v>252</v>
      </c>
      <c r="AE8" s="57">
        <v>0.69041095890410964</v>
      </c>
      <c r="AF8" s="56"/>
      <c r="AG8" s="71" t="s">
        <v>1</v>
      </c>
      <c r="AH8" s="71" t="s">
        <v>1</v>
      </c>
      <c r="AI8" s="71" t="s">
        <v>0</v>
      </c>
      <c r="AJ8" s="11" t="s">
        <v>0</v>
      </c>
      <c r="AK8" s="11" t="s">
        <v>271</v>
      </c>
      <c r="AL8" s="13" t="s">
        <v>331</v>
      </c>
      <c r="AM8" s="11">
        <v>10000</v>
      </c>
      <c r="AN8" s="11">
        <v>120000</v>
      </c>
      <c r="AO8" s="197" t="s">
        <v>90</v>
      </c>
      <c r="AP8" s="198" t="s">
        <v>102</v>
      </c>
      <c r="AS8" s="212">
        <v>0</v>
      </c>
      <c r="AT8" s="212">
        <v>3844.983098095131</v>
      </c>
      <c r="AU8" s="212" t="b">
        <v>0</v>
      </c>
      <c r="AV8" s="212"/>
      <c r="AW8" s="212">
        <v>0</v>
      </c>
      <c r="AX8" s="212">
        <v>0</v>
      </c>
      <c r="BA8" s="11">
        <v>0</v>
      </c>
    </row>
    <row r="9" spans="1:53" ht="39.950000000000003" hidden="1" customHeight="1" x14ac:dyDescent="0.2">
      <c r="A9" s="13" t="s">
        <v>64</v>
      </c>
      <c r="B9" s="65" t="s">
        <v>24</v>
      </c>
      <c r="C9" s="66" t="s">
        <v>37</v>
      </c>
      <c r="D9" s="13" t="s">
        <v>34</v>
      </c>
      <c r="E9" s="77" t="s">
        <v>34</v>
      </c>
      <c r="F9" s="14" t="s">
        <v>104</v>
      </c>
      <c r="G9" s="14" t="s">
        <v>111</v>
      </c>
      <c r="H9" s="14" t="s">
        <v>113</v>
      </c>
      <c r="I9" s="146" t="s">
        <v>526</v>
      </c>
      <c r="J9" s="66" t="s">
        <v>221</v>
      </c>
      <c r="K9" s="13" t="s">
        <v>140</v>
      </c>
      <c r="L9" s="65" t="s">
        <v>191</v>
      </c>
      <c r="M9" s="13" t="s">
        <v>323</v>
      </c>
      <c r="N9" s="13" t="s">
        <v>43</v>
      </c>
      <c r="O9" s="13" t="s">
        <v>531</v>
      </c>
      <c r="P9" s="165" t="s">
        <v>534</v>
      </c>
      <c r="Q9" s="156" t="s">
        <v>9</v>
      </c>
      <c r="R9" s="73">
        <v>13842.746400885935</v>
      </c>
      <c r="S9" s="63">
        <v>24999</v>
      </c>
      <c r="T9" s="62">
        <v>34605.481727574748</v>
      </c>
      <c r="U9" s="62">
        <v>207641.19601328904</v>
      </c>
      <c r="V9" s="62">
        <v>1281151.7857142857</v>
      </c>
      <c r="W9" s="106" t="s">
        <v>11</v>
      </c>
      <c r="X9" s="181">
        <v>1.6E-2</v>
      </c>
      <c r="Y9" s="60">
        <v>42909</v>
      </c>
      <c r="Z9" s="60">
        <v>45100</v>
      </c>
      <c r="AA9" s="157">
        <v>45152</v>
      </c>
      <c r="AB9" s="58">
        <v>2243</v>
      </c>
      <c r="AC9" s="59" t="s">
        <v>10</v>
      </c>
      <c r="AD9" s="58">
        <v>683</v>
      </c>
      <c r="AE9" s="57">
        <v>1.8712328767123287</v>
      </c>
      <c r="AF9" s="56"/>
      <c r="AG9" s="71" t="s">
        <v>1</v>
      </c>
      <c r="AH9" s="71" t="s">
        <v>1</v>
      </c>
      <c r="AI9" s="70" t="s">
        <v>267</v>
      </c>
      <c r="AJ9" s="11" t="s">
        <v>0</v>
      </c>
      <c r="AK9" s="11" t="s">
        <v>271</v>
      </c>
      <c r="AL9" s="13" t="s">
        <v>332</v>
      </c>
      <c r="AM9" s="11">
        <v>12500</v>
      </c>
      <c r="AN9" s="11">
        <v>90000</v>
      </c>
      <c r="AO9" s="197" t="s">
        <v>34</v>
      </c>
      <c r="AP9" s="198" t="s">
        <v>104</v>
      </c>
      <c r="AS9" s="212">
        <v>0</v>
      </c>
      <c r="AT9" s="212">
        <v>4152.6578073089695</v>
      </c>
      <c r="AU9" s="212" t="b">
        <v>0</v>
      </c>
      <c r="AV9" s="212"/>
      <c r="AW9" s="212">
        <v>0</v>
      </c>
      <c r="AX9" s="212">
        <v>0</v>
      </c>
      <c r="BA9" s="11">
        <v>0</v>
      </c>
    </row>
    <row r="10" spans="1:53" ht="39.950000000000003" customHeight="1" x14ac:dyDescent="0.2">
      <c r="A10" s="13" t="s">
        <v>65</v>
      </c>
      <c r="B10" s="65" t="s">
        <v>24</v>
      </c>
      <c r="C10" s="66" t="s">
        <v>38</v>
      </c>
      <c r="D10" s="13" t="s">
        <v>540</v>
      </c>
      <c r="E10" s="130" t="s">
        <v>35</v>
      </c>
      <c r="F10" s="14" t="s">
        <v>106</v>
      </c>
      <c r="G10" s="14" t="s">
        <v>106</v>
      </c>
      <c r="H10" s="66" t="s">
        <v>107</v>
      </c>
      <c r="I10" s="14" t="s">
        <v>300</v>
      </c>
      <c r="J10" s="66" t="s">
        <v>218</v>
      </c>
      <c r="K10" s="13" t="s">
        <v>101</v>
      </c>
      <c r="L10" s="65" t="s">
        <v>191</v>
      </c>
      <c r="M10" s="13" t="s">
        <v>323</v>
      </c>
      <c r="N10" s="65" t="s">
        <v>43</v>
      </c>
      <c r="O10" s="65" t="s">
        <v>531</v>
      </c>
      <c r="P10" s="65" t="s">
        <v>534</v>
      </c>
      <c r="Q10" s="64" t="s">
        <v>66</v>
      </c>
      <c r="R10" s="73">
        <v>18639.328984156571</v>
      </c>
      <c r="S10" s="63">
        <v>650000</v>
      </c>
      <c r="T10" s="150">
        <v>12115.563839701772</v>
      </c>
      <c r="U10" s="62">
        <v>108968.3848304538</v>
      </c>
      <c r="V10" s="150">
        <v>2603783.5601118361</v>
      </c>
      <c r="W10" s="106" t="s">
        <v>551</v>
      </c>
      <c r="X10" s="181">
        <v>5.9166666666666666E-2</v>
      </c>
      <c r="Y10" s="105">
        <v>43013</v>
      </c>
      <c r="Z10" s="60">
        <v>44839</v>
      </c>
      <c r="AA10" s="60">
        <v>44846</v>
      </c>
      <c r="AB10" s="58">
        <v>1833</v>
      </c>
      <c r="AC10" s="59" t="s">
        <v>10</v>
      </c>
      <c r="AD10" s="58">
        <v>377</v>
      </c>
      <c r="AE10" s="57">
        <v>1.0328767123287672</v>
      </c>
      <c r="AF10" s="56"/>
      <c r="AG10" s="71" t="s">
        <v>1</v>
      </c>
      <c r="AH10" s="71" t="s">
        <v>1</v>
      </c>
      <c r="AI10" s="70" t="s">
        <v>600</v>
      </c>
      <c r="AJ10" s="11" t="s">
        <v>0</v>
      </c>
      <c r="AK10" s="11" t="s">
        <v>271</v>
      </c>
      <c r="AL10" s="13" t="s">
        <v>333</v>
      </c>
      <c r="AM10" s="11">
        <v>50222.729999999996</v>
      </c>
      <c r="AO10" s="197" t="s">
        <v>35</v>
      </c>
      <c r="AP10" s="198" t="s">
        <v>106</v>
      </c>
      <c r="AQ10" s="11">
        <v>1</v>
      </c>
      <c r="AR10" s="214">
        <v>0.1</v>
      </c>
      <c r="AS10" s="212">
        <v>1211.5563839701772</v>
      </c>
      <c r="AT10" s="212">
        <v>1453.8676607642126</v>
      </c>
      <c r="AU10" s="212" t="b">
        <v>0</v>
      </c>
      <c r="AV10" s="212"/>
      <c r="AW10" s="212">
        <v>1211.5563839701772</v>
      </c>
      <c r="AX10" s="212">
        <v>605.7781919850886</v>
      </c>
      <c r="AY10" s="12" t="s">
        <v>666</v>
      </c>
      <c r="BA10" s="11">
        <v>605.7781919850886</v>
      </c>
    </row>
    <row r="11" spans="1:53" ht="39.950000000000003" hidden="1" customHeight="1" x14ac:dyDescent="0.2">
      <c r="A11" s="14" t="s">
        <v>207</v>
      </c>
      <c r="B11" s="65" t="s">
        <v>51</v>
      </c>
      <c r="C11" s="66" t="s">
        <v>127</v>
      </c>
      <c r="D11" s="13" t="s">
        <v>542</v>
      </c>
      <c r="E11" s="130" t="s">
        <v>127</v>
      </c>
      <c r="F11" s="66" t="s">
        <v>102</v>
      </c>
      <c r="G11" s="66" t="s">
        <v>102</v>
      </c>
      <c r="H11" s="66" t="s">
        <v>122</v>
      </c>
      <c r="I11" s="14" t="s">
        <v>158</v>
      </c>
      <c r="J11" s="66" t="s">
        <v>220</v>
      </c>
      <c r="K11" s="13" t="s">
        <v>101</v>
      </c>
      <c r="L11" s="65" t="s">
        <v>191</v>
      </c>
      <c r="M11" s="65" t="s">
        <v>59</v>
      </c>
      <c r="N11" s="65" t="s">
        <v>43</v>
      </c>
      <c r="O11" s="65" t="s">
        <v>533</v>
      </c>
      <c r="P11" s="65" t="s">
        <v>534</v>
      </c>
      <c r="Q11" s="64" t="s">
        <v>59</v>
      </c>
      <c r="R11" s="62">
        <v>32041.525817459427</v>
      </c>
      <c r="S11" s="63">
        <v>20000</v>
      </c>
      <c r="T11" s="62">
        <v>32041.525817459427</v>
      </c>
      <c r="U11" s="62">
        <v>280363.35090277001</v>
      </c>
      <c r="V11" s="62">
        <v>2443699.8349861419</v>
      </c>
      <c r="W11" s="61" t="s">
        <v>551</v>
      </c>
      <c r="X11" s="181">
        <v>0.01</v>
      </c>
      <c r="Y11" s="105">
        <v>43070</v>
      </c>
      <c r="Z11" s="60">
        <v>46689</v>
      </c>
      <c r="AA11" s="60">
        <v>46689</v>
      </c>
      <c r="AB11" s="58">
        <v>3620</v>
      </c>
      <c r="AC11" s="59" t="s">
        <v>10</v>
      </c>
      <c r="AD11" s="58">
        <v>2220</v>
      </c>
      <c r="AE11" s="57">
        <v>6.0821917808219181</v>
      </c>
      <c r="AF11" s="56"/>
      <c r="AG11" s="71" t="s">
        <v>1</v>
      </c>
      <c r="AH11" s="71" t="s">
        <v>1</v>
      </c>
      <c r="AI11" s="71" t="s">
        <v>0</v>
      </c>
      <c r="AJ11" s="11" t="s">
        <v>0</v>
      </c>
      <c r="AK11" s="11" t="s">
        <v>271</v>
      </c>
      <c r="AL11" s="14" t="s">
        <v>334</v>
      </c>
      <c r="AM11" s="11">
        <v>16300</v>
      </c>
      <c r="AO11" s="197" t="s">
        <v>127</v>
      </c>
      <c r="AP11" s="198" t="s">
        <v>102</v>
      </c>
      <c r="AS11" s="212">
        <v>0</v>
      </c>
      <c r="AT11" s="212">
        <v>3844.983098095131</v>
      </c>
      <c r="AU11" s="212" t="b">
        <v>0</v>
      </c>
      <c r="AV11" s="212"/>
      <c r="AW11" s="212">
        <v>0</v>
      </c>
      <c r="AX11" s="212">
        <v>0</v>
      </c>
      <c r="BA11" s="11">
        <v>0</v>
      </c>
    </row>
    <row r="12" spans="1:53" ht="39.950000000000003" hidden="1" customHeight="1" x14ac:dyDescent="0.2">
      <c r="A12" s="14" t="s">
        <v>69</v>
      </c>
      <c r="B12" s="65" t="s">
        <v>23</v>
      </c>
      <c r="C12" s="66" t="s">
        <v>47</v>
      </c>
      <c r="D12" s="13" t="s">
        <v>469</v>
      </c>
      <c r="E12" s="77" t="s">
        <v>128</v>
      </c>
      <c r="F12" s="14" t="s">
        <v>48</v>
      </c>
      <c r="G12" s="14" t="s">
        <v>95</v>
      </c>
      <c r="H12" s="130" t="s">
        <v>447</v>
      </c>
      <c r="I12" s="14" t="s">
        <v>32</v>
      </c>
      <c r="J12" s="14" t="s">
        <v>33</v>
      </c>
      <c r="K12" s="13" t="s">
        <v>140</v>
      </c>
      <c r="L12" s="65" t="s">
        <v>191</v>
      </c>
      <c r="M12" s="13" t="s">
        <v>323</v>
      </c>
      <c r="N12" s="13" t="s">
        <v>43</v>
      </c>
      <c r="O12" s="13" t="s">
        <v>533</v>
      </c>
      <c r="P12" s="13" t="s">
        <v>534</v>
      </c>
      <c r="Q12" s="64" t="s">
        <v>9</v>
      </c>
      <c r="R12" s="62">
        <v>27685.49280177187</v>
      </c>
      <c r="S12" s="63">
        <v>16168</v>
      </c>
      <c r="T12" s="150">
        <v>22380.952380952378</v>
      </c>
      <c r="U12" s="62">
        <v>182378.18383167218</v>
      </c>
      <c r="V12" s="150">
        <v>1712258.1672203764</v>
      </c>
      <c r="W12" s="61" t="s">
        <v>11</v>
      </c>
      <c r="X12" s="181">
        <v>1.9833333333333331E-2</v>
      </c>
      <c r="Y12" s="60">
        <v>43076</v>
      </c>
      <c r="Z12" s="60">
        <v>46751</v>
      </c>
      <c r="AA12" s="60">
        <v>46751</v>
      </c>
      <c r="AB12" s="58">
        <v>3676</v>
      </c>
      <c r="AC12" s="59" t="s">
        <v>10</v>
      </c>
      <c r="AD12" s="58">
        <v>2282</v>
      </c>
      <c r="AE12" s="57">
        <v>6.2520547945205482</v>
      </c>
      <c r="AF12" s="56"/>
      <c r="AG12" s="71" t="s">
        <v>1</v>
      </c>
      <c r="AH12" s="71" t="s">
        <v>1</v>
      </c>
      <c r="AI12" s="70" t="s">
        <v>569</v>
      </c>
      <c r="AJ12" s="11" t="s">
        <v>0</v>
      </c>
      <c r="AK12" s="11" t="s">
        <v>271</v>
      </c>
      <c r="AL12" s="14" t="s">
        <v>326</v>
      </c>
      <c r="AM12" s="11">
        <v>8817.5</v>
      </c>
      <c r="AO12" s="197" t="s">
        <v>128</v>
      </c>
      <c r="AP12" s="198" t="s">
        <v>48</v>
      </c>
      <c r="AS12" s="212">
        <v>0</v>
      </c>
      <c r="AT12" s="212">
        <v>2685.7142857142853</v>
      </c>
      <c r="AU12" s="212" t="b">
        <v>0</v>
      </c>
      <c r="AV12" s="212"/>
      <c r="AW12" s="212">
        <v>0</v>
      </c>
      <c r="AX12" s="212">
        <v>0</v>
      </c>
      <c r="BA12" s="11">
        <v>0</v>
      </c>
    </row>
    <row r="13" spans="1:53" ht="39.950000000000003" customHeight="1" x14ac:dyDescent="0.2">
      <c r="A13" s="13" t="s">
        <v>71</v>
      </c>
      <c r="B13" s="65" t="s">
        <v>23</v>
      </c>
      <c r="C13" s="66" t="s">
        <v>37</v>
      </c>
      <c r="D13" s="13" t="s">
        <v>540</v>
      </c>
      <c r="E13" s="161" t="s">
        <v>36</v>
      </c>
      <c r="F13" s="66" t="s">
        <v>106</v>
      </c>
      <c r="G13" s="66" t="s">
        <v>106</v>
      </c>
      <c r="H13" s="66" t="s">
        <v>107</v>
      </c>
      <c r="I13" s="14" t="s">
        <v>72</v>
      </c>
      <c r="J13" s="66" t="s">
        <v>219</v>
      </c>
      <c r="K13" s="13" t="s">
        <v>29</v>
      </c>
      <c r="L13" s="65" t="s">
        <v>191</v>
      </c>
      <c r="M13" s="13" t="s">
        <v>323</v>
      </c>
      <c r="N13" s="13" t="s">
        <v>43</v>
      </c>
      <c r="O13" s="13" t="s">
        <v>538</v>
      </c>
      <c r="P13" s="13" t="s">
        <v>548</v>
      </c>
      <c r="Q13" s="64" t="s">
        <v>9</v>
      </c>
      <c r="R13" s="62">
        <v>28723.698781838317</v>
      </c>
      <c r="S13" s="63">
        <v>13883.333000000001</v>
      </c>
      <c r="T13" s="150">
        <v>19218.345791805095</v>
      </c>
      <c r="U13" s="62">
        <v>249169.43521594684</v>
      </c>
      <c r="V13" s="150">
        <v>1376499.1694352159</v>
      </c>
      <c r="W13" s="61" t="s">
        <v>11</v>
      </c>
      <c r="X13" s="181">
        <v>3.3000000000000002E-2</v>
      </c>
      <c r="Y13" s="60">
        <v>43178</v>
      </c>
      <c r="Z13" s="60">
        <v>44530</v>
      </c>
      <c r="AA13" s="60">
        <v>44530</v>
      </c>
      <c r="AB13" s="58">
        <v>1353</v>
      </c>
      <c r="AC13" s="59" t="s">
        <v>10</v>
      </c>
      <c r="AD13" s="58">
        <v>61</v>
      </c>
      <c r="AE13" s="57">
        <v>0.16712328767123288</v>
      </c>
      <c r="AF13" s="56"/>
      <c r="AG13" s="71" t="s">
        <v>1</v>
      </c>
      <c r="AH13" s="71" t="s">
        <v>1</v>
      </c>
      <c r="AI13" s="70" t="s">
        <v>598</v>
      </c>
      <c r="AJ13" s="11" t="s">
        <v>0</v>
      </c>
      <c r="AK13" s="11" t="s">
        <v>271</v>
      </c>
      <c r="AL13" s="13" t="s">
        <v>335</v>
      </c>
      <c r="AM13" s="11">
        <v>8921</v>
      </c>
      <c r="AO13" s="197" t="s">
        <v>36</v>
      </c>
      <c r="AP13" s="198" t="s">
        <v>106</v>
      </c>
      <c r="AQ13" s="11">
        <v>1</v>
      </c>
      <c r="AR13" s="214">
        <v>0.05</v>
      </c>
      <c r="AS13" s="212">
        <v>960.91728959025477</v>
      </c>
      <c r="AT13" s="212">
        <v>2306.2014950166113</v>
      </c>
      <c r="AU13" s="212" t="b">
        <v>0</v>
      </c>
      <c r="AV13" s="212"/>
      <c r="AW13" s="212">
        <v>960.91728959025477</v>
      </c>
      <c r="AX13" s="212">
        <v>0</v>
      </c>
      <c r="AY13" s="11" t="s">
        <v>667</v>
      </c>
      <c r="BA13" s="11">
        <v>0</v>
      </c>
    </row>
    <row r="14" spans="1:53" ht="39.950000000000003" hidden="1" customHeight="1" x14ac:dyDescent="0.2">
      <c r="A14" s="13" t="s">
        <v>74</v>
      </c>
      <c r="B14" s="65" t="s">
        <v>24</v>
      </c>
      <c r="C14" s="66" t="s">
        <v>87</v>
      </c>
      <c r="D14" s="13" t="s">
        <v>542</v>
      </c>
      <c r="E14" s="77" t="s">
        <v>91</v>
      </c>
      <c r="F14" s="14" t="s">
        <v>546</v>
      </c>
      <c r="G14" s="14" t="s">
        <v>115</v>
      </c>
      <c r="H14" s="14" t="s">
        <v>115</v>
      </c>
      <c r="I14" s="77" t="s">
        <v>75</v>
      </c>
      <c r="J14" s="77" t="s">
        <v>21</v>
      </c>
      <c r="K14" s="13" t="s">
        <v>29</v>
      </c>
      <c r="L14" s="65" t="s">
        <v>191</v>
      </c>
      <c r="M14" s="13" t="s">
        <v>59</v>
      </c>
      <c r="N14" s="13" t="s">
        <v>43</v>
      </c>
      <c r="O14" s="13" t="s">
        <v>533</v>
      </c>
      <c r="P14" s="13" t="s">
        <v>548</v>
      </c>
      <c r="Q14" s="64" t="s">
        <v>9</v>
      </c>
      <c r="R14" s="62">
        <v>34606.86600221484</v>
      </c>
      <c r="S14" s="63">
        <v>25000</v>
      </c>
      <c r="T14" s="150">
        <v>34606.86600221484</v>
      </c>
      <c r="U14" s="62">
        <v>153808.13953488372</v>
      </c>
      <c r="V14" s="150">
        <v>738279.80343300104</v>
      </c>
      <c r="W14" s="61" t="s">
        <v>11</v>
      </c>
      <c r="X14" s="181">
        <v>5.0000000000000001E-3</v>
      </c>
      <c r="Y14" s="60">
        <v>43182</v>
      </c>
      <c r="Z14" s="60">
        <v>44717</v>
      </c>
      <c r="AA14" s="60">
        <v>44717</v>
      </c>
      <c r="AB14" s="58">
        <v>1536</v>
      </c>
      <c r="AC14" s="59" t="s">
        <v>10</v>
      </c>
      <c r="AD14" s="58">
        <v>248</v>
      </c>
      <c r="AE14" s="57">
        <v>0.67945205479452053</v>
      </c>
      <c r="AF14" s="56"/>
      <c r="AG14" s="152" t="s">
        <v>1</v>
      </c>
      <c r="AH14" s="152" t="s">
        <v>1</v>
      </c>
      <c r="AI14" s="152" t="s">
        <v>0</v>
      </c>
      <c r="AJ14" s="11" t="s">
        <v>0</v>
      </c>
      <c r="AK14" s="154" t="s">
        <v>271</v>
      </c>
      <c r="AL14" s="13" t="s">
        <v>338</v>
      </c>
      <c r="AM14" s="11">
        <v>4600</v>
      </c>
      <c r="AO14" s="197" t="s">
        <v>91</v>
      </c>
      <c r="AP14" s="198" t="s">
        <v>546</v>
      </c>
      <c r="AS14" s="212">
        <v>0</v>
      </c>
      <c r="AT14" s="212">
        <v>4152.8239202657805</v>
      </c>
      <c r="AU14" s="212" t="b">
        <v>0</v>
      </c>
      <c r="AV14" s="212"/>
      <c r="AW14" s="212">
        <v>0</v>
      </c>
      <c r="AX14" s="212">
        <v>0</v>
      </c>
      <c r="BA14" s="11">
        <v>0</v>
      </c>
    </row>
    <row r="15" spans="1:53" ht="39.950000000000003" hidden="1" customHeight="1" x14ac:dyDescent="0.2">
      <c r="A15" s="14" t="s">
        <v>438</v>
      </c>
      <c r="B15" s="65" t="s">
        <v>67</v>
      </c>
      <c r="C15" s="66" t="s">
        <v>87</v>
      </c>
      <c r="D15" s="13" t="s">
        <v>542</v>
      </c>
      <c r="E15" s="77" t="s">
        <v>87</v>
      </c>
      <c r="F15" s="14" t="s">
        <v>102</v>
      </c>
      <c r="G15" s="14" t="s">
        <v>102</v>
      </c>
      <c r="H15" s="66" t="s">
        <v>122</v>
      </c>
      <c r="I15" s="14" t="s">
        <v>78</v>
      </c>
      <c r="J15" s="14" t="s">
        <v>219</v>
      </c>
      <c r="K15" s="13" t="s">
        <v>101</v>
      </c>
      <c r="L15" s="65" t="s">
        <v>191</v>
      </c>
      <c r="M15" s="13" t="s">
        <v>59</v>
      </c>
      <c r="N15" s="13" t="s">
        <v>43</v>
      </c>
      <c r="O15" s="13" t="s">
        <v>538</v>
      </c>
      <c r="P15" s="13" t="s">
        <v>534</v>
      </c>
      <c r="Q15" s="64" t="s">
        <v>156</v>
      </c>
      <c r="R15" s="62">
        <v>27947.012464367555</v>
      </c>
      <c r="S15" s="63">
        <v>15000</v>
      </c>
      <c r="T15" s="79">
        <v>27947.012464367555</v>
      </c>
      <c r="U15" s="62">
        <v>63346.561585899799</v>
      </c>
      <c r="V15" s="76">
        <v>1677340.8790266986</v>
      </c>
      <c r="W15" s="61" t="s">
        <v>11</v>
      </c>
      <c r="X15" s="181">
        <v>1.8499999999999999E-2</v>
      </c>
      <c r="Y15" s="60">
        <v>43228</v>
      </c>
      <c r="Z15" s="60">
        <v>45054</v>
      </c>
      <c r="AA15" s="60">
        <v>45054</v>
      </c>
      <c r="AB15" s="58">
        <v>1827</v>
      </c>
      <c r="AC15" s="84" t="s">
        <v>10</v>
      </c>
      <c r="AD15" s="58">
        <v>585</v>
      </c>
      <c r="AE15" s="57">
        <v>1.6027397260273972</v>
      </c>
      <c r="AF15" s="56"/>
      <c r="AG15" s="71" t="s">
        <v>1</v>
      </c>
      <c r="AH15" s="71" t="s">
        <v>1</v>
      </c>
      <c r="AI15" s="71" t="s">
        <v>0</v>
      </c>
      <c r="AJ15" s="11" t="s">
        <v>0</v>
      </c>
      <c r="AK15" s="11" t="s">
        <v>271</v>
      </c>
      <c r="AL15" s="14" t="s">
        <v>340</v>
      </c>
      <c r="AM15" s="11">
        <v>6427.5</v>
      </c>
      <c r="AO15" s="197" t="s">
        <v>87</v>
      </c>
      <c r="AP15" s="198" t="s">
        <v>102</v>
      </c>
      <c r="AS15" s="212">
        <v>0</v>
      </c>
      <c r="AT15" s="212">
        <v>3353.6414957241063</v>
      </c>
      <c r="AU15" s="212" t="b">
        <v>0</v>
      </c>
      <c r="AV15" s="212"/>
      <c r="AW15" s="212">
        <v>0</v>
      </c>
      <c r="AX15" s="212">
        <v>0</v>
      </c>
      <c r="BA15" s="11">
        <v>0</v>
      </c>
    </row>
    <row r="16" spans="1:53" ht="39.950000000000003" hidden="1" customHeight="1" x14ac:dyDescent="0.2">
      <c r="A16" s="14" t="s">
        <v>80</v>
      </c>
      <c r="B16" s="65" t="s">
        <v>23</v>
      </c>
      <c r="C16" s="66" t="s">
        <v>37</v>
      </c>
      <c r="D16" s="13" t="s">
        <v>540</v>
      </c>
      <c r="E16" s="161" t="s">
        <v>36</v>
      </c>
      <c r="F16" s="14" t="s">
        <v>104</v>
      </c>
      <c r="G16" s="14" t="s">
        <v>105</v>
      </c>
      <c r="H16" s="66" t="s">
        <v>131</v>
      </c>
      <c r="I16" s="14" t="s">
        <v>79</v>
      </c>
      <c r="J16" s="14" t="s">
        <v>222</v>
      </c>
      <c r="K16" s="14" t="s">
        <v>209</v>
      </c>
      <c r="L16" s="65" t="s">
        <v>191</v>
      </c>
      <c r="M16" s="13" t="s">
        <v>323</v>
      </c>
      <c r="N16" s="13" t="s">
        <v>43</v>
      </c>
      <c r="O16" s="13" t="s">
        <v>533</v>
      </c>
      <c r="P16" s="13" t="s">
        <v>534</v>
      </c>
      <c r="Q16" s="64" t="s">
        <v>9</v>
      </c>
      <c r="R16" s="62">
        <v>34606.86600221484</v>
      </c>
      <c r="S16" s="63">
        <v>25000</v>
      </c>
      <c r="T16" s="150">
        <v>34606.86600221484</v>
      </c>
      <c r="U16" s="62">
        <v>364064.23034330009</v>
      </c>
      <c r="V16" s="76">
        <v>917831.03543743072</v>
      </c>
      <c r="W16" s="61" t="s">
        <v>11</v>
      </c>
      <c r="X16" s="181">
        <v>1.7100000000000001E-2</v>
      </c>
      <c r="Y16" s="60">
        <v>43234</v>
      </c>
      <c r="Z16" s="60">
        <v>43234</v>
      </c>
      <c r="AA16" s="60">
        <v>45050</v>
      </c>
      <c r="AB16" s="58">
        <v>1817</v>
      </c>
      <c r="AC16" s="84" t="s">
        <v>10</v>
      </c>
      <c r="AD16" s="58">
        <v>581</v>
      </c>
      <c r="AE16" s="57">
        <v>1.5917808219178082</v>
      </c>
      <c r="AF16" s="56"/>
      <c r="AG16" s="71" t="s">
        <v>1</v>
      </c>
      <c r="AH16" s="71" t="s">
        <v>1</v>
      </c>
      <c r="AI16" s="71" t="s">
        <v>0</v>
      </c>
      <c r="AJ16" s="11" t="s">
        <v>0</v>
      </c>
      <c r="AK16" s="11" t="s">
        <v>271</v>
      </c>
      <c r="AL16" s="14" t="s">
        <v>341</v>
      </c>
      <c r="AM16" s="11">
        <v>11639</v>
      </c>
      <c r="AO16" s="197" t="s">
        <v>36</v>
      </c>
      <c r="AP16" s="198" t="s">
        <v>104</v>
      </c>
      <c r="AS16" s="212">
        <v>0</v>
      </c>
      <c r="AT16" s="212">
        <v>4152.8239202657805</v>
      </c>
      <c r="AU16" s="212" t="b">
        <v>0</v>
      </c>
      <c r="AV16" s="212"/>
      <c r="AW16" s="212">
        <v>0</v>
      </c>
      <c r="AX16" s="212">
        <v>0</v>
      </c>
      <c r="BA16" s="11">
        <v>0</v>
      </c>
    </row>
    <row r="17" spans="1:53" ht="39.950000000000003" hidden="1" customHeight="1" x14ac:dyDescent="0.2">
      <c r="A17" s="13" t="s">
        <v>137</v>
      </c>
      <c r="B17" s="65" t="s">
        <v>24</v>
      </c>
      <c r="C17" s="66" t="s">
        <v>34</v>
      </c>
      <c r="D17" s="13" t="s">
        <v>34</v>
      </c>
      <c r="E17" s="77" t="s">
        <v>34</v>
      </c>
      <c r="F17" s="14" t="s">
        <v>475</v>
      </c>
      <c r="G17" s="14" t="s">
        <v>138</v>
      </c>
      <c r="H17" s="14" t="s">
        <v>138</v>
      </c>
      <c r="I17" s="14" t="s">
        <v>70</v>
      </c>
      <c r="J17" s="66" t="s">
        <v>218</v>
      </c>
      <c r="K17" s="14" t="s">
        <v>209</v>
      </c>
      <c r="L17" s="65" t="s">
        <v>191</v>
      </c>
      <c r="M17" s="13" t="s">
        <v>323</v>
      </c>
      <c r="N17" s="13" t="s">
        <v>43</v>
      </c>
      <c r="O17" s="13" t="s">
        <v>531</v>
      </c>
      <c r="P17" s="13" t="s">
        <v>534</v>
      </c>
      <c r="Q17" s="64" t="s">
        <v>8</v>
      </c>
      <c r="R17" s="62">
        <v>20000</v>
      </c>
      <c r="S17" s="63">
        <v>20000</v>
      </c>
      <c r="T17" s="150">
        <v>20000</v>
      </c>
      <c r="U17" s="62">
        <v>40000</v>
      </c>
      <c r="V17" s="150">
        <v>2636444</v>
      </c>
      <c r="W17" s="61" t="s">
        <v>11</v>
      </c>
      <c r="X17" s="181">
        <v>5.3499999999999999E-2</v>
      </c>
      <c r="Y17" s="60">
        <v>43273</v>
      </c>
      <c r="Z17" s="60">
        <v>45210</v>
      </c>
      <c r="AA17" s="60">
        <v>45210</v>
      </c>
      <c r="AB17" s="58">
        <v>1938</v>
      </c>
      <c r="AC17" s="84" t="s">
        <v>10</v>
      </c>
      <c r="AD17" s="58">
        <v>741</v>
      </c>
      <c r="AE17" s="57">
        <v>2.0301369863013701</v>
      </c>
      <c r="AF17" s="56"/>
      <c r="AG17" s="71" t="s">
        <v>1</v>
      </c>
      <c r="AH17" s="71" t="s">
        <v>1</v>
      </c>
      <c r="AI17" s="71" t="s">
        <v>0</v>
      </c>
      <c r="AJ17" s="11" t="s">
        <v>0</v>
      </c>
      <c r="AK17" s="11" t="s">
        <v>271</v>
      </c>
      <c r="AL17" s="13" t="s">
        <v>342</v>
      </c>
      <c r="AM17" s="11">
        <v>12137</v>
      </c>
      <c r="AO17" s="197" t="s">
        <v>34</v>
      </c>
      <c r="AP17" s="198" t="s">
        <v>475</v>
      </c>
      <c r="AS17" s="212">
        <v>0</v>
      </c>
      <c r="AT17" s="212">
        <v>2400</v>
      </c>
      <c r="AU17" s="212" t="b">
        <v>0</v>
      </c>
      <c r="AV17" s="212"/>
      <c r="AW17" s="212">
        <v>0</v>
      </c>
      <c r="AX17" s="212">
        <v>0</v>
      </c>
      <c r="BA17" s="11">
        <v>0</v>
      </c>
    </row>
    <row r="18" spans="1:53" ht="39.950000000000003" customHeight="1" x14ac:dyDescent="0.2">
      <c r="A18" s="13" t="s">
        <v>144</v>
      </c>
      <c r="B18" s="65" t="s">
        <v>23</v>
      </c>
      <c r="C18" s="66" t="s">
        <v>166</v>
      </c>
      <c r="D18" s="13" t="s">
        <v>540</v>
      </c>
      <c r="E18" s="161" t="s">
        <v>36</v>
      </c>
      <c r="F18" s="14" t="s">
        <v>92</v>
      </c>
      <c r="G18" s="14" t="s">
        <v>100</v>
      </c>
      <c r="H18" s="66" t="s">
        <v>100</v>
      </c>
      <c r="I18" s="14" t="s">
        <v>145</v>
      </c>
      <c r="J18" s="66" t="s">
        <v>221</v>
      </c>
      <c r="K18" s="14" t="s">
        <v>44</v>
      </c>
      <c r="L18" s="65" t="s">
        <v>191</v>
      </c>
      <c r="M18" s="13" t="s">
        <v>59</v>
      </c>
      <c r="N18" s="13" t="s">
        <v>43</v>
      </c>
      <c r="O18" s="13" t="s">
        <v>533</v>
      </c>
      <c r="P18" s="13" t="s">
        <v>534</v>
      </c>
      <c r="Q18" s="64" t="s">
        <v>9</v>
      </c>
      <c r="R18" s="62">
        <v>13842.746400885935</v>
      </c>
      <c r="S18" s="63">
        <v>8500</v>
      </c>
      <c r="T18" s="150">
        <v>11766.334440753044</v>
      </c>
      <c r="U18" s="62">
        <v>166112.95681063121</v>
      </c>
      <c r="V18" s="150">
        <v>616084.45459579176</v>
      </c>
      <c r="W18" s="61" t="s">
        <v>551</v>
      </c>
      <c r="X18" s="181">
        <v>2.1000000000000001E-2</v>
      </c>
      <c r="Y18" s="60">
        <v>43279</v>
      </c>
      <c r="Z18" s="60">
        <v>45503</v>
      </c>
      <c r="AA18" s="60">
        <v>45503</v>
      </c>
      <c r="AB18" s="58">
        <v>2225</v>
      </c>
      <c r="AC18" s="59" t="s">
        <v>10</v>
      </c>
      <c r="AD18" s="58">
        <v>1034</v>
      </c>
      <c r="AE18" s="57">
        <v>2.8328767123287673</v>
      </c>
      <c r="AF18" s="56"/>
      <c r="AG18" s="71" t="s">
        <v>1</v>
      </c>
      <c r="AH18" s="71" t="s">
        <v>1</v>
      </c>
      <c r="AI18" s="71" t="s">
        <v>0</v>
      </c>
      <c r="AJ18" s="11" t="s">
        <v>0</v>
      </c>
      <c r="AK18" s="11" t="s">
        <v>271</v>
      </c>
      <c r="AL18" s="13" t="s">
        <v>345</v>
      </c>
      <c r="AO18" s="197" t="s">
        <v>36</v>
      </c>
      <c r="AP18" s="198" t="s">
        <v>92</v>
      </c>
      <c r="AQ18" s="11">
        <v>1</v>
      </c>
      <c r="AR18" s="214">
        <v>0.05</v>
      </c>
      <c r="AS18" s="212">
        <v>588.3167220376522</v>
      </c>
      <c r="AT18" s="212">
        <v>1411.9601328903652</v>
      </c>
      <c r="AU18" s="212" t="b">
        <v>0</v>
      </c>
      <c r="AV18" s="212"/>
      <c r="AW18" s="212">
        <v>588.3167220376522</v>
      </c>
      <c r="AX18" s="212">
        <v>588.3167220376522</v>
      </c>
      <c r="AY18" s="12"/>
      <c r="BA18" s="11">
        <v>588.3167220376522</v>
      </c>
    </row>
    <row r="19" spans="1:53" ht="39.950000000000003" hidden="1" customHeight="1" x14ac:dyDescent="0.2">
      <c r="A19" s="13" t="s">
        <v>147</v>
      </c>
      <c r="B19" s="65" t="s">
        <v>51</v>
      </c>
      <c r="C19" s="66" t="s">
        <v>88</v>
      </c>
      <c r="D19" s="13" t="s">
        <v>542</v>
      </c>
      <c r="E19" s="77" t="s">
        <v>88</v>
      </c>
      <c r="F19" s="14" t="s">
        <v>106</v>
      </c>
      <c r="G19" s="14" t="s">
        <v>106</v>
      </c>
      <c r="H19" s="66" t="s">
        <v>107</v>
      </c>
      <c r="I19" s="14" t="s">
        <v>61</v>
      </c>
      <c r="J19" s="66" t="s">
        <v>220</v>
      </c>
      <c r="K19" s="14" t="s">
        <v>101</v>
      </c>
      <c r="L19" s="65" t="s">
        <v>191</v>
      </c>
      <c r="M19" s="13" t="s">
        <v>59</v>
      </c>
      <c r="N19" s="13" t="s">
        <v>43</v>
      </c>
      <c r="O19" s="13" t="s">
        <v>533</v>
      </c>
      <c r="P19" s="13" t="s">
        <v>548</v>
      </c>
      <c r="Q19" s="64" t="s">
        <v>59</v>
      </c>
      <c r="R19" s="62">
        <v>24031.144363094569</v>
      </c>
      <c r="S19" s="63">
        <v>15000</v>
      </c>
      <c r="T19" s="150">
        <v>24031.144363094569</v>
      </c>
      <c r="U19" s="62">
        <v>80103.814543648565</v>
      </c>
      <c r="V19" s="150">
        <v>650942.82189717877</v>
      </c>
      <c r="W19" s="61" t="s">
        <v>11</v>
      </c>
      <c r="X19" s="181">
        <v>1.2E-2</v>
      </c>
      <c r="Y19" s="60">
        <v>43282</v>
      </c>
      <c r="Z19" s="60">
        <v>44834</v>
      </c>
      <c r="AA19" s="60">
        <v>44834</v>
      </c>
      <c r="AB19" s="58">
        <v>1553</v>
      </c>
      <c r="AC19" s="59" t="s">
        <v>10</v>
      </c>
      <c r="AD19" s="58">
        <v>365</v>
      </c>
      <c r="AE19" s="57">
        <v>1</v>
      </c>
      <c r="AF19" s="56"/>
      <c r="AG19" s="71" t="s">
        <v>1</v>
      </c>
      <c r="AH19" s="71" t="s">
        <v>1</v>
      </c>
      <c r="AI19" s="71" t="s">
        <v>0</v>
      </c>
      <c r="AJ19" s="11" t="s">
        <v>0</v>
      </c>
      <c r="AK19" s="11" t="s">
        <v>271</v>
      </c>
      <c r="AL19" s="13" t="s">
        <v>336</v>
      </c>
      <c r="AM19" s="11">
        <v>5540</v>
      </c>
      <c r="AO19" s="197" t="s">
        <v>88</v>
      </c>
      <c r="AP19" s="198" t="s">
        <v>106</v>
      </c>
      <c r="AS19" s="212">
        <v>0</v>
      </c>
      <c r="AT19" s="212">
        <v>2883.737323571348</v>
      </c>
      <c r="AU19" s="212" t="b">
        <v>0</v>
      </c>
      <c r="AV19" s="212"/>
      <c r="AW19" s="212">
        <v>0</v>
      </c>
      <c r="AX19" s="212">
        <v>0</v>
      </c>
      <c r="BA19" s="11">
        <v>0</v>
      </c>
    </row>
    <row r="20" spans="1:53" ht="39.950000000000003" hidden="1" customHeight="1" x14ac:dyDescent="0.2">
      <c r="A20" s="13" t="s">
        <v>141</v>
      </c>
      <c r="B20" s="65" t="s">
        <v>24</v>
      </c>
      <c r="C20" s="66" t="s">
        <v>38</v>
      </c>
      <c r="D20" s="13" t="s">
        <v>540</v>
      </c>
      <c r="E20" s="77" t="s">
        <v>49</v>
      </c>
      <c r="F20" s="14" t="s">
        <v>544</v>
      </c>
      <c r="G20" s="14" t="s">
        <v>117</v>
      </c>
      <c r="H20" s="14" t="s">
        <v>118</v>
      </c>
      <c r="I20" s="14" t="s">
        <v>142</v>
      </c>
      <c r="J20" s="66" t="s">
        <v>218</v>
      </c>
      <c r="K20" s="14" t="s">
        <v>29</v>
      </c>
      <c r="L20" s="65" t="s">
        <v>191</v>
      </c>
      <c r="M20" s="13" t="s">
        <v>323</v>
      </c>
      <c r="N20" s="13" t="s">
        <v>43</v>
      </c>
      <c r="O20" s="13" t="s">
        <v>538</v>
      </c>
      <c r="P20" s="13" t="s">
        <v>534</v>
      </c>
      <c r="Q20" s="64" t="s">
        <v>59</v>
      </c>
      <c r="R20" s="62">
        <v>12015.572181547284</v>
      </c>
      <c r="S20" s="63">
        <v>4162.5</v>
      </c>
      <c r="T20" s="150">
        <v>6668.6425607587435</v>
      </c>
      <c r="U20" s="62">
        <v>266745.70243034972</v>
      </c>
      <c r="V20" s="150">
        <v>724083.03561415593</v>
      </c>
      <c r="W20" s="61" t="s">
        <v>11</v>
      </c>
      <c r="X20" s="181">
        <v>3.2500000000000001E-2</v>
      </c>
      <c r="Y20" s="60">
        <v>43287</v>
      </c>
      <c r="Z20" s="60">
        <v>44928</v>
      </c>
      <c r="AA20" s="60">
        <v>44928</v>
      </c>
      <c r="AB20" s="58">
        <v>1642</v>
      </c>
      <c r="AC20" s="59" t="s">
        <v>10</v>
      </c>
      <c r="AD20" s="58">
        <v>459</v>
      </c>
      <c r="AE20" s="57">
        <v>1.2575342465753425</v>
      </c>
      <c r="AF20" s="56"/>
      <c r="AG20" s="71" t="s">
        <v>1</v>
      </c>
      <c r="AH20" s="71" t="s">
        <v>1</v>
      </c>
      <c r="AI20" s="70" t="s">
        <v>657</v>
      </c>
      <c r="AJ20" s="11" t="s">
        <v>0</v>
      </c>
      <c r="AK20" s="11" t="s">
        <v>271</v>
      </c>
      <c r="AL20" s="13" t="s">
        <v>343</v>
      </c>
      <c r="AM20" s="11">
        <v>7750</v>
      </c>
      <c r="AO20" s="197" t="s">
        <v>49</v>
      </c>
      <c r="AP20" s="198" t="s">
        <v>544</v>
      </c>
      <c r="AS20" s="212">
        <v>0</v>
      </c>
      <c r="AT20" s="212">
        <v>800.23710729104914</v>
      </c>
      <c r="AU20" s="212" t="b">
        <v>0</v>
      </c>
      <c r="AV20" s="212"/>
      <c r="AW20" s="212">
        <v>0</v>
      </c>
      <c r="AX20" s="212">
        <v>0</v>
      </c>
      <c r="BA20" s="11">
        <v>0</v>
      </c>
    </row>
    <row r="21" spans="1:53" ht="39.950000000000003" hidden="1" customHeight="1" x14ac:dyDescent="0.2">
      <c r="A21" s="13" t="s">
        <v>143</v>
      </c>
      <c r="B21" s="65" t="s">
        <v>67</v>
      </c>
      <c r="C21" s="66" t="s">
        <v>34</v>
      </c>
      <c r="D21" s="13" t="s">
        <v>34</v>
      </c>
      <c r="E21" s="77" t="s">
        <v>34</v>
      </c>
      <c r="F21" s="14" t="s">
        <v>104</v>
      </c>
      <c r="G21" s="14" t="s">
        <v>111</v>
      </c>
      <c r="H21" s="14" t="s">
        <v>112</v>
      </c>
      <c r="I21" s="66" t="s">
        <v>70</v>
      </c>
      <c r="J21" s="66" t="s">
        <v>218</v>
      </c>
      <c r="K21" s="14" t="s">
        <v>139</v>
      </c>
      <c r="L21" s="65" t="s">
        <v>191</v>
      </c>
      <c r="M21" s="13" t="s">
        <v>323</v>
      </c>
      <c r="N21" s="13" t="s">
        <v>43</v>
      </c>
      <c r="O21" s="13" t="s">
        <v>538</v>
      </c>
      <c r="P21" s="13" t="s">
        <v>534</v>
      </c>
      <c r="Q21" s="64" t="s">
        <v>8</v>
      </c>
      <c r="R21" s="62">
        <v>20000</v>
      </c>
      <c r="S21" s="63">
        <v>20000</v>
      </c>
      <c r="T21" s="62">
        <v>20000</v>
      </c>
      <c r="U21" s="62">
        <v>50000</v>
      </c>
      <c r="V21" s="76">
        <v>1526431.89</v>
      </c>
      <c r="W21" s="61" t="s">
        <v>11</v>
      </c>
      <c r="X21" s="181">
        <v>0.05</v>
      </c>
      <c r="Y21" s="60">
        <v>43308</v>
      </c>
      <c r="Z21" s="60">
        <v>44671</v>
      </c>
      <c r="AA21" s="60">
        <v>44671</v>
      </c>
      <c r="AB21" s="58">
        <v>1364</v>
      </c>
      <c r="AC21" s="59" t="s">
        <v>10</v>
      </c>
      <c r="AD21" s="58">
        <v>202</v>
      </c>
      <c r="AE21" s="57">
        <v>0.55342465753424652</v>
      </c>
      <c r="AF21" s="56"/>
      <c r="AG21" s="71" t="s">
        <v>1</v>
      </c>
      <c r="AH21" s="71" t="s">
        <v>1</v>
      </c>
      <c r="AI21" s="71" t="s">
        <v>0</v>
      </c>
      <c r="AJ21" s="11" t="s">
        <v>0</v>
      </c>
      <c r="AK21" s="11" t="s">
        <v>271</v>
      </c>
      <c r="AL21" s="13" t="s">
        <v>344</v>
      </c>
      <c r="AM21" s="11">
        <v>24062.5</v>
      </c>
      <c r="AO21" s="197" t="s">
        <v>34</v>
      </c>
      <c r="AP21" s="198" t="s">
        <v>104</v>
      </c>
      <c r="AS21" s="212">
        <v>0</v>
      </c>
      <c r="AT21" s="212">
        <v>2400</v>
      </c>
      <c r="AU21" s="212" t="b">
        <v>0</v>
      </c>
      <c r="AV21" s="212"/>
      <c r="AW21" s="212">
        <v>0</v>
      </c>
      <c r="AX21" s="212">
        <v>0</v>
      </c>
      <c r="BA21" s="11">
        <v>0</v>
      </c>
    </row>
    <row r="22" spans="1:53" ht="39.950000000000003" hidden="1" customHeight="1" x14ac:dyDescent="0.2">
      <c r="A22" s="14" t="s">
        <v>146</v>
      </c>
      <c r="B22" s="65" t="s">
        <v>24</v>
      </c>
      <c r="C22" s="66" t="s">
        <v>38</v>
      </c>
      <c r="D22" s="13" t="s">
        <v>34</v>
      </c>
      <c r="E22" s="77" t="s">
        <v>34</v>
      </c>
      <c r="F22" s="14" t="s">
        <v>106</v>
      </c>
      <c r="G22" s="14" t="s">
        <v>106</v>
      </c>
      <c r="H22" s="66" t="s">
        <v>107</v>
      </c>
      <c r="I22" s="14" t="s">
        <v>688</v>
      </c>
      <c r="J22" s="14" t="s">
        <v>687</v>
      </c>
      <c r="K22" s="14" t="s">
        <v>101</v>
      </c>
      <c r="L22" s="65" t="s">
        <v>191</v>
      </c>
      <c r="M22" s="13" t="s">
        <v>323</v>
      </c>
      <c r="N22" s="13" t="s">
        <v>43</v>
      </c>
      <c r="O22" s="13" t="s">
        <v>539</v>
      </c>
      <c r="P22" s="13" t="s">
        <v>534</v>
      </c>
      <c r="Q22" s="64" t="s">
        <v>8</v>
      </c>
      <c r="R22" s="62">
        <v>22500</v>
      </c>
      <c r="S22" s="63">
        <v>22500</v>
      </c>
      <c r="T22" s="62">
        <v>22500</v>
      </c>
      <c r="U22" s="62">
        <v>35000</v>
      </c>
      <c r="V22" s="76">
        <v>1755736.34</v>
      </c>
      <c r="W22" s="61" t="s">
        <v>11</v>
      </c>
      <c r="X22" s="181">
        <v>0.06</v>
      </c>
      <c r="Y22" s="60">
        <v>43320</v>
      </c>
      <c r="Z22" s="60">
        <v>44491</v>
      </c>
      <c r="AA22" s="60">
        <v>44491</v>
      </c>
      <c r="AB22" s="58">
        <v>1172</v>
      </c>
      <c r="AC22" s="59" t="s">
        <v>1</v>
      </c>
      <c r="AD22" s="58">
        <v>22</v>
      </c>
      <c r="AE22" s="57">
        <v>6.0273972602739728E-2</v>
      </c>
      <c r="AF22" s="56"/>
      <c r="AG22" s="71" t="s">
        <v>1</v>
      </c>
      <c r="AH22" s="71" t="s">
        <v>1</v>
      </c>
      <c r="AI22" s="71" t="s">
        <v>0</v>
      </c>
      <c r="AJ22" s="11" t="s">
        <v>672</v>
      </c>
      <c r="AK22" s="11" t="s">
        <v>271</v>
      </c>
      <c r="AL22" s="14" t="s">
        <v>346</v>
      </c>
      <c r="AM22" s="11">
        <v>19560</v>
      </c>
      <c r="AO22" s="197" t="s">
        <v>34</v>
      </c>
      <c r="AP22" s="198" t="s">
        <v>106</v>
      </c>
      <c r="AQ22" s="11">
        <v>0</v>
      </c>
      <c r="AR22" s="214">
        <v>0</v>
      </c>
      <c r="AS22" s="212">
        <v>0</v>
      </c>
      <c r="AT22" s="212">
        <v>2700</v>
      </c>
      <c r="AU22" s="212" t="b">
        <v>0</v>
      </c>
      <c r="AV22" s="212"/>
      <c r="AW22" s="212">
        <v>0</v>
      </c>
      <c r="AX22" s="212">
        <v>0</v>
      </c>
      <c r="AY22" s="12"/>
      <c r="BA22" s="11">
        <v>0</v>
      </c>
    </row>
    <row r="23" spans="1:53" ht="39.950000000000003" hidden="1" customHeight="1" x14ac:dyDescent="0.2">
      <c r="A23" s="13" t="s">
        <v>153</v>
      </c>
      <c r="B23" s="65" t="s">
        <v>23</v>
      </c>
      <c r="C23" s="66" t="s">
        <v>89</v>
      </c>
      <c r="D23" s="13" t="s">
        <v>542</v>
      </c>
      <c r="E23" s="77" t="s">
        <v>127</v>
      </c>
      <c r="F23" s="14" t="s">
        <v>92</v>
      </c>
      <c r="G23" s="14" t="s">
        <v>108</v>
      </c>
      <c r="H23" s="66" t="s">
        <v>109</v>
      </c>
      <c r="I23" s="14" t="s">
        <v>151</v>
      </c>
      <c r="J23" s="14" t="s">
        <v>220</v>
      </c>
      <c r="K23" s="14" t="s">
        <v>22</v>
      </c>
      <c r="L23" s="65" t="s">
        <v>191</v>
      </c>
      <c r="M23" s="13" t="s">
        <v>59</v>
      </c>
      <c r="N23" s="13" t="s">
        <v>43</v>
      </c>
      <c r="O23" s="13" t="s">
        <v>531</v>
      </c>
      <c r="P23" s="13" t="s">
        <v>534</v>
      </c>
      <c r="Q23" s="64" t="s">
        <v>9</v>
      </c>
      <c r="R23" s="62">
        <v>4012.8585271317829</v>
      </c>
      <c r="S23" s="63">
        <v>1668.981</v>
      </c>
      <c r="T23" s="62">
        <v>2310.3280730897009</v>
      </c>
      <c r="U23" s="62">
        <v>26953.824597155864</v>
      </c>
      <c r="V23" s="76">
        <v>206906.14617940199</v>
      </c>
      <c r="W23" s="61" t="s">
        <v>11</v>
      </c>
      <c r="X23" s="181">
        <v>2.2499999999999999E-2</v>
      </c>
      <c r="Y23" s="60">
        <v>43350</v>
      </c>
      <c r="Z23" s="60">
        <v>45894</v>
      </c>
      <c r="AA23" s="60">
        <v>45894</v>
      </c>
      <c r="AB23" s="58">
        <v>2545</v>
      </c>
      <c r="AC23" s="59" t="s">
        <v>10</v>
      </c>
      <c r="AD23" s="58">
        <v>1425</v>
      </c>
      <c r="AE23" s="57">
        <v>3.904109589041096</v>
      </c>
      <c r="AF23" s="56"/>
      <c r="AG23" s="71" t="s">
        <v>1</v>
      </c>
      <c r="AH23" s="71" t="s">
        <v>1</v>
      </c>
      <c r="AI23" s="70" t="s">
        <v>251</v>
      </c>
      <c r="AJ23" s="11" t="s">
        <v>0</v>
      </c>
      <c r="AK23" s="11" t="s">
        <v>271</v>
      </c>
      <c r="AL23" s="13" t="s">
        <v>347</v>
      </c>
      <c r="AM23" s="11">
        <v>12110</v>
      </c>
      <c r="AO23" s="197" t="s">
        <v>127</v>
      </c>
      <c r="AP23" s="198" t="s">
        <v>92</v>
      </c>
      <c r="AS23" s="212">
        <v>0</v>
      </c>
      <c r="AT23" s="212">
        <v>277.23936877076409</v>
      </c>
      <c r="AU23" s="212" t="b">
        <v>0</v>
      </c>
      <c r="AV23" s="212"/>
      <c r="AW23" s="212">
        <v>0</v>
      </c>
      <c r="AX23" s="212">
        <v>0</v>
      </c>
      <c r="BA23" s="11">
        <v>0</v>
      </c>
    </row>
    <row r="24" spans="1:53" ht="39.950000000000003" customHeight="1" x14ac:dyDescent="0.2">
      <c r="A24" s="13" t="s">
        <v>150</v>
      </c>
      <c r="B24" s="65" t="s">
        <v>67</v>
      </c>
      <c r="C24" s="66" t="s">
        <v>149</v>
      </c>
      <c r="D24" s="13" t="s">
        <v>34</v>
      </c>
      <c r="E24" s="77" t="s">
        <v>34</v>
      </c>
      <c r="F24" s="14" t="s">
        <v>48</v>
      </c>
      <c r="G24" s="14" t="s">
        <v>95</v>
      </c>
      <c r="H24" s="66" t="s">
        <v>130</v>
      </c>
      <c r="I24" s="14" t="s">
        <v>148</v>
      </c>
      <c r="J24" s="66" t="s">
        <v>148</v>
      </c>
      <c r="K24" s="14" t="s">
        <v>209</v>
      </c>
      <c r="L24" s="65" t="s">
        <v>191</v>
      </c>
      <c r="M24" s="13" t="s">
        <v>59</v>
      </c>
      <c r="N24" s="13" t="s">
        <v>43</v>
      </c>
      <c r="O24" s="13" t="s">
        <v>531</v>
      </c>
      <c r="P24" s="13" t="s">
        <v>534</v>
      </c>
      <c r="Q24" s="64" t="s">
        <v>9</v>
      </c>
      <c r="R24" s="62">
        <v>13842.746400885935</v>
      </c>
      <c r="S24" s="73">
        <v>8467</v>
      </c>
      <c r="T24" s="76">
        <v>11720.65337763012</v>
      </c>
      <c r="U24" s="62">
        <v>87904.900332225909</v>
      </c>
      <c r="V24" s="76">
        <v>1086263.8427464007</v>
      </c>
      <c r="W24" s="61" t="s">
        <v>11</v>
      </c>
      <c r="X24" s="181">
        <v>3.7499999999999999E-2</v>
      </c>
      <c r="Y24" s="60">
        <v>43353</v>
      </c>
      <c r="Z24" s="60">
        <v>45199</v>
      </c>
      <c r="AA24" s="60">
        <v>45199</v>
      </c>
      <c r="AB24" s="58">
        <v>1847</v>
      </c>
      <c r="AC24" s="59" t="s">
        <v>10</v>
      </c>
      <c r="AD24" s="58">
        <v>730</v>
      </c>
      <c r="AE24" s="57">
        <v>2</v>
      </c>
      <c r="AF24" s="56"/>
      <c r="AG24" s="71" t="s">
        <v>1</v>
      </c>
      <c r="AH24" s="71" t="s">
        <v>1</v>
      </c>
      <c r="AI24" s="70" t="s">
        <v>598</v>
      </c>
      <c r="AJ24" s="11" t="s">
        <v>0</v>
      </c>
      <c r="AK24" s="11" t="s">
        <v>271</v>
      </c>
      <c r="AL24" s="13" t="s">
        <v>553</v>
      </c>
      <c r="AM24" s="11">
        <v>16582.5</v>
      </c>
      <c r="AO24" s="197" t="s">
        <v>34</v>
      </c>
      <c r="AP24" s="198" t="s">
        <v>48</v>
      </c>
      <c r="AQ24" s="11">
        <v>1</v>
      </c>
      <c r="AR24" s="214">
        <v>0</v>
      </c>
      <c r="AS24" s="212">
        <v>0</v>
      </c>
      <c r="AT24" s="212">
        <v>1406.4784053156143</v>
      </c>
      <c r="AU24" s="212" t="b">
        <v>0</v>
      </c>
      <c r="AV24" s="212"/>
      <c r="AW24" s="212">
        <v>0</v>
      </c>
      <c r="AX24" s="212">
        <v>1172.0653377630122</v>
      </c>
      <c r="AY24" s="12" t="s">
        <v>668</v>
      </c>
      <c r="BA24" s="11">
        <v>1172.0653377630122</v>
      </c>
    </row>
    <row r="25" spans="1:53" ht="39.950000000000003" hidden="1" customHeight="1" x14ac:dyDescent="0.2">
      <c r="A25" s="13" t="s">
        <v>202</v>
      </c>
      <c r="B25" s="65" t="s">
        <v>23</v>
      </c>
      <c r="C25" s="66" t="s">
        <v>89</v>
      </c>
      <c r="D25" s="13" t="s">
        <v>542</v>
      </c>
      <c r="E25" s="77" t="s">
        <v>127</v>
      </c>
      <c r="F25" s="14" t="s">
        <v>92</v>
      </c>
      <c r="G25" s="14" t="s">
        <v>108</v>
      </c>
      <c r="H25" s="66" t="s">
        <v>109</v>
      </c>
      <c r="I25" s="14" t="s">
        <v>151</v>
      </c>
      <c r="J25" s="66" t="s">
        <v>220</v>
      </c>
      <c r="K25" s="14" t="s">
        <v>22</v>
      </c>
      <c r="L25" s="65" t="s">
        <v>191</v>
      </c>
      <c r="M25" s="13" t="s">
        <v>59</v>
      </c>
      <c r="N25" s="13" t="s">
        <v>43</v>
      </c>
      <c r="O25" s="13" t="s">
        <v>531</v>
      </c>
      <c r="P25" s="13" t="s">
        <v>534</v>
      </c>
      <c r="Q25" s="64" t="s">
        <v>9</v>
      </c>
      <c r="R25" s="62">
        <v>3376.2458471760797</v>
      </c>
      <c r="S25" s="73">
        <v>1364.5840000000001</v>
      </c>
      <c r="T25" s="150">
        <v>1888.9590254706534</v>
      </c>
      <c r="U25" s="62">
        <v>22037.855297157621</v>
      </c>
      <c r="V25" s="76">
        <v>179743.9091915836</v>
      </c>
      <c r="W25" s="61" t="s">
        <v>11</v>
      </c>
      <c r="X25" s="181">
        <v>2.2499999999999999E-2</v>
      </c>
      <c r="Y25" s="60">
        <v>43368</v>
      </c>
      <c r="Z25" s="60">
        <v>45955</v>
      </c>
      <c r="AA25" s="60">
        <v>45955</v>
      </c>
      <c r="AB25" s="58">
        <v>2588</v>
      </c>
      <c r="AC25" s="59" t="s">
        <v>10</v>
      </c>
      <c r="AD25" s="58">
        <v>1486</v>
      </c>
      <c r="AE25" s="57">
        <v>4.0712328767123287</v>
      </c>
      <c r="AF25" s="56"/>
      <c r="AG25" s="71" t="s">
        <v>1</v>
      </c>
      <c r="AH25" s="71" t="s">
        <v>1</v>
      </c>
      <c r="AI25" s="70" t="s">
        <v>658</v>
      </c>
      <c r="AJ25" s="11" t="s">
        <v>0</v>
      </c>
      <c r="AK25" s="11" t="s">
        <v>271</v>
      </c>
      <c r="AL25" s="13" t="s">
        <v>349</v>
      </c>
      <c r="AM25" s="11">
        <v>2242.5</v>
      </c>
      <c r="AO25" s="197" t="s">
        <v>127</v>
      </c>
      <c r="AP25" s="198" t="s">
        <v>92</v>
      </c>
      <c r="AS25" s="212">
        <v>0</v>
      </c>
      <c r="AT25" s="212">
        <v>226.6750830564784</v>
      </c>
      <c r="AU25" s="212" t="b">
        <v>0</v>
      </c>
      <c r="AV25" s="212"/>
      <c r="AW25" s="212">
        <v>0</v>
      </c>
      <c r="AX25" s="212">
        <v>0</v>
      </c>
      <c r="BA25" s="11">
        <v>0</v>
      </c>
    </row>
    <row r="26" spans="1:53" ht="39.950000000000003" hidden="1" customHeight="1" x14ac:dyDescent="0.2">
      <c r="A26" s="14" t="s">
        <v>157</v>
      </c>
      <c r="B26" s="65" t="s">
        <v>24</v>
      </c>
      <c r="C26" s="66" t="s">
        <v>127</v>
      </c>
      <c r="D26" s="13" t="s">
        <v>542</v>
      </c>
      <c r="E26" s="77" t="s">
        <v>127</v>
      </c>
      <c r="F26" s="14" t="s">
        <v>546</v>
      </c>
      <c r="G26" s="14" t="s">
        <v>160</v>
      </c>
      <c r="H26" s="66" t="s">
        <v>160</v>
      </c>
      <c r="I26" s="14" t="s">
        <v>158</v>
      </c>
      <c r="J26" s="66" t="s">
        <v>220</v>
      </c>
      <c r="K26" s="14" t="s">
        <v>139</v>
      </c>
      <c r="L26" s="65" t="s">
        <v>191</v>
      </c>
      <c r="M26" s="13" t="s">
        <v>59</v>
      </c>
      <c r="N26" s="13" t="s">
        <v>43</v>
      </c>
      <c r="O26" s="13" t="s">
        <v>538</v>
      </c>
      <c r="P26" s="13" t="s">
        <v>548</v>
      </c>
      <c r="Q26" s="64" t="s">
        <v>59</v>
      </c>
      <c r="R26" s="62">
        <v>16020.762908729714</v>
      </c>
      <c r="S26" s="73">
        <v>3333</v>
      </c>
      <c r="T26" s="150">
        <v>5339.7202774796133</v>
      </c>
      <c r="U26" s="62">
        <v>72093.433089283702</v>
      </c>
      <c r="V26" s="76">
        <v>564760.77796824684</v>
      </c>
      <c r="W26" s="61" t="s">
        <v>11</v>
      </c>
      <c r="X26" s="181">
        <v>1.15E-2</v>
      </c>
      <c r="Y26" s="60">
        <v>43390</v>
      </c>
      <c r="Z26" s="60">
        <v>45155</v>
      </c>
      <c r="AA26" s="60">
        <v>45155</v>
      </c>
      <c r="AB26" s="58">
        <v>1766</v>
      </c>
      <c r="AC26" s="59" t="s">
        <v>10</v>
      </c>
      <c r="AD26" s="58">
        <v>686</v>
      </c>
      <c r="AE26" s="57">
        <v>1.8794520547945206</v>
      </c>
      <c r="AF26" s="56"/>
      <c r="AG26" s="71" t="s">
        <v>1</v>
      </c>
      <c r="AH26" s="71" t="s">
        <v>1</v>
      </c>
      <c r="AI26" s="70" t="s">
        <v>0</v>
      </c>
      <c r="AJ26" s="11" t="s">
        <v>0</v>
      </c>
      <c r="AK26" s="11" t="s">
        <v>271</v>
      </c>
      <c r="AL26" s="14" t="s">
        <v>157</v>
      </c>
      <c r="AM26" s="11">
        <v>6640</v>
      </c>
      <c r="AO26" s="197" t="s">
        <v>127</v>
      </c>
      <c r="AP26" s="198" t="s">
        <v>546</v>
      </c>
      <c r="AS26" s="212">
        <v>0</v>
      </c>
      <c r="AT26" s="212">
        <v>640.76643329755359</v>
      </c>
      <c r="AU26" s="212" t="b">
        <v>0</v>
      </c>
      <c r="AV26" s="212"/>
      <c r="AW26" s="212">
        <v>0</v>
      </c>
      <c r="AX26" s="212">
        <v>0</v>
      </c>
      <c r="BA26" s="11">
        <v>0</v>
      </c>
    </row>
    <row r="27" spans="1:53" ht="39.950000000000003" hidden="1" customHeight="1" x14ac:dyDescent="0.2">
      <c r="A27" s="14" t="s">
        <v>164</v>
      </c>
      <c r="B27" s="65" t="s">
        <v>23</v>
      </c>
      <c r="C27" s="66" t="s">
        <v>127</v>
      </c>
      <c r="D27" s="13" t="s">
        <v>542</v>
      </c>
      <c r="E27" s="77" t="s">
        <v>89</v>
      </c>
      <c r="F27" s="14" t="s">
        <v>102</v>
      </c>
      <c r="G27" s="14" t="s">
        <v>102</v>
      </c>
      <c r="H27" s="66" t="s">
        <v>122</v>
      </c>
      <c r="I27" s="14" t="s">
        <v>158</v>
      </c>
      <c r="J27" s="66" t="s">
        <v>220</v>
      </c>
      <c r="K27" s="14" t="s">
        <v>101</v>
      </c>
      <c r="L27" s="65" t="s">
        <v>191</v>
      </c>
      <c r="M27" s="13" t="s">
        <v>59</v>
      </c>
      <c r="N27" s="13" t="s">
        <v>43</v>
      </c>
      <c r="O27" s="13" t="s">
        <v>538</v>
      </c>
      <c r="P27" s="13" t="s">
        <v>534</v>
      </c>
      <c r="Q27" s="64" t="s">
        <v>59</v>
      </c>
      <c r="R27" s="62">
        <v>30439.449526586453</v>
      </c>
      <c r="S27" s="73">
        <v>19000</v>
      </c>
      <c r="T27" s="79">
        <v>30439.449526586453</v>
      </c>
      <c r="U27" s="62">
        <v>278761.27461189701</v>
      </c>
      <c r="V27" s="76">
        <v>1016908.697672183</v>
      </c>
      <c r="W27" s="61" t="s">
        <v>11</v>
      </c>
      <c r="X27" s="181">
        <v>9.5999999999999992E-3</v>
      </c>
      <c r="Y27" s="60">
        <v>43392</v>
      </c>
      <c r="Z27" s="60">
        <v>45534</v>
      </c>
      <c r="AA27" s="60">
        <v>45534</v>
      </c>
      <c r="AB27" s="58">
        <v>2143</v>
      </c>
      <c r="AC27" s="59" t="s">
        <v>10</v>
      </c>
      <c r="AD27" s="58">
        <v>1065</v>
      </c>
      <c r="AE27" s="57">
        <v>2.9178082191780823</v>
      </c>
      <c r="AF27" s="56"/>
      <c r="AG27" s="71" t="s">
        <v>1</v>
      </c>
      <c r="AH27" s="71" t="s">
        <v>1</v>
      </c>
      <c r="AI27" s="70" t="s">
        <v>0</v>
      </c>
      <c r="AJ27" s="11" t="s">
        <v>0</v>
      </c>
      <c r="AK27" s="11" t="s">
        <v>271</v>
      </c>
      <c r="AL27" s="14" t="s">
        <v>353</v>
      </c>
      <c r="AM27" s="11">
        <v>6040</v>
      </c>
      <c r="AO27" s="197" t="s">
        <v>89</v>
      </c>
      <c r="AP27" s="198" t="s">
        <v>102</v>
      </c>
      <c r="AS27" s="212">
        <v>0</v>
      </c>
      <c r="AT27" s="212">
        <v>3652.7339431903742</v>
      </c>
      <c r="AU27" s="212" t="b">
        <v>0</v>
      </c>
      <c r="AV27" s="212"/>
      <c r="AW27" s="212">
        <v>0</v>
      </c>
      <c r="AX27" s="212">
        <v>0</v>
      </c>
      <c r="BA27" s="11">
        <v>0</v>
      </c>
    </row>
    <row r="28" spans="1:53" ht="39.950000000000003" hidden="1" customHeight="1" x14ac:dyDescent="0.2">
      <c r="A28" s="14" t="s">
        <v>161</v>
      </c>
      <c r="B28" s="65" t="s">
        <v>24</v>
      </c>
      <c r="C28" s="66" t="s">
        <v>86</v>
      </c>
      <c r="D28" s="13" t="s">
        <v>499</v>
      </c>
      <c r="E28" s="77" t="s">
        <v>162</v>
      </c>
      <c r="F28" s="14" t="s">
        <v>92</v>
      </c>
      <c r="G28" s="14" t="s">
        <v>108</v>
      </c>
      <c r="H28" s="66" t="s">
        <v>109</v>
      </c>
      <c r="I28" s="14" t="s">
        <v>163</v>
      </c>
      <c r="J28" s="14" t="s">
        <v>220</v>
      </c>
      <c r="K28" s="14" t="s">
        <v>139</v>
      </c>
      <c r="L28" s="65" t="s">
        <v>191</v>
      </c>
      <c r="M28" s="13" t="s">
        <v>59</v>
      </c>
      <c r="N28" s="13" t="s">
        <v>43</v>
      </c>
      <c r="O28" s="13" t="s">
        <v>533</v>
      </c>
      <c r="P28" s="13" t="s">
        <v>534</v>
      </c>
      <c r="Q28" s="64" t="s">
        <v>9</v>
      </c>
      <c r="R28" s="62">
        <v>34606.86600221484</v>
      </c>
      <c r="S28" s="73">
        <v>23956.663</v>
      </c>
      <c r="T28" s="76">
        <v>33162.601052048725</v>
      </c>
      <c r="U28" s="62">
        <v>265300.8084163898</v>
      </c>
      <c r="V28" s="76">
        <v>3321274.5016611293</v>
      </c>
      <c r="W28" s="61" t="s">
        <v>11</v>
      </c>
      <c r="X28" s="181">
        <v>2.75E-2</v>
      </c>
      <c r="Y28" s="60">
        <v>43397</v>
      </c>
      <c r="Z28" s="60">
        <v>45808</v>
      </c>
      <c r="AA28" s="60">
        <v>45808</v>
      </c>
      <c r="AB28" s="58">
        <v>2412</v>
      </c>
      <c r="AC28" s="59" t="s">
        <v>10</v>
      </c>
      <c r="AD28" s="58">
        <v>1339</v>
      </c>
      <c r="AE28" s="57">
        <v>3.6684931506849314</v>
      </c>
      <c r="AF28" s="56"/>
      <c r="AG28" s="71" t="s">
        <v>1</v>
      </c>
      <c r="AH28" s="71" t="s">
        <v>1</v>
      </c>
      <c r="AI28" s="70" t="s">
        <v>659</v>
      </c>
      <c r="AJ28" s="11" t="s">
        <v>0</v>
      </c>
      <c r="AK28" s="11" t="s">
        <v>271</v>
      </c>
      <c r="AL28" s="14" t="s">
        <v>352</v>
      </c>
      <c r="AM28" s="11">
        <v>10140</v>
      </c>
      <c r="AO28" s="197" t="s">
        <v>162</v>
      </c>
      <c r="AP28" s="198" t="s">
        <v>92</v>
      </c>
      <c r="AS28" s="212">
        <v>0</v>
      </c>
      <c r="AT28" s="212">
        <v>3979.512126245847</v>
      </c>
      <c r="AU28" s="212" t="b">
        <v>0</v>
      </c>
      <c r="AV28" s="212"/>
      <c r="AW28" s="212">
        <v>0</v>
      </c>
      <c r="AX28" s="212">
        <v>0</v>
      </c>
      <c r="BA28" s="11">
        <v>0</v>
      </c>
    </row>
    <row r="29" spans="1:53" ht="39.950000000000003" hidden="1" customHeight="1" x14ac:dyDescent="0.2">
      <c r="A29" s="14" t="s">
        <v>184</v>
      </c>
      <c r="B29" s="65" t="s">
        <v>23</v>
      </c>
      <c r="C29" s="66" t="s">
        <v>38</v>
      </c>
      <c r="D29" s="13" t="s">
        <v>540</v>
      </c>
      <c r="E29" s="77" t="s">
        <v>49</v>
      </c>
      <c r="F29" s="14" t="s">
        <v>48</v>
      </c>
      <c r="G29" s="14" t="s">
        <v>95</v>
      </c>
      <c r="H29" s="130" t="s">
        <v>447</v>
      </c>
      <c r="I29" s="77" t="s">
        <v>73</v>
      </c>
      <c r="J29" s="77" t="s">
        <v>221</v>
      </c>
      <c r="K29" s="13" t="s">
        <v>140</v>
      </c>
      <c r="L29" s="65" t="s">
        <v>191</v>
      </c>
      <c r="M29" s="13" t="s">
        <v>323</v>
      </c>
      <c r="N29" s="13" t="s">
        <v>43</v>
      </c>
      <c r="O29" s="13" t="s">
        <v>538</v>
      </c>
      <c r="P29" s="13" t="s">
        <v>534</v>
      </c>
      <c r="Q29" s="64" t="s">
        <v>9</v>
      </c>
      <c r="R29" s="62">
        <v>13842.746400885935</v>
      </c>
      <c r="S29" s="63">
        <v>3804.9650000000001</v>
      </c>
      <c r="T29" s="150">
        <v>5267.1165559246956</v>
      </c>
      <c r="U29" s="62">
        <v>103820.59800664452</v>
      </c>
      <c r="V29" s="150">
        <v>890614.27187153918</v>
      </c>
      <c r="W29" s="61" t="s">
        <v>11</v>
      </c>
      <c r="X29" s="181">
        <v>3.7499999999999999E-2</v>
      </c>
      <c r="Y29" s="60">
        <v>43398</v>
      </c>
      <c r="Z29" s="60">
        <v>45930</v>
      </c>
      <c r="AA29" s="60">
        <v>45930</v>
      </c>
      <c r="AB29" s="58">
        <v>2533</v>
      </c>
      <c r="AC29" s="59" t="s">
        <v>10</v>
      </c>
      <c r="AD29" s="58">
        <v>1461</v>
      </c>
      <c r="AE29" s="57">
        <v>4.0027397260273974</v>
      </c>
      <c r="AF29" s="56"/>
      <c r="AG29" s="71" t="s">
        <v>1</v>
      </c>
      <c r="AH29" s="71" t="s">
        <v>1</v>
      </c>
      <c r="AI29" s="70" t="s">
        <v>252</v>
      </c>
      <c r="AJ29" s="11" t="s">
        <v>0</v>
      </c>
      <c r="AK29" s="11" t="s">
        <v>271</v>
      </c>
      <c r="AL29" s="14" t="s">
        <v>337</v>
      </c>
      <c r="AM29" s="11">
        <v>14500</v>
      </c>
      <c r="AO29" s="197" t="s">
        <v>49</v>
      </c>
      <c r="AP29" s="198" t="s">
        <v>48</v>
      </c>
      <c r="AS29" s="212">
        <v>0</v>
      </c>
      <c r="AT29" s="212">
        <v>632.0539867109635</v>
      </c>
      <c r="AU29" s="212" t="b">
        <v>0</v>
      </c>
      <c r="AV29" s="212"/>
      <c r="AW29" s="212">
        <v>0</v>
      </c>
      <c r="AX29" s="212">
        <v>0</v>
      </c>
      <c r="BA29" s="11">
        <v>0</v>
      </c>
    </row>
    <row r="30" spans="1:53" ht="39.950000000000003" hidden="1" customHeight="1" x14ac:dyDescent="0.2">
      <c r="A30" s="87" t="s">
        <v>52</v>
      </c>
      <c r="B30" s="100" t="s">
        <v>23</v>
      </c>
      <c r="C30" s="104" t="s">
        <v>34</v>
      </c>
      <c r="D30" s="103" t="s">
        <v>34</v>
      </c>
      <c r="E30" s="102" t="s">
        <v>34</v>
      </c>
      <c r="F30" s="103" t="s">
        <v>543</v>
      </c>
      <c r="G30" s="103" t="s">
        <v>136</v>
      </c>
      <c r="H30" s="101" t="s">
        <v>136</v>
      </c>
      <c r="I30" s="102" t="s">
        <v>52</v>
      </c>
      <c r="J30" s="102" t="s">
        <v>52</v>
      </c>
      <c r="K30" s="101" t="s">
        <v>7</v>
      </c>
      <c r="L30" s="100" t="s">
        <v>40</v>
      </c>
      <c r="M30" s="87"/>
      <c r="N30" s="87" t="s">
        <v>42</v>
      </c>
      <c r="O30" s="87" t="s">
        <v>531</v>
      </c>
      <c r="P30" s="87" t="s">
        <v>532</v>
      </c>
      <c r="Q30" s="99" t="s">
        <v>8</v>
      </c>
      <c r="R30" s="97">
        <v>510</v>
      </c>
      <c r="S30" s="98" t="s">
        <v>4</v>
      </c>
      <c r="T30" s="155">
        <v>510</v>
      </c>
      <c r="U30" s="97">
        <v>510</v>
      </c>
      <c r="V30" s="155">
        <v>6625</v>
      </c>
      <c r="W30" s="96" t="s">
        <v>11</v>
      </c>
      <c r="X30" s="182">
        <v>2.5000000000000001E-2</v>
      </c>
      <c r="Y30" s="95">
        <v>43435</v>
      </c>
      <c r="Z30" s="95">
        <v>44530</v>
      </c>
      <c r="AA30" s="95">
        <v>44530</v>
      </c>
      <c r="AB30" s="93">
        <v>1096</v>
      </c>
      <c r="AC30" s="94" t="s">
        <v>10</v>
      </c>
      <c r="AD30" s="93">
        <v>61</v>
      </c>
      <c r="AE30" s="92">
        <v>0.16712328767123288</v>
      </c>
      <c r="AF30" s="91"/>
      <c r="AG30" s="90" t="s">
        <v>1</v>
      </c>
      <c r="AH30" s="90" t="s">
        <v>1</v>
      </c>
      <c r="AI30" s="89" t="s">
        <v>0</v>
      </c>
      <c r="AJ30" s="11" t="s">
        <v>0</v>
      </c>
      <c r="AK30" s="88" t="s">
        <v>271</v>
      </c>
      <c r="AL30" s="87"/>
      <c r="AO30" s="197" t="s">
        <v>34</v>
      </c>
      <c r="AP30" s="198" t="s">
        <v>543</v>
      </c>
      <c r="AS30" s="212">
        <v>0</v>
      </c>
      <c r="AT30" s="212">
        <v>61.199999999999996</v>
      </c>
      <c r="AU30" s="212" t="b">
        <v>0</v>
      </c>
      <c r="AV30" s="212"/>
      <c r="AW30" s="212">
        <v>0</v>
      </c>
      <c r="AX30" s="212">
        <v>0</v>
      </c>
      <c r="BA30" s="11">
        <v>0</v>
      </c>
    </row>
    <row r="31" spans="1:53" ht="39.950000000000003" hidden="1" customHeight="1" x14ac:dyDescent="0.2">
      <c r="A31" s="13" t="s">
        <v>171</v>
      </c>
      <c r="B31" s="65" t="s">
        <v>24</v>
      </c>
      <c r="C31" s="66" t="s">
        <v>87</v>
      </c>
      <c r="D31" s="13" t="s">
        <v>542</v>
      </c>
      <c r="E31" s="77" t="s">
        <v>87</v>
      </c>
      <c r="F31" s="14" t="s">
        <v>173</v>
      </c>
      <c r="G31" s="14" t="s">
        <v>174</v>
      </c>
      <c r="H31" s="14" t="s">
        <v>172</v>
      </c>
      <c r="I31" s="77" t="s">
        <v>75</v>
      </c>
      <c r="J31" s="77" t="s">
        <v>21</v>
      </c>
      <c r="K31" s="14" t="s">
        <v>29</v>
      </c>
      <c r="L31" s="65" t="s">
        <v>191</v>
      </c>
      <c r="M31" s="13" t="s">
        <v>59</v>
      </c>
      <c r="N31" s="13" t="s">
        <v>43</v>
      </c>
      <c r="O31" s="13" t="s">
        <v>538</v>
      </c>
      <c r="P31" s="13" t="s">
        <v>548</v>
      </c>
      <c r="Q31" s="64" t="s">
        <v>9</v>
      </c>
      <c r="R31" s="62">
        <v>34606.86600221484</v>
      </c>
      <c r="S31" s="63">
        <v>25000</v>
      </c>
      <c r="T31" s="150">
        <v>34606.86600221484</v>
      </c>
      <c r="U31" s="62">
        <v>142272.67123477298</v>
      </c>
      <c r="V31" s="150">
        <v>2100420.4872646732</v>
      </c>
      <c r="W31" s="61" t="s">
        <v>11</v>
      </c>
      <c r="X31" s="181">
        <v>1.6299999999999999E-2</v>
      </c>
      <c r="Y31" s="60">
        <v>43448</v>
      </c>
      <c r="Z31" s="60">
        <v>45716</v>
      </c>
      <c r="AA31" s="60">
        <v>45716</v>
      </c>
      <c r="AB31" s="58">
        <v>2269</v>
      </c>
      <c r="AC31" s="75" t="s">
        <v>10</v>
      </c>
      <c r="AD31" s="58">
        <v>1247</v>
      </c>
      <c r="AE31" s="57">
        <v>3.4164383561643836</v>
      </c>
      <c r="AF31" s="56"/>
      <c r="AG31" s="71" t="s">
        <v>1</v>
      </c>
      <c r="AH31" s="71" t="s">
        <v>1</v>
      </c>
      <c r="AI31" s="70" t="s">
        <v>302</v>
      </c>
      <c r="AJ31" s="11" t="s">
        <v>0</v>
      </c>
      <c r="AK31" s="11" t="s">
        <v>271</v>
      </c>
      <c r="AL31" s="13" t="s">
        <v>355</v>
      </c>
      <c r="AO31" s="197" t="s">
        <v>87</v>
      </c>
      <c r="AP31" s="198" t="s">
        <v>173</v>
      </c>
      <c r="AS31" s="212">
        <v>0</v>
      </c>
      <c r="AT31" s="212">
        <v>4152.8239202657805</v>
      </c>
      <c r="AU31" s="212" t="b">
        <v>0</v>
      </c>
      <c r="AV31" s="212"/>
      <c r="AW31" s="212">
        <v>0</v>
      </c>
      <c r="AX31" s="212">
        <v>0</v>
      </c>
      <c r="BA31" s="11">
        <v>0</v>
      </c>
    </row>
    <row r="32" spans="1:53" ht="39.950000000000003" hidden="1" customHeight="1" x14ac:dyDescent="0.2">
      <c r="A32" s="13" t="s">
        <v>183</v>
      </c>
      <c r="B32" s="65" t="s">
        <v>23</v>
      </c>
      <c r="C32" s="66" t="s">
        <v>87</v>
      </c>
      <c r="D32" s="13" t="s">
        <v>540</v>
      </c>
      <c r="E32" s="161" t="s">
        <v>36</v>
      </c>
      <c r="F32" s="14" t="s">
        <v>544</v>
      </c>
      <c r="G32" s="14" t="s">
        <v>179</v>
      </c>
      <c r="H32" s="66" t="s">
        <v>180</v>
      </c>
      <c r="I32" s="66" t="s">
        <v>181</v>
      </c>
      <c r="J32" s="66" t="s">
        <v>33</v>
      </c>
      <c r="K32" s="14" t="s">
        <v>209</v>
      </c>
      <c r="L32" s="65" t="s">
        <v>191</v>
      </c>
      <c r="M32" s="13" t="s">
        <v>59</v>
      </c>
      <c r="N32" s="13" t="s">
        <v>43</v>
      </c>
      <c r="O32" s="13" t="s">
        <v>531</v>
      </c>
      <c r="P32" s="13" t="s">
        <v>548</v>
      </c>
      <c r="Q32" s="64" t="s">
        <v>9</v>
      </c>
      <c r="R32" s="62">
        <v>20764.119601328901</v>
      </c>
      <c r="S32" s="63">
        <v>10500</v>
      </c>
      <c r="T32" s="150">
        <v>14534.883720930231</v>
      </c>
      <c r="U32" s="62">
        <v>41528.239202657802</v>
      </c>
      <c r="V32" s="150">
        <v>458597.72978959023</v>
      </c>
      <c r="W32" s="61" t="s">
        <v>11</v>
      </c>
      <c r="X32" s="181">
        <v>1.9E-2</v>
      </c>
      <c r="Y32" s="60">
        <v>43475</v>
      </c>
      <c r="Z32" s="60">
        <v>44590</v>
      </c>
      <c r="AA32" s="60">
        <v>44590</v>
      </c>
      <c r="AB32" s="58">
        <v>1116</v>
      </c>
      <c r="AC32" s="59" t="s">
        <v>10</v>
      </c>
      <c r="AD32" s="58">
        <v>121</v>
      </c>
      <c r="AE32" s="57">
        <v>0.33150684931506852</v>
      </c>
      <c r="AF32" s="56"/>
      <c r="AG32" s="71" t="s">
        <v>1</v>
      </c>
      <c r="AH32" s="71" t="s">
        <v>182</v>
      </c>
      <c r="AI32" s="70" t="s">
        <v>598</v>
      </c>
      <c r="AJ32" s="11" t="s">
        <v>0</v>
      </c>
      <c r="AK32" s="11" t="s">
        <v>271</v>
      </c>
      <c r="AL32" s="13" t="s">
        <v>552</v>
      </c>
      <c r="AM32" s="11">
        <v>12500</v>
      </c>
      <c r="AO32" s="197" t="s">
        <v>36</v>
      </c>
      <c r="AP32" s="198" t="s">
        <v>544</v>
      </c>
      <c r="AS32" s="212">
        <v>0</v>
      </c>
      <c r="AT32" s="212">
        <v>1744.1860465116276</v>
      </c>
      <c r="AU32" s="212" t="b">
        <v>0</v>
      </c>
      <c r="AV32" s="212"/>
      <c r="AW32" s="212">
        <v>0</v>
      </c>
      <c r="AX32" s="212">
        <v>0</v>
      </c>
      <c r="BA32" s="11">
        <v>0</v>
      </c>
    </row>
    <row r="33" spans="1:53" s="12" customFormat="1" ht="39.950000000000003" customHeight="1" x14ac:dyDescent="0.2">
      <c r="A33" s="13" t="s">
        <v>175</v>
      </c>
      <c r="B33" s="65" t="s">
        <v>23</v>
      </c>
      <c r="C33" s="66" t="s">
        <v>34</v>
      </c>
      <c r="D33" s="13" t="s">
        <v>34</v>
      </c>
      <c r="E33" s="77" t="s">
        <v>34</v>
      </c>
      <c r="F33" s="14" t="s">
        <v>544</v>
      </c>
      <c r="G33" s="14" t="s">
        <v>178</v>
      </c>
      <c r="H33" s="14" t="s">
        <v>177</v>
      </c>
      <c r="I33" s="77" t="s">
        <v>21</v>
      </c>
      <c r="J33" s="77" t="s">
        <v>21</v>
      </c>
      <c r="K33" s="14" t="s">
        <v>29</v>
      </c>
      <c r="L33" s="65" t="s">
        <v>191</v>
      </c>
      <c r="M33" s="13" t="s">
        <v>323</v>
      </c>
      <c r="N33" s="13" t="s">
        <v>43</v>
      </c>
      <c r="O33" s="13" t="s">
        <v>531</v>
      </c>
      <c r="P33" s="13" t="s">
        <v>534</v>
      </c>
      <c r="Q33" s="64" t="s">
        <v>8</v>
      </c>
      <c r="R33" s="62">
        <v>20000</v>
      </c>
      <c r="S33" s="63">
        <v>20000</v>
      </c>
      <c r="T33" s="150">
        <v>20000</v>
      </c>
      <c r="U33" s="62">
        <v>95000</v>
      </c>
      <c r="V33" s="150">
        <v>770039</v>
      </c>
      <c r="W33" s="61" t="s">
        <v>11</v>
      </c>
      <c r="X33" s="181">
        <v>1.95E-2</v>
      </c>
      <c r="Y33" s="60">
        <v>43480</v>
      </c>
      <c r="Z33" s="60">
        <v>44607</v>
      </c>
      <c r="AA33" s="60">
        <v>44607</v>
      </c>
      <c r="AB33" s="58">
        <v>1128</v>
      </c>
      <c r="AC33" s="59" t="s">
        <v>10</v>
      </c>
      <c r="AD33" s="58">
        <v>138</v>
      </c>
      <c r="AE33" s="57">
        <v>0.37808219178082192</v>
      </c>
      <c r="AF33" s="56"/>
      <c r="AG33" s="71" t="s">
        <v>1</v>
      </c>
      <c r="AH33" s="71" t="s">
        <v>1</v>
      </c>
      <c r="AI33" s="70" t="s">
        <v>0</v>
      </c>
      <c r="AJ33" s="11" t="s">
        <v>0</v>
      </c>
      <c r="AK33" s="11" t="s">
        <v>271</v>
      </c>
      <c r="AL33" s="13" t="s">
        <v>356</v>
      </c>
      <c r="AM33" s="11">
        <v>7789.99</v>
      </c>
      <c r="AN33" s="11"/>
      <c r="AO33" s="197" t="s">
        <v>34</v>
      </c>
      <c r="AP33" s="198" t="s">
        <v>544</v>
      </c>
      <c r="AQ33" s="11">
        <v>1</v>
      </c>
      <c r="AR33" s="214">
        <v>0.05</v>
      </c>
      <c r="AS33" s="212">
        <v>1000</v>
      </c>
      <c r="AT33" s="212">
        <v>2400</v>
      </c>
      <c r="AU33" s="212" t="b">
        <v>0</v>
      </c>
      <c r="AV33" s="212"/>
      <c r="AW33" s="212">
        <v>1000</v>
      </c>
      <c r="AX33" s="212">
        <v>1000</v>
      </c>
      <c r="BA33" s="12">
        <v>1000</v>
      </c>
    </row>
    <row r="34" spans="1:53" ht="39.950000000000003" hidden="1" customHeight="1" x14ac:dyDescent="0.2">
      <c r="A34" s="13" t="s">
        <v>204</v>
      </c>
      <c r="B34" s="65" t="s">
        <v>23</v>
      </c>
      <c r="C34" s="66" t="s">
        <v>89</v>
      </c>
      <c r="D34" s="13" t="s">
        <v>542</v>
      </c>
      <c r="E34" s="77" t="s">
        <v>127</v>
      </c>
      <c r="F34" s="14" t="s">
        <v>92</v>
      </c>
      <c r="G34" s="14" t="s">
        <v>108</v>
      </c>
      <c r="H34" s="14" t="s">
        <v>109</v>
      </c>
      <c r="I34" s="14" t="s">
        <v>151</v>
      </c>
      <c r="J34" s="14" t="s">
        <v>220</v>
      </c>
      <c r="K34" s="14" t="s">
        <v>22</v>
      </c>
      <c r="L34" s="65" t="s">
        <v>191</v>
      </c>
      <c r="M34" s="13" t="s">
        <v>59</v>
      </c>
      <c r="N34" s="13" t="s">
        <v>43</v>
      </c>
      <c r="O34" s="13" t="s">
        <v>531</v>
      </c>
      <c r="P34" s="13" t="s">
        <v>534</v>
      </c>
      <c r="Q34" s="64" t="s">
        <v>9</v>
      </c>
      <c r="R34" s="62">
        <v>3712.6245847176078</v>
      </c>
      <c r="S34" s="63">
        <v>1723.5630000000001</v>
      </c>
      <c r="T34" s="150">
        <v>2385.8845514950167</v>
      </c>
      <c r="U34" s="62">
        <v>27832.650992775765</v>
      </c>
      <c r="V34" s="150">
        <v>170204.06976744186</v>
      </c>
      <c r="W34" s="61" t="s">
        <v>11</v>
      </c>
      <c r="X34" s="181">
        <v>2.2499999999999999E-2</v>
      </c>
      <c r="Y34" s="60">
        <v>43486</v>
      </c>
      <c r="Z34" s="60">
        <v>46041</v>
      </c>
      <c r="AA34" s="60">
        <v>46041</v>
      </c>
      <c r="AB34" s="58">
        <v>2556</v>
      </c>
      <c r="AC34" s="59" t="s">
        <v>10</v>
      </c>
      <c r="AD34" s="58">
        <v>1572</v>
      </c>
      <c r="AE34" s="57">
        <v>4.3068493150684928</v>
      </c>
      <c r="AF34" s="56"/>
      <c r="AG34" s="71" t="s">
        <v>1</v>
      </c>
      <c r="AH34" s="71" t="s">
        <v>1</v>
      </c>
      <c r="AI34" s="70" t="s">
        <v>251</v>
      </c>
      <c r="AJ34" s="11" t="s">
        <v>0</v>
      </c>
      <c r="AK34" s="11" t="s">
        <v>271</v>
      </c>
      <c r="AL34" s="13" t="s">
        <v>357</v>
      </c>
      <c r="AM34" s="11">
        <v>2145</v>
      </c>
      <c r="AO34" s="197" t="s">
        <v>127</v>
      </c>
      <c r="AP34" s="198" t="s">
        <v>92</v>
      </c>
      <c r="AS34" s="212">
        <v>0</v>
      </c>
      <c r="AT34" s="212">
        <v>286.30614617940199</v>
      </c>
      <c r="AU34" s="212" t="b">
        <v>0</v>
      </c>
      <c r="AV34" s="212"/>
      <c r="AW34" s="212">
        <v>0</v>
      </c>
      <c r="AX34" s="212">
        <v>0</v>
      </c>
      <c r="BA34" s="11">
        <v>0</v>
      </c>
    </row>
    <row r="35" spans="1:53" ht="39.950000000000003" hidden="1" customHeight="1" x14ac:dyDescent="0.2">
      <c r="A35" s="14" t="s">
        <v>190</v>
      </c>
      <c r="B35" s="65" t="s">
        <v>23</v>
      </c>
      <c r="C35" s="66" t="s">
        <v>37</v>
      </c>
      <c r="D35" s="13" t="s">
        <v>540</v>
      </c>
      <c r="E35" s="161" t="s">
        <v>36</v>
      </c>
      <c r="F35" s="14" t="s">
        <v>106</v>
      </c>
      <c r="G35" s="14" t="s">
        <v>106</v>
      </c>
      <c r="H35" s="66" t="s">
        <v>107</v>
      </c>
      <c r="I35" s="14" t="s">
        <v>72</v>
      </c>
      <c r="J35" s="14" t="s">
        <v>219</v>
      </c>
      <c r="K35" s="14" t="s">
        <v>29</v>
      </c>
      <c r="L35" s="65" t="s">
        <v>191</v>
      </c>
      <c r="M35" s="13" t="s">
        <v>323</v>
      </c>
      <c r="N35" s="13" t="s">
        <v>43</v>
      </c>
      <c r="O35" s="13" t="s">
        <v>538</v>
      </c>
      <c r="P35" s="13" t="s">
        <v>548</v>
      </c>
      <c r="Q35" s="64" t="s">
        <v>9</v>
      </c>
      <c r="R35" s="62">
        <v>5883.167220376522</v>
      </c>
      <c r="S35" s="63">
        <v>3612.5</v>
      </c>
      <c r="T35" s="150">
        <v>5000.6921373200439</v>
      </c>
      <c r="U35" s="62">
        <v>69213.732004429679</v>
      </c>
      <c r="V35" s="150">
        <v>264915.69767441862</v>
      </c>
      <c r="W35" s="61" t="s">
        <v>11</v>
      </c>
      <c r="X35" s="181">
        <v>2.5000000000000001E-2</v>
      </c>
      <c r="Y35" s="60">
        <v>43496</v>
      </c>
      <c r="Z35" s="60">
        <v>44848</v>
      </c>
      <c r="AA35" s="60">
        <v>44848</v>
      </c>
      <c r="AB35" s="58">
        <v>1353</v>
      </c>
      <c r="AC35" s="59" t="s">
        <v>10</v>
      </c>
      <c r="AD35" s="58">
        <v>379</v>
      </c>
      <c r="AE35" s="57">
        <v>1.0383561643835617</v>
      </c>
      <c r="AF35" s="56"/>
      <c r="AG35" s="71" t="s">
        <v>1</v>
      </c>
      <c r="AH35" s="71" t="s">
        <v>1</v>
      </c>
      <c r="AI35" s="70" t="s">
        <v>601</v>
      </c>
      <c r="AJ35" s="11" t="s">
        <v>0</v>
      </c>
      <c r="AK35" s="11" t="s">
        <v>271</v>
      </c>
      <c r="AL35" s="14" t="s">
        <v>361</v>
      </c>
      <c r="AM35" s="11">
        <v>5500</v>
      </c>
      <c r="AO35" s="197" t="s">
        <v>36</v>
      </c>
      <c r="AP35" s="198" t="s">
        <v>106</v>
      </c>
      <c r="AS35" s="212">
        <v>0</v>
      </c>
      <c r="AT35" s="212">
        <v>600.0830564784053</v>
      </c>
      <c r="AU35" s="212" t="b">
        <v>0</v>
      </c>
      <c r="AV35" s="212"/>
      <c r="AW35" s="212">
        <v>0</v>
      </c>
      <c r="AX35" s="212">
        <v>0</v>
      </c>
      <c r="BA35" s="11">
        <v>0</v>
      </c>
    </row>
    <row r="36" spans="1:53" ht="39.950000000000003" hidden="1" customHeight="1" x14ac:dyDescent="0.2">
      <c r="A36" s="14" t="s">
        <v>185</v>
      </c>
      <c r="B36" s="65" t="s">
        <v>67</v>
      </c>
      <c r="C36" s="66" t="s">
        <v>127</v>
      </c>
      <c r="D36" s="13" t="s">
        <v>542</v>
      </c>
      <c r="E36" s="68" t="s">
        <v>127</v>
      </c>
      <c r="F36" s="14" t="s">
        <v>92</v>
      </c>
      <c r="G36" s="14" t="s">
        <v>93</v>
      </c>
      <c r="H36" s="66" t="s">
        <v>94</v>
      </c>
      <c r="I36" s="14" t="s">
        <v>165</v>
      </c>
      <c r="J36" s="14" t="s">
        <v>220</v>
      </c>
      <c r="K36" s="14" t="s">
        <v>22</v>
      </c>
      <c r="L36" s="65" t="s">
        <v>191</v>
      </c>
      <c r="M36" s="13" t="s">
        <v>59</v>
      </c>
      <c r="N36" s="13" t="s">
        <v>43</v>
      </c>
      <c r="O36" s="13" t="s">
        <v>538</v>
      </c>
      <c r="P36" s="13" t="s">
        <v>534</v>
      </c>
      <c r="Q36" s="64" t="s">
        <v>59</v>
      </c>
      <c r="R36" s="62">
        <v>28837.373235713483</v>
      </c>
      <c r="S36" s="63">
        <v>18000</v>
      </c>
      <c r="T36" s="150">
        <v>28837.373235713483</v>
      </c>
      <c r="U36" s="62">
        <v>240311.44363094569</v>
      </c>
      <c r="V36" s="150">
        <v>1318071.420561047</v>
      </c>
      <c r="W36" s="61" t="s">
        <v>11</v>
      </c>
      <c r="X36" s="181">
        <v>1.7999999999999999E-2</v>
      </c>
      <c r="Y36" s="60">
        <v>43500</v>
      </c>
      <c r="Z36" s="60">
        <v>45311</v>
      </c>
      <c r="AA36" s="60">
        <v>45311</v>
      </c>
      <c r="AB36" s="58">
        <v>1812</v>
      </c>
      <c r="AC36" s="59" t="s">
        <v>10</v>
      </c>
      <c r="AD36" s="58">
        <v>842</v>
      </c>
      <c r="AE36" s="57">
        <v>2.3068493150684932</v>
      </c>
      <c r="AF36" s="56"/>
      <c r="AG36" s="71" t="s">
        <v>1</v>
      </c>
      <c r="AH36" s="71" t="s">
        <v>1</v>
      </c>
      <c r="AI36" s="70" t="s">
        <v>0</v>
      </c>
      <c r="AJ36" s="11" t="s">
        <v>0</v>
      </c>
      <c r="AK36" s="11" t="s">
        <v>271</v>
      </c>
      <c r="AL36" s="14" t="s">
        <v>358</v>
      </c>
      <c r="AM36" s="11">
        <v>23780</v>
      </c>
      <c r="AO36" s="197" t="s">
        <v>127</v>
      </c>
      <c r="AP36" s="198" t="s">
        <v>92</v>
      </c>
      <c r="AS36" s="212">
        <v>0</v>
      </c>
      <c r="AT36" s="212">
        <v>3460.4847882856179</v>
      </c>
      <c r="AU36" s="212" t="b">
        <v>0</v>
      </c>
      <c r="AV36" s="212"/>
      <c r="AW36" s="212">
        <v>0</v>
      </c>
      <c r="AX36" s="212">
        <v>0</v>
      </c>
      <c r="BA36" s="11">
        <v>0</v>
      </c>
    </row>
    <row r="37" spans="1:53" ht="39.950000000000003" hidden="1" customHeight="1" x14ac:dyDescent="0.2">
      <c r="A37" s="148" t="s">
        <v>203</v>
      </c>
      <c r="B37" s="65" t="s">
        <v>23</v>
      </c>
      <c r="C37" s="66" t="s">
        <v>89</v>
      </c>
      <c r="D37" s="13" t="s">
        <v>542</v>
      </c>
      <c r="E37" s="77" t="s">
        <v>127</v>
      </c>
      <c r="F37" s="14" t="s">
        <v>92</v>
      </c>
      <c r="G37" s="14" t="s">
        <v>108</v>
      </c>
      <c r="H37" s="14" t="s">
        <v>109</v>
      </c>
      <c r="I37" s="14" t="s">
        <v>151</v>
      </c>
      <c r="J37" s="14" t="s">
        <v>220</v>
      </c>
      <c r="K37" s="14" t="s">
        <v>22</v>
      </c>
      <c r="L37" s="65" t="s">
        <v>191</v>
      </c>
      <c r="M37" s="13" t="s">
        <v>59</v>
      </c>
      <c r="N37" s="13" t="s">
        <v>43</v>
      </c>
      <c r="O37" s="13" t="s">
        <v>531</v>
      </c>
      <c r="P37" s="13" t="s">
        <v>534</v>
      </c>
      <c r="Q37" s="64" t="s">
        <v>9</v>
      </c>
      <c r="R37" s="62">
        <v>2741.4327242524914</v>
      </c>
      <c r="S37" s="63">
        <v>1300.51</v>
      </c>
      <c r="T37" s="150">
        <v>1800.2630121816167</v>
      </c>
      <c r="U37" s="62">
        <v>21555.948137968673</v>
      </c>
      <c r="V37" s="150">
        <v>132423.4634551495</v>
      </c>
      <c r="W37" s="61" t="s">
        <v>11</v>
      </c>
      <c r="X37" s="181">
        <v>2.2499999999999999E-2</v>
      </c>
      <c r="Y37" s="60">
        <v>43508</v>
      </c>
      <c r="Z37" s="60">
        <v>46081</v>
      </c>
      <c r="AA37" s="60">
        <v>46081</v>
      </c>
      <c r="AB37" s="58">
        <v>2574</v>
      </c>
      <c r="AC37" s="59" t="s">
        <v>10</v>
      </c>
      <c r="AD37" s="58">
        <v>1612</v>
      </c>
      <c r="AE37" s="57">
        <v>4.4164383561643836</v>
      </c>
      <c r="AF37" s="56"/>
      <c r="AG37" s="71" t="s">
        <v>1</v>
      </c>
      <c r="AH37" s="71" t="s">
        <v>1</v>
      </c>
      <c r="AI37" s="70" t="s">
        <v>251</v>
      </c>
      <c r="AJ37" s="11" t="s">
        <v>0</v>
      </c>
      <c r="AK37" s="11" t="s">
        <v>271</v>
      </c>
      <c r="AL37" s="14" t="s">
        <v>360</v>
      </c>
      <c r="AM37" s="11">
        <v>1555</v>
      </c>
      <c r="AO37" s="197" t="s">
        <v>127</v>
      </c>
      <c r="AP37" s="198" t="s">
        <v>92</v>
      </c>
      <c r="AS37" s="212">
        <v>0</v>
      </c>
      <c r="AT37" s="212">
        <v>216.03156146179398</v>
      </c>
      <c r="AU37" s="212" t="b">
        <v>0</v>
      </c>
      <c r="AV37" s="212"/>
      <c r="AW37" s="212">
        <v>0</v>
      </c>
      <c r="AX37" s="212">
        <v>0</v>
      </c>
      <c r="BA37" s="11">
        <v>0</v>
      </c>
    </row>
    <row r="38" spans="1:53" ht="39.950000000000003" hidden="1" customHeight="1" x14ac:dyDescent="0.2">
      <c r="A38" s="14" t="s">
        <v>187</v>
      </c>
      <c r="B38" s="65" t="s">
        <v>67</v>
      </c>
      <c r="C38" s="66" t="s">
        <v>34</v>
      </c>
      <c r="D38" s="13" t="s">
        <v>34</v>
      </c>
      <c r="E38" s="77" t="s">
        <v>34</v>
      </c>
      <c r="F38" s="14" t="s">
        <v>543</v>
      </c>
      <c r="G38" s="14" t="s">
        <v>97</v>
      </c>
      <c r="H38" s="14" t="s">
        <v>186</v>
      </c>
      <c r="I38" s="14" t="s">
        <v>70</v>
      </c>
      <c r="J38" s="14" t="s">
        <v>218</v>
      </c>
      <c r="K38" s="14" t="s">
        <v>139</v>
      </c>
      <c r="L38" s="65" t="s">
        <v>191</v>
      </c>
      <c r="M38" s="13" t="s">
        <v>323</v>
      </c>
      <c r="N38" s="13" t="s">
        <v>43</v>
      </c>
      <c r="O38" s="13" t="s">
        <v>538</v>
      </c>
      <c r="P38" s="13" t="s">
        <v>534</v>
      </c>
      <c r="Q38" s="15" t="s">
        <v>8</v>
      </c>
      <c r="R38" s="86">
        <v>15000</v>
      </c>
      <c r="S38" s="63">
        <v>15000</v>
      </c>
      <c r="T38" s="169">
        <v>15000</v>
      </c>
      <c r="U38" s="86">
        <v>65000</v>
      </c>
      <c r="V38" s="169">
        <v>1815402.7390411</v>
      </c>
      <c r="W38" s="61" t="s">
        <v>11</v>
      </c>
      <c r="X38" s="181">
        <v>5.2499999999999998E-2</v>
      </c>
      <c r="Y38" s="85">
        <v>43511</v>
      </c>
      <c r="Z38" s="85">
        <v>45392</v>
      </c>
      <c r="AA38" s="85">
        <v>45392</v>
      </c>
      <c r="AB38" s="58">
        <v>1882</v>
      </c>
      <c r="AC38" s="59" t="s">
        <v>10</v>
      </c>
      <c r="AD38" s="58">
        <v>923</v>
      </c>
      <c r="AE38" s="57">
        <v>2.5287671232876714</v>
      </c>
      <c r="AF38" s="56"/>
      <c r="AG38" s="71" t="s">
        <v>1</v>
      </c>
      <c r="AH38" s="71" t="s">
        <v>1</v>
      </c>
      <c r="AI38" s="70" t="s">
        <v>0</v>
      </c>
      <c r="AJ38" s="11" t="s">
        <v>0</v>
      </c>
      <c r="AK38" s="11" t="s">
        <v>271</v>
      </c>
      <c r="AL38" s="14" t="s">
        <v>359</v>
      </c>
      <c r="AM38" s="12">
        <v>5500</v>
      </c>
      <c r="AN38" s="12"/>
      <c r="AO38" s="197" t="s">
        <v>34</v>
      </c>
      <c r="AP38" s="198" t="s">
        <v>543</v>
      </c>
      <c r="AQ38" s="12"/>
      <c r="AS38" s="212">
        <v>0</v>
      </c>
      <c r="AT38" s="212">
        <v>1800</v>
      </c>
      <c r="AU38" s="212" t="b">
        <v>0</v>
      </c>
      <c r="AV38" s="212"/>
      <c r="AW38" s="212">
        <v>0</v>
      </c>
      <c r="AX38" s="212">
        <v>0</v>
      </c>
      <c r="BA38" s="11">
        <v>0</v>
      </c>
    </row>
    <row r="39" spans="1:53" ht="39.950000000000003" hidden="1" customHeight="1" x14ac:dyDescent="0.2">
      <c r="A39" s="65" t="s">
        <v>194</v>
      </c>
      <c r="B39" s="65" t="s">
        <v>23</v>
      </c>
      <c r="C39" s="66" t="s">
        <v>89</v>
      </c>
      <c r="D39" s="13" t="s">
        <v>542</v>
      </c>
      <c r="E39" s="77" t="s">
        <v>193</v>
      </c>
      <c r="F39" s="14" t="s">
        <v>92</v>
      </c>
      <c r="G39" s="66" t="s">
        <v>134</v>
      </c>
      <c r="H39" s="14" t="s">
        <v>134</v>
      </c>
      <c r="I39" s="14" t="s">
        <v>151</v>
      </c>
      <c r="J39" s="14" t="s">
        <v>220</v>
      </c>
      <c r="K39" s="14" t="s">
        <v>22</v>
      </c>
      <c r="L39" s="65" t="s">
        <v>191</v>
      </c>
      <c r="M39" s="13" t="s">
        <v>59</v>
      </c>
      <c r="N39" s="13" t="s">
        <v>43</v>
      </c>
      <c r="O39" s="13" t="s">
        <v>531</v>
      </c>
      <c r="P39" s="13" t="s">
        <v>534</v>
      </c>
      <c r="Q39" s="64" t="s">
        <v>9</v>
      </c>
      <c r="R39" s="62">
        <v>20764.119601328901</v>
      </c>
      <c r="S39" s="63">
        <v>8076.9229999999998</v>
      </c>
      <c r="T39" s="150">
        <v>11180.679678848282</v>
      </c>
      <c r="U39" s="62">
        <v>102116.87440014766</v>
      </c>
      <c r="V39" s="150">
        <v>1059575.0276854928</v>
      </c>
      <c r="W39" s="61" t="s">
        <v>11</v>
      </c>
      <c r="X39" s="181">
        <v>2.8500000000000001E-2</v>
      </c>
      <c r="Y39" s="60">
        <v>43515</v>
      </c>
      <c r="Z39" s="60">
        <v>46042</v>
      </c>
      <c r="AA39" s="60">
        <v>46042</v>
      </c>
      <c r="AB39" s="58">
        <v>2528</v>
      </c>
      <c r="AC39" s="59" t="s">
        <v>10</v>
      </c>
      <c r="AD39" s="58">
        <v>1573</v>
      </c>
      <c r="AE39" s="57">
        <v>4.3095890410958901</v>
      </c>
      <c r="AF39" s="56"/>
      <c r="AG39" s="71" t="s">
        <v>1</v>
      </c>
      <c r="AH39" s="71" t="s">
        <v>1</v>
      </c>
      <c r="AI39" s="70" t="s">
        <v>269</v>
      </c>
      <c r="AJ39" s="11" t="s">
        <v>0</v>
      </c>
      <c r="AK39" s="11" t="s">
        <v>271</v>
      </c>
      <c r="AL39" s="13" t="s">
        <v>362</v>
      </c>
      <c r="AM39" s="11">
        <v>6472.5</v>
      </c>
      <c r="AO39" s="197" t="s">
        <v>193</v>
      </c>
      <c r="AP39" s="198" t="s">
        <v>92</v>
      </c>
      <c r="AS39" s="212">
        <v>0</v>
      </c>
      <c r="AT39" s="212">
        <v>1341.6815614617938</v>
      </c>
      <c r="AU39" s="212" t="b">
        <v>0</v>
      </c>
      <c r="AV39" s="212"/>
      <c r="AW39" s="212">
        <v>0</v>
      </c>
      <c r="AX39" s="212">
        <v>0</v>
      </c>
      <c r="BA39" s="11">
        <v>0</v>
      </c>
    </row>
    <row r="40" spans="1:53" ht="39.950000000000003" customHeight="1" x14ac:dyDescent="0.2">
      <c r="A40" s="66" t="s">
        <v>192</v>
      </c>
      <c r="B40" s="65" t="s">
        <v>23</v>
      </c>
      <c r="C40" s="66" t="s">
        <v>149</v>
      </c>
      <c r="D40" s="13" t="s">
        <v>540</v>
      </c>
      <c r="E40" s="161" t="s">
        <v>36</v>
      </c>
      <c r="F40" s="14" t="s">
        <v>544</v>
      </c>
      <c r="G40" s="66" t="s">
        <v>178</v>
      </c>
      <c r="H40" s="66" t="s">
        <v>177</v>
      </c>
      <c r="I40" s="14" t="s">
        <v>148</v>
      </c>
      <c r="J40" s="14" t="s">
        <v>148</v>
      </c>
      <c r="K40" s="14" t="s">
        <v>29</v>
      </c>
      <c r="L40" s="65" t="s">
        <v>191</v>
      </c>
      <c r="M40" s="13" t="s">
        <v>59</v>
      </c>
      <c r="N40" s="13" t="s">
        <v>43</v>
      </c>
      <c r="O40" s="13" t="s">
        <v>539</v>
      </c>
      <c r="P40" s="13" t="s">
        <v>534</v>
      </c>
      <c r="Q40" s="64" t="s">
        <v>9</v>
      </c>
      <c r="R40" s="62">
        <v>10382.05980066445</v>
      </c>
      <c r="S40" s="63">
        <v>7500</v>
      </c>
      <c r="T40" s="150">
        <v>10382.05980066445</v>
      </c>
      <c r="U40" s="62">
        <v>41528.239202657802</v>
      </c>
      <c r="V40" s="150">
        <v>559412.72148394235</v>
      </c>
      <c r="W40" s="61" t="s">
        <v>551</v>
      </c>
      <c r="X40" s="181">
        <v>3.5000000000000003E-2</v>
      </c>
      <c r="Y40" s="60">
        <v>43532</v>
      </c>
      <c r="Z40" s="60">
        <v>45323</v>
      </c>
      <c r="AA40" s="60">
        <v>45323</v>
      </c>
      <c r="AB40" s="58">
        <v>1792</v>
      </c>
      <c r="AC40" s="59" t="s">
        <v>10</v>
      </c>
      <c r="AD40" s="58">
        <v>854</v>
      </c>
      <c r="AE40" s="57">
        <v>2.3397260273972602</v>
      </c>
      <c r="AF40" s="56"/>
      <c r="AG40" s="71" t="s">
        <v>1</v>
      </c>
      <c r="AH40" s="71" t="s">
        <v>1</v>
      </c>
      <c r="AI40" s="71" t="s">
        <v>0</v>
      </c>
      <c r="AJ40" s="11" t="s">
        <v>0</v>
      </c>
      <c r="AK40" s="11" t="s">
        <v>271</v>
      </c>
      <c r="AL40" s="14" t="s">
        <v>363</v>
      </c>
      <c r="AM40" s="11">
        <v>8000</v>
      </c>
      <c r="AO40" s="197" t="s">
        <v>36</v>
      </c>
      <c r="AP40" s="198" t="s">
        <v>544</v>
      </c>
      <c r="AQ40" s="11">
        <v>1</v>
      </c>
      <c r="AR40" s="214">
        <v>0.1</v>
      </c>
      <c r="AS40" s="212">
        <v>1038.2059800664451</v>
      </c>
      <c r="AT40" s="212">
        <v>1245.847176079734</v>
      </c>
      <c r="AU40" s="212" t="b">
        <v>0</v>
      </c>
      <c r="AV40" s="212"/>
      <c r="AW40" s="212">
        <v>1038.2059800664451</v>
      </c>
      <c r="AX40" s="212">
        <v>1038.2059800664451</v>
      </c>
      <c r="AY40" s="12"/>
      <c r="BA40" s="11">
        <v>1038.2059800664451</v>
      </c>
    </row>
    <row r="41" spans="1:53" ht="39.950000000000003" hidden="1" customHeight="1" x14ac:dyDescent="0.2">
      <c r="A41" s="130" t="s">
        <v>198</v>
      </c>
      <c r="B41" s="66" t="s">
        <v>51</v>
      </c>
      <c r="C41" s="66" t="s">
        <v>34</v>
      </c>
      <c r="D41" s="13" t="s">
        <v>34</v>
      </c>
      <c r="E41" s="130" t="s">
        <v>34</v>
      </c>
      <c r="F41" s="14" t="s">
        <v>106</v>
      </c>
      <c r="G41" s="66" t="s">
        <v>106</v>
      </c>
      <c r="H41" s="66" t="s">
        <v>107</v>
      </c>
      <c r="I41" s="66" t="s">
        <v>21</v>
      </c>
      <c r="J41" s="66" t="s">
        <v>21</v>
      </c>
      <c r="K41" s="14" t="s">
        <v>101</v>
      </c>
      <c r="L41" s="65" t="s">
        <v>191</v>
      </c>
      <c r="M41" s="14" t="s">
        <v>323</v>
      </c>
      <c r="N41" s="65" t="s">
        <v>43</v>
      </c>
      <c r="O41" s="65" t="s">
        <v>539</v>
      </c>
      <c r="P41" s="65" t="s">
        <v>534</v>
      </c>
      <c r="Q41" s="64" t="s">
        <v>8</v>
      </c>
      <c r="R41" s="62">
        <v>30000</v>
      </c>
      <c r="S41" s="149">
        <v>30000</v>
      </c>
      <c r="T41" s="82">
        <v>30000</v>
      </c>
      <c r="U41" s="82">
        <v>182000</v>
      </c>
      <c r="V41" s="82">
        <v>1123164.8</v>
      </c>
      <c r="W41" s="61" t="s">
        <v>11</v>
      </c>
      <c r="X41" s="181">
        <v>1.6500000000000001E-2</v>
      </c>
      <c r="Y41" s="81">
        <v>43597</v>
      </c>
      <c r="Z41" s="81">
        <v>44531</v>
      </c>
      <c r="AA41" s="81">
        <v>44531</v>
      </c>
      <c r="AB41" s="58">
        <v>935</v>
      </c>
      <c r="AC41" s="151" t="s">
        <v>10</v>
      </c>
      <c r="AD41" s="80">
        <v>62</v>
      </c>
      <c r="AE41" s="57">
        <v>0.16986301369863013</v>
      </c>
      <c r="AF41" s="56" t="s">
        <v>436</v>
      </c>
      <c r="AG41" s="71" t="s">
        <v>1</v>
      </c>
      <c r="AH41" s="71" t="s">
        <v>1</v>
      </c>
      <c r="AI41" s="71" t="s">
        <v>0</v>
      </c>
      <c r="AJ41" s="11" t="s">
        <v>0</v>
      </c>
      <c r="AK41" s="11" t="s">
        <v>271</v>
      </c>
      <c r="AL41" s="14" t="s">
        <v>364</v>
      </c>
      <c r="AM41" s="11">
        <v>9328.41</v>
      </c>
      <c r="AO41" s="197" t="s">
        <v>34</v>
      </c>
      <c r="AP41" s="198" t="s">
        <v>106</v>
      </c>
      <c r="AS41" s="212">
        <v>0</v>
      </c>
      <c r="AT41" s="212">
        <v>3600</v>
      </c>
      <c r="AU41" s="212">
        <v>720</v>
      </c>
      <c r="AV41" s="212"/>
      <c r="AW41" s="212">
        <v>0</v>
      </c>
      <c r="AX41" s="212">
        <v>0</v>
      </c>
      <c r="BA41" s="11">
        <v>0</v>
      </c>
    </row>
    <row r="42" spans="1:53" ht="39.950000000000003" hidden="1" customHeight="1" x14ac:dyDescent="0.2">
      <c r="A42" s="148" t="s">
        <v>206</v>
      </c>
      <c r="B42" s="65" t="s">
        <v>23</v>
      </c>
      <c r="C42" s="66" t="s">
        <v>38</v>
      </c>
      <c r="D42" s="13" t="s">
        <v>541</v>
      </c>
      <c r="E42" s="130" t="s">
        <v>37</v>
      </c>
      <c r="F42" s="14" t="s">
        <v>546</v>
      </c>
      <c r="G42" s="66" t="s">
        <v>167</v>
      </c>
      <c r="H42" s="66" t="s">
        <v>167</v>
      </c>
      <c r="I42" s="66" t="s">
        <v>50</v>
      </c>
      <c r="J42" s="66" t="s">
        <v>21</v>
      </c>
      <c r="K42" s="14" t="s">
        <v>29</v>
      </c>
      <c r="L42" s="65" t="s">
        <v>191</v>
      </c>
      <c r="M42" s="13" t="s">
        <v>323</v>
      </c>
      <c r="N42" s="65" t="s">
        <v>43</v>
      </c>
      <c r="O42" s="65" t="s">
        <v>531</v>
      </c>
      <c r="P42" s="13" t="s">
        <v>548</v>
      </c>
      <c r="Q42" s="83" t="s">
        <v>9</v>
      </c>
      <c r="R42" s="62">
        <v>27685.49280177187</v>
      </c>
      <c r="S42" s="149">
        <v>20000</v>
      </c>
      <c r="T42" s="82">
        <v>27685.49280177187</v>
      </c>
      <c r="U42" s="82">
        <v>127353.2668881506</v>
      </c>
      <c r="V42" s="82">
        <v>1086893.6877076412</v>
      </c>
      <c r="W42" s="61" t="s">
        <v>11</v>
      </c>
      <c r="X42" s="181">
        <v>1.4500000000000001E-2</v>
      </c>
      <c r="Y42" s="81">
        <v>43609</v>
      </c>
      <c r="Z42" s="81">
        <v>45044</v>
      </c>
      <c r="AA42" s="81">
        <v>45044</v>
      </c>
      <c r="AB42" s="58">
        <v>1436</v>
      </c>
      <c r="AC42" s="151" t="s">
        <v>10</v>
      </c>
      <c r="AD42" s="80">
        <v>575</v>
      </c>
      <c r="AE42" s="57">
        <v>1.5753424657534247</v>
      </c>
      <c r="AF42" s="56" t="s">
        <v>436</v>
      </c>
      <c r="AG42" s="71" t="s">
        <v>1</v>
      </c>
      <c r="AH42" s="71" t="s">
        <v>1</v>
      </c>
      <c r="AI42" s="71" t="s">
        <v>0</v>
      </c>
      <c r="AJ42" s="11" t="s">
        <v>0</v>
      </c>
      <c r="AK42" s="11" t="s">
        <v>271</v>
      </c>
      <c r="AL42" s="14" t="s">
        <v>367</v>
      </c>
      <c r="AM42" s="11">
        <v>3500</v>
      </c>
      <c r="AO42" s="197" t="s">
        <v>37</v>
      </c>
      <c r="AP42" s="198" t="s">
        <v>546</v>
      </c>
      <c r="AS42" s="212">
        <v>0</v>
      </c>
      <c r="AT42" s="212">
        <v>3322.2591362126245</v>
      </c>
      <c r="AU42" s="212">
        <v>664.45182724252493</v>
      </c>
      <c r="AV42" s="212"/>
      <c r="AW42" s="212">
        <v>0</v>
      </c>
      <c r="AX42" s="212">
        <v>0</v>
      </c>
      <c r="BA42" s="11">
        <v>0</v>
      </c>
    </row>
    <row r="43" spans="1:53" ht="39.950000000000003" hidden="1" customHeight="1" x14ac:dyDescent="0.2">
      <c r="A43" s="66" t="s">
        <v>205</v>
      </c>
      <c r="B43" s="65" t="s">
        <v>23</v>
      </c>
      <c r="C43" s="66" t="s">
        <v>38</v>
      </c>
      <c r="D43" s="13" t="s">
        <v>540</v>
      </c>
      <c r="E43" s="161" t="s">
        <v>36</v>
      </c>
      <c r="F43" s="14" t="s">
        <v>92</v>
      </c>
      <c r="G43" s="66" t="s">
        <v>134</v>
      </c>
      <c r="H43" s="66" t="s">
        <v>134</v>
      </c>
      <c r="I43" s="66" t="s">
        <v>50</v>
      </c>
      <c r="J43" s="66" t="s">
        <v>21</v>
      </c>
      <c r="K43" s="14" t="s">
        <v>22</v>
      </c>
      <c r="L43" s="65" t="s">
        <v>191</v>
      </c>
      <c r="M43" s="13" t="s">
        <v>323</v>
      </c>
      <c r="N43" s="65" t="s">
        <v>43</v>
      </c>
      <c r="O43" s="65" t="s">
        <v>531</v>
      </c>
      <c r="P43" s="65" t="s">
        <v>534</v>
      </c>
      <c r="Q43" s="83" t="s">
        <v>9</v>
      </c>
      <c r="R43" s="62">
        <v>28031.561461794019</v>
      </c>
      <c r="S43" s="149">
        <v>14523.973</v>
      </c>
      <c r="T43" s="82">
        <v>20105.16749723145</v>
      </c>
      <c r="U43" s="82">
        <v>96107.664875654533</v>
      </c>
      <c r="V43" s="82">
        <v>873911.96013289026</v>
      </c>
      <c r="W43" s="61" t="s">
        <v>11</v>
      </c>
      <c r="X43" s="181">
        <v>1.4E-2</v>
      </c>
      <c r="Y43" s="81">
        <v>43609</v>
      </c>
      <c r="Z43" s="81">
        <v>46457</v>
      </c>
      <c r="AA43" s="81">
        <v>46457</v>
      </c>
      <c r="AB43" s="58">
        <v>2849</v>
      </c>
      <c r="AC43" s="151" t="s">
        <v>10</v>
      </c>
      <c r="AD43" s="80">
        <v>1988</v>
      </c>
      <c r="AE43" s="57">
        <v>5.4465753424657537</v>
      </c>
      <c r="AF43" s="56" t="s">
        <v>436</v>
      </c>
      <c r="AG43" s="71" t="s">
        <v>1</v>
      </c>
      <c r="AH43" s="71" t="s">
        <v>1</v>
      </c>
      <c r="AI43" s="70" t="s">
        <v>606</v>
      </c>
      <c r="AJ43" s="11" t="s">
        <v>0</v>
      </c>
      <c r="AK43" s="11" t="s">
        <v>271</v>
      </c>
      <c r="AL43" s="14" t="s">
        <v>366</v>
      </c>
      <c r="AM43" s="11">
        <v>8100</v>
      </c>
      <c r="AO43" s="197" t="s">
        <v>36</v>
      </c>
      <c r="AP43" s="198" t="s">
        <v>92</v>
      </c>
      <c r="AS43" s="212">
        <v>0</v>
      </c>
      <c r="AT43" s="212">
        <v>2412.620099667774</v>
      </c>
      <c r="AU43" s="212">
        <v>482.52401993355483</v>
      </c>
      <c r="AV43" s="212"/>
      <c r="AW43" s="212">
        <v>0</v>
      </c>
      <c r="AX43" s="212">
        <v>0</v>
      </c>
      <c r="BA43" s="11">
        <v>0</v>
      </c>
    </row>
    <row r="44" spans="1:53" ht="39.950000000000003" hidden="1" customHeight="1" x14ac:dyDescent="0.2">
      <c r="A44" s="65" t="s">
        <v>210</v>
      </c>
      <c r="B44" s="65" t="s">
        <v>51</v>
      </c>
      <c r="C44" s="66" t="s">
        <v>211</v>
      </c>
      <c r="D44" s="13" t="s">
        <v>542</v>
      </c>
      <c r="E44" s="77" t="s">
        <v>211</v>
      </c>
      <c r="F44" s="14" t="s">
        <v>102</v>
      </c>
      <c r="G44" s="66" t="s">
        <v>102</v>
      </c>
      <c r="H44" s="66" t="s">
        <v>122</v>
      </c>
      <c r="I44" s="66" t="s">
        <v>212</v>
      </c>
      <c r="J44" s="66" t="s">
        <v>220</v>
      </c>
      <c r="K44" s="14" t="s">
        <v>13</v>
      </c>
      <c r="L44" s="65" t="s">
        <v>191</v>
      </c>
      <c r="M44" s="13" t="s">
        <v>59</v>
      </c>
      <c r="N44" s="65" t="s">
        <v>43</v>
      </c>
      <c r="O44" s="65" t="s">
        <v>538</v>
      </c>
      <c r="P44" s="65" t="s">
        <v>534</v>
      </c>
      <c r="Q44" s="64" t="s">
        <v>59</v>
      </c>
      <c r="R44" s="62">
        <v>12860.667424982777</v>
      </c>
      <c r="S44" s="149">
        <v>8027.5</v>
      </c>
      <c r="T44" s="82">
        <v>12860.667424982777</v>
      </c>
      <c r="U44" s="82">
        <v>25721.334849965555</v>
      </c>
      <c r="V44" s="62">
        <v>600050.7057146061</v>
      </c>
      <c r="W44" s="61" t="s">
        <v>11</v>
      </c>
      <c r="X44" s="181">
        <v>2.5000000000000001E-2</v>
      </c>
      <c r="Y44" s="81">
        <v>43626</v>
      </c>
      <c r="Z44" s="60">
        <v>44904</v>
      </c>
      <c r="AA44" s="157">
        <v>44904</v>
      </c>
      <c r="AB44" s="58">
        <v>1279</v>
      </c>
      <c r="AC44" s="151" t="s">
        <v>10</v>
      </c>
      <c r="AD44" s="80">
        <v>435</v>
      </c>
      <c r="AE44" s="57">
        <v>1.1917808219178083</v>
      </c>
      <c r="AF44" s="56"/>
      <c r="AG44" s="71" t="s">
        <v>1</v>
      </c>
      <c r="AH44" s="71" t="s">
        <v>1</v>
      </c>
      <c r="AI44" s="71" t="s">
        <v>0</v>
      </c>
      <c r="AJ44" s="11" t="s">
        <v>0</v>
      </c>
      <c r="AK44" s="11" t="s">
        <v>271</v>
      </c>
      <c r="AL44" s="14" t="s">
        <v>368</v>
      </c>
      <c r="AM44" s="11">
        <v>11000</v>
      </c>
      <c r="AO44" s="197" t="s">
        <v>211</v>
      </c>
      <c r="AP44" s="198" t="s">
        <v>102</v>
      </c>
      <c r="AS44" s="212">
        <v>0</v>
      </c>
      <c r="AT44" s="212">
        <v>1543.2800909979333</v>
      </c>
      <c r="AU44" s="212" t="b">
        <v>0</v>
      </c>
      <c r="AV44" s="212"/>
      <c r="AW44" s="212">
        <v>0</v>
      </c>
      <c r="AX44" s="212">
        <v>0</v>
      </c>
      <c r="BA44" s="11">
        <v>0</v>
      </c>
    </row>
    <row r="45" spans="1:53" ht="39.950000000000003" hidden="1" customHeight="1" x14ac:dyDescent="0.2">
      <c r="A45" s="13" t="s">
        <v>213</v>
      </c>
      <c r="B45" s="65" t="s">
        <v>67</v>
      </c>
      <c r="C45" s="66" t="s">
        <v>87</v>
      </c>
      <c r="D45" s="13" t="s">
        <v>34</v>
      </c>
      <c r="E45" s="77" t="s">
        <v>34</v>
      </c>
      <c r="F45" s="14" t="s">
        <v>48</v>
      </c>
      <c r="G45" s="66" t="s">
        <v>120</v>
      </c>
      <c r="H45" s="66" t="s">
        <v>214</v>
      </c>
      <c r="I45" s="14" t="s">
        <v>181</v>
      </c>
      <c r="J45" s="14" t="s">
        <v>33</v>
      </c>
      <c r="K45" s="14" t="s">
        <v>209</v>
      </c>
      <c r="L45" s="65" t="s">
        <v>191</v>
      </c>
      <c r="M45" s="13" t="s">
        <v>59</v>
      </c>
      <c r="N45" s="13" t="s">
        <v>43</v>
      </c>
      <c r="O45" s="13" t="s">
        <v>533</v>
      </c>
      <c r="P45" s="13" t="s">
        <v>532</v>
      </c>
      <c r="Q45" s="64" t="s">
        <v>9</v>
      </c>
      <c r="R45" s="62">
        <v>34606.86600221484</v>
      </c>
      <c r="S45" s="63">
        <v>21937.5</v>
      </c>
      <c r="T45" s="150">
        <v>30367.524916943519</v>
      </c>
      <c r="U45" s="62">
        <v>127543.60465116276</v>
      </c>
      <c r="V45" s="76">
        <v>1495274.5847176081</v>
      </c>
      <c r="W45" s="61" t="s">
        <v>11</v>
      </c>
      <c r="X45" s="181">
        <v>0.02</v>
      </c>
      <c r="Y45" s="60">
        <v>43630</v>
      </c>
      <c r="Z45" s="60">
        <v>45365</v>
      </c>
      <c r="AA45" s="60">
        <v>45365</v>
      </c>
      <c r="AB45" s="58">
        <v>1736</v>
      </c>
      <c r="AC45" s="59" t="s">
        <v>10</v>
      </c>
      <c r="AD45" s="58">
        <v>896</v>
      </c>
      <c r="AE45" s="57">
        <v>2.4547945205479453</v>
      </c>
      <c r="AF45" s="56" t="s">
        <v>436</v>
      </c>
      <c r="AG45" s="71" t="s">
        <v>1</v>
      </c>
      <c r="AH45" s="71" t="s">
        <v>1</v>
      </c>
      <c r="AI45" s="70" t="s">
        <v>660</v>
      </c>
      <c r="AJ45" s="11" t="s">
        <v>0</v>
      </c>
      <c r="AK45" s="11" t="s">
        <v>271</v>
      </c>
      <c r="AL45" s="13" t="s">
        <v>370</v>
      </c>
      <c r="AM45" s="11">
        <v>8500</v>
      </c>
      <c r="AO45" s="197" t="s">
        <v>34</v>
      </c>
      <c r="AP45" s="198" t="s">
        <v>48</v>
      </c>
      <c r="AS45" s="212">
        <v>0</v>
      </c>
      <c r="AT45" s="212">
        <v>3644.1029900332223</v>
      </c>
      <c r="AU45" s="212">
        <v>728.82059800664456</v>
      </c>
      <c r="AV45" s="212"/>
      <c r="AW45" s="212">
        <v>0</v>
      </c>
      <c r="AX45" s="212">
        <v>0</v>
      </c>
      <c r="BA45" s="11">
        <v>0</v>
      </c>
    </row>
    <row r="46" spans="1:53" ht="39.950000000000003" hidden="1" customHeight="1" x14ac:dyDescent="0.2">
      <c r="A46" s="14" t="s">
        <v>189</v>
      </c>
      <c r="B46" s="65" t="s">
        <v>23</v>
      </c>
      <c r="C46" s="66" t="s">
        <v>149</v>
      </c>
      <c r="D46" s="13" t="s">
        <v>34</v>
      </c>
      <c r="E46" s="77" t="s">
        <v>34</v>
      </c>
      <c r="F46" s="14" t="s">
        <v>102</v>
      </c>
      <c r="G46" s="66" t="s">
        <v>102</v>
      </c>
      <c r="H46" s="14" t="s">
        <v>474</v>
      </c>
      <c r="I46" s="14" t="s">
        <v>148</v>
      </c>
      <c r="J46" s="14" t="s">
        <v>148</v>
      </c>
      <c r="K46" s="14" t="s">
        <v>101</v>
      </c>
      <c r="L46" s="65" t="s">
        <v>191</v>
      </c>
      <c r="M46" s="13" t="s">
        <v>59</v>
      </c>
      <c r="N46" s="13" t="s">
        <v>43</v>
      </c>
      <c r="O46" s="13" t="s">
        <v>538</v>
      </c>
      <c r="P46" s="13" t="s">
        <v>534</v>
      </c>
      <c r="Q46" s="64" t="s">
        <v>8</v>
      </c>
      <c r="R46" s="62">
        <v>5000</v>
      </c>
      <c r="S46" s="63">
        <v>5000</v>
      </c>
      <c r="T46" s="150">
        <v>5000</v>
      </c>
      <c r="U46" s="62">
        <v>10000</v>
      </c>
      <c r="V46" s="76">
        <v>97584.95</v>
      </c>
      <c r="W46" s="61" t="s">
        <v>11</v>
      </c>
      <c r="X46" s="181">
        <v>1.7999999999999999E-2</v>
      </c>
      <c r="Y46" s="60">
        <v>43633</v>
      </c>
      <c r="Z46" s="60">
        <v>44719</v>
      </c>
      <c r="AA46" s="60">
        <v>44719</v>
      </c>
      <c r="AB46" s="58">
        <v>1087</v>
      </c>
      <c r="AC46" s="59" t="s">
        <v>10</v>
      </c>
      <c r="AD46" s="58">
        <v>250</v>
      </c>
      <c r="AE46" s="57">
        <v>0.68493150684931503</v>
      </c>
      <c r="AF46" s="56"/>
      <c r="AG46" s="71" t="s">
        <v>1</v>
      </c>
      <c r="AH46" s="71" t="s">
        <v>1</v>
      </c>
      <c r="AI46" s="71" t="s">
        <v>0</v>
      </c>
      <c r="AJ46" s="11" t="s">
        <v>0</v>
      </c>
      <c r="AK46" s="11" t="s">
        <v>271</v>
      </c>
      <c r="AL46" s="14" t="s">
        <v>373</v>
      </c>
      <c r="AM46" s="11">
        <v>6000</v>
      </c>
      <c r="AO46" s="197" t="s">
        <v>34</v>
      </c>
      <c r="AP46" s="198" t="s">
        <v>102</v>
      </c>
      <c r="AS46" s="212">
        <v>0</v>
      </c>
      <c r="AT46" s="212">
        <v>600</v>
      </c>
      <c r="AU46" s="212" t="b">
        <v>0</v>
      </c>
      <c r="AV46" s="212"/>
      <c r="AW46" s="212">
        <v>0</v>
      </c>
      <c r="AX46" s="212">
        <v>0</v>
      </c>
      <c r="BA46" s="11">
        <v>0</v>
      </c>
    </row>
    <row r="47" spans="1:53" ht="39.950000000000003" hidden="1" customHeight="1" x14ac:dyDescent="0.2">
      <c r="A47" s="14" t="s">
        <v>215</v>
      </c>
      <c r="B47" s="65" t="s">
        <v>67</v>
      </c>
      <c r="C47" s="66" t="s">
        <v>38</v>
      </c>
      <c r="D47" s="13" t="s">
        <v>541</v>
      </c>
      <c r="E47" s="77" t="s">
        <v>37</v>
      </c>
      <c r="F47" s="14" t="s">
        <v>102</v>
      </c>
      <c r="G47" s="66" t="s">
        <v>102</v>
      </c>
      <c r="H47" s="14" t="s">
        <v>122</v>
      </c>
      <c r="I47" s="14" t="s">
        <v>142</v>
      </c>
      <c r="J47" s="66" t="s">
        <v>218</v>
      </c>
      <c r="K47" s="14" t="s">
        <v>101</v>
      </c>
      <c r="L47" s="65" t="s">
        <v>191</v>
      </c>
      <c r="M47" s="13" t="s">
        <v>323</v>
      </c>
      <c r="N47" s="13" t="s">
        <v>43</v>
      </c>
      <c r="O47" s="13" t="s">
        <v>531</v>
      </c>
      <c r="P47" s="13" t="s">
        <v>534</v>
      </c>
      <c r="Q47" s="64" t="s">
        <v>54</v>
      </c>
      <c r="R47" s="62">
        <v>34669.132027166379</v>
      </c>
      <c r="S47" s="63">
        <v>195000</v>
      </c>
      <c r="T47" s="62">
        <v>34669.132027166379</v>
      </c>
      <c r="U47" s="62">
        <v>515592.21989119228</v>
      </c>
      <c r="V47" s="76">
        <v>880776.41076698783</v>
      </c>
      <c r="W47" s="61" t="s">
        <v>551</v>
      </c>
      <c r="X47" s="181">
        <v>1.6799999999999999E-2</v>
      </c>
      <c r="Y47" s="60">
        <v>43633</v>
      </c>
      <c r="Z47" s="60">
        <v>44719</v>
      </c>
      <c r="AA47" s="60">
        <v>44719</v>
      </c>
      <c r="AB47" s="58">
        <v>1087</v>
      </c>
      <c r="AC47" s="59" t="s">
        <v>10</v>
      </c>
      <c r="AD47" s="58">
        <v>250</v>
      </c>
      <c r="AE47" s="57">
        <v>0.68493150684931503</v>
      </c>
      <c r="AF47" s="56" t="s">
        <v>436</v>
      </c>
      <c r="AG47" s="152" t="s">
        <v>1</v>
      </c>
      <c r="AH47" s="152" t="s">
        <v>1</v>
      </c>
      <c r="AI47" s="153" t="s">
        <v>0</v>
      </c>
      <c r="AJ47" s="11" t="s">
        <v>0</v>
      </c>
      <c r="AK47" s="11" t="s">
        <v>271</v>
      </c>
      <c r="AL47" s="14" t="s">
        <v>374</v>
      </c>
      <c r="AM47" s="11">
        <v>8500</v>
      </c>
      <c r="AO47" s="197" t="s">
        <v>37</v>
      </c>
      <c r="AP47" s="198" t="s">
        <v>102</v>
      </c>
      <c r="AS47" s="212">
        <v>0</v>
      </c>
      <c r="AT47" s="212">
        <v>4160.2958432599653</v>
      </c>
      <c r="AU47" s="212">
        <v>832.0591686519931</v>
      </c>
      <c r="AV47" s="212"/>
      <c r="AW47" s="212">
        <v>0</v>
      </c>
      <c r="AX47" s="212">
        <v>0</v>
      </c>
      <c r="BA47" s="11">
        <v>0</v>
      </c>
    </row>
    <row r="48" spans="1:53" ht="39.950000000000003" customHeight="1" x14ac:dyDescent="0.2">
      <c r="A48" s="14" t="s">
        <v>223</v>
      </c>
      <c r="B48" s="65" t="s">
        <v>24</v>
      </c>
      <c r="C48" s="66" t="s">
        <v>38</v>
      </c>
      <c r="D48" s="13" t="s">
        <v>540</v>
      </c>
      <c r="E48" s="77" t="s">
        <v>229</v>
      </c>
      <c r="F48" s="14" t="s">
        <v>92</v>
      </c>
      <c r="G48" s="66" t="s">
        <v>100</v>
      </c>
      <c r="H48" s="14" t="s">
        <v>100</v>
      </c>
      <c r="I48" s="14" t="s">
        <v>230</v>
      </c>
      <c r="J48" s="66" t="s">
        <v>231</v>
      </c>
      <c r="K48" s="14" t="s">
        <v>44</v>
      </c>
      <c r="L48" s="65" t="s">
        <v>191</v>
      </c>
      <c r="M48" s="13" t="s">
        <v>323</v>
      </c>
      <c r="N48" s="13" t="s">
        <v>43</v>
      </c>
      <c r="O48" s="13" t="s">
        <v>539</v>
      </c>
      <c r="P48" s="13" t="s">
        <v>534</v>
      </c>
      <c r="Q48" s="64" t="s">
        <v>9</v>
      </c>
      <c r="R48" s="62">
        <v>15227.021040974529</v>
      </c>
      <c r="S48" s="63">
        <v>9379.8310000000001</v>
      </c>
      <c r="T48" s="62">
        <v>12984.262181616832</v>
      </c>
      <c r="U48" s="62">
        <v>49291.251384274634</v>
      </c>
      <c r="V48" s="76">
        <v>754893.41085271316</v>
      </c>
      <c r="W48" s="61" t="s">
        <v>551</v>
      </c>
      <c r="X48" s="181">
        <v>1.7500000000000002E-2</v>
      </c>
      <c r="Y48" s="60">
        <v>43670</v>
      </c>
      <c r="Z48" s="60">
        <v>47992</v>
      </c>
      <c r="AA48" s="60">
        <v>47992</v>
      </c>
      <c r="AB48" s="58">
        <v>4323</v>
      </c>
      <c r="AC48" s="59" t="s">
        <v>10</v>
      </c>
      <c r="AD48" s="58">
        <v>3523</v>
      </c>
      <c r="AE48" s="57">
        <v>9.6520547945205486</v>
      </c>
      <c r="AF48" s="56"/>
      <c r="AG48" s="71" t="s">
        <v>1</v>
      </c>
      <c r="AH48" s="71" t="s">
        <v>1</v>
      </c>
      <c r="AI48" s="70" t="s">
        <v>661</v>
      </c>
      <c r="AJ48" s="11" t="s">
        <v>0</v>
      </c>
      <c r="AK48" s="11" t="s">
        <v>271</v>
      </c>
      <c r="AL48" s="14" t="s">
        <v>375</v>
      </c>
      <c r="AM48" s="11">
        <v>19997.5</v>
      </c>
      <c r="AO48" s="197" t="s">
        <v>229</v>
      </c>
      <c r="AP48" s="198" t="s">
        <v>92</v>
      </c>
      <c r="AQ48" s="11">
        <v>1</v>
      </c>
      <c r="AR48" s="214">
        <v>0.05</v>
      </c>
      <c r="AS48" s="212">
        <v>649.2131090808416</v>
      </c>
      <c r="AT48" s="212">
        <v>1558.1114617940198</v>
      </c>
      <c r="AU48" s="212" t="b">
        <v>0</v>
      </c>
      <c r="AV48" s="212"/>
      <c r="AW48" s="212">
        <v>649.2131090808416</v>
      </c>
      <c r="AX48" s="212">
        <v>0</v>
      </c>
      <c r="AY48" s="11" t="s">
        <v>669</v>
      </c>
      <c r="BA48" s="11">
        <v>0</v>
      </c>
    </row>
    <row r="49" spans="1:53" ht="39.950000000000003" hidden="1" customHeight="1" x14ac:dyDescent="0.2">
      <c r="A49" s="14" t="s">
        <v>226</v>
      </c>
      <c r="B49" s="65" t="s">
        <v>23</v>
      </c>
      <c r="C49" s="66" t="s">
        <v>87</v>
      </c>
      <c r="D49" s="13" t="s">
        <v>496</v>
      </c>
      <c r="E49" s="77" t="s">
        <v>872</v>
      </c>
      <c r="F49" s="14" t="s">
        <v>475</v>
      </c>
      <c r="G49" s="66" t="s">
        <v>227</v>
      </c>
      <c r="H49" s="14" t="s">
        <v>228</v>
      </c>
      <c r="I49" s="14" t="s">
        <v>181</v>
      </c>
      <c r="J49" s="14" t="s">
        <v>33</v>
      </c>
      <c r="K49" s="14" t="s">
        <v>209</v>
      </c>
      <c r="L49" s="65" t="s">
        <v>191</v>
      </c>
      <c r="M49" s="13" t="s">
        <v>59</v>
      </c>
      <c r="N49" s="13" t="s">
        <v>43</v>
      </c>
      <c r="O49" s="13" t="s">
        <v>538</v>
      </c>
      <c r="P49" s="13" t="s">
        <v>534</v>
      </c>
      <c r="Q49" s="64" t="s">
        <v>9</v>
      </c>
      <c r="R49" s="62">
        <v>31146.179401993355</v>
      </c>
      <c r="S49" s="63">
        <v>22500</v>
      </c>
      <c r="T49" s="62">
        <v>31146.179401993355</v>
      </c>
      <c r="U49" s="62">
        <v>207641.19601328904</v>
      </c>
      <c r="V49" s="76">
        <v>912369.87818383158</v>
      </c>
      <c r="W49" s="61" t="s">
        <v>11</v>
      </c>
      <c r="X49" s="181">
        <v>1.8499999999999999E-2</v>
      </c>
      <c r="Y49" s="60">
        <v>43672</v>
      </c>
      <c r="Z49" s="60">
        <v>45197</v>
      </c>
      <c r="AA49" s="60">
        <v>45197</v>
      </c>
      <c r="AB49" s="58">
        <v>1526</v>
      </c>
      <c r="AC49" s="59" t="s">
        <v>10</v>
      </c>
      <c r="AD49" s="58">
        <v>728</v>
      </c>
      <c r="AE49" s="57">
        <v>1.9945205479452055</v>
      </c>
      <c r="AF49" s="56" t="s">
        <v>436</v>
      </c>
      <c r="AG49" s="71" t="s">
        <v>1</v>
      </c>
      <c r="AH49" s="71" t="s">
        <v>1</v>
      </c>
      <c r="AI49" s="70" t="s">
        <v>0</v>
      </c>
      <c r="AJ49" s="11" t="s">
        <v>0</v>
      </c>
      <c r="AK49" s="11" t="s">
        <v>271</v>
      </c>
      <c r="AL49" s="14" t="s">
        <v>350</v>
      </c>
      <c r="AM49" s="11">
        <v>9195</v>
      </c>
      <c r="AO49" s="197" t="s">
        <v>872</v>
      </c>
      <c r="AP49" s="198" t="s">
        <v>475</v>
      </c>
      <c r="AS49" s="212">
        <v>0</v>
      </c>
      <c r="AT49" s="212">
        <v>3737.5415282392023</v>
      </c>
      <c r="AU49" s="212">
        <v>747.50830564784053</v>
      </c>
      <c r="AV49" s="212"/>
      <c r="AW49" s="212">
        <v>0</v>
      </c>
      <c r="AX49" s="212">
        <v>0</v>
      </c>
      <c r="BA49" s="11">
        <v>0</v>
      </c>
    </row>
    <row r="50" spans="1:53" ht="39.950000000000003" hidden="1" customHeight="1" x14ac:dyDescent="0.2">
      <c r="A50" s="14" t="s">
        <v>235</v>
      </c>
      <c r="B50" s="65" t="s">
        <v>23</v>
      </c>
      <c r="C50" s="66" t="s">
        <v>37</v>
      </c>
      <c r="D50" s="13" t="s">
        <v>542</v>
      </c>
      <c r="E50" s="77" t="s">
        <v>91</v>
      </c>
      <c r="F50" s="14" t="s">
        <v>173</v>
      </c>
      <c r="G50" s="66" t="s">
        <v>174</v>
      </c>
      <c r="H50" s="14" t="s">
        <v>172</v>
      </c>
      <c r="I50" s="14" t="s">
        <v>236</v>
      </c>
      <c r="J50" s="66" t="s">
        <v>21</v>
      </c>
      <c r="K50" s="14" t="s">
        <v>139</v>
      </c>
      <c r="L50" s="65" t="s">
        <v>191</v>
      </c>
      <c r="M50" s="13" t="s">
        <v>323</v>
      </c>
      <c r="N50" s="13" t="s">
        <v>43</v>
      </c>
      <c r="O50" s="13" t="s">
        <v>533</v>
      </c>
      <c r="P50" s="13" t="s">
        <v>534</v>
      </c>
      <c r="Q50" s="64" t="s">
        <v>59</v>
      </c>
      <c r="R50" s="62">
        <v>16020.762908729714</v>
      </c>
      <c r="S50" s="63">
        <v>7700</v>
      </c>
      <c r="T50" s="62">
        <v>12335.987439721879</v>
      </c>
      <c r="U50" s="62">
        <v>112145.34036110798</v>
      </c>
      <c r="V50" s="76">
        <v>546183.44286194898</v>
      </c>
      <c r="W50" s="61" t="s">
        <v>11</v>
      </c>
      <c r="X50" s="181">
        <v>1.4500000000000001E-2</v>
      </c>
      <c r="Y50" s="60">
        <v>43706</v>
      </c>
      <c r="Z50" s="60">
        <v>45490</v>
      </c>
      <c r="AA50" s="60">
        <v>45490</v>
      </c>
      <c r="AB50" s="58">
        <v>1785</v>
      </c>
      <c r="AC50" s="59" t="s">
        <v>10</v>
      </c>
      <c r="AD50" s="58">
        <v>1021</v>
      </c>
      <c r="AE50" s="57">
        <v>2.7972602739726029</v>
      </c>
      <c r="AF50" s="56"/>
      <c r="AG50" s="71" t="s">
        <v>1</v>
      </c>
      <c r="AH50" s="71" t="s">
        <v>1</v>
      </c>
      <c r="AI50" s="70" t="s">
        <v>0</v>
      </c>
      <c r="AJ50" s="11" t="s">
        <v>0</v>
      </c>
      <c r="AK50" s="11" t="s">
        <v>271</v>
      </c>
      <c r="AL50" s="14" t="s">
        <v>378</v>
      </c>
      <c r="AM50" s="11">
        <v>5000</v>
      </c>
      <c r="AO50" s="197" t="s">
        <v>91</v>
      </c>
      <c r="AP50" s="198" t="s">
        <v>173</v>
      </c>
      <c r="AS50" s="212">
        <v>0</v>
      </c>
      <c r="AT50" s="212">
        <v>1480.3184927666255</v>
      </c>
      <c r="AU50" s="212" t="b">
        <v>0</v>
      </c>
      <c r="AV50" s="212"/>
      <c r="AW50" s="212">
        <v>0</v>
      </c>
      <c r="AX50" s="212">
        <v>0</v>
      </c>
      <c r="BA50" s="11">
        <v>0</v>
      </c>
    </row>
    <row r="51" spans="1:53" ht="39.950000000000003" hidden="1" customHeight="1" x14ac:dyDescent="0.2">
      <c r="A51" s="14" t="s">
        <v>239</v>
      </c>
      <c r="B51" s="65" t="s">
        <v>24</v>
      </c>
      <c r="C51" s="66" t="s">
        <v>38</v>
      </c>
      <c r="D51" s="13" t="s">
        <v>540</v>
      </c>
      <c r="E51" s="77" t="s">
        <v>49</v>
      </c>
      <c r="F51" s="14" t="s">
        <v>233</v>
      </c>
      <c r="G51" s="66" t="s">
        <v>443</v>
      </c>
      <c r="H51" s="14" t="s">
        <v>234</v>
      </c>
      <c r="I51" s="14" t="s">
        <v>142</v>
      </c>
      <c r="J51" s="14" t="s">
        <v>218</v>
      </c>
      <c r="K51" s="14" t="s">
        <v>139</v>
      </c>
      <c r="L51" s="65" t="s">
        <v>191</v>
      </c>
      <c r="M51" s="13" t="s">
        <v>323</v>
      </c>
      <c r="N51" s="13" t="s">
        <v>43</v>
      </c>
      <c r="O51" s="13" t="s">
        <v>531</v>
      </c>
      <c r="P51" s="13" t="s">
        <v>534</v>
      </c>
      <c r="Q51" s="64" t="s">
        <v>9</v>
      </c>
      <c r="R51" s="62">
        <v>13842.746400885935</v>
      </c>
      <c r="S51" s="63">
        <v>14071.044</v>
      </c>
      <c r="T51" s="62">
        <v>19478.189368770763</v>
      </c>
      <c r="U51" s="62">
        <v>27685.49280177187</v>
      </c>
      <c r="V51" s="76">
        <v>802687.05703211518</v>
      </c>
      <c r="W51" s="61" t="s">
        <v>11</v>
      </c>
      <c r="X51" s="181">
        <v>6.25E-2</v>
      </c>
      <c r="Y51" s="60">
        <v>43707</v>
      </c>
      <c r="Z51" s="60">
        <v>44756</v>
      </c>
      <c r="AA51" s="60">
        <v>44756</v>
      </c>
      <c r="AB51" s="58">
        <v>1050</v>
      </c>
      <c r="AC51" s="59" t="s">
        <v>10</v>
      </c>
      <c r="AD51" s="58">
        <v>287</v>
      </c>
      <c r="AE51" s="57">
        <v>0.78630136986301369</v>
      </c>
      <c r="AF51" s="56"/>
      <c r="AG51" s="152" t="s">
        <v>1</v>
      </c>
      <c r="AH51" s="152" t="s">
        <v>1</v>
      </c>
      <c r="AI51" s="153" t="s">
        <v>662</v>
      </c>
      <c r="AJ51" s="11" t="s">
        <v>0</v>
      </c>
      <c r="AK51" s="11" t="s">
        <v>271</v>
      </c>
      <c r="AL51" s="14" t="s">
        <v>377</v>
      </c>
      <c r="AM51" s="11">
        <v>11000</v>
      </c>
      <c r="AO51" s="197" t="s">
        <v>49</v>
      </c>
      <c r="AP51" s="198" t="s">
        <v>233</v>
      </c>
      <c r="AS51" s="212">
        <v>0</v>
      </c>
      <c r="AT51" s="212">
        <v>2337.3827242524917</v>
      </c>
      <c r="AU51" s="212" t="b">
        <v>0</v>
      </c>
      <c r="AV51" s="212"/>
      <c r="AW51" s="212">
        <v>0</v>
      </c>
      <c r="AX51" s="212">
        <v>0</v>
      </c>
      <c r="BA51" s="11">
        <v>0</v>
      </c>
    </row>
    <row r="52" spans="1:53" ht="39.950000000000003" hidden="1" customHeight="1" x14ac:dyDescent="0.2">
      <c r="A52" s="14" t="s">
        <v>247</v>
      </c>
      <c r="B52" s="65" t="s">
        <v>67</v>
      </c>
      <c r="C52" s="66" t="s">
        <v>87</v>
      </c>
      <c r="D52" s="13" t="s">
        <v>542</v>
      </c>
      <c r="E52" s="77" t="s">
        <v>87</v>
      </c>
      <c r="F52" s="14" t="s">
        <v>48</v>
      </c>
      <c r="G52" s="66" t="s">
        <v>95</v>
      </c>
      <c r="H52" s="130" t="s">
        <v>447</v>
      </c>
      <c r="I52" s="14" t="s">
        <v>246</v>
      </c>
      <c r="J52" s="14" t="s">
        <v>219</v>
      </c>
      <c r="K52" s="14" t="s">
        <v>140</v>
      </c>
      <c r="L52" s="65" t="s">
        <v>191</v>
      </c>
      <c r="M52" s="13" t="s">
        <v>59</v>
      </c>
      <c r="N52" s="13" t="s">
        <v>43</v>
      </c>
      <c r="O52" s="13" t="s">
        <v>538</v>
      </c>
      <c r="P52" s="13" t="s">
        <v>534</v>
      </c>
      <c r="Q52" s="64" t="s">
        <v>9</v>
      </c>
      <c r="R52" s="62">
        <v>27685.49280177187</v>
      </c>
      <c r="S52" s="63">
        <v>20000</v>
      </c>
      <c r="T52" s="62">
        <v>27685.49280177187</v>
      </c>
      <c r="U52" s="62">
        <v>138427.46400885936</v>
      </c>
      <c r="V52" s="76">
        <v>1885948.3665559248</v>
      </c>
      <c r="W52" s="61" t="s">
        <v>11</v>
      </c>
      <c r="X52" s="181">
        <v>8.6999999999999994E-3</v>
      </c>
      <c r="Y52" s="60">
        <v>43732</v>
      </c>
      <c r="Z52" s="60">
        <v>46598</v>
      </c>
      <c r="AA52" s="60">
        <v>46598</v>
      </c>
      <c r="AB52" s="58">
        <v>2867</v>
      </c>
      <c r="AC52" s="59" t="s">
        <v>10</v>
      </c>
      <c r="AD52" s="58">
        <v>2129</v>
      </c>
      <c r="AE52" s="57">
        <v>5.8328767123287673</v>
      </c>
      <c r="AF52" s="56" t="s">
        <v>436</v>
      </c>
      <c r="AG52" s="152" t="s">
        <v>1</v>
      </c>
      <c r="AH52" s="152" t="s">
        <v>1</v>
      </c>
      <c r="AI52" s="153" t="s">
        <v>0</v>
      </c>
      <c r="AJ52" s="11" t="s">
        <v>0</v>
      </c>
      <c r="AK52" s="11" t="s">
        <v>271</v>
      </c>
      <c r="AL52" s="14" t="s">
        <v>381</v>
      </c>
      <c r="AM52" s="11">
        <v>13000</v>
      </c>
      <c r="AO52" s="197" t="s">
        <v>87</v>
      </c>
      <c r="AP52" s="198" t="s">
        <v>48</v>
      </c>
      <c r="AS52" s="212">
        <v>0</v>
      </c>
      <c r="AT52" s="212">
        <v>3322.2591362126245</v>
      </c>
      <c r="AU52" s="212">
        <v>664.45182724252493</v>
      </c>
      <c r="AV52" s="212"/>
      <c r="AW52" s="212">
        <v>0</v>
      </c>
      <c r="AX52" s="212">
        <v>0</v>
      </c>
      <c r="BA52" s="11">
        <v>0</v>
      </c>
    </row>
    <row r="53" spans="1:53" ht="39.950000000000003" hidden="1" customHeight="1" x14ac:dyDescent="0.2">
      <c r="A53" s="14" t="s">
        <v>240</v>
      </c>
      <c r="B53" s="65" t="s">
        <v>51</v>
      </c>
      <c r="C53" s="66" t="s">
        <v>38</v>
      </c>
      <c r="D53" s="13" t="s">
        <v>541</v>
      </c>
      <c r="E53" s="77" t="s">
        <v>38</v>
      </c>
      <c r="F53" s="14" t="s">
        <v>102</v>
      </c>
      <c r="G53" s="66" t="s">
        <v>102</v>
      </c>
      <c r="H53" s="14" t="s">
        <v>474</v>
      </c>
      <c r="I53" s="14" t="s">
        <v>237</v>
      </c>
      <c r="J53" s="14" t="s">
        <v>219</v>
      </c>
      <c r="K53" s="14" t="s">
        <v>101</v>
      </c>
      <c r="L53" s="65" t="s">
        <v>191</v>
      </c>
      <c r="M53" s="13" t="s">
        <v>323</v>
      </c>
      <c r="N53" s="13" t="s">
        <v>43</v>
      </c>
      <c r="O53" s="13" t="s">
        <v>538</v>
      </c>
      <c r="P53" s="13" t="s">
        <v>534</v>
      </c>
      <c r="Q53" s="64" t="s">
        <v>238</v>
      </c>
      <c r="R53" s="62">
        <v>28501.048431424442</v>
      </c>
      <c r="S53" s="63">
        <v>28000</v>
      </c>
      <c r="T53" s="62">
        <v>28501.048431424442</v>
      </c>
      <c r="U53" s="62">
        <v>101789.45868365873</v>
      </c>
      <c r="V53" s="76">
        <v>1285957.0753852732</v>
      </c>
      <c r="W53" s="61" t="s">
        <v>11</v>
      </c>
      <c r="X53" s="181">
        <v>2.0400000000000001E-2</v>
      </c>
      <c r="Y53" s="60">
        <v>43738</v>
      </c>
      <c r="Z53" s="60">
        <v>45148</v>
      </c>
      <c r="AA53" s="60">
        <v>45148</v>
      </c>
      <c r="AB53" s="58">
        <v>1411</v>
      </c>
      <c r="AC53" s="59" t="s">
        <v>10</v>
      </c>
      <c r="AD53" s="58">
        <v>679</v>
      </c>
      <c r="AE53" s="57">
        <v>1.8602739726027397</v>
      </c>
      <c r="AF53" s="56" t="s">
        <v>436</v>
      </c>
      <c r="AG53" s="152" t="s">
        <v>1</v>
      </c>
      <c r="AH53" s="152" t="s">
        <v>1</v>
      </c>
      <c r="AI53" s="153" t="s">
        <v>0</v>
      </c>
      <c r="AJ53" s="11" t="s">
        <v>0</v>
      </c>
      <c r="AK53" s="11" t="s">
        <v>271</v>
      </c>
      <c r="AL53" s="14" t="s">
        <v>379</v>
      </c>
      <c r="AM53" s="11">
        <v>10372.5</v>
      </c>
      <c r="AO53" s="197" t="s">
        <v>38</v>
      </c>
      <c r="AP53" s="198" t="s">
        <v>102</v>
      </c>
      <c r="AS53" s="212">
        <v>0</v>
      </c>
      <c r="AT53" s="212">
        <v>3420.1258117709331</v>
      </c>
      <c r="AU53" s="212">
        <v>684.0251623541867</v>
      </c>
      <c r="AV53" s="212"/>
      <c r="AW53" s="212">
        <v>0</v>
      </c>
      <c r="AX53" s="212">
        <v>0</v>
      </c>
      <c r="BA53" s="11">
        <v>0</v>
      </c>
    </row>
    <row r="54" spans="1:53" ht="39.950000000000003" hidden="1" customHeight="1" x14ac:dyDescent="0.2">
      <c r="A54" s="14" t="s">
        <v>244</v>
      </c>
      <c r="B54" s="65" t="s">
        <v>23</v>
      </c>
      <c r="C54" s="66" t="s">
        <v>38</v>
      </c>
      <c r="D54" s="13" t="s">
        <v>541</v>
      </c>
      <c r="E54" s="77" t="s">
        <v>38</v>
      </c>
      <c r="F54" s="14" t="s">
        <v>106</v>
      </c>
      <c r="G54" s="66" t="s">
        <v>106</v>
      </c>
      <c r="H54" s="14" t="s">
        <v>245</v>
      </c>
      <c r="I54" s="14" t="s">
        <v>50</v>
      </c>
      <c r="J54" s="14" t="s">
        <v>21</v>
      </c>
      <c r="K54" s="14" t="s">
        <v>101</v>
      </c>
      <c r="L54" s="65" t="s">
        <v>191</v>
      </c>
      <c r="M54" s="13" t="s">
        <v>323</v>
      </c>
      <c r="N54" s="13" t="s">
        <v>43</v>
      </c>
      <c r="O54" s="13" t="s">
        <v>533</v>
      </c>
      <c r="P54" s="13" t="s">
        <v>534</v>
      </c>
      <c r="Q54" s="64" t="s">
        <v>8</v>
      </c>
      <c r="R54" s="62">
        <v>25000</v>
      </c>
      <c r="S54" s="63">
        <v>25000</v>
      </c>
      <c r="T54" s="62">
        <v>25000</v>
      </c>
      <c r="U54" s="62">
        <v>75000</v>
      </c>
      <c r="V54" s="76">
        <v>711986.31</v>
      </c>
      <c r="W54" s="61" t="s">
        <v>11</v>
      </c>
      <c r="X54" s="181">
        <v>1.35E-2</v>
      </c>
      <c r="Y54" s="60">
        <v>43756</v>
      </c>
      <c r="Z54" s="60">
        <v>45520</v>
      </c>
      <c r="AA54" s="60">
        <v>45520</v>
      </c>
      <c r="AB54" s="58">
        <v>1765</v>
      </c>
      <c r="AC54" s="59" t="s">
        <v>10</v>
      </c>
      <c r="AD54" s="58">
        <v>1051</v>
      </c>
      <c r="AE54" s="57">
        <v>2.8794520547945206</v>
      </c>
      <c r="AF54" s="56" t="s">
        <v>436</v>
      </c>
      <c r="AG54" s="71" t="s">
        <v>1</v>
      </c>
      <c r="AH54" s="71" t="s">
        <v>1</v>
      </c>
      <c r="AI54" s="70" t="s">
        <v>0</v>
      </c>
      <c r="AJ54" s="11" t="s">
        <v>0</v>
      </c>
      <c r="AK54" s="11" t="s">
        <v>271</v>
      </c>
      <c r="AL54" s="14" t="s">
        <v>371</v>
      </c>
      <c r="AM54" s="11">
        <v>6000</v>
      </c>
      <c r="AO54" s="197" t="s">
        <v>38</v>
      </c>
      <c r="AP54" s="198" t="s">
        <v>106</v>
      </c>
      <c r="AS54" s="212">
        <v>0</v>
      </c>
      <c r="AT54" s="212">
        <v>3000</v>
      </c>
      <c r="AU54" s="212">
        <v>600</v>
      </c>
      <c r="AV54" s="212"/>
      <c r="AW54" s="212">
        <v>0</v>
      </c>
      <c r="AX54" s="212">
        <v>0</v>
      </c>
      <c r="BA54" s="11">
        <v>0</v>
      </c>
    </row>
    <row r="55" spans="1:53" ht="39.950000000000003" hidden="1" customHeight="1" x14ac:dyDescent="0.2">
      <c r="A55" s="14" t="s">
        <v>248</v>
      </c>
      <c r="B55" s="65" t="s">
        <v>24</v>
      </c>
      <c r="C55" s="66" t="s">
        <v>127</v>
      </c>
      <c r="D55" s="13" t="s">
        <v>542</v>
      </c>
      <c r="E55" s="77" t="s">
        <v>127</v>
      </c>
      <c r="F55" s="14" t="s">
        <v>546</v>
      </c>
      <c r="G55" s="66" t="s">
        <v>249</v>
      </c>
      <c r="H55" s="14" t="s">
        <v>249</v>
      </c>
      <c r="I55" s="14" t="s">
        <v>158</v>
      </c>
      <c r="J55" s="14" t="s">
        <v>220</v>
      </c>
      <c r="K55" s="14" t="s">
        <v>29</v>
      </c>
      <c r="L55" s="65" t="s">
        <v>191</v>
      </c>
      <c r="M55" s="13" t="s">
        <v>59</v>
      </c>
      <c r="N55" s="13" t="s">
        <v>43</v>
      </c>
      <c r="O55" s="13" t="s">
        <v>538</v>
      </c>
      <c r="P55" s="13" t="s">
        <v>534</v>
      </c>
      <c r="Q55" s="64" t="s">
        <v>59</v>
      </c>
      <c r="R55" s="62">
        <v>16020.762908729714</v>
      </c>
      <c r="S55" s="63">
        <v>10000</v>
      </c>
      <c r="T55" s="62">
        <v>16020.762908729714</v>
      </c>
      <c r="U55" s="62">
        <v>210776.14187987629</v>
      </c>
      <c r="V55" s="76">
        <v>837657.81252503244</v>
      </c>
      <c r="W55" s="61" t="s">
        <v>11</v>
      </c>
      <c r="X55" s="181">
        <v>1.7500000000000002E-2</v>
      </c>
      <c r="Y55" s="60">
        <v>43784</v>
      </c>
      <c r="Z55" s="60">
        <v>45627</v>
      </c>
      <c r="AA55" s="60">
        <v>45627</v>
      </c>
      <c r="AB55" s="58">
        <v>1844</v>
      </c>
      <c r="AC55" s="59" t="s">
        <v>10</v>
      </c>
      <c r="AD55" s="58">
        <v>1158</v>
      </c>
      <c r="AE55" s="57">
        <v>3.1726027397260275</v>
      </c>
      <c r="AF55" s="56"/>
      <c r="AG55" s="71" t="s">
        <v>1</v>
      </c>
      <c r="AH55" s="71" t="s">
        <v>1</v>
      </c>
      <c r="AI55" s="70" t="s">
        <v>0</v>
      </c>
      <c r="AJ55" s="11" t="s">
        <v>0</v>
      </c>
      <c r="AK55" s="11" t="s">
        <v>271</v>
      </c>
      <c r="AL55" s="14" t="s">
        <v>372</v>
      </c>
      <c r="AM55" s="11">
        <v>8100</v>
      </c>
      <c r="AO55" s="197" t="s">
        <v>127</v>
      </c>
      <c r="AP55" s="198" t="s">
        <v>546</v>
      </c>
      <c r="AS55" s="212">
        <v>0</v>
      </c>
      <c r="AT55" s="212">
        <v>1922.4915490475655</v>
      </c>
      <c r="AU55" s="212" t="b">
        <v>0</v>
      </c>
      <c r="AV55" s="212"/>
      <c r="AW55" s="212">
        <v>0</v>
      </c>
      <c r="AX55" s="212">
        <v>0</v>
      </c>
      <c r="BA55" s="11">
        <v>0</v>
      </c>
    </row>
    <row r="56" spans="1:53" ht="39.950000000000003" hidden="1" customHeight="1" x14ac:dyDescent="0.2">
      <c r="A56" s="14" t="s">
        <v>260</v>
      </c>
      <c r="B56" s="65" t="s">
        <v>51</v>
      </c>
      <c r="C56" s="66" t="s">
        <v>119</v>
      </c>
      <c r="D56" s="13" t="s">
        <v>542</v>
      </c>
      <c r="E56" s="77" t="s">
        <v>119</v>
      </c>
      <c r="F56" s="14" t="s">
        <v>106</v>
      </c>
      <c r="G56" s="66" t="s">
        <v>106</v>
      </c>
      <c r="H56" s="14" t="s">
        <v>263</v>
      </c>
      <c r="I56" s="14" t="s">
        <v>264</v>
      </c>
      <c r="J56" s="14" t="s">
        <v>221</v>
      </c>
      <c r="K56" s="14" t="s">
        <v>13</v>
      </c>
      <c r="L56" s="65" t="s">
        <v>191</v>
      </c>
      <c r="M56" s="13" t="s">
        <v>59</v>
      </c>
      <c r="N56" s="13" t="s">
        <v>43</v>
      </c>
      <c r="O56" s="13" t="s">
        <v>538</v>
      </c>
      <c r="P56" s="13" t="s">
        <v>534</v>
      </c>
      <c r="Q56" s="64" t="s">
        <v>59</v>
      </c>
      <c r="R56" s="62">
        <v>24031.144363094569</v>
      </c>
      <c r="S56" s="63">
        <v>15000</v>
      </c>
      <c r="T56" s="62">
        <v>24031.144363094569</v>
      </c>
      <c r="U56" s="62">
        <v>77860.907736426409</v>
      </c>
      <c r="V56" s="76">
        <v>931597.65456031007</v>
      </c>
      <c r="W56" s="61" t="s">
        <v>11</v>
      </c>
      <c r="X56" s="181">
        <v>2.1999999999999999E-2</v>
      </c>
      <c r="Y56" s="60">
        <v>43805</v>
      </c>
      <c r="Z56" s="60">
        <v>45306</v>
      </c>
      <c r="AA56" s="60">
        <v>45306</v>
      </c>
      <c r="AB56" s="58">
        <v>1502</v>
      </c>
      <c r="AC56" s="59" t="s">
        <v>10</v>
      </c>
      <c r="AD56" s="58">
        <v>837</v>
      </c>
      <c r="AE56" s="57">
        <v>2.2931506849315069</v>
      </c>
      <c r="AF56" s="56" t="s">
        <v>436</v>
      </c>
      <c r="AG56" s="71" t="s">
        <v>1</v>
      </c>
      <c r="AH56" s="71" t="s">
        <v>1</v>
      </c>
      <c r="AI56" s="70" t="s">
        <v>0</v>
      </c>
      <c r="AJ56" s="11" t="s">
        <v>0</v>
      </c>
      <c r="AK56" s="11" t="s">
        <v>271</v>
      </c>
      <c r="AL56" s="14" t="s">
        <v>380</v>
      </c>
      <c r="AM56" s="11">
        <v>7250</v>
      </c>
      <c r="AO56" s="197" t="s">
        <v>119</v>
      </c>
      <c r="AP56" s="198" t="s">
        <v>106</v>
      </c>
      <c r="AS56" s="212">
        <v>0</v>
      </c>
      <c r="AT56" s="212">
        <v>2883.737323571348</v>
      </c>
      <c r="AU56" s="212">
        <v>576.74746471426965</v>
      </c>
      <c r="AV56" s="212"/>
      <c r="AW56" s="212">
        <v>0</v>
      </c>
      <c r="AX56" s="212">
        <v>0</v>
      </c>
      <c r="BA56" s="11">
        <v>0</v>
      </c>
    </row>
    <row r="57" spans="1:53" ht="39.950000000000003" hidden="1" customHeight="1" x14ac:dyDescent="0.2">
      <c r="A57" s="14" t="s">
        <v>261</v>
      </c>
      <c r="B57" s="65" t="s">
        <v>51</v>
      </c>
      <c r="C57" s="66" t="s">
        <v>119</v>
      </c>
      <c r="D57" s="13" t="s">
        <v>542</v>
      </c>
      <c r="E57" s="77" t="s">
        <v>119</v>
      </c>
      <c r="F57" s="14" t="s">
        <v>106</v>
      </c>
      <c r="G57" s="66" t="s">
        <v>106</v>
      </c>
      <c r="H57" s="14" t="s">
        <v>263</v>
      </c>
      <c r="I57" s="14" t="s">
        <v>264</v>
      </c>
      <c r="J57" s="14" t="s">
        <v>221</v>
      </c>
      <c r="K57" s="14" t="s">
        <v>13</v>
      </c>
      <c r="L57" s="65" t="s">
        <v>191</v>
      </c>
      <c r="M57" s="13" t="s">
        <v>59</v>
      </c>
      <c r="N57" s="13" t="s">
        <v>43</v>
      </c>
      <c r="O57" s="13" t="s">
        <v>538</v>
      </c>
      <c r="P57" s="13" t="s">
        <v>534</v>
      </c>
      <c r="Q57" s="64" t="s">
        <v>59</v>
      </c>
      <c r="R57" s="62">
        <v>32041.525817459427</v>
      </c>
      <c r="S57" s="63">
        <v>20000</v>
      </c>
      <c r="T57" s="62">
        <v>32041.525817459427</v>
      </c>
      <c r="U57" s="62">
        <v>144587.38525128565</v>
      </c>
      <c r="V57" s="76">
        <v>767134.68655377359</v>
      </c>
      <c r="W57" s="61" t="s">
        <v>11</v>
      </c>
      <c r="X57" s="181">
        <v>1.7999999999999999E-2</v>
      </c>
      <c r="Y57" s="60">
        <v>43809</v>
      </c>
      <c r="Z57" s="60">
        <v>45674</v>
      </c>
      <c r="AA57" s="60">
        <v>44943</v>
      </c>
      <c r="AB57" s="58">
        <v>1135</v>
      </c>
      <c r="AC57" s="59" t="s">
        <v>10</v>
      </c>
      <c r="AD57" s="58">
        <v>474</v>
      </c>
      <c r="AE57" s="57">
        <v>1.2986301369863014</v>
      </c>
      <c r="AF57" s="56" t="s">
        <v>436</v>
      </c>
      <c r="AG57" s="152" t="s">
        <v>1</v>
      </c>
      <c r="AH57" s="152" t="s">
        <v>1</v>
      </c>
      <c r="AI57" s="153" t="s">
        <v>0</v>
      </c>
      <c r="AJ57" s="11" t="s">
        <v>0</v>
      </c>
      <c r="AK57" s="11" t="s">
        <v>271</v>
      </c>
      <c r="AL57" s="14" t="s">
        <v>383</v>
      </c>
      <c r="AM57" s="11">
        <v>5937.5</v>
      </c>
      <c r="AO57" s="197" t="s">
        <v>119</v>
      </c>
      <c r="AP57" s="198" t="s">
        <v>106</v>
      </c>
      <c r="AS57" s="212">
        <v>0</v>
      </c>
      <c r="AT57" s="212">
        <v>3844.983098095131</v>
      </c>
      <c r="AU57" s="212">
        <v>768.99661961902621</v>
      </c>
      <c r="AV57" s="212"/>
      <c r="AW57" s="212">
        <v>0</v>
      </c>
      <c r="AX57" s="212">
        <v>0</v>
      </c>
      <c r="BA57" s="11">
        <v>0</v>
      </c>
    </row>
    <row r="58" spans="1:53" ht="39.950000000000003" hidden="1" customHeight="1" x14ac:dyDescent="0.2">
      <c r="A58" s="14" t="s">
        <v>262</v>
      </c>
      <c r="B58" s="65" t="s">
        <v>51</v>
      </c>
      <c r="C58" s="66" t="s">
        <v>127</v>
      </c>
      <c r="D58" s="13" t="s">
        <v>499</v>
      </c>
      <c r="E58" s="77" t="s">
        <v>162</v>
      </c>
      <c r="F58" s="14" t="s">
        <v>547</v>
      </c>
      <c r="G58" s="66" t="s">
        <v>265</v>
      </c>
      <c r="H58" s="14" t="s">
        <v>266</v>
      </c>
      <c r="I58" s="14" t="s">
        <v>158</v>
      </c>
      <c r="J58" s="14" t="s">
        <v>220</v>
      </c>
      <c r="K58" s="14" t="s">
        <v>29</v>
      </c>
      <c r="L58" s="65" t="s">
        <v>191</v>
      </c>
      <c r="M58" s="13" t="s">
        <v>59</v>
      </c>
      <c r="N58" s="13" t="s">
        <v>43</v>
      </c>
      <c r="O58" s="13" t="s">
        <v>538</v>
      </c>
      <c r="P58" s="13" t="s">
        <v>534</v>
      </c>
      <c r="Q58" s="64" t="s">
        <v>9</v>
      </c>
      <c r="R58" s="62">
        <v>27685.49280177187</v>
      </c>
      <c r="S58" s="63">
        <v>20000</v>
      </c>
      <c r="T58" s="62">
        <v>27685.49280177187</v>
      </c>
      <c r="U58" s="62">
        <v>173034.3300110742</v>
      </c>
      <c r="V58" s="76">
        <v>832511.46179401991</v>
      </c>
      <c r="W58" s="61" t="s">
        <v>551</v>
      </c>
      <c r="X58" s="181">
        <v>2.2499999999999999E-2</v>
      </c>
      <c r="Y58" s="60">
        <v>43819</v>
      </c>
      <c r="Z58" s="60">
        <v>44791</v>
      </c>
      <c r="AA58" s="60">
        <v>44791</v>
      </c>
      <c r="AB58" s="58">
        <v>973</v>
      </c>
      <c r="AC58" s="59" t="s">
        <v>10</v>
      </c>
      <c r="AD58" s="58">
        <v>322</v>
      </c>
      <c r="AE58" s="57">
        <v>0.88219178082191785</v>
      </c>
      <c r="AF58" s="56" t="s">
        <v>436</v>
      </c>
      <c r="AG58" s="71" t="s">
        <v>1</v>
      </c>
      <c r="AH58" s="71" t="s">
        <v>1</v>
      </c>
      <c r="AI58" s="70" t="s">
        <v>0</v>
      </c>
      <c r="AJ58" s="11" t="s">
        <v>0</v>
      </c>
      <c r="AK58" s="11" t="s">
        <v>271</v>
      </c>
      <c r="AL58" s="14" t="s">
        <v>384</v>
      </c>
      <c r="AM58" s="11">
        <v>7012.5</v>
      </c>
      <c r="AO58" s="197" t="s">
        <v>162</v>
      </c>
      <c r="AP58" s="198" t="s">
        <v>547</v>
      </c>
      <c r="AS58" s="212">
        <v>0</v>
      </c>
      <c r="AT58" s="212">
        <v>3322.2591362126245</v>
      </c>
      <c r="AU58" s="212">
        <v>664.45182724252493</v>
      </c>
      <c r="AV58" s="212"/>
      <c r="AW58" s="212">
        <v>0</v>
      </c>
      <c r="AX58" s="212">
        <v>0</v>
      </c>
      <c r="BA58" s="11">
        <v>0</v>
      </c>
    </row>
    <row r="59" spans="1:53" ht="39.950000000000003" hidden="1" customHeight="1" x14ac:dyDescent="0.2">
      <c r="A59" s="14" t="s">
        <v>276</v>
      </c>
      <c r="B59" s="65" t="s">
        <v>51</v>
      </c>
      <c r="C59" s="66" t="s">
        <v>38</v>
      </c>
      <c r="D59" s="13" t="s">
        <v>540</v>
      </c>
      <c r="E59" s="77" t="s">
        <v>274</v>
      </c>
      <c r="F59" s="14" t="s">
        <v>48</v>
      </c>
      <c r="G59" s="66" t="s">
        <v>95</v>
      </c>
      <c r="H59" s="14" t="s">
        <v>275</v>
      </c>
      <c r="I59" s="14" t="s">
        <v>50</v>
      </c>
      <c r="J59" s="14" t="s">
        <v>21</v>
      </c>
      <c r="K59" s="14" t="s">
        <v>45</v>
      </c>
      <c r="L59" s="65" t="s">
        <v>191</v>
      </c>
      <c r="M59" s="13" t="s">
        <v>323</v>
      </c>
      <c r="N59" s="13" t="s">
        <v>43</v>
      </c>
      <c r="O59" s="13" t="s">
        <v>538</v>
      </c>
      <c r="P59" s="13" t="s">
        <v>548</v>
      </c>
      <c r="Q59" s="64" t="s">
        <v>9</v>
      </c>
      <c r="R59" s="62">
        <v>27685.49280177187</v>
      </c>
      <c r="S59" s="63">
        <v>20000</v>
      </c>
      <c r="T59" s="62">
        <v>27685.49280177187</v>
      </c>
      <c r="U59" s="62">
        <v>175000</v>
      </c>
      <c r="V59" s="76">
        <v>693329.18050941301</v>
      </c>
      <c r="W59" s="61" t="s">
        <v>11</v>
      </c>
      <c r="X59" s="181">
        <v>1.77E-2</v>
      </c>
      <c r="Y59" s="60">
        <v>43850</v>
      </c>
      <c r="Z59" s="60">
        <v>45562</v>
      </c>
      <c r="AA59" s="60">
        <v>45562</v>
      </c>
      <c r="AB59" s="58">
        <v>1713</v>
      </c>
      <c r="AC59" s="59" t="s">
        <v>10</v>
      </c>
      <c r="AD59" s="58">
        <v>1093</v>
      </c>
      <c r="AE59" s="57">
        <v>2.9945205479452053</v>
      </c>
      <c r="AF59" s="56" t="s">
        <v>436</v>
      </c>
      <c r="AG59" s="71" t="s">
        <v>1</v>
      </c>
      <c r="AH59" s="71" t="s">
        <v>1</v>
      </c>
      <c r="AI59" s="70" t="s">
        <v>0</v>
      </c>
      <c r="AJ59" s="11" t="s">
        <v>0</v>
      </c>
      <c r="AK59" s="11" t="s">
        <v>271</v>
      </c>
      <c r="AL59" s="14" t="s">
        <v>385</v>
      </c>
      <c r="AM59" s="11">
        <v>6697.5</v>
      </c>
      <c r="AN59" s="11">
        <v>7000</v>
      </c>
      <c r="AO59" s="197" t="s">
        <v>274</v>
      </c>
      <c r="AP59" s="198" t="s">
        <v>48</v>
      </c>
      <c r="AS59" s="212">
        <v>0</v>
      </c>
      <c r="AT59" s="212">
        <v>3322.2591362126245</v>
      </c>
      <c r="AU59" s="212">
        <v>664.45182724252493</v>
      </c>
      <c r="AV59" s="212"/>
      <c r="AW59" s="212">
        <v>0</v>
      </c>
      <c r="AX59" s="212">
        <v>0</v>
      </c>
      <c r="BA59" s="11">
        <v>0</v>
      </c>
    </row>
    <row r="60" spans="1:53" ht="39.950000000000003" hidden="1" customHeight="1" x14ac:dyDescent="0.2">
      <c r="A60" s="14" t="s">
        <v>284</v>
      </c>
      <c r="B60" s="65" t="s">
        <v>24</v>
      </c>
      <c r="C60" s="66" t="s">
        <v>127</v>
      </c>
      <c r="D60" s="13" t="s">
        <v>542</v>
      </c>
      <c r="E60" s="77" t="s">
        <v>88</v>
      </c>
      <c r="F60" s="14" t="s">
        <v>104</v>
      </c>
      <c r="G60" s="66" t="s">
        <v>105</v>
      </c>
      <c r="H60" s="14" t="s">
        <v>285</v>
      </c>
      <c r="I60" s="14" t="s">
        <v>286</v>
      </c>
      <c r="J60" s="14" t="s">
        <v>220</v>
      </c>
      <c r="K60" s="14" t="s">
        <v>209</v>
      </c>
      <c r="L60" s="65" t="s">
        <v>191</v>
      </c>
      <c r="M60" s="13" t="s">
        <v>59</v>
      </c>
      <c r="N60" s="13" t="s">
        <v>43</v>
      </c>
      <c r="O60" s="13" t="s">
        <v>538</v>
      </c>
      <c r="P60" s="13" t="s">
        <v>548</v>
      </c>
      <c r="Q60" s="64" t="s">
        <v>59</v>
      </c>
      <c r="R60" s="62">
        <v>24031.144363094569</v>
      </c>
      <c r="S60" s="76">
        <v>13783.782999999999</v>
      </c>
      <c r="T60" s="62">
        <v>22082.671942837915</v>
      </c>
      <c r="U60" s="62">
        <v>192249.15490475655</v>
      </c>
      <c r="V60" s="62">
        <v>910696.11816914729</v>
      </c>
      <c r="W60" s="61" t="s">
        <v>11</v>
      </c>
      <c r="X60" s="181">
        <v>0.01</v>
      </c>
      <c r="Y60" s="60">
        <v>43861</v>
      </c>
      <c r="Z60" s="60">
        <v>45868</v>
      </c>
      <c r="AA60" s="60">
        <v>45868</v>
      </c>
      <c r="AB60" s="58">
        <v>2008</v>
      </c>
      <c r="AC60" s="75" t="s">
        <v>10</v>
      </c>
      <c r="AD60" s="58">
        <v>1399</v>
      </c>
      <c r="AE60" s="57">
        <v>3.8328767123287673</v>
      </c>
      <c r="AF60" s="56"/>
      <c r="AG60" s="71" t="s">
        <v>1</v>
      </c>
      <c r="AH60" s="71" t="s">
        <v>1</v>
      </c>
      <c r="AI60" s="153" t="s">
        <v>662</v>
      </c>
      <c r="AJ60" s="11" t="s">
        <v>0</v>
      </c>
      <c r="AK60" s="11" t="s">
        <v>271</v>
      </c>
      <c r="AL60" s="14" t="s">
        <v>389</v>
      </c>
      <c r="AM60" s="11">
        <v>10000</v>
      </c>
      <c r="AN60" s="11">
        <v>30000</v>
      </c>
      <c r="AO60" s="197" t="s">
        <v>88</v>
      </c>
      <c r="AP60" s="198" t="s">
        <v>104</v>
      </c>
      <c r="AS60" s="212">
        <v>0</v>
      </c>
      <c r="AT60" s="212">
        <v>2649.9206331405499</v>
      </c>
      <c r="AU60" s="212" t="b">
        <v>0</v>
      </c>
      <c r="AV60" s="212"/>
      <c r="AW60" s="212">
        <v>0</v>
      </c>
      <c r="AX60" s="212">
        <v>0</v>
      </c>
      <c r="BA60" s="11">
        <v>0</v>
      </c>
    </row>
    <row r="61" spans="1:53" ht="39.950000000000003" hidden="1" customHeight="1" x14ac:dyDescent="0.2">
      <c r="A61" s="14" t="s">
        <v>278</v>
      </c>
      <c r="B61" s="65" t="s">
        <v>24</v>
      </c>
      <c r="C61" s="66" t="s">
        <v>38</v>
      </c>
      <c r="D61" s="13" t="s">
        <v>540</v>
      </c>
      <c r="E61" s="77" t="s">
        <v>35</v>
      </c>
      <c r="F61" s="14" t="s">
        <v>546</v>
      </c>
      <c r="G61" s="66" t="s">
        <v>259</v>
      </c>
      <c r="H61" s="14" t="s">
        <v>258</v>
      </c>
      <c r="I61" s="14" t="s">
        <v>688</v>
      </c>
      <c r="J61" s="14" t="s">
        <v>687</v>
      </c>
      <c r="K61" s="14" t="s">
        <v>209</v>
      </c>
      <c r="L61" s="65" t="s">
        <v>191</v>
      </c>
      <c r="M61" s="13" t="s">
        <v>323</v>
      </c>
      <c r="N61" s="13" t="s">
        <v>43</v>
      </c>
      <c r="O61" s="13" t="s">
        <v>531</v>
      </c>
      <c r="P61" s="13" t="s">
        <v>534</v>
      </c>
      <c r="Q61" s="64" t="s">
        <v>9</v>
      </c>
      <c r="R61" s="62">
        <v>13842.746400885935</v>
      </c>
      <c r="S61" s="73">
        <v>10000</v>
      </c>
      <c r="T61" s="62">
        <v>13842.746400885935</v>
      </c>
      <c r="U61" s="62">
        <v>41528.239202657802</v>
      </c>
      <c r="V61" s="62">
        <v>1465660.7419712071</v>
      </c>
      <c r="W61" s="61" t="s">
        <v>11</v>
      </c>
      <c r="X61" s="181">
        <v>0.04</v>
      </c>
      <c r="Y61" s="60">
        <v>43868</v>
      </c>
      <c r="Z61" s="60">
        <v>45553</v>
      </c>
      <c r="AA61" s="60">
        <v>45553</v>
      </c>
      <c r="AB61" s="58">
        <v>1686</v>
      </c>
      <c r="AC61" s="59" t="s">
        <v>10</v>
      </c>
      <c r="AD61" s="58">
        <v>1084</v>
      </c>
      <c r="AE61" s="57">
        <v>2.9698630136986299</v>
      </c>
      <c r="AF61" s="56"/>
      <c r="AG61" s="71" t="s">
        <v>1</v>
      </c>
      <c r="AH61" s="71" t="s">
        <v>1</v>
      </c>
      <c r="AI61" s="70" t="s">
        <v>279</v>
      </c>
      <c r="AJ61" s="11" t="s">
        <v>0</v>
      </c>
      <c r="AK61" s="11" t="s">
        <v>271</v>
      </c>
      <c r="AL61" s="14" t="s">
        <v>386</v>
      </c>
      <c r="AM61" s="11">
        <v>10000</v>
      </c>
      <c r="AN61" s="11">
        <v>66600</v>
      </c>
      <c r="AO61" s="197" t="s">
        <v>35</v>
      </c>
      <c r="AP61" s="198" t="s">
        <v>546</v>
      </c>
      <c r="AS61" s="212">
        <v>0</v>
      </c>
      <c r="AT61" s="212">
        <v>1661.1295681063123</v>
      </c>
      <c r="AU61" s="212" t="b">
        <v>0</v>
      </c>
      <c r="AV61" s="212"/>
      <c r="AW61" s="212">
        <v>0</v>
      </c>
      <c r="AX61" s="212">
        <v>0</v>
      </c>
      <c r="BA61" s="11">
        <v>0</v>
      </c>
    </row>
    <row r="62" spans="1:53" ht="39.950000000000003" hidden="1" customHeight="1" x14ac:dyDescent="0.2">
      <c r="A62" s="14" t="s">
        <v>280</v>
      </c>
      <c r="B62" s="65" t="s">
        <v>23</v>
      </c>
      <c r="C62" s="66" t="s">
        <v>89</v>
      </c>
      <c r="D62" s="13" t="s">
        <v>542</v>
      </c>
      <c r="E62" s="77" t="s">
        <v>89</v>
      </c>
      <c r="F62" s="14" t="s">
        <v>546</v>
      </c>
      <c r="G62" s="66" t="s">
        <v>249</v>
      </c>
      <c r="H62" s="14" t="s">
        <v>249</v>
      </c>
      <c r="I62" s="14" t="s">
        <v>281</v>
      </c>
      <c r="J62" s="14" t="s">
        <v>256</v>
      </c>
      <c r="K62" s="14" t="s">
        <v>29</v>
      </c>
      <c r="L62" s="65" t="s">
        <v>191</v>
      </c>
      <c r="M62" s="13" t="s">
        <v>59</v>
      </c>
      <c r="N62" s="65" t="s">
        <v>43</v>
      </c>
      <c r="O62" s="65" t="s">
        <v>538</v>
      </c>
      <c r="P62" s="65" t="s">
        <v>534</v>
      </c>
      <c r="Q62" s="64" t="s">
        <v>9</v>
      </c>
      <c r="R62" s="62">
        <v>10382.05980066445</v>
      </c>
      <c r="S62" s="63">
        <v>7500</v>
      </c>
      <c r="T62" s="62">
        <v>10382.05980066445</v>
      </c>
      <c r="U62" s="62">
        <v>158361.01882613508</v>
      </c>
      <c r="V62" s="62">
        <v>461717.91251384275</v>
      </c>
      <c r="W62" s="61" t="s">
        <v>11</v>
      </c>
      <c r="X62" s="181">
        <v>2.2499999999999999E-2</v>
      </c>
      <c r="Y62" s="60">
        <v>43872</v>
      </c>
      <c r="Z62" s="60">
        <v>45558</v>
      </c>
      <c r="AA62" s="60">
        <v>45558</v>
      </c>
      <c r="AB62" s="58">
        <v>1687</v>
      </c>
      <c r="AC62" s="59" t="s">
        <v>10</v>
      </c>
      <c r="AD62" s="58">
        <v>1089</v>
      </c>
      <c r="AE62" s="57">
        <v>2.9835616438356163</v>
      </c>
      <c r="AF62" s="56"/>
      <c r="AG62" s="71" t="s">
        <v>1</v>
      </c>
      <c r="AH62" s="71" t="s">
        <v>1</v>
      </c>
      <c r="AI62" s="70" t="s">
        <v>0</v>
      </c>
      <c r="AJ62" s="11" t="s">
        <v>0</v>
      </c>
      <c r="AK62" s="11" t="s">
        <v>271</v>
      </c>
      <c r="AL62" s="14" t="s">
        <v>387</v>
      </c>
      <c r="AM62" s="11">
        <v>7255</v>
      </c>
      <c r="AN62" s="11">
        <v>25000</v>
      </c>
      <c r="AO62" s="197" t="s">
        <v>89</v>
      </c>
      <c r="AP62" s="198" t="s">
        <v>546</v>
      </c>
      <c r="AS62" s="212">
        <v>0</v>
      </c>
      <c r="AT62" s="212">
        <v>1245.847176079734</v>
      </c>
      <c r="AU62" s="212" t="b">
        <v>0</v>
      </c>
      <c r="AV62" s="212"/>
      <c r="AW62" s="212">
        <v>0</v>
      </c>
      <c r="AX62" s="212">
        <v>0</v>
      </c>
      <c r="BA62" s="11">
        <v>0</v>
      </c>
    </row>
    <row r="63" spans="1:53" ht="39.950000000000003" hidden="1" customHeight="1" x14ac:dyDescent="0.2">
      <c r="A63" s="14" t="s">
        <v>282</v>
      </c>
      <c r="B63" s="65" t="s">
        <v>23</v>
      </c>
      <c r="C63" s="66" t="s">
        <v>88</v>
      </c>
      <c r="D63" s="13" t="s">
        <v>540</v>
      </c>
      <c r="E63" s="77" t="s">
        <v>49</v>
      </c>
      <c r="F63" s="14" t="s">
        <v>104</v>
      </c>
      <c r="G63" s="66" t="s">
        <v>111</v>
      </c>
      <c r="H63" s="14" t="s">
        <v>135</v>
      </c>
      <c r="I63" s="14" t="s">
        <v>283</v>
      </c>
      <c r="J63" s="14" t="s">
        <v>148</v>
      </c>
      <c r="K63" s="14" t="s">
        <v>140</v>
      </c>
      <c r="L63" s="65" t="s">
        <v>191</v>
      </c>
      <c r="M63" s="13" t="s">
        <v>59</v>
      </c>
      <c r="N63" s="13" t="s">
        <v>43</v>
      </c>
      <c r="O63" s="13" t="s">
        <v>531</v>
      </c>
      <c r="P63" s="13" t="s">
        <v>534</v>
      </c>
      <c r="Q63" s="64" t="s">
        <v>9</v>
      </c>
      <c r="R63" s="62">
        <v>10382.05980066445</v>
      </c>
      <c r="S63" s="63">
        <v>7500</v>
      </c>
      <c r="T63" s="62">
        <v>10382.05980066445</v>
      </c>
      <c r="U63" s="62">
        <v>20764.119601328901</v>
      </c>
      <c r="V63" s="62">
        <v>1405112.1262458472</v>
      </c>
      <c r="W63" s="61" t="s">
        <v>11</v>
      </c>
      <c r="X63" s="181">
        <v>3.0700000000000002E-2</v>
      </c>
      <c r="Y63" s="60">
        <v>43878</v>
      </c>
      <c r="Z63" s="60">
        <v>47382</v>
      </c>
      <c r="AA63" s="60">
        <v>47382</v>
      </c>
      <c r="AB63" s="58">
        <v>3505</v>
      </c>
      <c r="AC63" s="59" t="s">
        <v>10</v>
      </c>
      <c r="AD63" s="58">
        <v>2913</v>
      </c>
      <c r="AE63" s="57">
        <v>7.9808219178082194</v>
      </c>
      <c r="AF63" s="56"/>
      <c r="AG63" s="71" t="s">
        <v>1</v>
      </c>
      <c r="AH63" s="71" t="s">
        <v>1</v>
      </c>
      <c r="AI63" s="70" t="s">
        <v>0</v>
      </c>
      <c r="AJ63" s="11" t="s">
        <v>0</v>
      </c>
      <c r="AK63" s="11" t="s">
        <v>271</v>
      </c>
      <c r="AL63" s="14" t="s">
        <v>388</v>
      </c>
      <c r="AM63" s="11">
        <v>7700</v>
      </c>
      <c r="AN63" s="11">
        <v>50000</v>
      </c>
      <c r="AO63" s="197" t="s">
        <v>49</v>
      </c>
      <c r="AP63" s="198" t="s">
        <v>104</v>
      </c>
      <c r="AS63" s="212">
        <v>0</v>
      </c>
      <c r="AT63" s="212">
        <v>1245.847176079734</v>
      </c>
      <c r="AU63" s="212" t="b">
        <v>0</v>
      </c>
      <c r="AV63" s="212"/>
      <c r="AW63" s="212">
        <v>0</v>
      </c>
      <c r="AX63" s="212">
        <v>0</v>
      </c>
      <c r="BA63" s="11">
        <v>0</v>
      </c>
    </row>
    <row r="64" spans="1:53" ht="39.950000000000003" hidden="1" customHeight="1" x14ac:dyDescent="0.2">
      <c r="A64" s="13" t="s">
        <v>317</v>
      </c>
      <c r="B64" s="65" t="s">
        <v>23</v>
      </c>
      <c r="C64" s="66" t="s">
        <v>34</v>
      </c>
      <c r="D64" s="13" t="s">
        <v>34</v>
      </c>
      <c r="E64" s="77" t="s">
        <v>34</v>
      </c>
      <c r="F64" s="14" t="s">
        <v>48</v>
      </c>
      <c r="G64" s="66" t="s">
        <v>95</v>
      </c>
      <c r="H64" s="14" t="s">
        <v>130</v>
      </c>
      <c r="I64" s="14" t="s">
        <v>321</v>
      </c>
      <c r="J64" s="14" t="s">
        <v>26</v>
      </c>
      <c r="K64" s="14" t="s">
        <v>29</v>
      </c>
      <c r="L64" s="65" t="s">
        <v>191</v>
      </c>
      <c r="M64" s="13" t="s">
        <v>323</v>
      </c>
      <c r="N64" s="13" t="s">
        <v>43</v>
      </c>
      <c r="O64" s="13" t="s">
        <v>537</v>
      </c>
      <c r="P64" s="13" t="s">
        <v>534</v>
      </c>
      <c r="Q64" s="64" t="s">
        <v>8</v>
      </c>
      <c r="R64" s="62">
        <v>10000</v>
      </c>
      <c r="S64" s="63">
        <v>10000</v>
      </c>
      <c r="T64" s="62">
        <v>10000</v>
      </c>
      <c r="U64" s="62">
        <v>50000</v>
      </c>
      <c r="V64" s="62">
        <v>286672.40000000002</v>
      </c>
      <c r="W64" s="61" t="s">
        <v>11</v>
      </c>
      <c r="X64" s="181">
        <v>2.1499999999999998E-2</v>
      </c>
      <c r="Y64" s="60">
        <v>43886</v>
      </c>
      <c r="Z64" s="60">
        <v>45152</v>
      </c>
      <c r="AA64" s="60">
        <v>45152</v>
      </c>
      <c r="AB64" s="58">
        <v>1267</v>
      </c>
      <c r="AC64" s="59" t="s">
        <v>10</v>
      </c>
      <c r="AD64" s="58">
        <v>683</v>
      </c>
      <c r="AE64" s="57">
        <v>1.8712328767123287</v>
      </c>
      <c r="AF64" s="56"/>
      <c r="AG64" s="71" t="s">
        <v>1</v>
      </c>
      <c r="AH64" s="71" t="s">
        <v>1</v>
      </c>
      <c r="AI64" s="70" t="s">
        <v>0</v>
      </c>
      <c r="AJ64" s="11" t="s">
        <v>0</v>
      </c>
      <c r="AK64" s="11" t="s">
        <v>271</v>
      </c>
      <c r="AL64" s="78" t="s">
        <v>399</v>
      </c>
      <c r="AO64" s="197" t="s">
        <v>34</v>
      </c>
      <c r="AP64" s="198" t="s">
        <v>48</v>
      </c>
      <c r="AS64" s="212">
        <v>0</v>
      </c>
      <c r="AT64" s="212">
        <v>1200</v>
      </c>
      <c r="AU64" s="212" t="b">
        <v>0</v>
      </c>
      <c r="AV64" s="212"/>
      <c r="AW64" s="212">
        <v>0</v>
      </c>
      <c r="AX64" s="212">
        <v>0</v>
      </c>
      <c r="BA64" s="11">
        <v>0</v>
      </c>
    </row>
    <row r="65" spans="1:53" ht="39.950000000000003" hidden="1" customHeight="1" x14ac:dyDescent="0.2">
      <c r="A65" s="14" t="s">
        <v>291</v>
      </c>
      <c r="B65" s="65" t="s">
        <v>23</v>
      </c>
      <c r="C65" s="66" t="s">
        <v>37</v>
      </c>
      <c r="D65" s="13" t="s">
        <v>541</v>
      </c>
      <c r="E65" s="77" t="s">
        <v>37</v>
      </c>
      <c r="F65" s="14" t="s">
        <v>102</v>
      </c>
      <c r="G65" s="66" t="s">
        <v>102</v>
      </c>
      <c r="H65" s="14" t="s">
        <v>474</v>
      </c>
      <c r="I65" s="14" t="s">
        <v>79</v>
      </c>
      <c r="J65" s="14" t="s">
        <v>222</v>
      </c>
      <c r="K65" s="14" t="s">
        <v>101</v>
      </c>
      <c r="L65" s="65" t="s">
        <v>191</v>
      </c>
      <c r="M65" s="13" t="s">
        <v>323</v>
      </c>
      <c r="N65" s="13" t="s">
        <v>43</v>
      </c>
      <c r="O65" s="13" t="s">
        <v>531</v>
      </c>
      <c r="P65" s="13" t="s">
        <v>534</v>
      </c>
      <c r="Q65" s="64" t="s">
        <v>9</v>
      </c>
      <c r="R65" s="62">
        <v>27685.49280177187</v>
      </c>
      <c r="S65" s="63">
        <v>20000</v>
      </c>
      <c r="T65" s="62">
        <v>27685.49280177187</v>
      </c>
      <c r="U65" s="62">
        <v>69213.732004429679</v>
      </c>
      <c r="V65" s="62">
        <v>930931.60299003311</v>
      </c>
      <c r="W65" s="61" t="s">
        <v>11</v>
      </c>
      <c r="X65" s="181">
        <v>0.03</v>
      </c>
      <c r="Y65" s="60">
        <v>43896</v>
      </c>
      <c r="Z65" s="60">
        <v>44705</v>
      </c>
      <c r="AA65" s="60">
        <v>44705</v>
      </c>
      <c r="AB65" s="58">
        <v>810</v>
      </c>
      <c r="AC65" s="59" t="s">
        <v>10</v>
      </c>
      <c r="AD65" s="58">
        <v>236</v>
      </c>
      <c r="AE65" s="57">
        <v>0.64657534246575343</v>
      </c>
      <c r="AF65" s="56" t="s">
        <v>436</v>
      </c>
      <c r="AG65" s="71" t="s">
        <v>1</v>
      </c>
      <c r="AH65" s="71" t="s">
        <v>1</v>
      </c>
      <c r="AI65" s="70" t="s">
        <v>0</v>
      </c>
      <c r="AJ65" s="11" t="s">
        <v>0</v>
      </c>
      <c r="AK65" s="11" t="s">
        <v>271</v>
      </c>
      <c r="AL65" s="14" t="s">
        <v>390</v>
      </c>
      <c r="AM65" s="11">
        <v>5000</v>
      </c>
      <c r="AN65" s="11">
        <v>75000</v>
      </c>
      <c r="AO65" s="197" t="s">
        <v>37</v>
      </c>
      <c r="AP65" s="198" t="s">
        <v>102</v>
      </c>
      <c r="AS65" s="212">
        <v>0</v>
      </c>
      <c r="AT65" s="212">
        <v>3322.2591362126245</v>
      </c>
      <c r="AU65" s="212">
        <v>664.45182724252493</v>
      </c>
      <c r="AV65" s="212"/>
      <c r="AW65" s="212">
        <v>0</v>
      </c>
      <c r="AX65" s="212">
        <v>0</v>
      </c>
      <c r="BA65" s="11">
        <v>0</v>
      </c>
    </row>
    <row r="66" spans="1:53" ht="39.950000000000003" hidden="1" customHeight="1" x14ac:dyDescent="0.2">
      <c r="A66" s="14" t="s">
        <v>312</v>
      </c>
      <c r="B66" s="65" t="s">
        <v>67</v>
      </c>
      <c r="C66" s="66" t="s">
        <v>149</v>
      </c>
      <c r="D66" s="13" t="s">
        <v>540</v>
      </c>
      <c r="E66" s="77" t="s">
        <v>229</v>
      </c>
      <c r="F66" s="14" t="s">
        <v>104</v>
      </c>
      <c r="G66" s="66" t="s">
        <v>292</v>
      </c>
      <c r="H66" s="14" t="s">
        <v>292</v>
      </c>
      <c r="I66" s="14" t="s">
        <v>148</v>
      </c>
      <c r="J66" s="14" t="s">
        <v>148</v>
      </c>
      <c r="K66" s="14" t="s">
        <v>29</v>
      </c>
      <c r="L66" s="65" t="s">
        <v>191</v>
      </c>
      <c r="M66" s="65" t="s">
        <v>59</v>
      </c>
      <c r="N66" s="13" t="s">
        <v>43</v>
      </c>
      <c r="O66" s="13" t="s">
        <v>538</v>
      </c>
      <c r="P66" s="13" t="s">
        <v>534</v>
      </c>
      <c r="Q66" s="64" t="s">
        <v>9</v>
      </c>
      <c r="R66" s="62">
        <v>4325.858250276855</v>
      </c>
      <c r="S66" s="63">
        <v>2750</v>
      </c>
      <c r="T66" s="62">
        <v>3806.7552602436322</v>
      </c>
      <c r="U66" s="62">
        <v>8651.7165005537099</v>
      </c>
      <c r="V66" s="62">
        <v>230791.36212624583</v>
      </c>
      <c r="W66" s="61" t="s">
        <v>11</v>
      </c>
      <c r="X66" s="181">
        <v>3.5000000000000003E-2</v>
      </c>
      <c r="Y66" s="60">
        <v>43908</v>
      </c>
      <c r="Z66" s="60">
        <v>45412</v>
      </c>
      <c r="AA66" s="60">
        <v>45412</v>
      </c>
      <c r="AB66" s="58">
        <v>1505</v>
      </c>
      <c r="AC66" s="59" t="s">
        <v>10</v>
      </c>
      <c r="AD66" s="58">
        <v>943</v>
      </c>
      <c r="AE66" s="57">
        <v>2.5835616438356164</v>
      </c>
      <c r="AF66" s="56"/>
      <c r="AG66" s="71" t="s">
        <v>1</v>
      </c>
      <c r="AH66" s="71" t="s">
        <v>1</v>
      </c>
      <c r="AI66" s="70" t="s">
        <v>293</v>
      </c>
      <c r="AJ66" s="11" t="s">
        <v>0</v>
      </c>
      <c r="AK66" s="11" t="s">
        <v>271</v>
      </c>
      <c r="AL66" s="14" t="s">
        <v>351</v>
      </c>
      <c r="AM66" s="11">
        <v>7500</v>
      </c>
      <c r="AN66" s="11">
        <v>12750</v>
      </c>
      <c r="AO66" s="197" t="s">
        <v>229</v>
      </c>
      <c r="AP66" s="198" t="s">
        <v>104</v>
      </c>
      <c r="AS66" s="212">
        <v>0</v>
      </c>
      <c r="AT66" s="212">
        <v>456.81063122923587</v>
      </c>
      <c r="AU66" s="212" t="b">
        <v>0</v>
      </c>
      <c r="AV66" s="212"/>
      <c r="AW66" s="212">
        <v>0</v>
      </c>
      <c r="AX66" s="212">
        <v>0</v>
      </c>
      <c r="BA66" s="11">
        <v>0</v>
      </c>
    </row>
    <row r="67" spans="1:53" ht="39.950000000000003" hidden="1" customHeight="1" x14ac:dyDescent="0.2">
      <c r="A67" s="14" t="s">
        <v>294</v>
      </c>
      <c r="B67" s="65" t="s">
        <v>24</v>
      </c>
      <c r="C67" s="66" t="s">
        <v>295</v>
      </c>
      <c r="D67" s="13" t="s">
        <v>34</v>
      </c>
      <c r="E67" s="77" t="s">
        <v>295</v>
      </c>
      <c r="F67" s="14" t="s">
        <v>106</v>
      </c>
      <c r="G67" s="66" t="s">
        <v>106</v>
      </c>
      <c r="H67" s="66" t="s">
        <v>107</v>
      </c>
      <c r="I67" s="66" t="s">
        <v>296</v>
      </c>
      <c r="J67" s="66" t="s">
        <v>687</v>
      </c>
      <c r="K67" s="14" t="s">
        <v>101</v>
      </c>
      <c r="L67" s="65" t="s">
        <v>191</v>
      </c>
      <c r="M67" s="65" t="s">
        <v>323</v>
      </c>
      <c r="N67" s="13" t="s">
        <v>43</v>
      </c>
      <c r="O67" s="13" t="s">
        <v>531</v>
      </c>
      <c r="P67" s="13" t="s">
        <v>534</v>
      </c>
      <c r="Q67" s="64" t="s">
        <v>297</v>
      </c>
      <c r="R67" s="62">
        <v>32816.229116945105</v>
      </c>
      <c r="S67" s="63">
        <v>34375</v>
      </c>
      <c r="T67" s="62">
        <v>32816.229116945105</v>
      </c>
      <c r="U67" s="62">
        <v>59665.871121718374</v>
      </c>
      <c r="V67" s="62">
        <v>759558.96897374699</v>
      </c>
      <c r="W67" s="61" t="s">
        <v>11</v>
      </c>
      <c r="X67" s="181">
        <v>2.5000000000000001E-2</v>
      </c>
      <c r="Y67" s="60">
        <v>43910</v>
      </c>
      <c r="Z67" s="60">
        <v>44830</v>
      </c>
      <c r="AA67" s="60">
        <v>44830</v>
      </c>
      <c r="AB67" s="58">
        <v>921</v>
      </c>
      <c r="AC67" s="59" t="s">
        <v>10</v>
      </c>
      <c r="AD67" s="58">
        <v>361</v>
      </c>
      <c r="AE67" s="57">
        <v>0.989041095890411</v>
      </c>
      <c r="AF67" s="56" t="s">
        <v>436</v>
      </c>
      <c r="AG67" s="71" t="s">
        <v>1</v>
      </c>
      <c r="AH67" s="71" t="s">
        <v>1</v>
      </c>
      <c r="AI67" s="70" t="s">
        <v>0</v>
      </c>
      <c r="AJ67" s="11" t="s">
        <v>0</v>
      </c>
      <c r="AK67" s="11" t="s">
        <v>271</v>
      </c>
      <c r="AL67" s="14" t="s">
        <v>391</v>
      </c>
      <c r="AM67" s="11">
        <v>13000</v>
      </c>
      <c r="AN67" s="11">
        <v>60000</v>
      </c>
      <c r="AO67" s="197" t="s">
        <v>295</v>
      </c>
      <c r="AP67" s="198" t="s">
        <v>106</v>
      </c>
      <c r="AS67" s="212">
        <v>0</v>
      </c>
      <c r="AT67" s="212">
        <v>3937.9474940334126</v>
      </c>
      <c r="AU67" s="212">
        <v>787.58949880668251</v>
      </c>
      <c r="AV67" s="212"/>
      <c r="AW67" s="212">
        <v>0</v>
      </c>
      <c r="AX67" s="212">
        <v>0</v>
      </c>
      <c r="BA67" s="11">
        <v>0</v>
      </c>
    </row>
    <row r="68" spans="1:53" ht="39.950000000000003" hidden="1" customHeight="1" x14ac:dyDescent="0.2">
      <c r="A68" s="14" t="s">
        <v>313</v>
      </c>
      <c r="B68" s="65" t="s">
        <v>67</v>
      </c>
      <c r="C68" s="66" t="s">
        <v>87</v>
      </c>
      <c r="D68" s="13" t="s">
        <v>499</v>
      </c>
      <c r="E68" s="77" t="s">
        <v>162</v>
      </c>
      <c r="F68" s="14" t="s">
        <v>546</v>
      </c>
      <c r="G68" s="66" t="s">
        <v>167</v>
      </c>
      <c r="H68" s="66" t="s">
        <v>167</v>
      </c>
      <c r="I68" s="14" t="s">
        <v>298</v>
      </c>
      <c r="J68" s="66" t="s">
        <v>218</v>
      </c>
      <c r="K68" s="14" t="s">
        <v>209</v>
      </c>
      <c r="L68" s="65" t="s">
        <v>191</v>
      </c>
      <c r="M68" s="65" t="s">
        <v>59</v>
      </c>
      <c r="N68" s="13" t="s">
        <v>43</v>
      </c>
      <c r="O68" s="13" t="s">
        <v>531</v>
      </c>
      <c r="P68" s="13" t="s">
        <v>534</v>
      </c>
      <c r="Q68" s="64" t="s">
        <v>9</v>
      </c>
      <c r="R68" s="62">
        <v>20764.119601328901</v>
      </c>
      <c r="S68" s="76">
        <v>15000</v>
      </c>
      <c r="T68" s="62">
        <v>20764.119601328901</v>
      </c>
      <c r="U68" s="62">
        <v>41528.239202657802</v>
      </c>
      <c r="V68" s="62">
        <v>3876545.8056478403</v>
      </c>
      <c r="W68" s="61" t="s">
        <v>11</v>
      </c>
      <c r="X68" s="181">
        <v>5.3800000000000001E-2</v>
      </c>
      <c r="Y68" s="60">
        <v>43915</v>
      </c>
      <c r="Z68" s="60">
        <v>46372</v>
      </c>
      <c r="AA68" s="60">
        <v>46372</v>
      </c>
      <c r="AB68" s="58">
        <v>2458</v>
      </c>
      <c r="AC68" s="75" t="s">
        <v>10</v>
      </c>
      <c r="AD68" s="58">
        <v>1903</v>
      </c>
      <c r="AE68" s="57">
        <v>5.2136986301369861</v>
      </c>
      <c r="AF68" s="56"/>
      <c r="AG68" s="71" t="s">
        <v>182</v>
      </c>
      <c r="AH68" s="71" t="s">
        <v>182</v>
      </c>
      <c r="AI68" s="70" t="s">
        <v>0</v>
      </c>
      <c r="AJ68" s="11" t="s">
        <v>0</v>
      </c>
      <c r="AK68" s="11" t="s">
        <v>271</v>
      </c>
      <c r="AL68" s="14" t="s">
        <v>392</v>
      </c>
      <c r="AM68" s="11">
        <v>12000</v>
      </c>
      <c r="AN68" s="11">
        <v>250000</v>
      </c>
      <c r="AO68" s="197" t="s">
        <v>162</v>
      </c>
      <c r="AP68" s="198" t="s">
        <v>546</v>
      </c>
      <c r="AS68" s="212">
        <v>0</v>
      </c>
      <c r="AT68" s="212">
        <v>2491.6943521594681</v>
      </c>
      <c r="AU68" s="212" t="b">
        <v>0</v>
      </c>
      <c r="AV68" s="212"/>
      <c r="AW68" s="212">
        <v>0</v>
      </c>
      <c r="AX68" s="212">
        <v>0</v>
      </c>
      <c r="BA68" s="11">
        <v>0</v>
      </c>
    </row>
    <row r="69" spans="1:53" ht="39.950000000000003" hidden="1" customHeight="1" x14ac:dyDescent="0.2">
      <c r="A69" s="13" t="s">
        <v>301</v>
      </c>
      <c r="B69" s="65" t="s">
        <v>24</v>
      </c>
      <c r="C69" s="66" t="s">
        <v>37</v>
      </c>
      <c r="D69" s="13" t="s">
        <v>542</v>
      </c>
      <c r="E69" s="130" t="s">
        <v>87</v>
      </c>
      <c r="F69" s="14" t="s">
        <v>102</v>
      </c>
      <c r="G69" s="66" t="s">
        <v>102</v>
      </c>
      <c r="H69" s="66" t="s">
        <v>110</v>
      </c>
      <c r="I69" s="14" t="s">
        <v>55</v>
      </c>
      <c r="J69" s="66" t="s">
        <v>218</v>
      </c>
      <c r="K69" s="14" t="s">
        <v>101</v>
      </c>
      <c r="L69" s="65" t="s">
        <v>191</v>
      </c>
      <c r="M69" s="13" t="s">
        <v>323</v>
      </c>
      <c r="N69" s="13" t="s">
        <v>43</v>
      </c>
      <c r="O69" s="13" t="s">
        <v>538</v>
      </c>
      <c r="P69" s="13" t="s">
        <v>534</v>
      </c>
      <c r="Q69" s="15" t="s">
        <v>59</v>
      </c>
      <c r="R69" s="62">
        <v>28838.155334584939</v>
      </c>
      <c r="S69" s="63">
        <v>18000.488178294574</v>
      </c>
      <c r="T69" s="62">
        <v>28838.155334584939</v>
      </c>
      <c r="U69" s="62">
        <v>38450.946379996843</v>
      </c>
      <c r="V69" s="62">
        <v>1001656.3013013703</v>
      </c>
      <c r="W69" s="61" t="s">
        <v>11</v>
      </c>
      <c r="X69" s="181">
        <v>2.6499999999999999E-2</v>
      </c>
      <c r="Y69" s="60">
        <v>43915</v>
      </c>
      <c r="Z69" s="60">
        <v>44970</v>
      </c>
      <c r="AA69" s="60">
        <v>44970</v>
      </c>
      <c r="AB69" s="58">
        <v>1056</v>
      </c>
      <c r="AC69" s="59" t="s">
        <v>10</v>
      </c>
      <c r="AD69" s="58">
        <v>501</v>
      </c>
      <c r="AE69" s="57">
        <v>1.3726027397260274</v>
      </c>
      <c r="AF69" s="56" t="s">
        <v>436</v>
      </c>
      <c r="AG69" s="71" t="s">
        <v>1</v>
      </c>
      <c r="AH69" s="71" t="s">
        <v>1</v>
      </c>
      <c r="AI69" s="70" t="s">
        <v>0</v>
      </c>
      <c r="AJ69" s="11" t="s">
        <v>0</v>
      </c>
      <c r="AK69" s="11" t="s">
        <v>271</v>
      </c>
      <c r="AL69" s="14" t="s">
        <v>394</v>
      </c>
      <c r="AM69" s="11">
        <v>6000</v>
      </c>
      <c r="AN69" s="11">
        <v>55000</v>
      </c>
      <c r="AO69" s="197" t="s">
        <v>87</v>
      </c>
      <c r="AP69" s="198" t="s">
        <v>102</v>
      </c>
      <c r="AS69" s="212">
        <v>0</v>
      </c>
      <c r="AT69" s="212">
        <v>3460.5786401501923</v>
      </c>
      <c r="AU69" s="212">
        <v>692.11572803003855</v>
      </c>
      <c r="AV69" s="212"/>
      <c r="AW69" s="212">
        <v>0</v>
      </c>
      <c r="AX69" s="212">
        <v>0</v>
      </c>
      <c r="BA69" s="11">
        <v>0</v>
      </c>
    </row>
    <row r="70" spans="1:53" ht="39.950000000000003" hidden="1" customHeight="1" x14ac:dyDescent="0.2">
      <c r="A70" s="13" t="s">
        <v>305</v>
      </c>
      <c r="B70" s="65" t="s">
        <v>23</v>
      </c>
      <c r="C70" s="66" t="s">
        <v>88</v>
      </c>
      <c r="D70" s="13" t="s">
        <v>542</v>
      </c>
      <c r="E70" s="130" t="s">
        <v>127</v>
      </c>
      <c r="F70" s="14" t="s">
        <v>92</v>
      </c>
      <c r="G70" s="66" t="s">
        <v>134</v>
      </c>
      <c r="H70" s="66" t="s">
        <v>134</v>
      </c>
      <c r="I70" s="66" t="s">
        <v>61</v>
      </c>
      <c r="J70" s="66" t="s">
        <v>220</v>
      </c>
      <c r="K70" s="14" t="s">
        <v>68</v>
      </c>
      <c r="L70" s="65" t="s">
        <v>191</v>
      </c>
      <c r="M70" s="13" t="s">
        <v>59</v>
      </c>
      <c r="N70" s="13" t="s">
        <v>43</v>
      </c>
      <c r="O70" s="13" t="s">
        <v>531</v>
      </c>
      <c r="P70" s="13" t="s">
        <v>534</v>
      </c>
      <c r="Q70" s="64" t="s">
        <v>9</v>
      </c>
      <c r="R70" s="62">
        <v>20764.119601328901</v>
      </c>
      <c r="S70" s="76">
        <v>15000</v>
      </c>
      <c r="T70" s="62">
        <v>20764.119601328901</v>
      </c>
      <c r="U70" s="62">
        <v>145348.83720930232</v>
      </c>
      <c r="V70" s="62">
        <v>359080.84163898113</v>
      </c>
      <c r="W70" s="61" t="s">
        <v>11</v>
      </c>
      <c r="X70" s="181">
        <v>1.3100000000000001E-2</v>
      </c>
      <c r="Y70" s="60">
        <v>43920</v>
      </c>
      <c r="Z70" s="60">
        <v>45125</v>
      </c>
      <c r="AA70" s="60">
        <v>45125</v>
      </c>
      <c r="AB70" s="58">
        <v>1206</v>
      </c>
      <c r="AC70" s="59" t="s">
        <v>10</v>
      </c>
      <c r="AD70" s="58">
        <v>656</v>
      </c>
      <c r="AE70" s="57">
        <v>1.7972602739726027</v>
      </c>
      <c r="AF70" s="56"/>
      <c r="AG70" s="71" t="s">
        <v>1</v>
      </c>
      <c r="AH70" s="71" t="s">
        <v>1</v>
      </c>
      <c r="AI70" s="70" t="s">
        <v>0</v>
      </c>
      <c r="AJ70" s="11" t="s">
        <v>0</v>
      </c>
      <c r="AK70" s="11" t="s">
        <v>271</v>
      </c>
      <c r="AL70" s="14" t="s">
        <v>397</v>
      </c>
      <c r="AM70" s="11">
        <v>6500</v>
      </c>
      <c r="AN70" s="11">
        <v>15000</v>
      </c>
      <c r="AO70" s="197" t="s">
        <v>127</v>
      </c>
      <c r="AP70" s="198" t="s">
        <v>92</v>
      </c>
      <c r="AS70" s="212">
        <v>0</v>
      </c>
      <c r="AT70" s="212">
        <v>2491.6943521594681</v>
      </c>
      <c r="AU70" s="212" t="b">
        <v>0</v>
      </c>
      <c r="AV70" s="212"/>
      <c r="AW70" s="212">
        <v>0</v>
      </c>
      <c r="AX70" s="212">
        <v>0</v>
      </c>
      <c r="BA70" s="11">
        <v>0</v>
      </c>
    </row>
    <row r="71" spans="1:53" ht="39.950000000000003" hidden="1" customHeight="1" x14ac:dyDescent="0.2">
      <c r="A71" s="13" t="s">
        <v>306</v>
      </c>
      <c r="B71" s="65" t="s">
        <v>243</v>
      </c>
      <c r="C71" s="66" t="s">
        <v>89</v>
      </c>
      <c r="D71" s="13" t="s">
        <v>542</v>
      </c>
      <c r="E71" s="130" t="s">
        <v>308</v>
      </c>
      <c r="F71" s="14" t="s">
        <v>92</v>
      </c>
      <c r="G71" s="66" t="s">
        <v>134</v>
      </c>
      <c r="H71" s="66" t="s">
        <v>134</v>
      </c>
      <c r="I71" s="66" t="s">
        <v>311</v>
      </c>
      <c r="J71" s="66" t="s">
        <v>256</v>
      </c>
      <c r="K71" s="14" t="s">
        <v>68</v>
      </c>
      <c r="L71" s="65" t="s">
        <v>191</v>
      </c>
      <c r="M71" s="65" t="s">
        <v>59</v>
      </c>
      <c r="N71" s="13" t="s">
        <v>43</v>
      </c>
      <c r="O71" s="13" t="s">
        <v>538</v>
      </c>
      <c r="P71" s="13" t="s">
        <v>534</v>
      </c>
      <c r="Q71" s="64" t="s">
        <v>9</v>
      </c>
      <c r="R71" s="62">
        <v>11074.197120708748</v>
      </c>
      <c r="S71" s="63">
        <v>7200</v>
      </c>
      <c r="T71" s="62">
        <v>9966.777408637874</v>
      </c>
      <c r="U71" s="62">
        <v>58185.677367109631</v>
      </c>
      <c r="V71" s="62">
        <v>602895.41805094131</v>
      </c>
      <c r="W71" s="61" t="s">
        <v>11</v>
      </c>
      <c r="X71" s="181">
        <v>0.02</v>
      </c>
      <c r="Y71" s="60">
        <v>43921</v>
      </c>
      <c r="Z71" s="60">
        <v>45660</v>
      </c>
      <c r="AA71" s="60">
        <v>45660</v>
      </c>
      <c r="AB71" s="58">
        <v>1740</v>
      </c>
      <c r="AC71" s="59" t="s">
        <v>10</v>
      </c>
      <c r="AD71" s="58">
        <v>1191</v>
      </c>
      <c r="AE71" s="57">
        <v>3.2630136986301368</v>
      </c>
      <c r="AF71" s="56"/>
      <c r="AG71" s="71" t="s">
        <v>1</v>
      </c>
      <c r="AH71" s="71" t="s">
        <v>1</v>
      </c>
      <c r="AI71" s="70" t="s">
        <v>607</v>
      </c>
      <c r="AJ71" s="11" t="s">
        <v>0</v>
      </c>
      <c r="AK71" s="11" t="s">
        <v>271</v>
      </c>
      <c r="AL71" s="13" t="s">
        <v>396</v>
      </c>
      <c r="AM71" s="11">
        <v>10480</v>
      </c>
      <c r="AN71" s="11">
        <v>31210</v>
      </c>
      <c r="AO71" s="197" t="s">
        <v>308</v>
      </c>
      <c r="AP71" s="198" t="s">
        <v>92</v>
      </c>
      <c r="AS71" s="212">
        <v>0</v>
      </c>
      <c r="AT71" s="212">
        <v>1196.0132890365448</v>
      </c>
      <c r="AU71" s="212" t="b">
        <v>0</v>
      </c>
      <c r="AV71" s="212"/>
      <c r="AW71" s="212">
        <v>0</v>
      </c>
      <c r="AX71" s="212">
        <v>0</v>
      </c>
      <c r="BA71" s="11">
        <v>0</v>
      </c>
    </row>
    <row r="72" spans="1:53" ht="39.950000000000003" customHeight="1" x14ac:dyDescent="0.2">
      <c r="A72" s="13" t="s">
        <v>303</v>
      </c>
      <c r="B72" s="65" t="s">
        <v>23</v>
      </c>
      <c r="C72" s="66" t="s">
        <v>38</v>
      </c>
      <c r="D72" s="13" t="s">
        <v>540</v>
      </c>
      <c r="E72" s="130" t="s">
        <v>49</v>
      </c>
      <c r="F72" s="14" t="s">
        <v>544</v>
      </c>
      <c r="G72" s="66" t="s">
        <v>304</v>
      </c>
      <c r="H72" s="14" t="s">
        <v>310</v>
      </c>
      <c r="I72" s="66" t="s">
        <v>142</v>
      </c>
      <c r="J72" s="66" t="s">
        <v>218</v>
      </c>
      <c r="K72" s="14" t="s">
        <v>29</v>
      </c>
      <c r="L72" s="65" t="s">
        <v>191</v>
      </c>
      <c r="M72" s="65" t="s">
        <v>323</v>
      </c>
      <c r="N72" s="13" t="s">
        <v>43</v>
      </c>
      <c r="O72" s="13" t="s">
        <v>538</v>
      </c>
      <c r="P72" s="13" t="s">
        <v>534</v>
      </c>
      <c r="Q72" s="64" t="s">
        <v>59</v>
      </c>
      <c r="R72" s="62">
        <v>12015.572181547284</v>
      </c>
      <c r="S72" s="63">
        <v>7482.25</v>
      </c>
      <c r="T72" s="62">
        <v>11987.135327384289</v>
      </c>
      <c r="U72" s="62">
        <v>16020.762908729714</v>
      </c>
      <c r="V72" s="62">
        <v>652669.63584805909</v>
      </c>
      <c r="W72" s="61" t="s">
        <v>11</v>
      </c>
      <c r="X72" s="181">
        <v>2.7E-2</v>
      </c>
      <c r="Y72" s="60">
        <v>43921</v>
      </c>
      <c r="Z72" s="60">
        <v>45691</v>
      </c>
      <c r="AA72" s="60">
        <v>45691</v>
      </c>
      <c r="AB72" s="58">
        <v>1771</v>
      </c>
      <c r="AC72" s="59" t="s">
        <v>10</v>
      </c>
      <c r="AD72" s="58">
        <v>1222</v>
      </c>
      <c r="AE72" s="57">
        <v>3.3479452054794518</v>
      </c>
      <c r="AF72" s="56"/>
      <c r="AG72" s="71" t="s">
        <v>1</v>
      </c>
      <c r="AH72" s="71" t="s">
        <v>1</v>
      </c>
      <c r="AI72" s="70" t="s">
        <v>663</v>
      </c>
      <c r="AJ72" s="11" t="s">
        <v>0</v>
      </c>
      <c r="AK72" s="11" t="s">
        <v>271</v>
      </c>
      <c r="AL72" s="14" t="s">
        <v>395</v>
      </c>
      <c r="AM72" s="11">
        <v>10000</v>
      </c>
      <c r="AN72" s="11">
        <v>45000</v>
      </c>
      <c r="AO72" s="197" t="s">
        <v>49</v>
      </c>
      <c r="AP72" s="198" t="s">
        <v>544</v>
      </c>
      <c r="AQ72" s="11">
        <v>1</v>
      </c>
      <c r="AR72" s="214">
        <v>0.15</v>
      </c>
      <c r="AS72" s="212">
        <v>1798.0702991076432</v>
      </c>
      <c r="AT72" s="212">
        <v>1438.4562392861146</v>
      </c>
      <c r="AU72" s="212" t="b">
        <v>0</v>
      </c>
      <c r="AV72" s="212"/>
      <c r="AW72" s="212">
        <v>1438.4562392861146</v>
      </c>
      <c r="AX72" s="212">
        <v>1198.713532738429</v>
      </c>
      <c r="AY72" s="12" t="s">
        <v>670</v>
      </c>
      <c r="BA72" s="11">
        <v>1198.713532738429</v>
      </c>
    </row>
    <row r="73" spans="1:53" ht="39.950000000000003" hidden="1" customHeight="1" x14ac:dyDescent="0.2">
      <c r="A73" s="13" t="s">
        <v>320</v>
      </c>
      <c r="B73" s="65" t="s">
        <v>51</v>
      </c>
      <c r="C73" s="66" t="s">
        <v>87</v>
      </c>
      <c r="D73" s="13" t="s">
        <v>542</v>
      </c>
      <c r="E73" s="130" t="s">
        <v>87</v>
      </c>
      <c r="F73" s="14" t="s">
        <v>173</v>
      </c>
      <c r="G73" s="66" t="s">
        <v>316</v>
      </c>
      <c r="H73" s="14" t="s">
        <v>197</v>
      </c>
      <c r="I73" s="77" t="s">
        <v>75</v>
      </c>
      <c r="J73" s="66" t="s">
        <v>21</v>
      </c>
      <c r="K73" s="14" t="s">
        <v>29</v>
      </c>
      <c r="L73" s="65" t="s">
        <v>191</v>
      </c>
      <c r="M73" s="65" t="s">
        <v>59</v>
      </c>
      <c r="N73" s="13" t="s">
        <v>43</v>
      </c>
      <c r="O73" s="13" t="s">
        <v>538</v>
      </c>
      <c r="P73" s="13" t="s">
        <v>548</v>
      </c>
      <c r="Q73" s="64" t="s">
        <v>156</v>
      </c>
      <c r="R73" s="62">
        <v>18631.341642911706</v>
      </c>
      <c r="S73" s="63">
        <v>6500</v>
      </c>
      <c r="T73" s="62">
        <v>12110.372067892607</v>
      </c>
      <c r="U73" s="62">
        <v>149050.73314329365</v>
      </c>
      <c r="V73" s="62">
        <v>326775.92085406068</v>
      </c>
      <c r="W73" s="61" t="s">
        <v>11</v>
      </c>
      <c r="X73" s="181">
        <v>7.7000000000000002E-3</v>
      </c>
      <c r="Y73" s="60">
        <v>43927</v>
      </c>
      <c r="Z73" s="60">
        <v>46081</v>
      </c>
      <c r="AA73" s="60">
        <v>46081</v>
      </c>
      <c r="AB73" s="58">
        <v>2155</v>
      </c>
      <c r="AC73" s="75" t="s">
        <v>10</v>
      </c>
      <c r="AD73" s="58">
        <v>1612</v>
      </c>
      <c r="AE73" s="57">
        <v>4.4164383561643836</v>
      </c>
      <c r="AF73" s="56"/>
      <c r="AG73" s="71" t="s">
        <v>1</v>
      </c>
      <c r="AH73" s="71" t="s">
        <v>1</v>
      </c>
      <c r="AI73" s="70" t="s">
        <v>0</v>
      </c>
      <c r="AJ73" s="11" t="s">
        <v>0</v>
      </c>
      <c r="AK73" s="11" t="s">
        <v>271</v>
      </c>
      <c r="AL73" s="13" t="s">
        <v>398</v>
      </c>
      <c r="AM73" s="11">
        <v>10230</v>
      </c>
      <c r="AO73" s="197" t="s">
        <v>87</v>
      </c>
      <c r="AP73" s="198" t="s">
        <v>173</v>
      </c>
      <c r="AS73" s="212">
        <v>0</v>
      </c>
      <c r="AT73" s="212">
        <v>1453.2446481471129</v>
      </c>
      <c r="AU73" s="212" t="b">
        <v>0</v>
      </c>
      <c r="AV73" s="212"/>
      <c r="AW73" s="212">
        <v>0</v>
      </c>
      <c r="AX73" s="212">
        <v>0</v>
      </c>
      <c r="BA73" s="11">
        <v>0</v>
      </c>
    </row>
    <row r="74" spans="1:53" ht="39.950000000000003" hidden="1" customHeight="1" x14ac:dyDescent="0.2">
      <c r="A74" s="13" t="s">
        <v>550</v>
      </c>
      <c r="B74" s="65" t="s">
        <v>23</v>
      </c>
      <c r="C74" s="66" t="s">
        <v>37</v>
      </c>
      <c r="D74" s="13" t="s">
        <v>540</v>
      </c>
      <c r="E74" s="161" t="s">
        <v>36</v>
      </c>
      <c r="F74" s="14" t="s">
        <v>104</v>
      </c>
      <c r="G74" s="66" t="s">
        <v>111</v>
      </c>
      <c r="H74" s="66" t="s">
        <v>449</v>
      </c>
      <c r="I74" s="14" t="s">
        <v>77</v>
      </c>
      <c r="J74" s="66" t="s">
        <v>220</v>
      </c>
      <c r="K74" s="14" t="s">
        <v>29</v>
      </c>
      <c r="L74" s="65" t="s">
        <v>191</v>
      </c>
      <c r="M74" s="13" t="s">
        <v>323</v>
      </c>
      <c r="N74" s="13" t="s">
        <v>43</v>
      </c>
      <c r="O74" s="13" t="s">
        <v>531</v>
      </c>
      <c r="P74" s="13" t="s">
        <v>548</v>
      </c>
      <c r="Q74" s="64" t="s">
        <v>9</v>
      </c>
      <c r="R74" s="62">
        <v>9689.9224806201546</v>
      </c>
      <c r="S74" s="63">
        <v>9000</v>
      </c>
      <c r="T74" s="62">
        <v>12458.471760797342</v>
      </c>
      <c r="U74" s="62">
        <v>256090.8084163898</v>
      </c>
      <c r="V74" s="62">
        <v>831344.28294573631</v>
      </c>
      <c r="W74" s="61" t="s">
        <v>11</v>
      </c>
      <c r="X74" s="181">
        <v>3.7499999999999999E-2</v>
      </c>
      <c r="Y74" s="60">
        <v>43938</v>
      </c>
      <c r="Z74" s="60">
        <v>45063</v>
      </c>
      <c r="AA74" s="60">
        <v>45063</v>
      </c>
      <c r="AB74" s="58">
        <v>1126</v>
      </c>
      <c r="AC74" s="59" t="s">
        <v>10</v>
      </c>
      <c r="AD74" s="58">
        <v>594</v>
      </c>
      <c r="AE74" s="57">
        <v>1.6273972602739726</v>
      </c>
      <c r="AF74" s="56"/>
      <c r="AG74" s="71" t="s">
        <v>1</v>
      </c>
      <c r="AH74" s="71" t="s">
        <v>1</v>
      </c>
      <c r="AI74" s="70" t="s">
        <v>608</v>
      </c>
      <c r="AJ74" s="11" t="s">
        <v>0</v>
      </c>
      <c r="AK74" s="11" t="s">
        <v>271</v>
      </c>
      <c r="AL74" s="13" t="s">
        <v>401</v>
      </c>
      <c r="AM74" s="11">
        <v>12225</v>
      </c>
      <c r="AO74" s="197" t="s">
        <v>36</v>
      </c>
      <c r="AP74" s="198" t="s">
        <v>104</v>
      </c>
      <c r="AS74" s="212">
        <v>0</v>
      </c>
      <c r="AT74" s="212">
        <v>1495.0166112956808</v>
      </c>
      <c r="AU74" s="212" t="b">
        <v>0</v>
      </c>
      <c r="AV74" s="212"/>
      <c r="AW74" s="212">
        <v>0</v>
      </c>
      <c r="AX74" s="212">
        <v>0</v>
      </c>
      <c r="BA74" s="11">
        <v>0</v>
      </c>
    </row>
    <row r="75" spans="1:53" ht="39.950000000000003" hidden="1" customHeight="1" x14ac:dyDescent="0.2">
      <c r="A75" s="13" t="s">
        <v>319</v>
      </c>
      <c r="B75" s="65" t="s">
        <v>23</v>
      </c>
      <c r="C75" s="66" t="s">
        <v>89</v>
      </c>
      <c r="D75" s="13" t="s">
        <v>542</v>
      </c>
      <c r="E75" s="130" t="s">
        <v>166</v>
      </c>
      <c r="F75" s="14" t="s">
        <v>92</v>
      </c>
      <c r="G75" s="66" t="s">
        <v>134</v>
      </c>
      <c r="H75" s="14" t="s">
        <v>134</v>
      </c>
      <c r="I75" s="66" t="s">
        <v>58</v>
      </c>
      <c r="J75" s="14" t="s">
        <v>220</v>
      </c>
      <c r="K75" s="14" t="s">
        <v>68</v>
      </c>
      <c r="L75" s="65" t="s">
        <v>191</v>
      </c>
      <c r="M75" s="65" t="s">
        <v>59</v>
      </c>
      <c r="N75" s="13" t="s">
        <v>43</v>
      </c>
      <c r="O75" s="13" t="s">
        <v>539</v>
      </c>
      <c r="P75" s="13" t="s">
        <v>534</v>
      </c>
      <c r="Q75" s="64" t="s">
        <v>9</v>
      </c>
      <c r="R75" s="62">
        <v>27685.49280177187</v>
      </c>
      <c r="S75" s="63">
        <v>15446.583000000001</v>
      </c>
      <c r="T75" s="62">
        <v>21382.313122923588</v>
      </c>
      <c r="U75" s="62">
        <v>73920.265780730886</v>
      </c>
      <c r="V75" s="62">
        <v>1226526.8549280176</v>
      </c>
      <c r="W75" s="61" t="s">
        <v>11</v>
      </c>
      <c r="X75" s="181">
        <v>2.1999999999999999E-2</v>
      </c>
      <c r="Y75" s="60">
        <v>43943</v>
      </c>
      <c r="Z75" s="60">
        <v>45860</v>
      </c>
      <c r="AA75" s="60">
        <v>45860</v>
      </c>
      <c r="AB75" s="58">
        <v>1918</v>
      </c>
      <c r="AC75" s="59" t="s">
        <v>10</v>
      </c>
      <c r="AD75" s="58">
        <v>1391</v>
      </c>
      <c r="AE75" s="57">
        <v>3.8109589041095893</v>
      </c>
      <c r="AF75" s="56" t="s">
        <v>436</v>
      </c>
      <c r="AG75" s="71" t="s">
        <v>1</v>
      </c>
      <c r="AH75" s="71" t="s">
        <v>1</v>
      </c>
      <c r="AI75" s="70" t="s">
        <v>664</v>
      </c>
      <c r="AJ75" s="11" t="s">
        <v>0</v>
      </c>
      <c r="AK75" s="11" t="s">
        <v>271</v>
      </c>
      <c r="AL75" s="13" t="s">
        <v>402</v>
      </c>
      <c r="AM75" s="11">
        <v>6000</v>
      </c>
      <c r="AO75" s="197" t="s">
        <v>166</v>
      </c>
      <c r="AP75" s="198" t="s">
        <v>92</v>
      </c>
      <c r="AS75" s="212">
        <v>0</v>
      </c>
      <c r="AT75" s="212">
        <v>2565.8775747508303</v>
      </c>
      <c r="AU75" s="212">
        <v>513.17551495016608</v>
      </c>
      <c r="AV75" s="212"/>
      <c r="AW75" s="212">
        <v>0</v>
      </c>
      <c r="AX75" s="212">
        <v>0</v>
      </c>
      <c r="BA75" s="11">
        <v>0</v>
      </c>
    </row>
    <row r="76" spans="1:53" ht="39.950000000000003" hidden="1" customHeight="1" x14ac:dyDescent="0.2">
      <c r="A76" s="13" t="s">
        <v>318</v>
      </c>
      <c r="B76" s="65" t="s">
        <v>24</v>
      </c>
      <c r="C76" s="66" t="s">
        <v>38</v>
      </c>
      <c r="D76" s="13" t="s">
        <v>540</v>
      </c>
      <c r="E76" s="161" t="s">
        <v>36</v>
      </c>
      <c r="F76" s="14" t="s">
        <v>102</v>
      </c>
      <c r="G76" s="14" t="s">
        <v>102</v>
      </c>
      <c r="H76" s="130" t="s">
        <v>473</v>
      </c>
      <c r="I76" s="14" t="s">
        <v>225</v>
      </c>
      <c r="J76" s="14" t="s">
        <v>220</v>
      </c>
      <c r="K76" s="14" t="s">
        <v>101</v>
      </c>
      <c r="L76" s="65" t="s">
        <v>191</v>
      </c>
      <c r="M76" s="65" t="s">
        <v>323</v>
      </c>
      <c r="N76" s="13" t="s">
        <v>43</v>
      </c>
      <c r="O76" s="13" t="s">
        <v>531</v>
      </c>
      <c r="P76" s="13" t="s">
        <v>534</v>
      </c>
      <c r="Q76" s="64" t="s">
        <v>238</v>
      </c>
      <c r="R76" s="62">
        <v>14352.31367439588</v>
      </c>
      <c r="S76" s="63">
        <v>14100</v>
      </c>
      <c r="T76" s="62">
        <v>14352.31367439588</v>
      </c>
      <c r="U76" s="62">
        <v>52625.150139451558</v>
      </c>
      <c r="V76" s="62">
        <v>796514.05712424417</v>
      </c>
      <c r="W76" s="61" t="s">
        <v>11</v>
      </c>
      <c r="X76" s="181">
        <v>2.3E-2</v>
      </c>
      <c r="Y76" s="60">
        <v>43948</v>
      </c>
      <c r="Z76" s="60">
        <v>45748</v>
      </c>
      <c r="AA76" s="60">
        <v>45748</v>
      </c>
      <c r="AB76" s="58">
        <v>1801</v>
      </c>
      <c r="AC76" s="59" t="s">
        <v>10</v>
      </c>
      <c r="AD76" s="58">
        <v>1279</v>
      </c>
      <c r="AE76" s="57">
        <v>3.504109589041096</v>
      </c>
      <c r="AF76" s="56"/>
      <c r="AG76" s="71" t="s">
        <v>1</v>
      </c>
      <c r="AH76" s="71" t="s">
        <v>1</v>
      </c>
      <c r="AI76" s="70" t="s">
        <v>0</v>
      </c>
      <c r="AJ76" s="11" t="s">
        <v>0</v>
      </c>
      <c r="AK76" s="11" t="s">
        <v>271</v>
      </c>
      <c r="AL76" s="14" t="s">
        <v>400</v>
      </c>
      <c r="AM76" s="11">
        <v>15933</v>
      </c>
      <c r="AO76" s="197" t="s">
        <v>36</v>
      </c>
      <c r="AP76" s="198" t="s">
        <v>102</v>
      </c>
      <c r="AS76" s="212">
        <v>0</v>
      </c>
      <c r="AT76" s="212">
        <v>1722.2776409275057</v>
      </c>
      <c r="AU76" s="212" t="b">
        <v>0</v>
      </c>
      <c r="AV76" s="212"/>
      <c r="AW76" s="212">
        <v>0</v>
      </c>
      <c r="AX76" s="212">
        <v>0</v>
      </c>
      <c r="BA76" s="11">
        <v>0</v>
      </c>
    </row>
    <row r="77" spans="1:53" ht="39.950000000000003" hidden="1" customHeight="1" x14ac:dyDescent="0.2">
      <c r="A77" s="13" t="s">
        <v>404</v>
      </c>
      <c r="B77" s="65" t="s">
        <v>67</v>
      </c>
      <c r="C77" s="66" t="s">
        <v>87</v>
      </c>
      <c r="D77" s="13" t="s">
        <v>34</v>
      </c>
      <c r="E77" s="130" t="s">
        <v>34</v>
      </c>
      <c r="F77" s="14" t="s">
        <v>546</v>
      </c>
      <c r="G77" s="14" t="s">
        <v>167</v>
      </c>
      <c r="H77" s="14" t="s">
        <v>167</v>
      </c>
      <c r="I77" s="66" t="s">
        <v>298</v>
      </c>
      <c r="J77" s="14" t="s">
        <v>218</v>
      </c>
      <c r="K77" s="14" t="s">
        <v>209</v>
      </c>
      <c r="L77" s="65" t="s">
        <v>191</v>
      </c>
      <c r="M77" s="65" t="s">
        <v>59</v>
      </c>
      <c r="N77" s="13" t="s">
        <v>43</v>
      </c>
      <c r="O77" s="13" t="s">
        <v>531</v>
      </c>
      <c r="P77" s="13" t="s">
        <v>534</v>
      </c>
      <c r="Q77" s="64" t="s">
        <v>8</v>
      </c>
      <c r="R77" s="62">
        <v>30000</v>
      </c>
      <c r="S77" s="63">
        <v>30000</v>
      </c>
      <c r="T77" s="62">
        <v>30000</v>
      </c>
      <c r="U77" s="62">
        <v>60000</v>
      </c>
      <c r="V77" s="62">
        <v>2983002.6799999997</v>
      </c>
      <c r="W77" s="61" t="s">
        <v>11</v>
      </c>
      <c r="X77" s="181">
        <v>4.4999999999999998E-2</v>
      </c>
      <c r="Y77" s="60">
        <v>43955</v>
      </c>
      <c r="Z77" s="60">
        <v>45768</v>
      </c>
      <c r="AA77" s="60">
        <v>45768</v>
      </c>
      <c r="AB77" s="58">
        <v>1814</v>
      </c>
      <c r="AC77" s="59" t="s">
        <v>10</v>
      </c>
      <c r="AD77" s="58">
        <v>1299</v>
      </c>
      <c r="AE77" s="57">
        <v>3.558904109589041</v>
      </c>
      <c r="AF77" s="56" t="s">
        <v>436</v>
      </c>
      <c r="AG77" s="71" t="s">
        <v>1</v>
      </c>
      <c r="AH77" s="71" t="s">
        <v>1</v>
      </c>
      <c r="AI77" s="70" t="s">
        <v>0</v>
      </c>
      <c r="AJ77" s="11" t="s">
        <v>0</v>
      </c>
      <c r="AK77" s="11" t="s">
        <v>271</v>
      </c>
      <c r="AL77" s="13" t="s">
        <v>406</v>
      </c>
      <c r="AM77" s="11">
        <v>12267.5</v>
      </c>
      <c r="AO77" s="197" t="s">
        <v>34</v>
      </c>
      <c r="AP77" s="198" t="s">
        <v>546</v>
      </c>
      <c r="AS77" s="212">
        <v>0</v>
      </c>
      <c r="AT77" s="212">
        <v>3600</v>
      </c>
      <c r="AU77" s="212">
        <v>720</v>
      </c>
      <c r="AV77" s="212"/>
      <c r="AW77" s="212">
        <v>0</v>
      </c>
      <c r="AX77" s="212">
        <v>0</v>
      </c>
      <c r="BA77" s="11">
        <v>0</v>
      </c>
    </row>
    <row r="78" spans="1:53" ht="39.950000000000003" hidden="1" customHeight="1" x14ac:dyDescent="0.2">
      <c r="A78" s="13" t="s">
        <v>405</v>
      </c>
      <c r="B78" s="65" t="s">
        <v>67</v>
      </c>
      <c r="C78" s="66" t="s">
        <v>34</v>
      </c>
      <c r="D78" s="13" t="s">
        <v>34</v>
      </c>
      <c r="E78" s="130" t="s">
        <v>34</v>
      </c>
      <c r="F78" s="14" t="s">
        <v>106</v>
      </c>
      <c r="G78" s="14" t="s">
        <v>106</v>
      </c>
      <c r="H78" s="14" t="s">
        <v>245</v>
      </c>
      <c r="I78" s="66" t="s">
        <v>409</v>
      </c>
      <c r="J78" s="14" t="s">
        <v>408</v>
      </c>
      <c r="K78" s="14" t="s">
        <v>29</v>
      </c>
      <c r="L78" s="65" t="s">
        <v>191</v>
      </c>
      <c r="M78" s="13" t="s">
        <v>323</v>
      </c>
      <c r="N78" s="13" t="s">
        <v>43</v>
      </c>
      <c r="O78" s="13" t="s">
        <v>533</v>
      </c>
      <c r="P78" s="13" t="s">
        <v>534</v>
      </c>
      <c r="Q78" s="64" t="s">
        <v>8</v>
      </c>
      <c r="R78" s="62">
        <v>25000</v>
      </c>
      <c r="S78" s="63">
        <v>25000</v>
      </c>
      <c r="T78" s="62">
        <v>25000</v>
      </c>
      <c r="U78" s="62">
        <v>50000</v>
      </c>
      <c r="V78" s="62">
        <v>1429880.14</v>
      </c>
      <c r="W78" s="61" t="s">
        <v>11</v>
      </c>
      <c r="X78" s="181">
        <v>2.1999999999999999E-2</v>
      </c>
      <c r="Y78" s="60">
        <v>43957</v>
      </c>
      <c r="Z78" s="60">
        <v>45628</v>
      </c>
      <c r="AA78" s="60">
        <v>45628</v>
      </c>
      <c r="AB78" s="58">
        <v>1672</v>
      </c>
      <c r="AC78" s="59" t="s">
        <v>10</v>
      </c>
      <c r="AD78" s="58">
        <v>1159</v>
      </c>
      <c r="AE78" s="57">
        <v>3.1753424657534248</v>
      </c>
      <c r="AF78" s="56" t="s">
        <v>436</v>
      </c>
      <c r="AG78" s="71" t="s">
        <v>1</v>
      </c>
      <c r="AH78" s="71" t="s">
        <v>1</v>
      </c>
      <c r="AI78" s="70" t="s">
        <v>0</v>
      </c>
      <c r="AJ78" s="11" t="s">
        <v>0</v>
      </c>
      <c r="AK78" s="11" t="s">
        <v>271</v>
      </c>
      <c r="AL78" s="13" t="s">
        <v>407</v>
      </c>
      <c r="AM78" s="11">
        <v>4500</v>
      </c>
      <c r="AO78" s="197" t="s">
        <v>34</v>
      </c>
      <c r="AP78" s="198" t="s">
        <v>106</v>
      </c>
      <c r="AS78" s="212">
        <v>0</v>
      </c>
      <c r="AT78" s="212">
        <v>3000</v>
      </c>
      <c r="AU78" s="212">
        <v>600</v>
      </c>
      <c r="AV78" s="212"/>
      <c r="AW78" s="212">
        <v>0</v>
      </c>
      <c r="AX78" s="212">
        <v>0</v>
      </c>
      <c r="BA78" s="11">
        <v>0</v>
      </c>
    </row>
    <row r="79" spans="1:53" ht="39.950000000000003" hidden="1" customHeight="1" x14ac:dyDescent="0.2">
      <c r="A79" s="13" t="s">
        <v>411</v>
      </c>
      <c r="B79" s="65" t="s">
        <v>243</v>
      </c>
      <c r="C79" s="66" t="s">
        <v>89</v>
      </c>
      <c r="D79" s="13" t="s">
        <v>542</v>
      </c>
      <c r="E79" s="130" t="s">
        <v>87</v>
      </c>
      <c r="F79" s="14" t="s">
        <v>543</v>
      </c>
      <c r="G79" s="14" t="s">
        <v>133</v>
      </c>
      <c r="H79" s="130" t="s">
        <v>133</v>
      </c>
      <c r="I79" s="14" t="s">
        <v>281</v>
      </c>
      <c r="J79" s="14" t="s">
        <v>256</v>
      </c>
      <c r="K79" s="14" t="s">
        <v>29</v>
      </c>
      <c r="L79" s="65" t="s">
        <v>191</v>
      </c>
      <c r="M79" s="13" t="s">
        <v>59</v>
      </c>
      <c r="N79" s="13" t="s">
        <v>43</v>
      </c>
      <c r="O79" s="13" t="s">
        <v>533</v>
      </c>
      <c r="P79" s="13" t="s">
        <v>532</v>
      </c>
      <c r="Q79" s="64" t="s">
        <v>156</v>
      </c>
      <c r="R79" s="62">
        <v>18441.156188897196</v>
      </c>
      <c r="S79" s="63" t="s">
        <v>53</v>
      </c>
      <c r="T79" s="62">
        <v>18441.156188897196</v>
      </c>
      <c r="U79" s="62">
        <v>245933.70968643451</v>
      </c>
      <c r="V79" s="62">
        <v>255415.50173192145</v>
      </c>
      <c r="W79" s="61" t="s">
        <v>551</v>
      </c>
      <c r="X79" s="181">
        <v>1.4E-2</v>
      </c>
      <c r="Y79" s="60">
        <v>43964</v>
      </c>
      <c r="Z79" s="60">
        <v>45442</v>
      </c>
      <c r="AA79" s="60">
        <v>45442</v>
      </c>
      <c r="AB79" s="58">
        <v>1479</v>
      </c>
      <c r="AC79" s="59" t="s">
        <v>10</v>
      </c>
      <c r="AD79" s="58">
        <v>973</v>
      </c>
      <c r="AE79" s="57">
        <v>2.6657534246575341</v>
      </c>
      <c r="AF79" s="56"/>
      <c r="AG79" s="71" t="s">
        <v>1</v>
      </c>
      <c r="AH79" s="71" t="s">
        <v>1</v>
      </c>
      <c r="AI79" s="70" t="s">
        <v>0</v>
      </c>
      <c r="AJ79" s="11" t="s">
        <v>0</v>
      </c>
      <c r="AK79" s="11" t="s">
        <v>271</v>
      </c>
      <c r="AL79" s="13" t="s">
        <v>417</v>
      </c>
      <c r="AM79" s="11">
        <v>16213</v>
      </c>
      <c r="AO79" s="197" t="s">
        <v>87</v>
      </c>
      <c r="AP79" s="198" t="s">
        <v>543</v>
      </c>
      <c r="AS79" s="212">
        <v>0</v>
      </c>
      <c r="AT79" s="212">
        <v>2212.9387426676635</v>
      </c>
      <c r="AU79" s="212" t="b">
        <v>0</v>
      </c>
      <c r="AV79" s="212"/>
      <c r="AW79" s="212">
        <v>0</v>
      </c>
      <c r="AX79" s="212">
        <v>0</v>
      </c>
      <c r="BA79" s="11">
        <v>0</v>
      </c>
    </row>
    <row r="80" spans="1:53" ht="39.950000000000003" hidden="1" customHeight="1" x14ac:dyDescent="0.2">
      <c r="A80" s="13" t="s">
        <v>412</v>
      </c>
      <c r="B80" s="65" t="s">
        <v>243</v>
      </c>
      <c r="C80" s="66" t="s">
        <v>87</v>
      </c>
      <c r="D80" s="13" t="s">
        <v>469</v>
      </c>
      <c r="E80" s="130" t="s">
        <v>413</v>
      </c>
      <c r="F80" s="14" t="s">
        <v>48</v>
      </c>
      <c r="G80" s="131" t="s">
        <v>95</v>
      </c>
      <c r="H80" s="130" t="s">
        <v>521</v>
      </c>
      <c r="I80" s="14" t="s">
        <v>181</v>
      </c>
      <c r="J80" s="14" t="s">
        <v>33</v>
      </c>
      <c r="K80" s="14" t="s">
        <v>140</v>
      </c>
      <c r="L80" s="65" t="s">
        <v>191</v>
      </c>
      <c r="M80" s="13" t="s">
        <v>59</v>
      </c>
      <c r="N80" s="13" t="s">
        <v>43</v>
      </c>
      <c r="O80" s="13" t="s">
        <v>538</v>
      </c>
      <c r="P80" s="13" t="s">
        <v>534</v>
      </c>
      <c r="Q80" s="64" t="s">
        <v>9</v>
      </c>
      <c r="R80" s="62">
        <v>10382.05980066445</v>
      </c>
      <c r="S80" s="63">
        <v>7500</v>
      </c>
      <c r="T80" s="62">
        <v>10382.05980066445</v>
      </c>
      <c r="U80" s="62">
        <v>34606.86600221484</v>
      </c>
      <c r="V80" s="62">
        <v>1327822.5359911406</v>
      </c>
      <c r="W80" s="61" t="s">
        <v>11</v>
      </c>
      <c r="X80" s="181">
        <v>3.7499999999999999E-2</v>
      </c>
      <c r="Y80" s="60">
        <v>43965</v>
      </c>
      <c r="Z80" s="60">
        <v>47238</v>
      </c>
      <c r="AA80" s="60">
        <v>47238</v>
      </c>
      <c r="AB80" s="58">
        <v>3274</v>
      </c>
      <c r="AC80" s="59" t="s">
        <v>10</v>
      </c>
      <c r="AD80" s="58">
        <v>2769</v>
      </c>
      <c r="AE80" s="57">
        <v>7.5863013698630137</v>
      </c>
      <c r="AF80" s="56"/>
      <c r="AG80" s="71" t="s">
        <v>1</v>
      </c>
      <c r="AH80" s="71" t="s">
        <v>1</v>
      </c>
      <c r="AI80" s="70" t="s">
        <v>0</v>
      </c>
      <c r="AJ80" s="11" t="s">
        <v>0</v>
      </c>
      <c r="AK80" s="11" t="s">
        <v>271</v>
      </c>
      <c r="AL80" s="13" t="s">
        <v>416</v>
      </c>
      <c r="AM80" s="11">
        <v>10237</v>
      </c>
      <c r="AO80" s="197" t="s">
        <v>413</v>
      </c>
      <c r="AP80" s="198" t="s">
        <v>48</v>
      </c>
      <c r="AS80" s="212">
        <v>0</v>
      </c>
      <c r="AT80" s="212">
        <v>1245.847176079734</v>
      </c>
      <c r="AU80" s="212" t="b">
        <v>0</v>
      </c>
      <c r="AV80" s="212"/>
      <c r="AW80" s="212">
        <v>0</v>
      </c>
      <c r="AX80" s="212">
        <v>0</v>
      </c>
      <c r="BA80" s="11">
        <v>0</v>
      </c>
    </row>
    <row r="81" spans="1:53" ht="39.950000000000003" hidden="1" customHeight="1" x14ac:dyDescent="0.2">
      <c r="A81" s="13" t="s">
        <v>410</v>
      </c>
      <c r="B81" s="65" t="s">
        <v>23</v>
      </c>
      <c r="C81" s="66" t="s">
        <v>34</v>
      </c>
      <c r="D81" s="13" t="s">
        <v>34</v>
      </c>
      <c r="E81" s="130" t="s">
        <v>34</v>
      </c>
      <c r="F81" s="14" t="s">
        <v>543</v>
      </c>
      <c r="G81" s="14" t="s">
        <v>133</v>
      </c>
      <c r="H81" s="130" t="s">
        <v>133</v>
      </c>
      <c r="I81" s="77" t="s">
        <v>21</v>
      </c>
      <c r="J81" s="14" t="s">
        <v>21</v>
      </c>
      <c r="K81" s="14" t="s">
        <v>44</v>
      </c>
      <c r="L81" s="65" t="s">
        <v>191</v>
      </c>
      <c r="M81" s="13" t="s">
        <v>323</v>
      </c>
      <c r="N81" s="13" t="s">
        <v>43</v>
      </c>
      <c r="O81" s="13" t="s">
        <v>533</v>
      </c>
      <c r="P81" s="13" t="s">
        <v>534</v>
      </c>
      <c r="Q81" s="64" t="s">
        <v>9</v>
      </c>
      <c r="R81" s="62">
        <v>27685.49280177187</v>
      </c>
      <c r="S81" s="63">
        <v>20000</v>
      </c>
      <c r="T81" s="62">
        <v>27685.49280177187</v>
      </c>
      <c r="U81" s="62">
        <v>64645.625692137313</v>
      </c>
      <c r="V81" s="62">
        <v>914840.33776301215</v>
      </c>
      <c r="W81" s="61" t="s">
        <v>11</v>
      </c>
      <c r="X81" s="181">
        <v>2.1000000000000001E-2</v>
      </c>
      <c r="Y81" s="60">
        <v>43966</v>
      </c>
      <c r="Z81" s="60">
        <v>45823</v>
      </c>
      <c r="AA81" s="60">
        <v>45823</v>
      </c>
      <c r="AB81" s="72">
        <v>1858</v>
      </c>
      <c r="AC81" s="59" t="s">
        <v>10</v>
      </c>
      <c r="AD81" s="58">
        <v>1354</v>
      </c>
      <c r="AE81" s="57">
        <v>3.7095890410958905</v>
      </c>
      <c r="AF81" s="56" t="s">
        <v>436</v>
      </c>
      <c r="AG81" s="71" t="s">
        <v>1</v>
      </c>
      <c r="AH81" s="71" t="s">
        <v>1</v>
      </c>
      <c r="AI81" s="70" t="s">
        <v>0</v>
      </c>
      <c r="AJ81" s="11" t="s">
        <v>0</v>
      </c>
      <c r="AK81" s="11" t="s">
        <v>271</v>
      </c>
      <c r="AL81" s="13" t="s">
        <v>418</v>
      </c>
      <c r="AM81" s="11">
        <v>6000</v>
      </c>
      <c r="AO81" s="197" t="s">
        <v>34</v>
      </c>
      <c r="AP81" s="198" t="s">
        <v>543</v>
      </c>
      <c r="AS81" s="212">
        <v>0</v>
      </c>
      <c r="AT81" s="212">
        <v>3322.2591362126245</v>
      </c>
      <c r="AU81" s="212">
        <v>664.45182724252493</v>
      </c>
      <c r="AV81" s="212"/>
      <c r="AW81" s="212">
        <v>0</v>
      </c>
      <c r="AX81" s="212">
        <v>0</v>
      </c>
      <c r="BA81" s="11">
        <v>0</v>
      </c>
    </row>
    <row r="82" spans="1:53" ht="39.950000000000003" hidden="1" customHeight="1" x14ac:dyDescent="0.2">
      <c r="A82" s="13" t="s">
        <v>414</v>
      </c>
      <c r="B82" s="65" t="s">
        <v>24</v>
      </c>
      <c r="C82" s="66" t="s">
        <v>166</v>
      </c>
      <c r="D82" s="13" t="s">
        <v>542</v>
      </c>
      <c r="E82" s="130" t="s">
        <v>166</v>
      </c>
      <c r="F82" s="14" t="s">
        <v>102</v>
      </c>
      <c r="G82" s="14" t="s">
        <v>102</v>
      </c>
      <c r="H82" s="130" t="s">
        <v>122</v>
      </c>
      <c r="I82" s="66" t="s">
        <v>168</v>
      </c>
      <c r="J82" s="14" t="s">
        <v>220</v>
      </c>
      <c r="K82" s="14" t="s">
        <v>101</v>
      </c>
      <c r="L82" s="65" t="s">
        <v>191</v>
      </c>
      <c r="M82" s="13" t="s">
        <v>59</v>
      </c>
      <c r="N82" s="13" t="s">
        <v>43</v>
      </c>
      <c r="O82" s="13" t="s">
        <v>531</v>
      </c>
      <c r="P82" s="13" t="s">
        <v>534</v>
      </c>
      <c r="Q82" s="64" t="s">
        <v>59</v>
      </c>
      <c r="R82" s="62">
        <v>24031.144363094569</v>
      </c>
      <c r="S82" s="63">
        <v>15000</v>
      </c>
      <c r="T82" s="62">
        <v>24031.144363094569</v>
      </c>
      <c r="U82" s="62">
        <v>84910.043416267479</v>
      </c>
      <c r="V82" s="62">
        <v>925150.9956904148</v>
      </c>
      <c r="W82" s="61" t="s">
        <v>11</v>
      </c>
      <c r="X82" s="181">
        <v>1.2E-2</v>
      </c>
      <c r="Y82" s="60">
        <v>43966</v>
      </c>
      <c r="Z82" s="60">
        <v>46523</v>
      </c>
      <c r="AA82" s="60">
        <v>46523</v>
      </c>
      <c r="AB82" s="58">
        <v>2558</v>
      </c>
      <c r="AC82" s="59" t="s">
        <v>10</v>
      </c>
      <c r="AD82" s="58">
        <v>2054</v>
      </c>
      <c r="AE82" s="57">
        <v>5.6273972602739724</v>
      </c>
      <c r="AF82" s="56"/>
      <c r="AG82" s="71" t="s">
        <v>1</v>
      </c>
      <c r="AH82" s="71" t="s">
        <v>1</v>
      </c>
      <c r="AI82" s="70" t="s">
        <v>0</v>
      </c>
      <c r="AJ82" s="11" t="s">
        <v>0</v>
      </c>
      <c r="AK82" s="11" t="s">
        <v>271</v>
      </c>
      <c r="AL82" s="13" t="s">
        <v>415</v>
      </c>
      <c r="AM82" s="11">
        <v>8850</v>
      </c>
      <c r="AO82" s="197" t="s">
        <v>166</v>
      </c>
      <c r="AP82" s="198" t="s">
        <v>102</v>
      </c>
      <c r="AS82" s="212">
        <v>0</v>
      </c>
      <c r="AT82" s="212">
        <v>2883.737323571348</v>
      </c>
      <c r="AU82" s="212" t="b">
        <v>0</v>
      </c>
      <c r="AV82" s="212"/>
      <c r="AW82" s="212">
        <v>0</v>
      </c>
      <c r="AX82" s="212">
        <v>0</v>
      </c>
      <c r="BA82" s="11">
        <v>0</v>
      </c>
    </row>
    <row r="83" spans="1:53" ht="39.950000000000003" hidden="1" customHeight="1" x14ac:dyDescent="0.2">
      <c r="A83" s="13" t="s">
        <v>419</v>
      </c>
      <c r="B83" s="65" t="s">
        <v>51</v>
      </c>
      <c r="C83" s="66" t="s">
        <v>166</v>
      </c>
      <c r="D83" s="13" t="s">
        <v>542</v>
      </c>
      <c r="E83" s="130" t="s">
        <v>166</v>
      </c>
      <c r="F83" s="14" t="s">
        <v>102</v>
      </c>
      <c r="G83" s="14" t="s">
        <v>102</v>
      </c>
      <c r="H83" s="130" t="s">
        <v>110</v>
      </c>
      <c r="I83" s="66" t="s">
        <v>145</v>
      </c>
      <c r="J83" s="14" t="s">
        <v>221</v>
      </c>
      <c r="K83" s="14" t="s">
        <v>209</v>
      </c>
      <c r="L83" s="65" t="s">
        <v>191</v>
      </c>
      <c r="M83" s="13" t="s">
        <v>59</v>
      </c>
      <c r="N83" s="13" t="s">
        <v>43</v>
      </c>
      <c r="O83" s="13" t="s">
        <v>538</v>
      </c>
      <c r="P83" s="13" t="s">
        <v>534</v>
      </c>
      <c r="Q83" s="64" t="s">
        <v>59</v>
      </c>
      <c r="R83" s="62">
        <v>32041.525817459427</v>
      </c>
      <c r="S83" s="63">
        <v>20000</v>
      </c>
      <c r="T83" s="62">
        <v>32041.525817459427</v>
      </c>
      <c r="U83" s="62">
        <v>104134.95890674314</v>
      </c>
      <c r="V83" s="62">
        <v>997650.09051731031</v>
      </c>
      <c r="W83" s="61" t="s">
        <v>551</v>
      </c>
      <c r="X83" s="181">
        <v>1.2699999999999999E-2</v>
      </c>
      <c r="Y83" s="60">
        <v>43971</v>
      </c>
      <c r="Z83" s="60">
        <v>45046</v>
      </c>
      <c r="AA83" s="60">
        <v>45046</v>
      </c>
      <c r="AB83" s="58">
        <v>1076</v>
      </c>
      <c r="AC83" s="59" t="s">
        <v>10</v>
      </c>
      <c r="AD83" s="58">
        <v>577</v>
      </c>
      <c r="AE83" s="57">
        <v>1.5808219178082192</v>
      </c>
      <c r="AF83" s="56" t="s">
        <v>436</v>
      </c>
      <c r="AG83" s="71" t="s">
        <v>1</v>
      </c>
      <c r="AH83" s="71" t="s">
        <v>1</v>
      </c>
      <c r="AI83" s="70" t="s">
        <v>0</v>
      </c>
      <c r="AJ83" s="11" t="s">
        <v>0</v>
      </c>
      <c r="AK83" s="11" t="s">
        <v>271</v>
      </c>
      <c r="AL83" s="13" t="s">
        <v>420</v>
      </c>
      <c r="AM83" s="11">
        <v>3367.5</v>
      </c>
      <c r="AO83" s="197" t="s">
        <v>166</v>
      </c>
      <c r="AP83" s="198" t="s">
        <v>102</v>
      </c>
      <c r="AS83" s="212">
        <v>0</v>
      </c>
      <c r="AT83" s="212">
        <v>3844.983098095131</v>
      </c>
      <c r="AU83" s="212">
        <v>768.99661961902621</v>
      </c>
      <c r="AV83" s="212"/>
      <c r="AW83" s="212">
        <v>0</v>
      </c>
      <c r="AX83" s="212">
        <v>0</v>
      </c>
      <c r="BA83" s="11">
        <v>0</v>
      </c>
    </row>
    <row r="84" spans="1:53" ht="39.950000000000003" hidden="1" customHeight="1" x14ac:dyDescent="0.2">
      <c r="A84" s="13" t="s">
        <v>421</v>
      </c>
      <c r="B84" s="69" t="s">
        <v>51</v>
      </c>
      <c r="C84" s="66" t="s">
        <v>127</v>
      </c>
      <c r="D84" s="13" t="s">
        <v>499</v>
      </c>
      <c r="E84" s="130" t="s">
        <v>162</v>
      </c>
      <c r="F84" s="14" t="s">
        <v>475</v>
      </c>
      <c r="G84" s="14" t="s">
        <v>227</v>
      </c>
      <c r="H84" s="130" t="s">
        <v>422</v>
      </c>
      <c r="I84" s="14" t="s">
        <v>158</v>
      </c>
      <c r="J84" s="14" t="s">
        <v>220</v>
      </c>
      <c r="K84" s="14" t="s">
        <v>209</v>
      </c>
      <c r="L84" s="65" t="s">
        <v>191</v>
      </c>
      <c r="M84" s="13" t="s">
        <v>59</v>
      </c>
      <c r="N84" s="13" t="s">
        <v>43</v>
      </c>
      <c r="O84" s="13" t="s">
        <v>533</v>
      </c>
      <c r="P84" s="13" t="s">
        <v>534</v>
      </c>
      <c r="Q84" s="64" t="s">
        <v>9</v>
      </c>
      <c r="R84" s="62">
        <v>27685.49280177187</v>
      </c>
      <c r="S84" s="63">
        <v>19268.712</v>
      </c>
      <c r="T84" s="62">
        <v>26673.189368770763</v>
      </c>
      <c r="U84" s="62">
        <v>89977.85160575858</v>
      </c>
      <c r="V84" s="62">
        <v>1265941.6943521595</v>
      </c>
      <c r="W84" s="61" t="s">
        <v>11</v>
      </c>
      <c r="X84" s="181">
        <v>1.7500000000000002E-2</v>
      </c>
      <c r="Y84" s="60">
        <v>43973</v>
      </c>
      <c r="Z84" s="60">
        <v>45735</v>
      </c>
      <c r="AA84" s="60">
        <v>45735</v>
      </c>
      <c r="AB84" s="72">
        <v>1763</v>
      </c>
      <c r="AC84" s="59" t="s">
        <v>10</v>
      </c>
      <c r="AD84" s="58">
        <v>1266</v>
      </c>
      <c r="AE84" s="57">
        <v>3.4684931506849317</v>
      </c>
      <c r="AF84" s="56" t="s">
        <v>436</v>
      </c>
      <c r="AG84" s="71" t="s">
        <v>1</v>
      </c>
      <c r="AH84" s="71" t="s">
        <v>1</v>
      </c>
      <c r="AI84" s="70" t="s">
        <v>609</v>
      </c>
      <c r="AJ84" s="11" t="s">
        <v>0</v>
      </c>
      <c r="AK84" s="11" t="s">
        <v>271</v>
      </c>
      <c r="AL84" s="13" t="s">
        <v>423</v>
      </c>
      <c r="AM84" s="11">
        <v>8500</v>
      </c>
      <c r="AO84" s="197" t="s">
        <v>162</v>
      </c>
      <c r="AP84" s="198" t="s">
        <v>475</v>
      </c>
      <c r="AS84" s="212">
        <v>0</v>
      </c>
      <c r="AT84" s="212">
        <v>3200.7827242524913</v>
      </c>
      <c r="AU84" s="212">
        <v>640.15654485049834</v>
      </c>
      <c r="AV84" s="212"/>
      <c r="AW84" s="212">
        <v>0</v>
      </c>
      <c r="AX84" s="212">
        <v>0</v>
      </c>
      <c r="BA84" s="11">
        <v>0</v>
      </c>
    </row>
    <row r="85" spans="1:53" s="21" customFormat="1" ht="39.950000000000003" customHeight="1" x14ac:dyDescent="0.2">
      <c r="A85" s="13" t="s">
        <v>424</v>
      </c>
      <c r="B85" s="74" t="s">
        <v>67</v>
      </c>
      <c r="C85" s="66" t="s">
        <v>87</v>
      </c>
      <c r="D85" s="13" t="s">
        <v>541</v>
      </c>
      <c r="E85" s="130" t="s">
        <v>425</v>
      </c>
      <c r="F85" s="14" t="s">
        <v>439</v>
      </c>
      <c r="G85" s="14" t="s">
        <v>445</v>
      </c>
      <c r="H85" s="68" t="s">
        <v>463</v>
      </c>
      <c r="I85" s="66" t="s">
        <v>298</v>
      </c>
      <c r="J85" s="66" t="s">
        <v>218</v>
      </c>
      <c r="K85" s="65" t="s">
        <v>45</v>
      </c>
      <c r="L85" s="65" t="s">
        <v>191</v>
      </c>
      <c r="M85" s="65" t="s">
        <v>59</v>
      </c>
      <c r="N85" s="13" t="s">
        <v>43</v>
      </c>
      <c r="O85" s="13" t="s">
        <v>538</v>
      </c>
      <c r="P85" s="13" t="s">
        <v>534</v>
      </c>
      <c r="Q85" s="64" t="s">
        <v>9</v>
      </c>
      <c r="R85" s="62">
        <v>13842.746400885935</v>
      </c>
      <c r="S85" s="73">
        <v>10000</v>
      </c>
      <c r="T85" s="62">
        <v>13842.746400885935</v>
      </c>
      <c r="U85" s="62">
        <v>80287.929125138427</v>
      </c>
      <c r="V85" s="62">
        <v>611690.72535991133</v>
      </c>
      <c r="W85" s="61" t="s">
        <v>11</v>
      </c>
      <c r="X85" s="181">
        <v>2.2499999999999999E-2</v>
      </c>
      <c r="Y85" s="60">
        <v>44006</v>
      </c>
      <c r="Z85" s="60">
        <v>47634</v>
      </c>
      <c r="AA85" s="60">
        <v>47634</v>
      </c>
      <c r="AB85" s="72">
        <v>3629</v>
      </c>
      <c r="AC85" s="59" t="s">
        <v>10</v>
      </c>
      <c r="AD85" s="58">
        <v>3165</v>
      </c>
      <c r="AE85" s="57">
        <v>8.6712328767123292</v>
      </c>
      <c r="AF85" s="56"/>
      <c r="AG85" s="71" t="s">
        <v>1</v>
      </c>
      <c r="AH85" s="71" t="s">
        <v>1</v>
      </c>
      <c r="AI85" s="70" t="s">
        <v>527</v>
      </c>
      <c r="AJ85" s="11" t="s">
        <v>0</v>
      </c>
      <c r="AK85" s="11" t="s">
        <v>271</v>
      </c>
      <c r="AL85" s="13" t="s">
        <v>426</v>
      </c>
      <c r="AM85" s="11">
        <v>8075</v>
      </c>
      <c r="AN85" s="11"/>
      <c r="AO85" s="197" t="s">
        <v>425</v>
      </c>
      <c r="AP85" s="198" t="s">
        <v>439</v>
      </c>
      <c r="AQ85" s="11">
        <v>1</v>
      </c>
      <c r="AR85" s="214">
        <v>0.15</v>
      </c>
      <c r="AS85" s="212">
        <v>2076.4119601328903</v>
      </c>
      <c r="AT85" s="212">
        <v>1661.1295681063123</v>
      </c>
      <c r="AU85" s="212" t="b">
        <v>0</v>
      </c>
      <c r="AV85" s="212"/>
      <c r="AW85" s="212">
        <v>1661.1295681063123</v>
      </c>
      <c r="AX85" s="212">
        <v>692.13732004429676</v>
      </c>
      <c r="AY85" s="12" t="s">
        <v>671</v>
      </c>
      <c r="BA85" s="21">
        <v>692.13732004429676</v>
      </c>
    </row>
    <row r="86" spans="1:53" ht="39.950000000000003" hidden="1" customHeight="1" x14ac:dyDescent="0.2">
      <c r="A86" s="13" t="s">
        <v>465</v>
      </c>
      <c r="B86" s="74" t="s">
        <v>24</v>
      </c>
      <c r="C86" s="66" t="s">
        <v>34</v>
      </c>
      <c r="D86" s="13" t="s">
        <v>34</v>
      </c>
      <c r="E86" s="130" t="s">
        <v>34</v>
      </c>
      <c r="F86" s="14" t="s">
        <v>233</v>
      </c>
      <c r="G86" s="14" t="s">
        <v>443</v>
      </c>
      <c r="H86" s="130" t="s">
        <v>234</v>
      </c>
      <c r="I86" s="14" t="s">
        <v>225</v>
      </c>
      <c r="J86" s="66" t="s">
        <v>220</v>
      </c>
      <c r="K86" s="65" t="s">
        <v>29</v>
      </c>
      <c r="L86" s="65" t="s">
        <v>191</v>
      </c>
      <c r="M86" s="65" t="s">
        <v>323</v>
      </c>
      <c r="N86" s="13" t="s">
        <v>43</v>
      </c>
      <c r="O86" s="13" t="s">
        <v>538</v>
      </c>
      <c r="P86" s="13" t="s">
        <v>534</v>
      </c>
      <c r="Q86" s="64" t="s">
        <v>8</v>
      </c>
      <c r="R86" s="62">
        <v>15000</v>
      </c>
      <c r="S86" s="73">
        <v>15000</v>
      </c>
      <c r="T86" s="62">
        <v>15000</v>
      </c>
      <c r="U86" s="62">
        <v>95000</v>
      </c>
      <c r="V86" s="62">
        <v>426028.14</v>
      </c>
      <c r="W86" s="61" t="s">
        <v>11</v>
      </c>
      <c r="X86" s="181">
        <v>1.2500000000000001E-2</v>
      </c>
      <c r="Y86" s="60">
        <v>44014</v>
      </c>
      <c r="Z86" s="60">
        <v>45478</v>
      </c>
      <c r="AA86" s="60">
        <v>45478</v>
      </c>
      <c r="AB86" s="72">
        <v>1465</v>
      </c>
      <c r="AC86" s="59" t="s">
        <v>10</v>
      </c>
      <c r="AD86" s="58">
        <v>1009</v>
      </c>
      <c r="AE86" s="57">
        <v>2.7643835616438355</v>
      </c>
      <c r="AF86" s="56"/>
      <c r="AG86" s="152" t="s">
        <v>1</v>
      </c>
      <c r="AH86" s="152" t="s">
        <v>1</v>
      </c>
      <c r="AI86" s="153" t="s">
        <v>0</v>
      </c>
      <c r="AJ86" s="11" t="s">
        <v>0</v>
      </c>
      <c r="AK86" s="154" t="s">
        <v>271</v>
      </c>
      <c r="AL86" s="13" t="s">
        <v>466</v>
      </c>
      <c r="AM86" s="11">
        <v>8000</v>
      </c>
      <c r="AO86" s="197" t="s">
        <v>34</v>
      </c>
      <c r="AP86" s="198" t="s">
        <v>233</v>
      </c>
      <c r="AS86" s="212">
        <v>0</v>
      </c>
      <c r="AT86" s="212">
        <v>1800</v>
      </c>
      <c r="AU86" s="212" t="b">
        <v>0</v>
      </c>
      <c r="AV86" s="212"/>
      <c r="AW86" s="212">
        <v>0</v>
      </c>
      <c r="AX86" s="212">
        <v>0</v>
      </c>
      <c r="BA86" s="11">
        <v>0</v>
      </c>
    </row>
    <row r="87" spans="1:53" ht="39.950000000000003" hidden="1" customHeight="1" x14ac:dyDescent="0.2">
      <c r="A87" s="132" t="s">
        <v>520</v>
      </c>
      <c r="B87" s="132" t="s">
        <v>243</v>
      </c>
      <c r="C87" s="66" t="s">
        <v>87</v>
      </c>
      <c r="D87" s="131" t="s">
        <v>469</v>
      </c>
      <c r="E87" s="130" t="s">
        <v>413</v>
      </c>
      <c r="F87" s="66" t="s">
        <v>48</v>
      </c>
      <c r="G87" s="131" t="s">
        <v>95</v>
      </c>
      <c r="H87" s="130" t="s">
        <v>521</v>
      </c>
      <c r="I87" s="161" t="s">
        <v>522</v>
      </c>
      <c r="J87" s="133" t="s">
        <v>219</v>
      </c>
      <c r="K87" s="66" t="s">
        <v>45</v>
      </c>
      <c r="L87" s="134" t="s">
        <v>191</v>
      </c>
      <c r="M87" s="134" t="s">
        <v>59</v>
      </c>
      <c r="N87" s="132" t="s">
        <v>43</v>
      </c>
      <c r="O87" s="132" t="s">
        <v>538</v>
      </c>
      <c r="P87" s="132" t="s">
        <v>534</v>
      </c>
      <c r="Q87" s="135" t="s">
        <v>9</v>
      </c>
      <c r="R87" s="136">
        <v>13842.746400885935</v>
      </c>
      <c r="S87" s="73">
        <v>10000</v>
      </c>
      <c r="T87" s="136">
        <v>13842.746400885935</v>
      </c>
      <c r="U87" s="136">
        <v>138427.46400885936</v>
      </c>
      <c r="V87" s="136">
        <v>1394802</v>
      </c>
      <c r="W87" s="147" t="s">
        <v>11</v>
      </c>
      <c r="X87" s="181">
        <v>3.7499999999999999E-2</v>
      </c>
      <c r="Y87" s="137">
        <v>44039</v>
      </c>
      <c r="Z87" s="137">
        <v>47238</v>
      </c>
      <c r="AA87" s="137">
        <v>47238</v>
      </c>
      <c r="AB87" s="138">
        <v>3200</v>
      </c>
      <c r="AC87" s="139" t="s">
        <v>10</v>
      </c>
      <c r="AD87" s="138">
        <v>2769</v>
      </c>
      <c r="AE87" s="140">
        <v>7.5863013698630137</v>
      </c>
      <c r="AF87" s="56"/>
      <c r="AG87" s="141" t="s">
        <v>1</v>
      </c>
      <c r="AH87" s="141" t="s">
        <v>1</v>
      </c>
      <c r="AI87" s="142" t="s">
        <v>523</v>
      </c>
      <c r="AJ87" s="11" t="s">
        <v>0</v>
      </c>
      <c r="AK87" s="154" t="s">
        <v>271</v>
      </c>
      <c r="AL87" s="132" t="s">
        <v>519</v>
      </c>
      <c r="AN87" s="52"/>
      <c r="AO87" s="197" t="s">
        <v>413</v>
      </c>
      <c r="AP87" s="198" t="s">
        <v>48</v>
      </c>
      <c r="AQ87" s="201"/>
      <c r="AS87" s="212">
        <v>0</v>
      </c>
      <c r="AT87" s="212">
        <v>1661.1295681063123</v>
      </c>
      <c r="AU87" s="212" t="b">
        <v>0</v>
      </c>
      <c r="AV87" s="212"/>
      <c r="AW87" s="212">
        <v>0</v>
      </c>
      <c r="AX87" s="212">
        <v>0</v>
      </c>
      <c r="BA87" s="11">
        <v>0</v>
      </c>
    </row>
    <row r="88" spans="1:53" ht="39.950000000000003" hidden="1" customHeight="1" x14ac:dyDescent="0.2">
      <c r="A88" s="13" t="s">
        <v>492</v>
      </c>
      <c r="B88" s="74" t="s">
        <v>24</v>
      </c>
      <c r="C88" s="66" t="s">
        <v>34</v>
      </c>
      <c r="D88" s="13" t="s">
        <v>34</v>
      </c>
      <c r="E88" s="130" t="s">
        <v>34</v>
      </c>
      <c r="F88" s="14" t="s">
        <v>102</v>
      </c>
      <c r="G88" s="14" t="s">
        <v>102</v>
      </c>
      <c r="H88" s="130" t="s">
        <v>122</v>
      </c>
      <c r="I88" s="66" t="s">
        <v>70</v>
      </c>
      <c r="J88" s="66" t="s">
        <v>218</v>
      </c>
      <c r="K88" s="65" t="s">
        <v>101</v>
      </c>
      <c r="L88" s="65" t="s">
        <v>191</v>
      </c>
      <c r="M88" s="65" t="s">
        <v>323</v>
      </c>
      <c r="N88" s="13" t="s">
        <v>43</v>
      </c>
      <c r="O88" s="13" t="s">
        <v>531</v>
      </c>
      <c r="P88" s="13" t="s">
        <v>534</v>
      </c>
      <c r="Q88" s="64" t="s">
        <v>8</v>
      </c>
      <c r="R88" s="62">
        <v>25000</v>
      </c>
      <c r="S88" s="73">
        <v>25000</v>
      </c>
      <c r="T88" s="62">
        <v>25000</v>
      </c>
      <c r="U88" s="62">
        <v>50000</v>
      </c>
      <c r="V88" s="62">
        <v>1166537.21</v>
      </c>
      <c r="W88" s="61" t="s">
        <v>11</v>
      </c>
      <c r="X88" s="181">
        <v>1.7999999999999999E-2</v>
      </c>
      <c r="Y88" s="60">
        <v>44064</v>
      </c>
      <c r="Z88" s="60">
        <v>45674</v>
      </c>
      <c r="AA88" s="60">
        <v>45674</v>
      </c>
      <c r="AB88" s="72">
        <v>1611</v>
      </c>
      <c r="AC88" s="59" t="s">
        <v>10</v>
      </c>
      <c r="AD88" s="58">
        <v>1205</v>
      </c>
      <c r="AE88" s="57">
        <v>3.3013698630136985</v>
      </c>
      <c r="AF88" s="56" t="s">
        <v>436</v>
      </c>
      <c r="AG88" s="71" t="s">
        <v>1</v>
      </c>
      <c r="AH88" s="71" t="s">
        <v>1</v>
      </c>
      <c r="AI88" s="70" t="s">
        <v>0</v>
      </c>
      <c r="AJ88" s="11" t="s">
        <v>0</v>
      </c>
      <c r="AK88" s="11" t="s">
        <v>271</v>
      </c>
      <c r="AL88" s="13" t="s">
        <v>478</v>
      </c>
      <c r="AM88" s="11">
        <v>8815</v>
      </c>
      <c r="AN88" s="52">
        <v>125000</v>
      </c>
      <c r="AO88" s="197" t="s">
        <v>34</v>
      </c>
      <c r="AP88" s="198" t="s">
        <v>102</v>
      </c>
      <c r="AQ88" s="201"/>
      <c r="AS88" s="212">
        <v>0</v>
      </c>
      <c r="AT88" s="212">
        <v>3000</v>
      </c>
      <c r="AU88" s="212">
        <v>600</v>
      </c>
      <c r="AV88" s="212"/>
      <c r="AW88" s="212">
        <v>0</v>
      </c>
      <c r="AX88" s="212">
        <v>0</v>
      </c>
      <c r="BA88" s="11">
        <v>0</v>
      </c>
    </row>
    <row r="89" spans="1:53" ht="39.950000000000003" hidden="1" customHeight="1" x14ac:dyDescent="0.2">
      <c r="A89" s="14" t="s">
        <v>501</v>
      </c>
      <c r="B89" s="13" t="s">
        <v>51</v>
      </c>
      <c r="C89" s="66" t="s">
        <v>38</v>
      </c>
      <c r="D89" s="13" t="s">
        <v>541</v>
      </c>
      <c r="E89" s="66" t="s">
        <v>38</v>
      </c>
      <c r="F89" s="14" t="s">
        <v>547</v>
      </c>
      <c r="G89" s="14" t="s">
        <v>124</v>
      </c>
      <c r="H89" s="130" t="s">
        <v>123</v>
      </c>
      <c r="I89" s="66" t="s">
        <v>502</v>
      </c>
      <c r="J89" s="66" t="s">
        <v>219</v>
      </c>
      <c r="K89" s="65" t="s">
        <v>29</v>
      </c>
      <c r="L89" s="65" t="s">
        <v>191</v>
      </c>
      <c r="M89" s="66" t="s">
        <v>323</v>
      </c>
      <c r="N89" s="14" t="s">
        <v>43</v>
      </c>
      <c r="O89" s="14" t="s">
        <v>533</v>
      </c>
      <c r="P89" s="14" t="s">
        <v>532</v>
      </c>
      <c r="Q89" s="64" t="s">
        <v>9</v>
      </c>
      <c r="R89" s="62">
        <v>18964.562569213729</v>
      </c>
      <c r="S89" s="73">
        <v>13700</v>
      </c>
      <c r="T89" s="62">
        <v>18964.562569213729</v>
      </c>
      <c r="U89" s="62">
        <v>117663.34440753044</v>
      </c>
      <c r="V89" s="62">
        <v>242053.3084163898</v>
      </c>
      <c r="W89" s="61" t="s">
        <v>11</v>
      </c>
      <c r="X89" s="181">
        <v>1.0999999999999999E-2</v>
      </c>
      <c r="Y89" s="60">
        <v>44084</v>
      </c>
      <c r="Z89" s="60">
        <v>45208</v>
      </c>
      <c r="AA89" s="60">
        <v>45208</v>
      </c>
      <c r="AB89" s="72">
        <v>1125</v>
      </c>
      <c r="AC89" s="59" t="s">
        <v>10</v>
      </c>
      <c r="AD89" s="58">
        <v>739</v>
      </c>
      <c r="AE89" s="57">
        <v>2.0246575342465754</v>
      </c>
      <c r="AF89" s="56"/>
      <c r="AG89" s="152" t="s">
        <v>1</v>
      </c>
      <c r="AH89" s="152" t="s">
        <v>182</v>
      </c>
      <c r="AI89" s="153" t="s">
        <v>503</v>
      </c>
      <c r="AJ89" s="11" t="s">
        <v>0</v>
      </c>
      <c r="AK89" s="154" t="s">
        <v>271</v>
      </c>
      <c r="AL89" s="13" t="s">
        <v>504</v>
      </c>
      <c r="AN89" s="52">
        <v>20764.119601328901</v>
      </c>
      <c r="AO89" s="197" t="s">
        <v>38</v>
      </c>
      <c r="AP89" s="198" t="s">
        <v>547</v>
      </c>
      <c r="AQ89" s="201"/>
      <c r="AS89" s="212">
        <v>0</v>
      </c>
      <c r="AT89" s="212">
        <v>2275.7475083056474</v>
      </c>
      <c r="AU89" s="212" t="b">
        <v>0</v>
      </c>
      <c r="AV89" s="212"/>
      <c r="AW89" s="212">
        <v>0</v>
      </c>
      <c r="AX89" s="212">
        <v>0</v>
      </c>
      <c r="BA89" s="11">
        <v>0</v>
      </c>
    </row>
    <row r="90" spans="1:53" ht="39.950000000000003" hidden="1" customHeight="1" x14ac:dyDescent="0.2">
      <c r="A90" s="13" t="s">
        <v>491</v>
      </c>
      <c r="B90" s="74" t="s">
        <v>67</v>
      </c>
      <c r="C90" s="66" t="s">
        <v>87</v>
      </c>
      <c r="D90" s="13" t="s">
        <v>499</v>
      </c>
      <c r="E90" s="130" t="s">
        <v>162</v>
      </c>
      <c r="F90" s="14" t="s">
        <v>546</v>
      </c>
      <c r="G90" s="14" t="s">
        <v>167</v>
      </c>
      <c r="H90" s="130" t="s">
        <v>167</v>
      </c>
      <c r="I90" s="66" t="s">
        <v>298</v>
      </c>
      <c r="J90" s="14" t="s">
        <v>218</v>
      </c>
      <c r="K90" s="65" t="s">
        <v>209</v>
      </c>
      <c r="L90" s="65" t="s">
        <v>191</v>
      </c>
      <c r="M90" s="65" t="s">
        <v>59</v>
      </c>
      <c r="N90" s="13" t="s">
        <v>43</v>
      </c>
      <c r="O90" s="13" t="s">
        <v>538</v>
      </c>
      <c r="P90" s="13" t="s">
        <v>534</v>
      </c>
      <c r="Q90" s="64" t="s">
        <v>9</v>
      </c>
      <c r="R90" s="62">
        <v>27685.49280177187</v>
      </c>
      <c r="S90" s="73">
        <v>20000</v>
      </c>
      <c r="T90" s="62">
        <v>27685.49280177187</v>
      </c>
      <c r="U90" s="62">
        <v>103820.59800664452</v>
      </c>
      <c r="V90" s="62">
        <v>1151980.8970099667</v>
      </c>
      <c r="W90" s="61" t="s">
        <v>11</v>
      </c>
      <c r="X90" s="181">
        <v>3.5000000000000003E-2</v>
      </c>
      <c r="Y90" s="60">
        <v>44088</v>
      </c>
      <c r="Z90" s="60">
        <v>45151</v>
      </c>
      <c r="AA90" s="60">
        <v>45151</v>
      </c>
      <c r="AB90" s="72">
        <v>1064</v>
      </c>
      <c r="AC90" s="59" t="s">
        <v>10</v>
      </c>
      <c r="AD90" s="58">
        <v>682</v>
      </c>
      <c r="AE90" s="57">
        <v>1.8684931506849316</v>
      </c>
      <c r="AF90" s="56" t="s">
        <v>436</v>
      </c>
      <c r="AG90" s="71" t="s">
        <v>1</v>
      </c>
      <c r="AH90" s="71" t="s">
        <v>1</v>
      </c>
      <c r="AI90" s="70" t="s">
        <v>0</v>
      </c>
      <c r="AJ90" s="11" t="s">
        <v>0</v>
      </c>
      <c r="AK90" s="11" t="s">
        <v>271</v>
      </c>
      <c r="AL90" s="13" t="s">
        <v>484</v>
      </c>
      <c r="AM90" s="11">
        <v>9855</v>
      </c>
      <c r="AN90" s="52">
        <v>100000</v>
      </c>
      <c r="AO90" s="197" t="s">
        <v>162</v>
      </c>
      <c r="AP90" s="198" t="s">
        <v>546</v>
      </c>
      <c r="AQ90" s="201"/>
      <c r="AS90" s="212">
        <v>0</v>
      </c>
      <c r="AT90" s="212">
        <v>3322.2591362126245</v>
      </c>
      <c r="AU90" s="212">
        <v>664.45182724252493</v>
      </c>
      <c r="AV90" s="212"/>
      <c r="AW90" s="212">
        <v>0</v>
      </c>
      <c r="AX90" s="212">
        <v>0</v>
      </c>
      <c r="BA90" s="11">
        <v>0</v>
      </c>
    </row>
    <row r="91" spans="1:53" ht="39.950000000000003" hidden="1" customHeight="1" x14ac:dyDescent="0.2">
      <c r="A91" s="13" t="s">
        <v>493</v>
      </c>
      <c r="B91" s="69" t="s">
        <v>243</v>
      </c>
      <c r="C91" s="66" t="s">
        <v>87</v>
      </c>
      <c r="D91" s="13" t="s">
        <v>542</v>
      </c>
      <c r="E91" s="130" t="s">
        <v>308</v>
      </c>
      <c r="F91" s="14" t="s">
        <v>102</v>
      </c>
      <c r="G91" s="14" t="s">
        <v>102</v>
      </c>
      <c r="H91" s="67" t="s">
        <v>473</v>
      </c>
      <c r="I91" s="66" t="s">
        <v>298</v>
      </c>
      <c r="J91" s="66" t="s">
        <v>218</v>
      </c>
      <c r="K91" s="128" t="s">
        <v>101</v>
      </c>
      <c r="L91" s="65" t="s">
        <v>191</v>
      </c>
      <c r="M91" s="65" t="s">
        <v>59</v>
      </c>
      <c r="N91" s="13" t="s">
        <v>43</v>
      </c>
      <c r="O91" s="13" t="s">
        <v>533</v>
      </c>
      <c r="P91" s="13" t="s">
        <v>534</v>
      </c>
      <c r="Q91" s="64" t="s">
        <v>487</v>
      </c>
      <c r="R91" s="62">
        <v>25348.380721749418</v>
      </c>
      <c r="S91" s="63">
        <v>160500</v>
      </c>
      <c r="T91" s="62">
        <v>25348.380721749418</v>
      </c>
      <c r="U91" s="62">
        <v>156354.49790985623</v>
      </c>
      <c r="V91" s="62">
        <v>1501671.871797398</v>
      </c>
      <c r="W91" s="61" t="s">
        <v>11</v>
      </c>
      <c r="X91" s="181">
        <v>2.5000000000000001E-2</v>
      </c>
      <c r="Y91" s="60">
        <v>44091</v>
      </c>
      <c r="Z91" s="60">
        <v>45595</v>
      </c>
      <c r="AA91" s="60">
        <v>45595</v>
      </c>
      <c r="AB91" s="58">
        <v>1505</v>
      </c>
      <c r="AC91" s="59" t="s">
        <v>10</v>
      </c>
      <c r="AD91" s="58">
        <v>1126</v>
      </c>
      <c r="AE91" s="57">
        <v>3.0849315068493151</v>
      </c>
      <c r="AF91" s="56" t="s">
        <v>436</v>
      </c>
      <c r="AG91" s="55" t="s">
        <v>1</v>
      </c>
      <c r="AH91" s="55" t="s">
        <v>1</v>
      </c>
      <c r="AI91" s="54" t="s">
        <v>0</v>
      </c>
      <c r="AJ91" s="11" t="s">
        <v>0</v>
      </c>
      <c r="AK91" s="53" t="s">
        <v>271</v>
      </c>
      <c r="AL91" s="13" t="s">
        <v>483</v>
      </c>
      <c r="AM91" s="11">
        <v>900</v>
      </c>
      <c r="AN91" s="52"/>
      <c r="AO91" s="197" t="s">
        <v>308</v>
      </c>
      <c r="AP91" s="198" t="s">
        <v>102</v>
      </c>
      <c r="AQ91" s="201"/>
      <c r="AS91" s="212">
        <v>0</v>
      </c>
      <c r="AT91" s="212">
        <v>3041.80568660993</v>
      </c>
      <c r="AU91" s="212">
        <v>608.36113732198601</v>
      </c>
      <c r="AV91" s="212"/>
      <c r="AW91" s="212">
        <v>0</v>
      </c>
      <c r="AX91" s="212">
        <v>0</v>
      </c>
      <c r="BA91" s="11">
        <v>0</v>
      </c>
    </row>
    <row r="92" spans="1:53" ht="39.950000000000003" customHeight="1" x14ac:dyDescent="0.2">
      <c r="A92" s="13" t="s">
        <v>497</v>
      </c>
      <c r="B92" s="69" t="s">
        <v>24</v>
      </c>
      <c r="C92" s="66" t="s">
        <v>34</v>
      </c>
      <c r="D92" s="13" t="s">
        <v>34</v>
      </c>
      <c r="E92" s="14" t="s">
        <v>34</v>
      </c>
      <c r="F92" s="14" t="s">
        <v>92</v>
      </c>
      <c r="G92" s="66" t="s">
        <v>100</v>
      </c>
      <c r="H92" s="14" t="s">
        <v>100</v>
      </c>
      <c r="I92" s="66" t="s">
        <v>232</v>
      </c>
      <c r="J92" s="66" t="s">
        <v>21</v>
      </c>
      <c r="K92" s="65" t="s">
        <v>44</v>
      </c>
      <c r="L92" s="65" t="s">
        <v>191</v>
      </c>
      <c r="M92" s="65" t="s">
        <v>323</v>
      </c>
      <c r="N92" s="13" t="s">
        <v>43</v>
      </c>
      <c r="O92" s="13" t="s">
        <v>531</v>
      </c>
      <c r="P92" s="13" t="s">
        <v>534</v>
      </c>
      <c r="Q92" s="64" t="s">
        <v>8</v>
      </c>
      <c r="R92" s="62">
        <v>25000</v>
      </c>
      <c r="S92" s="63">
        <v>25000</v>
      </c>
      <c r="T92" s="62">
        <v>25000</v>
      </c>
      <c r="U92" s="62">
        <v>93608.577000000005</v>
      </c>
      <c r="V92" s="62">
        <v>954545</v>
      </c>
      <c r="W92" s="61" t="s">
        <v>551</v>
      </c>
      <c r="X92" s="181">
        <v>3.5000000000000003E-2</v>
      </c>
      <c r="Y92" s="60">
        <v>44097</v>
      </c>
      <c r="Z92" s="60">
        <v>45277</v>
      </c>
      <c r="AA92" s="60">
        <v>45277</v>
      </c>
      <c r="AB92" s="58">
        <v>1181</v>
      </c>
      <c r="AC92" s="59" t="s">
        <v>10</v>
      </c>
      <c r="AD92" s="58">
        <v>808</v>
      </c>
      <c r="AE92" s="57">
        <v>2.2136986301369861</v>
      </c>
      <c r="AF92" s="56"/>
      <c r="AG92" s="55" t="s">
        <v>1</v>
      </c>
      <c r="AH92" s="55" t="s">
        <v>1</v>
      </c>
      <c r="AI92" s="54" t="s">
        <v>0</v>
      </c>
      <c r="AJ92" s="11" t="s">
        <v>0</v>
      </c>
      <c r="AK92" s="53" t="s">
        <v>271</v>
      </c>
      <c r="AL92" s="13" t="s">
        <v>486</v>
      </c>
      <c r="AM92" s="11">
        <v>17910</v>
      </c>
      <c r="AN92" s="52">
        <v>35000</v>
      </c>
      <c r="AO92" s="197" t="s">
        <v>34</v>
      </c>
      <c r="AP92" s="198" t="s">
        <v>92</v>
      </c>
      <c r="AQ92" s="199">
        <v>1</v>
      </c>
      <c r="AR92" s="214">
        <v>0.05</v>
      </c>
      <c r="AS92" s="212">
        <v>1250</v>
      </c>
      <c r="AT92" s="212">
        <v>3000</v>
      </c>
      <c r="AU92" s="212" t="b">
        <v>0</v>
      </c>
      <c r="AV92" s="212"/>
      <c r="AW92" s="212">
        <v>1250</v>
      </c>
      <c r="AX92" s="212">
        <v>1250</v>
      </c>
      <c r="AY92" s="12"/>
      <c r="BA92" s="11">
        <v>1250</v>
      </c>
    </row>
    <row r="93" spans="1:53" ht="39.950000000000003" hidden="1" customHeight="1" x14ac:dyDescent="0.2">
      <c r="A93" s="13" t="s">
        <v>494</v>
      </c>
      <c r="B93" s="69" t="s">
        <v>243</v>
      </c>
      <c r="C93" s="66" t="s">
        <v>87</v>
      </c>
      <c r="D93" s="13" t="s">
        <v>541</v>
      </c>
      <c r="E93" s="130" t="s">
        <v>152</v>
      </c>
      <c r="F93" s="14" t="s">
        <v>439</v>
      </c>
      <c r="G93" s="66" t="s">
        <v>445</v>
      </c>
      <c r="H93" s="14" t="s">
        <v>463</v>
      </c>
      <c r="I93" s="14" t="s">
        <v>298</v>
      </c>
      <c r="J93" s="66" t="s">
        <v>218</v>
      </c>
      <c r="K93" s="65" t="s">
        <v>209</v>
      </c>
      <c r="L93" s="65" t="s">
        <v>191</v>
      </c>
      <c r="M93" s="13" t="s">
        <v>59</v>
      </c>
      <c r="N93" s="65" t="s">
        <v>43</v>
      </c>
      <c r="O93" s="65" t="s">
        <v>531</v>
      </c>
      <c r="P93" s="65" t="s">
        <v>534</v>
      </c>
      <c r="Q93" s="64" t="s">
        <v>488</v>
      </c>
      <c r="R93" s="62">
        <v>22929.132966734182</v>
      </c>
      <c r="S93" s="63">
        <v>1843650</v>
      </c>
      <c r="T93" s="62">
        <v>22929.132966734182</v>
      </c>
      <c r="U93" s="62">
        <v>172622.98461110864</v>
      </c>
      <c r="V93" s="62">
        <v>445106.69928660692</v>
      </c>
      <c r="W93" s="61" t="s">
        <v>11</v>
      </c>
      <c r="X93" s="181">
        <v>0.02</v>
      </c>
      <c r="Y93" s="60">
        <v>44099</v>
      </c>
      <c r="Z93" s="60">
        <v>45539</v>
      </c>
      <c r="AA93" s="60">
        <v>45539</v>
      </c>
      <c r="AB93" s="58">
        <v>1441</v>
      </c>
      <c r="AC93" s="59" t="s">
        <v>10</v>
      </c>
      <c r="AD93" s="58">
        <v>1070</v>
      </c>
      <c r="AE93" s="57">
        <v>2.9315068493150687</v>
      </c>
      <c r="AF93" s="56" t="s">
        <v>436</v>
      </c>
      <c r="AG93" s="55" t="s">
        <v>1</v>
      </c>
      <c r="AH93" s="55" t="s">
        <v>1</v>
      </c>
      <c r="AI93" s="54" t="s">
        <v>0</v>
      </c>
      <c r="AJ93" s="11" t="s">
        <v>0</v>
      </c>
      <c r="AK93" s="53" t="s">
        <v>271</v>
      </c>
      <c r="AL93" s="13" t="s">
        <v>485</v>
      </c>
      <c r="AN93" s="52"/>
      <c r="AO93" s="197" t="s">
        <v>152</v>
      </c>
      <c r="AP93" s="198" t="s">
        <v>439</v>
      </c>
      <c r="AQ93" s="201"/>
      <c r="AS93" s="212">
        <v>0</v>
      </c>
      <c r="AT93" s="212">
        <v>2751.4959560081015</v>
      </c>
      <c r="AU93" s="212">
        <v>550.29919120162037</v>
      </c>
      <c r="AV93" s="212"/>
      <c r="AW93" s="212">
        <v>0</v>
      </c>
      <c r="AX93" s="212">
        <v>0</v>
      </c>
      <c r="BA93" s="11">
        <v>0</v>
      </c>
    </row>
    <row r="94" spans="1:53" ht="39.950000000000003" hidden="1" customHeight="1" x14ac:dyDescent="0.2">
      <c r="A94" s="131" t="s">
        <v>505</v>
      </c>
      <c r="B94" s="132" t="s">
        <v>24</v>
      </c>
      <c r="C94" s="66" t="s">
        <v>162</v>
      </c>
      <c r="D94" s="13" t="s">
        <v>499</v>
      </c>
      <c r="E94" s="130" t="s">
        <v>162</v>
      </c>
      <c r="F94" s="14" t="s">
        <v>48</v>
      </c>
      <c r="G94" s="131" t="s">
        <v>95</v>
      </c>
      <c r="H94" s="130" t="s">
        <v>447</v>
      </c>
      <c r="I94" s="131" t="s">
        <v>506</v>
      </c>
      <c r="J94" s="131" t="s">
        <v>221</v>
      </c>
      <c r="K94" s="171" t="s">
        <v>209</v>
      </c>
      <c r="L94" s="134" t="s">
        <v>191</v>
      </c>
      <c r="M94" s="134" t="s">
        <v>59</v>
      </c>
      <c r="N94" s="132" t="s">
        <v>43</v>
      </c>
      <c r="O94" s="132" t="s">
        <v>538</v>
      </c>
      <c r="P94" s="132" t="s">
        <v>534</v>
      </c>
      <c r="Q94" s="135" t="s">
        <v>9</v>
      </c>
      <c r="R94" s="136">
        <v>13842.746400885935</v>
      </c>
      <c r="S94" s="73">
        <v>10000</v>
      </c>
      <c r="T94" s="136">
        <v>13842.746400885935</v>
      </c>
      <c r="U94" s="136">
        <v>138427.46400885936</v>
      </c>
      <c r="V94" s="136">
        <v>319770.21040974528</v>
      </c>
      <c r="W94" s="61" t="s">
        <v>11</v>
      </c>
      <c r="X94" s="181">
        <v>2.5000000000000001E-2</v>
      </c>
      <c r="Y94" s="137">
        <v>44136</v>
      </c>
      <c r="Z94" s="137">
        <v>45504</v>
      </c>
      <c r="AA94" s="137">
        <v>45504</v>
      </c>
      <c r="AB94" s="58">
        <v>1369</v>
      </c>
      <c r="AC94" s="59" t="s">
        <v>10</v>
      </c>
      <c r="AD94" s="138">
        <v>1035</v>
      </c>
      <c r="AE94" s="140">
        <v>2.8356164383561642</v>
      </c>
      <c r="AF94" s="56"/>
      <c r="AG94" s="141" t="s">
        <v>1</v>
      </c>
      <c r="AH94" s="141" t="s">
        <v>1</v>
      </c>
      <c r="AI94" s="142" t="s">
        <v>0</v>
      </c>
      <c r="AJ94" s="11" t="s">
        <v>0</v>
      </c>
      <c r="AK94" s="144" t="s">
        <v>271</v>
      </c>
      <c r="AL94" s="132" t="s">
        <v>507</v>
      </c>
      <c r="AN94" s="52"/>
      <c r="AO94" s="197" t="s">
        <v>162</v>
      </c>
      <c r="AP94" s="198" t="s">
        <v>48</v>
      </c>
      <c r="AQ94" s="201"/>
      <c r="AS94" s="212">
        <v>0</v>
      </c>
      <c r="AT94" s="212">
        <v>1661.1295681063123</v>
      </c>
      <c r="AU94" s="212" t="b">
        <v>0</v>
      </c>
      <c r="AV94" s="212"/>
      <c r="AW94" s="212">
        <v>0</v>
      </c>
      <c r="AX94" s="212">
        <v>0</v>
      </c>
      <c r="BA94" s="11">
        <v>0</v>
      </c>
    </row>
    <row r="95" spans="1:53" ht="39.950000000000003" hidden="1" customHeight="1" x14ac:dyDescent="0.2">
      <c r="A95" s="131" t="s">
        <v>511</v>
      </c>
      <c r="B95" s="132" t="s">
        <v>67</v>
      </c>
      <c r="C95" s="133" t="s">
        <v>127</v>
      </c>
      <c r="D95" s="13" t="s">
        <v>542</v>
      </c>
      <c r="E95" s="161" t="s">
        <v>127</v>
      </c>
      <c r="F95" s="14" t="s">
        <v>546</v>
      </c>
      <c r="G95" s="131" t="s">
        <v>259</v>
      </c>
      <c r="H95" s="66" t="s">
        <v>460</v>
      </c>
      <c r="I95" s="66" t="s">
        <v>158</v>
      </c>
      <c r="J95" s="66" t="s">
        <v>220</v>
      </c>
      <c r="K95" s="13" t="s">
        <v>45</v>
      </c>
      <c r="L95" s="65" t="s">
        <v>191</v>
      </c>
      <c r="M95" s="134" t="s">
        <v>59</v>
      </c>
      <c r="N95" s="132" t="s">
        <v>43</v>
      </c>
      <c r="O95" s="132" t="s">
        <v>533</v>
      </c>
      <c r="P95" s="13" t="s">
        <v>548</v>
      </c>
      <c r="Q95" s="135" t="s">
        <v>59</v>
      </c>
      <c r="R95" s="136">
        <v>24031.144363094569</v>
      </c>
      <c r="S95" s="73">
        <v>15000</v>
      </c>
      <c r="T95" s="136">
        <v>24031.144363094569</v>
      </c>
      <c r="U95" s="136">
        <v>339640.17366506992</v>
      </c>
      <c r="V95" s="136">
        <v>1140614.9063307489</v>
      </c>
      <c r="W95" s="61" t="s">
        <v>11</v>
      </c>
      <c r="X95" s="181">
        <v>1.17E-2</v>
      </c>
      <c r="Y95" s="137">
        <v>44146</v>
      </c>
      <c r="Z95" s="137">
        <v>46275</v>
      </c>
      <c r="AA95" s="137">
        <v>46275</v>
      </c>
      <c r="AB95" s="138">
        <v>2130</v>
      </c>
      <c r="AC95" s="59" t="s">
        <v>10</v>
      </c>
      <c r="AD95" s="138">
        <v>1806</v>
      </c>
      <c r="AE95" s="140">
        <v>4.9479452054794519</v>
      </c>
      <c r="AF95" s="56"/>
      <c r="AG95" s="141" t="s">
        <v>1</v>
      </c>
      <c r="AH95" s="141" t="s">
        <v>1</v>
      </c>
      <c r="AI95" s="142" t="s">
        <v>0</v>
      </c>
      <c r="AJ95" s="11" t="s">
        <v>0</v>
      </c>
      <c r="AK95" s="144" t="s">
        <v>271</v>
      </c>
      <c r="AL95" s="132" t="s">
        <v>512</v>
      </c>
      <c r="AN95" s="52"/>
      <c r="AO95" s="197" t="s">
        <v>127</v>
      </c>
      <c r="AP95" s="198" t="s">
        <v>546</v>
      </c>
      <c r="AQ95" s="201"/>
      <c r="AS95" s="212">
        <v>0</v>
      </c>
      <c r="AT95" s="212">
        <v>2883.737323571348</v>
      </c>
      <c r="AU95" s="212" t="b">
        <v>0</v>
      </c>
      <c r="AV95" s="212"/>
      <c r="AW95" s="212">
        <v>0</v>
      </c>
      <c r="AX95" s="212">
        <v>0</v>
      </c>
      <c r="BA95" s="11">
        <v>0</v>
      </c>
    </row>
    <row r="96" spans="1:53" ht="39.950000000000003" hidden="1" customHeight="1" x14ac:dyDescent="0.2">
      <c r="A96" s="131" t="s">
        <v>508</v>
      </c>
      <c r="B96" s="132" t="s">
        <v>243</v>
      </c>
      <c r="C96" s="66" t="s">
        <v>162</v>
      </c>
      <c r="D96" s="13" t="s">
        <v>499</v>
      </c>
      <c r="E96" s="130" t="s">
        <v>162</v>
      </c>
      <c r="F96" s="14" t="s">
        <v>102</v>
      </c>
      <c r="G96" s="131" t="s">
        <v>102</v>
      </c>
      <c r="H96" s="130" t="s">
        <v>103</v>
      </c>
      <c r="I96" s="131" t="s">
        <v>509</v>
      </c>
      <c r="J96" s="133" t="s">
        <v>222</v>
      </c>
      <c r="K96" s="65" t="s">
        <v>101</v>
      </c>
      <c r="L96" s="134" t="s">
        <v>191</v>
      </c>
      <c r="M96" s="134" t="s">
        <v>59</v>
      </c>
      <c r="N96" s="132" t="s">
        <v>43</v>
      </c>
      <c r="O96" s="132" t="s">
        <v>531</v>
      </c>
      <c r="P96" s="132" t="s">
        <v>534</v>
      </c>
      <c r="Q96" s="135" t="s">
        <v>9</v>
      </c>
      <c r="R96" s="136">
        <v>27685.49280177187</v>
      </c>
      <c r="S96" s="73">
        <v>20000</v>
      </c>
      <c r="T96" s="136">
        <v>27685.49280177187</v>
      </c>
      <c r="U96" s="136">
        <v>103820.59800664452</v>
      </c>
      <c r="V96" s="136">
        <v>764347</v>
      </c>
      <c r="W96" s="61" t="s">
        <v>11</v>
      </c>
      <c r="X96" s="181">
        <v>1.6E-2</v>
      </c>
      <c r="Y96" s="137">
        <v>44148</v>
      </c>
      <c r="Z96" s="137">
        <v>45734</v>
      </c>
      <c r="AA96" s="137">
        <v>45734</v>
      </c>
      <c r="AB96" s="58">
        <v>1587</v>
      </c>
      <c r="AC96" s="59" t="s">
        <v>10</v>
      </c>
      <c r="AD96" s="138">
        <v>1265</v>
      </c>
      <c r="AE96" s="140">
        <v>3.4657534246575343</v>
      </c>
      <c r="AF96" s="56" t="s">
        <v>436</v>
      </c>
      <c r="AG96" s="141" t="s">
        <v>1</v>
      </c>
      <c r="AH96" s="141" t="s">
        <v>1</v>
      </c>
      <c r="AI96" s="142" t="s">
        <v>0</v>
      </c>
      <c r="AJ96" s="11" t="s">
        <v>0</v>
      </c>
      <c r="AK96" s="144" t="s">
        <v>271</v>
      </c>
      <c r="AL96" s="132" t="s">
        <v>510</v>
      </c>
      <c r="AN96" s="52"/>
      <c r="AO96" s="197" t="s">
        <v>162</v>
      </c>
      <c r="AP96" s="198" t="s">
        <v>102</v>
      </c>
      <c r="AQ96" s="201"/>
      <c r="AS96" s="212">
        <v>0</v>
      </c>
      <c r="AT96" s="212">
        <v>3322.2591362126245</v>
      </c>
      <c r="AU96" s="212">
        <v>664.45182724252493</v>
      </c>
      <c r="AV96" s="212"/>
      <c r="AW96" s="212">
        <v>0</v>
      </c>
      <c r="AX96" s="212">
        <v>0</v>
      </c>
      <c r="BA96" s="11">
        <v>0</v>
      </c>
    </row>
    <row r="97" spans="1:53" ht="39.950000000000003" hidden="1" customHeight="1" x14ac:dyDescent="0.2">
      <c r="A97" s="132" t="s">
        <v>513</v>
      </c>
      <c r="B97" s="132" t="s">
        <v>51</v>
      </c>
      <c r="C97" s="133" t="s">
        <v>88</v>
      </c>
      <c r="D97" s="13" t="s">
        <v>542</v>
      </c>
      <c r="E97" s="145" t="s">
        <v>88</v>
      </c>
      <c r="F97" s="66" t="s">
        <v>106</v>
      </c>
      <c r="G97" s="131" t="s">
        <v>106</v>
      </c>
      <c r="H97" s="66" t="s">
        <v>107</v>
      </c>
      <c r="I97" s="133" t="s">
        <v>61</v>
      </c>
      <c r="J97" s="133" t="s">
        <v>220</v>
      </c>
      <c r="K97" s="14" t="s">
        <v>101</v>
      </c>
      <c r="L97" s="134" t="s">
        <v>191</v>
      </c>
      <c r="M97" s="134" t="s">
        <v>59</v>
      </c>
      <c r="N97" s="132" t="s">
        <v>43</v>
      </c>
      <c r="O97" s="132" t="s">
        <v>533</v>
      </c>
      <c r="P97" s="13" t="s">
        <v>548</v>
      </c>
      <c r="Q97" s="135" t="s">
        <v>59</v>
      </c>
      <c r="R97" s="136">
        <v>4806.2288726189136</v>
      </c>
      <c r="S97" s="73">
        <v>3000</v>
      </c>
      <c r="T97" s="136">
        <v>4806.2288726189136</v>
      </c>
      <c r="U97" s="136">
        <v>32041.525817459427</v>
      </c>
      <c r="V97" s="136">
        <v>115993</v>
      </c>
      <c r="W97" s="61" t="s">
        <v>11</v>
      </c>
      <c r="X97" s="181">
        <v>0.01</v>
      </c>
      <c r="Y97" s="137">
        <v>44159</v>
      </c>
      <c r="Z97" s="137">
        <v>45792</v>
      </c>
      <c r="AA97" s="137">
        <v>45792</v>
      </c>
      <c r="AB97" s="138">
        <v>1634</v>
      </c>
      <c r="AC97" s="139" t="s">
        <v>10</v>
      </c>
      <c r="AD97" s="138">
        <v>1323</v>
      </c>
      <c r="AE97" s="140">
        <v>3.6246575342465754</v>
      </c>
      <c r="AF97" s="56"/>
      <c r="AG97" s="141" t="s">
        <v>1</v>
      </c>
      <c r="AH97" s="141" t="s">
        <v>1</v>
      </c>
      <c r="AI97" s="215" t="s">
        <v>0</v>
      </c>
      <c r="AJ97" s="11" t="s">
        <v>0</v>
      </c>
      <c r="AK97" s="144" t="s">
        <v>271</v>
      </c>
      <c r="AL97" s="132" t="s">
        <v>514</v>
      </c>
      <c r="AN97" s="52"/>
      <c r="AO97" s="197" t="s">
        <v>88</v>
      </c>
      <c r="AP97" s="198" t="s">
        <v>106</v>
      </c>
      <c r="AQ97" s="201"/>
      <c r="AS97" s="212">
        <v>0</v>
      </c>
      <c r="AT97" s="212">
        <v>576.74746471426965</v>
      </c>
      <c r="AU97" s="212" t="b">
        <v>0</v>
      </c>
      <c r="AV97" s="212"/>
      <c r="AW97" s="212">
        <v>0</v>
      </c>
      <c r="AX97" s="212">
        <v>0</v>
      </c>
      <c r="BA97" s="11">
        <v>0</v>
      </c>
    </row>
    <row r="98" spans="1:53" ht="39.950000000000003" hidden="1" customHeight="1" x14ac:dyDescent="0.2">
      <c r="A98" s="132" t="s">
        <v>515</v>
      </c>
      <c r="B98" s="132" t="s">
        <v>24</v>
      </c>
      <c r="C98" s="133" t="s">
        <v>38</v>
      </c>
      <c r="D98" s="13" t="s">
        <v>541</v>
      </c>
      <c r="E98" s="145" t="s">
        <v>35</v>
      </c>
      <c r="F98" s="14" t="s">
        <v>159</v>
      </c>
      <c r="G98" s="131" t="s">
        <v>259</v>
      </c>
      <c r="H98" s="130" t="s">
        <v>258</v>
      </c>
      <c r="I98" s="10" t="s">
        <v>142</v>
      </c>
      <c r="J98" s="133" t="s">
        <v>218</v>
      </c>
      <c r="K98" s="65" t="s">
        <v>29</v>
      </c>
      <c r="L98" s="134" t="s">
        <v>191</v>
      </c>
      <c r="M98" s="134" t="s">
        <v>323</v>
      </c>
      <c r="N98" s="132" t="s">
        <v>43</v>
      </c>
      <c r="O98" s="132" t="s">
        <v>538</v>
      </c>
      <c r="P98" s="132" t="s">
        <v>534</v>
      </c>
      <c r="Q98" s="135" t="s">
        <v>9</v>
      </c>
      <c r="R98" s="136">
        <v>20764.119601328901</v>
      </c>
      <c r="S98" s="73">
        <v>15000</v>
      </c>
      <c r="T98" s="136">
        <v>20764.119601328901</v>
      </c>
      <c r="U98" s="136">
        <v>41528.239202657802</v>
      </c>
      <c r="V98" s="136">
        <v>2171.6666666666665</v>
      </c>
      <c r="W98" s="61" t="s">
        <v>11</v>
      </c>
      <c r="X98" s="181">
        <v>4.4999999999999998E-2</v>
      </c>
      <c r="Y98" s="137">
        <v>44165</v>
      </c>
      <c r="Z98" s="137">
        <v>45922</v>
      </c>
      <c r="AA98" s="137">
        <v>45922</v>
      </c>
      <c r="AB98" s="159">
        <v>1758</v>
      </c>
      <c r="AC98" s="139" t="s">
        <v>10</v>
      </c>
      <c r="AD98" s="138">
        <v>1453</v>
      </c>
      <c r="AE98" s="140">
        <v>3.9808219178082194</v>
      </c>
      <c r="AF98" s="56"/>
      <c r="AG98" s="141" t="s">
        <v>1</v>
      </c>
      <c r="AH98" s="141" t="s">
        <v>1</v>
      </c>
      <c r="AI98" s="142" t="s">
        <v>517</v>
      </c>
      <c r="AJ98" s="11" t="s">
        <v>0</v>
      </c>
      <c r="AK98" s="144" t="s">
        <v>271</v>
      </c>
      <c r="AL98" s="132" t="s">
        <v>516</v>
      </c>
      <c r="AN98" s="52"/>
      <c r="AO98" s="197" t="s">
        <v>35</v>
      </c>
      <c r="AP98" s="198" t="s">
        <v>159</v>
      </c>
      <c r="AQ98" s="201"/>
      <c r="AS98" s="212">
        <v>0</v>
      </c>
      <c r="AT98" s="212">
        <v>2491.6943521594681</v>
      </c>
      <c r="AU98" s="212" t="b">
        <v>0</v>
      </c>
      <c r="AV98" s="212"/>
      <c r="AW98" s="212">
        <v>0</v>
      </c>
      <c r="AX98" s="212">
        <v>0</v>
      </c>
      <c r="BA98" s="11">
        <v>0</v>
      </c>
    </row>
    <row r="99" spans="1:53" ht="39.950000000000003" hidden="1" customHeight="1" x14ac:dyDescent="0.2">
      <c r="A99" s="132" t="s">
        <v>524</v>
      </c>
      <c r="B99" s="132" t="s">
        <v>24</v>
      </c>
      <c r="C99" s="133" t="s">
        <v>37</v>
      </c>
      <c r="D99" s="13" t="s">
        <v>541</v>
      </c>
      <c r="E99" s="145" t="s">
        <v>152</v>
      </c>
      <c r="F99" s="14" t="s">
        <v>102</v>
      </c>
      <c r="G99" s="14" t="s">
        <v>102</v>
      </c>
      <c r="H99" s="130" t="s">
        <v>473</v>
      </c>
      <c r="I99" s="146" t="s">
        <v>526</v>
      </c>
      <c r="J99" s="133" t="s">
        <v>221</v>
      </c>
      <c r="K99" s="14" t="s">
        <v>101</v>
      </c>
      <c r="L99" s="134" t="s">
        <v>191</v>
      </c>
      <c r="M99" s="134" t="s">
        <v>323</v>
      </c>
      <c r="N99" s="132" t="s">
        <v>43</v>
      </c>
      <c r="O99" s="132" t="s">
        <v>533</v>
      </c>
      <c r="P99" s="132" t="s">
        <v>534</v>
      </c>
      <c r="Q99" s="135" t="s">
        <v>488</v>
      </c>
      <c r="R99" s="136">
        <v>32335.717578449749</v>
      </c>
      <c r="S99" s="73">
        <v>2600000</v>
      </c>
      <c r="T99" s="136">
        <v>32335.717578449749</v>
      </c>
      <c r="U99" s="136">
        <v>87057.701172749323</v>
      </c>
      <c r="V99" s="136">
        <v>684166.42537173827</v>
      </c>
      <c r="W99" s="147" t="s">
        <v>11</v>
      </c>
      <c r="X99" s="181">
        <v>0.01</v>
      </c>
      <c r="Y99" s="137">
        <v>44166</v>
      </c>
      <c r="Z99" s="137">
        <v>45504</v>
      </c>
      <c r="AA99" s="137">
        <v>45504</v>
      </c>
      <c r="AB99" s="138">
        <v>1339</v>
      </c>
      <c r="AC99" s="139" t="s">
        <v>10</v>
      </c>
      <c r="AD99" s="138">
        <v>1035</v>
      </c>
      <c r="AE99" s="140">
        <v>2.8356164383561642</v>
      </c>
      <c r="AF99" s="56" t="s">
        <v>436</v>
      </c>
      <c r="AG99" s="141" t="s">
        <v>1</v>
      </c>
      <c r="AH99" s="141" t="s">
        <v>1</v>
      </c>
      <c r="AI99" s="215" t="s">
        <v>0</v>
      </c>
      <c r="AJ99" s="11" t="s">
        <v>0</v>
      </c>
      <c r="AK99" s="164" t="s">
        <v>271</v>
      </c>
      <c r="AL99" s="132" t="s">
        <v>525</v>
      </c>
      <c r="AN99" s="52"/>
      <c r="AO99" s="197" t="s">
        <v>152</v>
      </c>
      <c r="AP99" s="198" t="s">
        <v>102</v>
      </c>
      <c r="AQ99" s="201"/>
      <c r="AS99" s="212">
        <v>0</v>
      </c>
      <c r="AT99" s="212">
        <v>3880.2861094139698</v>
      </c>
      <c r="AU99" s="212">
        <v>776.05722188279401</v>
      </c>
      <c r="AV99" s="212"/>
      <c r="AW99" s="212">
        <v>0</v>
      </c>
      <c r="AX99" s="212">
        <v>0</v>
      </c>
      <c r="BA99" s="11">
        <v>0</v>
      </c>
    </row>
    <row r="100" spans="1:53" ht="39.950000000000003" hidden="1" customHeight="1" x14ac:dyDescent="0.2">
      <c r="A100" s="131" t="s">
        <v>155</v>
      </c>
      <c r="B100" s="132" t="s">
        <v>51</v>
      </c>
      <c r="C100" s="133" t="s">
        <v>87</v>
      </c>
      <c r="D100" s="13" t="s">
        <v>542</v>
      </c>
      <c r="E100" s="145" t="s">
        <v>87</v>
      </c>
      <c r="F100" s="14" t="s">
        <v>102</v>
      </c>
      <c r="G100" s="131" t="s">
        <v>102</v>
      </c>
      <c r="H100" s="130" t="s">
        <v>122</v>
      </c>
      <c r="I100" s="133" t="s">
        <v>154</v>
      </c>
      <c r="J100" s="133" t="s">
        <v>220</v>
      </c>
      <c r="K100" s="66" t="s">
        <v>101</v>
      </c>
      <c r="L100" s="134" t="s">
        <v>191</v>
      </c>
      <c r="M100" s="134" t="s">
        <v>59</v>
      </c>
      <c r="N100" s="132" t="s">
        <v>43</v>
      </c>
      <c r="O100" s="132" t="s">
        <v>533</v>
      </c>
      <c r="P100" s="132" t="s">
        <v>534</v>
      </c>
      <c r="Q100" s="135" t="s">
        <v>156</v>
      </c>
      <c r="R100" s="136">
        <v>9315.670821455853</v>
      </c>
      <c r="S100" s="73">
        <v>5000</v>
      </c>
      <c r="T100" s="136">
        <v>9315.670821455853</v>
      </c>
      <c r="U100" s="136">
        <v>167682.07478620534</v>
      </c>
      <c r="V100" s="136">
        <v>365863.65584185714</v>
      </c>
      <c r="W100" s="147" t="s">
        <v>11</v>
      </c>
      <c r="X100" s="181">
        <v>1.7999999999999999E-2</v>
      </c>
      <c r="Y100" s="137">
        <v>44211</v>
      </c>
      <c r="Z100" s="137">
        <v>46029</v>
      </c>
      <c r="AA100" s="137">
        <v>46029</v>
      </c>
      <c r="AB100" s="138">
        <v>1819</v>
      </c>
      <c r="AC100" s="172" t="s">
        <v>10</v>
      </c>
      <c r="AD100" s="138">
        <v>1560</v>
      </c>
      <c r="AE100" s="140">
        <v>4.2739726027397262</v>
      </c>
      <c r="AF100" s="56"/>
      <c r="AG100" s="162" t="s">
        <v>1</v>
      </c>
      <c r="AH100" s="162" t="s">
        <v>1</v>
      </c>
      <c r="AI100" s="215" t="s">
        <v>0</v>
      </c>
      <c r="AJ100" s="11" t="s">
        <v>0</v>
      </c>
      <c r="AK100" s="164" t="s">
        <v>271</v>
      </c>
      <c r="AL100" s="131" t="s">
        <v>348</v>
      </c>
      <c r="AM100" s="11">
        <v>6807.5</v>
      </c>
      <c r="AO100" s="197" t="s">
        <v>87</v>
      </c>
      <c r="AP100" s="198" t="s">
        <v>102</v>
      </c>
      <c r="AS100" s="212">
        <v>0</v>
      </c>
      <c r="AT100" s="212">
        <v>1117.8804985747024</v>
      </c>
      <c r="AU100" s="212" t="b">
        <v>0</v>
      </c>
      <c r="AV100" s="212"/>
      <c r="AW100" s="212">
        <v>0</v>
      </c>
      <c r="AX100" s="212">
        <v>0</v>
      </c>
      <c r="BA100" s="11">
        <v>0</v>
      </c>
    </row>
    <row r="101" spans="1:53" ht="39.950000000000003" hidden="1" customHeight="1" x14ac:dyDescent="0.2">
      <c r="A101" s="132" t="s">
        <v>528</v>
      </c>
      <c r="B101" s="132" t="s">
        <v>24</v>
      </c>
      <c r="C101" s="133" t="s">
        <v>34</v>
      </c>
      <c r="D101" s="131" t="s">
        <v>34</v>
      </c>
      <c r="E101" s="161" t="s">
        <v>34</v>
      </c>
      <c r="F101" s="14" t="s">
        <v>102</v>
      </c>
      <c r="G101" s="14" t="s">
        <v>102</v>
      </c>
      <c r="H101" s="66" t="s">
        <v>103</v>
      </c>
      <c r="I101" s="66" t="s">
        <v>70</v>
      </c>
      <c r="J101" s="66" t="s">
        <v>218</v>
      </c>
      <c r="K101" s="13" t="s">
        <v>101</v>
      </c>
      <c r="L101" s="65" t="s">
        <v>191</v>
      </c>
      <c r="M101" s="65" t="s">
        <v>323</v>
      </c>
      <c r="N101" s="13" t="s">
        <v>43</v>
      </c>
      <c r="O101" s="13" t="s">
        <v>533</v>
      </c>
      <c r="P101" s="13" t="s">
        <v>534</v>
      </c>
      <c r="Q101" s="64" t="s">
        <v>8</v>
      </c>
      <c r="R101" s="136">
        <v>30000</v>
      </c>
      <c r="S101" s="73">
        <v>30000</v>
      </c>
      <c r="T101" s="136">
        <v>30000</v>
      </c>
      <c r="U101" s="136">
        <v>319000</v>
      </c>
      <c r="V101" s="136">
        <v>1021098</v>
      </c>
      <c r="W101" s="61" t="s">
        <v>11</v>
      </c>
      <c r="X101" s="181">
        <v>3.15E-2</v>
      </c>
      <c r="Y101" s="137">
        <v>44218</v>
      </c>
      <c r="Z101" s="137">
        <v>44962</v>
      </c>
      <c r="AA101" s="137">
        <v>44962</v>
      </c>
      <c r="AB101" s="58">
        <v>745</v>
      </c>
      <c r="AC101" s="59" t="s">
        <v>10</v>
      </c>
      <c r="AD101" s="138">
        <v>493</v>
      </c>
      <c r="AE101" s="140">
        <v>1.3506849315068492</v>
      </c>
      <c r="AF101" s="56" t="s">
        <v>436</v>
      </c>
      <c r="AG101" s="141" t="s">
        <v>1</v>
      </c>
      <c r="AH101" s="141" t="s">
        <v>1</v>
      </c>
      <c r="AI101" s="142" t="s">
        <v>530</v>
      </c>
      <c r="AJ101" s="11" t="s">
        <v>0</v>
      </c>
      <c r="AK101" s="164" t="s">
        <v>271</v>
      </c>
      <c r="AL101" s="132" t="s">
        <v>529</v>
      </c>
      <c r="AN101" s="52"/>
      <c r="AO101" s="197" t="s">
        <v>34</v>
      </c>
      <c r="AP101" s="198" t="s">
        <v>102</v>
      </c>
      <c r="AQ101" s="201"/>
      <c r="AS101" s="212">
        <v>0</v>
      </c>
      <c r="AT101" s="212">
        <v>3600</v>
      </c>
      <c r="AU101" s="212">
        <v>720</v>
      </c>
      <c r="AV101" s="212"/>
      <c r="AW101" s="212">
        <v>0</v>
      </c>
      <c r="AX101" s="212">
        <v>0</v>
      </c>
      <c r="BA101" s="11">
        <v>0</v>
      </c>
    </row>
    <row r="102" spans="1:53" ht="39.950000000000003" hidden="1" customHeight="1" x14ac:dyDescent="0.2">
      <c r="A102" s="131" t="s">
        <v>554</v>
      </c>
      <c r="B102" s="132" t="s">
        <v>51</v>
      </c>
      <c r="C102" s="133" t="s">
        <v>88</v>
      </c>
      <c r="D102" s="13" t="s">
        <v>542</v>
      </c>
      <c r="E102" s="133" t="s">
        <v>88</v>
      </c>
      <c r="F102" s="14" t="s">
        <v>102</v>
      </c>
      <c r="G102" s="131" t="s">
        <v>102</v>
      </c>
      <c r="H102" s="66" t="s">
        <v>474</v>
      </c>
      <c r="I102" s="133" t="s">
        <v>555</v>
      </c>
      <c r="J102" s="133" t="s">
        <v>220</v>
      </c>
      <c r="K102" s="14" t="s">
        <v>101</v>
      </c>
      <c r="L102" s="134" t="s">
        <v>191</v>
      </c>
      <c r="M102" s="134" t="s">
        <v>59</v>
      </c>
      <c r="N102" s="132" t="s">
        <v>43</v>
      </c>
      <c r="O102" s="132" t="s">
        <v>533</v>
      </c>
      <c r="P102" s="132" t="s">
        <v>548</v>
      </c>
      <c r="Q102" s="135" t="s">
        <v>59</v>
      </c>
      <c r="R102" s="136">
        <v>16020.762908729714</v>
      </c>
      <c r="S102" s="73">
        <v>10000</v>
      </c>
      <c r="T102" s="136">
        <v>16020.762908729714</v>
      </c>
      <c r="U102" s="136">
        <v>25000</v>
      </c>
      <c r="V102" s="136">
        <v>424009.51633316779</v>
      </c>
      <c r="W102" s="147" t="s">
        <v>11</v>
      </c>
      <c r="X102" s="181">
        <v>1.35E-2</v>
      </c>
      <c r="Y102" s="137">
        <v>44225</v>
      </c>
      <c r="Z102" s="137">
        <v>45337</v>
      </c>
      <c r="AA102" s="137">
        <v>45337</v>
      </c>
      <c r="AB102" s="138">
        <v>1113</v>
      </c>
      <c r="AC102" s="139" t="s">
        <v>10</v>
      </c>
      <c r="AD102" s="138">
        <v>868</v>
      </c>
      <c r="AE102" s="140">
        <v>2.3780821917808219</v>
      </c>
      <c r="AF102" s="56"/>
      <c r="AG102" s="162" t="s">
        <v>1</v>
      </c>
      <c r="AH102" s="162" t="s">
        <v>1</v>
      </c>
      <c r="AI102" s="215" t="s">
        <v>0</v>
      </c>
      <c r="AJ102" s="11" t="s">
        <v>0</v>
      </c>
      <c r="AK102" s="164" t="s">
        <v>271</v>
      </c>
      <c r="AL102" s="131" t="s">
        <v>556</v>
      </c>
      <c r="AO102" s="197" t="s">
        <v>88</v>
      </c>
      <c r="AP102" s="198" t="s">
        <v>102</v>
      </c>
      <c r="AS102" s="212">
        <v>0</v>
      </c>
      <c r="AT102" s="212">
        <v>1922.4915490475655</v>
      </c>
      <c r="AU102" s="212" t="b">
        <v>0</v>
      </c>
      <c r="AV102" s="212"/>
      <c r="AW102" s="212">
        <v>0</v>
      </c>
      <c r="AX102" s="212">
        <v>0</v>
      </c>
      <c r="BA102" s="11">
        <v>0</v>
      </c>
    </row>
    <row r="103" spans="1:53" ht="39.950000000000003" hidden="1" customHeight="1" x14ac:dyDescent="0.2">
      <c r="A103" s="131" t="s">
        <v>557</v>
      </c>
      <c r="B103" s="132" t="s">
        <v>51</v>
      </c>
      <c r="C103" s="133" t="s">
        <v>89</v>
      </c>
      <c r="D103" s="13" t="s">
        <v>542</v>
      </c>
      <c r="E103" s="161" t="s">
        <v>89</v>
      </c>
      <c r="F103" s="131" t="s">
        <v>547</v>
      </c>
      <c r="G103" s="131" t="s">
        <v>124</v>
      </c>
      <c r="H103" s="130" t="s">
        <v>123</v>
      </c>
      <c r="I103" s="133" t="s">
        <v>220</v>
      </c>
      <c r="J103" s="133" t="s">
        <v>220</v>
      </c>
      <c r="K103" s="14" t="s">
        <v>29</v>
      </c>
      <c r="L103" s="134" t="s">
        <v>191</v>
      </c>
      <c r="M103" s="134" t="s">
        <v>59</v>
      </c>
      <c r="N103" s="132" t="s">
        <v>43</v>
      </c>
      <c r="O103" s="132" t="s">
        <v>538</v>
      </c>
      <c r="P103" s="132" t="s">
        <v>534</v>
      </c>
      <c r="Q103" s="135" t="s">
        <v>59</v>
      </c>
      <c r="R103" s="136">
        <v>16020.762908729714</v>
      </c>
      <c r="S103" s="73">
        <v>10000</v>
      </c>
      <c r="T103" s="136">
        <v>16020.762908729714</v>
      </c>
      <c r="U103" s="136">
        <v>168218.01054166199</v>
      </c>
      <c r="V103" s="136">
        <v>309655.71380509139</v>
      </c>
      <c r="W103" s="147" t="s">
        <v>11</v>
      </c>
      <c r="X103" s="181">
        <v>1.2999999999999999E-2</v>
      </c>
      <c r="Y103" s="137">
        <v>44236</v>
      </c>
      <c r="Z103" s="137">
        <v>45322</v>
      </c>
      <c r="AA103" s="137">
        <v>45322</v>
      </c>
      <c r="AB103" s="138">
        <v>1087</v>
      </c>
      <c r="AC103" s="139" t="s">
        <v>10</v>
      </c>
      <c r="AD103" s="138">
        <v>853</v>
      </c>
      <c r="AE103" s="140">
        <v>2.3369863013698629</v>
      </c>
      <c r="AF103" s="56"/>
      <c r="AG103" s="162" t="s">
        <v>1</v>
      </c>
      <c r="AH103" s="162" t="s">
        <v>1</v>
      </c>
      <c r="AI103" s="215" t="s">
        <v>0</v>
      </c>
      <c r="AJ103" s="11" t="s">
        <v>0</v>
      </c>
      <c r="AK103" s="164" t="s">
        <v>271</v>
      </c>
      <c r="AL103" s="131" t="s">
        <v>558</v>
      </c>
      <c r="AO103" s="197" t="s">
        <v>89</v>
      </c>
      <c r="AP103" s="198" t="s">
        <v>547</v>
      </c>
      <c r="AS103" s="212">
        <v>0</v>
      </c>
      <c r="AT103" s="212">
        <v>1922.4915490475655</v>
      </c>
      <c r="AU103" s="212" t="b">
        <v>0</v>
      </c>
      <c r="AV103" s="212"/>
      <c r="AW103" s="212">
        <v>0</v>
      </c>
      <c r="AX103" s="212">
        <v>0</v>
      </c>
      <c r="BA103" s="11">
        <v>0</v>
      </c>
    </row>
    <row r="104" spans="1:53" ht="39.950000000000003" hidden="1" customHeight="1" x14ac:dyDescent="0.2">
      <c r="A104" s="131" t="s">
        <v>559</v>
      </c>
      <c r="B104" s="132" t="s">
        <v>243</v>
      </c>
      <c r="C104" s="133" t="s">
        <v>560</v>
      </c>
      <c r="D104" s="131" t="s">
        <v>499</v>
      </c>
      <c r="E104" s="161" t="s">
        <v>162</v>
      </c>
      <c r="F104" s="131" t="s">
        <v>48</v>
      </c>
      <c r="G104" s="131" t="s">
        <v>120</v>
      </c>
      <c r="H104" s="66" t="s">
        <v>121</v>
      </c>
      <c r="I104" s="133" t="s">
        <v>561</v>
      </c>
      <c r="J104" s="133" t="s">
        <v>220</v>
      </c>
      <c r="K104" s="14" t="s">
        <v>29</v>
      </c>
      <c r="L104" s="134" t="s">
        <v>191</v>
      </c>
      <c r="M104" s="134" t="s">
        <v>59</v>
      </c>
      <c r="N104" s="132" t="s">
        <v>43</v>
      </c>
      <c r="O104" s="132" t="s">
        <v>533</v>
      </c>
      <c r="P104" s="132" t="s">
        <v>534</v>
      </c>
      <c r="Q104" s="135" t="s">
        <v>9</v>
      </c>
      <c r="R104" s="136">
        <v>13842.746400885935</v>
      </c>
      <c r="S104" s="73">
        <v>9875</v>
      </c>
      <c r="T104" s="136">
        <v>13669.712070874861</v>
      </c>
      <c r="U104" s="136">
        <v>84440.753045404199</v>
      </c>
      <c r="V104" s="136">
        <v>1461626.6334440752</v>
      </c>
      <c r="W104" s="147" t="s">
        <v>11</v>
      </c>
      <c r="X104" s="181">
        <v>3.8100000000000002E-2</v>
      </c>
      <c r="Y104" s="137">
        <v>44246</v>
      </c>
      <c r="Z104" s="137">
        <v>46079</v>
      </c>
      <c r="AA104" s="137">
        <v>46079</v>
      </c>
      <c r="AB104" s="138">
        <v>1834</v>
      </c>
      <c r="AC104" s="139" t="s">
        <v>10</v>
      </c>
      <c r="AD104" s="138">
        <v>1610</v>
      </c>
      <c r="AE104" s="140">
        <v>4.4109589041095889</v>
      </c>
      <c r="AF104" s="56"/>
      <c r="AG104" s="162" t="s">
        <v>1</v>
      </c>
      <c r="AH104" s="162" t="s">
        <v>1</v>
      </c>
      <c r="AI104" s="163" t="s">
        <v>610</v>
      </c>
      <c r="AJ104" s="11" t="s">
        <v>0</v>
      </c>
      <c r="AK104" s="164" t="s">
        <v>271</v>
      </c>
      <c r="AL104" s="131" t="s">
        <v>562</v>
      </c>
      <c r="AO104" s="197" t="s">
        <v>162</v>
      </c>
      <c r="AP104" s="198" t="s">
        <v>48</v>
      </c>
      <c r="AS104" s="212">
        <v>0</v>
      </c>
      <c r="AT104" s="212">
        <v>1640.3654485049833</v>
      </c>
      <c r="AU104" s="212" t="b">
        <v>0</v>
      </c>
      <c r="AV104" s="212"/>
      <c r="AW104" s="212">
        <v>0</v>
      </c>
      <c r="AX104" s="212">
        <v>0</v>
      </c>
      <c r="BA104" s="11">
        <v>0</v>
      </c>
    </row>
    <row r="105" spans="1:53" ht="39.950000000000003" hidden="1" customHeight="1" x14ac:dyDescent="0.2">
      <c r="A105" s="131" t="s">
        <v>564</v>
      </c>
      <c r="B105" s="132" t="s">
        <v>23</v>
      </c>
      <c r="C105" s="133" t="s">
        <v>88</v>
      </c>
      <c r="D105" s="131" t="s">
        <v>542</v>
      </c>
      <c r="E105" s="161" t="s">
        <v>193</v>
      </c>
      <c r="F105" s="131" t="s">
        <v>92</v>
      </c>
      <c r="G105" s="131" t="s">
        <v>134</v>
      </c>
      <c r="H105" s="66" t="s">
        <v>134</v>
      </c>
      <c r="I105" s="133" t="s">
        <v>61</v>
      </c>
      <c r="J105" s="133" t="s">
        <v>220</v>
      </c>
      <c r="K105" s="14" t="s">
        <v>68</v>
      </c>
      <c r="L105" s="134" t="s">
        <v>191</v>
      </c>
      <c r="M105" s="134" t="s">
        <v>59</v>
      </c>
      <c r="N105" s="132" t="s">
        <v>43</v>
      </c>
      <c r="O105" s="132" t="s">
        <v>538</v>
      </c>
      <c r="P105" s="132" t="s">
        <v>534</v>
      </c>
      <c r="Q105" s="135" t="s">
        <v>9</v>
      </c>
      <c r="R105" s="136">
        <v>13842.746400885935</v>
      </c>
      <c r="S105" s="73">
        <v>10000</v>
      </c>
      <c r="T105" s="136">
        <v>13842.746400885935</v>
      </c>
      <c r="U105" s="136">
        <v>69213.732004429679</v>
      </c>
      <c r="V105" s="136">
        <v>537329.85880398669</v>
      </c>
      <c r="W105" s="147" t="s">
        <v>11</v>
      </c>
      <c r="X105" s="181">
        <v>4.4999999999999998E-2</v>
      </c>
      <c r="Y105" s="137">
        <v>44264</v>
      </c>
      <c r="Z105" s="137">
        <v>45213</v>
      </c>
      <c r="AA105" s="137">
        <v>45213</v>
      </c>
      <c r="AB105" s="138">
        <v>950</v>
      </c>
      <c r="AC105" s="139" t="s">
        <v>10</v>
      </c>
      <c r="AD105" s="138">
        <v>744</v>
      </c>
      <c r="AE105" s="140">
        <v>2.0383561643835617</v>
      </c>
      <c r="AF105" s="56"/>
      <c r="AG105" s="162" t="s">
        <v>1</v>
      </c>
      <c r="AH105" s="162" t="s">
        <v>1</v>
      </c>
      <c r="AI105" s="215" t="s">
        <v>0</v>
      </c>
      <c r="AJ105" s="11" t="s">
        <v>0</v>
      </c>
      <c r="AK105" s="164" t="s">
        <v>563</v>
      </c>
      <c r="AL105" s="131" t="s">
        <v>565</v>
      </c>
      <c r="AO105" s="197" t="s">
        <v>193</v>
      </c>
      <c r="AP105" s="198" t="s">
        <v>92</v>
      </c>
      <c r="AS105" s="212">
        <v>0</v>
      </c>
      <c r="AT105" s="212">
        <v>1661.1295681063123</v>
      </c>
      <c r="AU105" s="212" t="b">
        <v>0</v>
      </c>
      <c r="AV105" s="212"/>
      <c r="AW105" s="212">
        <v>0</v>
      </c>
      <c r="AX105" s="212">
        <v>0</v>
      </c>
      <c r="BA105" s="11">
        <v>0</v>
      </c>
    </row>
    <row r="106" spans="1:53" ht="39.950000000000003" hidden="1" customHeight="1" x14ac:dyDescent="0.2">
      <c r="A106" s="131" t="s">
        <v>566</v>
      </c>
      <c r="B106" s="132" t="s">
        <v>23</v>
      </c>
      <c r="C106" s="133" t="s">
        <v>88</v>
      </c>
      <c r="D106" s="131" t="s">
        <v>542</v>
      </c>
      <c r="E106" s="161" t="s">
        <v>166</v>
      </c>
      <c r="F106" s="131" t="s">
        <v>92</v>
      </c>
      <c r="G106" s="131" t="s">
        <v>134</v>
      </c>
      <c r="H106" s="66" t="s">
        <v>134</v>
      </c>
      <c r="I106" s="133" t="s">
        <v>61</v>
      </c>
      <c r="J106" s="133" t="s">
        <v>220</v>
      </c>
      <c r="K106" s="14" t="s">
        <v>68</v>
      </c>
      <c r="L106" s="134" t="s">
        <v>191</v>
      </c>
      <c r="M106" s="134" t="s">
        <v>59</v>
      </c>
      <c r="N106" s="132" t="s">
        <v>43</v>
      </c>
      <c r="O106" s="132" t="s">
        <v>538</v>
      </c>
      <c r="P106" s="132" t="s">
        <v>548</v>
      </c>
      <c r="Q106" s="135" t="s">
        <v>9</v>
      </c>
      <c r="R106" s="136">
        <v>6921.3732004429676</v>
      </c>
      <c r="S106" s="73">
        <v>5000</v>
      </c>
      <c r="T106" s="136">
        <v>6921.3732004429676</v>
      </c>
      <c r="U106" s="136">
        <v>69213.732004429679</v>
      </c>
      <c r="V106" s="136">
        <v>160993.9368770764</v>
      </c>
      <c r="W106" s="147" t="s">
        <v>11</v>
      </c>
      <c r="X106" s="181">
        <v>3.4000000000000002E-2</v>
      </c>
      <c r="Y106" s="137">
        <v>44274</v>
      </c>
      <c r="Z106" s="137">
        <v>45016</v>
      </c>
      <c r="AA106" s="174">
        <v>45016</v>
      </c>
      <c r="AB106" s="175">
        <v>743</v>
      </c>
      <c r="AC106" s="176" t="s">
        <v>10</v>
      </c>
      <c r="AD106" s="175">
        <v>547</v>
      </c>
      <c r="AE106" s="177">
        <v>1.4986301369863013</v>
      </c>
      <c r="AF106" s="173"/>
      <c r="AG106" s="216" t="s">
        <v>1</v>
      </c>
      <c r="AH106" s="216" t="s">
        <v>1</v>
      </c>
      <c r="AI106" s="215" t="s">
        <v>0</v>
      </c>
      <c r="AJ106" s="11" t="s">
        <v>0</v>
      </c>
      <c r="AK106" s="164" t="s">
        <v>271</v>
      </c>
      <c r="AL106" s="217" t="s">
        <v>567</v>
      </c>
      <c r="AM106" s="11">
        <v>6000</v>
      </c>
      <c r="AO106" s="197" t="s">
        <v>166</v>
      </c>
      <c r="AP106" s="198" t="s">
        <v>92</v>
      </c>
      <c r="AS106" s="212">
        <v>0</v>
      </c>
      <c r="AT106" s="212">
        <v>830.56478405315613</v>
      </c>
      <c r="AU106" s="212" t="b">
        <v>0</v>
      </c>
      <c r="AV106" s="212"/>
      <c r="AW106" s="212">
        <v>0</v>
      </c>
      <c r="AX106" s="212">
        <v>0</v>
      </c>
      <c r="BA106" s="11">
        <v>0</v>
      </c>
    </row>
    <row r="107" spans="1:53" ht="39.950000000000003" hidden="1" customHeight="1" x14ac:dyDescent="0.2">
      <c r="A107" s="131" t="s">
        <v>575</v>
      </c>
      <c r="B107" s="132" t="s">
        <v>23</v>
      </c>
      <c r="C107" s="133" t="s">
        <v>37</v>
      </c>
      <c r="D107" s="131" t="s">
        <v>540</v>
      </c>
      <c r="E107" s="161" t="s">
        <v>36</v>
      </c>
      <c r="F107" s="131" t="s">
        <v>104</v>
      </c>
      <c r="G107" s="131" t="s">
        <v>111</v>
      </c>
      <c r="H107" s="66" t="s">
        <v>449</v>
      </c>
      <c r="I107" s="133" t="s">
        <v>77</v>
      </c>
      <c r="J107" s="133" t="s">
        <v>220</v>
      </c>
      <c r="K107" s="14" t="s">
        <v>29</v>
      </c>
      <c r="L107" s="134" t="s">
        <v>191</v>
      </c>
      <c r="M107" s="134" t="s">
        <v>323</v>
      </c>
      <c r="N107" s="132" t="s">
        <v>43</v>
      </c>
      <c r="O107" s="132" t="s">
        <v>531</v>
      </c>
      <c r="P107" s="132" t="s">
        <v>548</v>
      </c>
      <c r="Q107" s="135" t="s">
        <v>9</v>
      </c>
      <c r="R107" s="136">
        <v>15227.021040974529</v>
      </c>
      <c r="S107" s="73">
        <v>11000</v>
      </c>
      <c r="T107" s="136">
        <v>15227.021040974529</v>
      </c>
      <c r="U107" s="136">
        <v>69213.732004429679</v>
      </c>
      <c r="V107" s="136">
        <v>934249.72314507188</v>
      </c>
      <c r="W107" s="147" t="s">
        <v>11</v>
      </c>
      <c r="X107" s="181">
        <v>3.7999999999999999E-2</v>
      </c>
      <c r="Y107" s="137">
        <v>44285</v>
      </c>
      <c r="Z107" s="137">
        <v>45413</v>
      </c>
      <c r="AA107" s="174">
        <v>45413</v>
      </c>
      <c r="AB107" s="175">
        <v>1129</v>
      </c>
      <c r="AC107" s="176" t="s">
        <v>10</v>
      </c>
      <c r="AD107" s="175">
        <v>944</v>
      </c>
      <c r="AE107" s="177">
        <v>2.5863013698630137</v>
      </c>
      <c r="AF107" s="173"/>
      <c r="AG107" s="216" t="s">
        <v>1</v>
      </c>
      <c r="AH107" s="216" t="s">
        <v>1</v>
      </c>
      <c r="AI107" s="218" t="s">
        <v>568</v>
      </c>
      <c r="AJ107" s="11" t="s">
        <v>0</v>
      </c>
      <c r="AK107" s="164" t="s">
        <v>563</v>
      </c>
      <c r="AL107" s="217" t="s">
        <v>576</v>
      </c>
      <c r="AM107" s="11">
        <v>12225</v>
      </c>
      <c r="AO107" s="197" t="s">
        <v>36</v>
      </c>
      <c r="AP107" s="198" t="s">
        <v>104</v>
      </c>
      <c r="AS107" s="212">
        <v>0</v>
      </c>
      <c r="AT107" s="212">
        <v>1827.2425249169435</v>
      </c>
      <c r="AU107" s="212" t="b">
        <v>0</v>
      </c>
      <c r="AV107" s="212"/>
      <c r="AW107" s="212">
        <v>0</v>
      </c>
      <c r="AX107" s="212">
        <v>0</v>
      </c>
      <c r="BA107" s="11">
        <v>0</v>
      </c>
    </row>
    <row r="108" spans="1:53" ht="39.950000000000003" hidden="1" customHeight="1" x14ac:dyDescent="0.2">
      <c r="A108" s="131" t="s">
        <v>578</v>
      </c>
      <c r="B108" s="132" t="s">
        <v>23</v>
      </c>
      <c r="C108" s="133" t="s">
        <v>149</v>
      </c>
      <c r="D108" s="131" t="s">
        <v>542</v>
      </c>
      <c r="E108" s="161" t="s">
        <v>125</v>
      </c>
      <c r="F108" s="131" t="s">
        <v>104</v>
      </c>
      <c r="G108" s="131" t="s">
        <v>111</v>
      </c>
      <c r="H108" s="66" t="s">
        <v>450</v>
      </c>
      <c r="I108" s="133" t="s">
        <v>283</v>
      </c>
      <c r="J108" s="133" t="s">
        <v>148</v>
      </c>
      <c r="K108" s="14" t="s">
        <v>209</v>
      </c>
      <c r="L108" s="134" t="s">
        <v>191</v>
      </c>
      <c r="M108" s="134" t="s">
        <v>59</v>
      </c>
      <c r="N108" s="132" t="s">
        <v>43</v>
      </c>
      <c r="O108" s="132" t="s">
        <v>531</v>
      </c>
      <c r="P108" s="132" t="s">
        <v>548</v>
      </c>
      <c r="Q108" s="135" t="s">
        <v>9</v>
      </c>
      <c r="R108" s="136">
        <v>20764.119601328901</v>
      </c>
      <c r="S108" s="73">
        <v>15000</v>
      </c>
      <c r="T108" s="136">
        <v>20764.119601328901</v>
      </c>
      <c r="U108" s="136">
        <v>110741.97120708748</v>
      </c>
      <c r="V108" s="136">
        <v>1090447.3421926911</v>
      </c>
      <c r="W108" s="147" t="s">
        <v>11</v>
      </c>
      <c r="X108" s="185">
        <v>0.03</v>
      </c>
      <c r="Y108" s="137">
        <v>44328</v>
      </c>
      <c r="Z108" s="137">
        <v>46505</v>
      </c>
      <c r="AA108" s="137">
        <v>46505</v>
      </c>
      <c r="AB108" s="175">
        <v>2178</v>
      </c>
      <c r="AC108" s="176" t="s">
        <v>10</v>
      </c>
      <c r="AD108" s="138">
        <v>2036</v>
      </c>
      <c r="AE108" s="140">
        <v>5.5780821917808217</v>
      </c>
      <c r="AF108" s="184" t="s">
        <v>436</v>
      </c>
      <c r="AG108" s="219" t="s">
        <v>1</v>
      </c>
      <c r="AH108" s="219" t="s">
        <v>1</v>
      </c>
      <c r="AI108" s="215" t="s">
        <v>0</v>
      </c>
      <c r="AJ108" s="11" t="s">
        <v>0</v>
      </c>
      <c r="AK108" s="164" t="s">
        <v>563</v>
      </c>
      <c r="AL108" s="131" t="s">
        <v>579</v>
      </c>
      <c r="AO108" s="197" t="s">
        <v>125</v>
      </c>
      <c r="AP108" s="198" t="s">
        <v>104</v>
      </c>
      <c r="AS108" s="212">
        <v>0</v>
      </c>
      <c r="AT108" s="212">
        <v>2491.6943521594681</v>
      </c>
      <c r="AU108" s="212">
        <v>498.33887043189361</v>
      </c>
      <c r="AV108" s="212"/>
      <c r="AW108" s="212">
        <v>0</v>
      </c>
      <c r="AX108" s="212">
        <v>0</v>
      </c>
      <c r="BA108" s="11">
        <v>0</v>
      </c>
    </row>
    <row r="109" spans="1:53" ht="39.950000000000003" hidden="1" customHeight="1" x14ac:dyDescent="0.2">
      <c r="A109" s="131" t="s">
        <v>586</v>
      </c>
      <c r="B109" s="132" t="s">
        <v>67</v>
      </c>
      <c r="C109" s="133" t="s">
        <v>38</v>
      </c>
      <c r="D109" s="13" t="s">
        <v>541</v>
      </c>
      <c r="E109" s="161" t="s">
        <v>229</v>
      </c>
      <c r="F109" s="14" t="s">
        <v>102</v>
      </c>
      <c r="G109" s="131" t="s">
        <v>102</v>
      </c>
      <c r="H109" s="66" t="s">
        <v>474</v>
      </c>
      <c r="I109" s="133" t="s">
        <v>142</v>
      </c>
      <c r="J109" s="66" t="s">
        <v>218</v>
      </c>
      <c r="K109" s="14" t="s">
        <v>209</v>
      </c>
      <c r="L109" s="134" t="s">
        <v>191</v>
      </c>
      <c r="M109" s="134" t="s">
        <v>323</v>
      </c>
      <c r="N109" s="132" t="s">
        <v>43</v>
      </c>
      <c r="O109" s="132" t="s">
        <v>531</v>
      </c>
      <c r="P109" s="13" t="s">
        <v>534</v>
      </c>
      <c r="Q109" s="135" t="s">
        <v>9</v>
      </c>
      <c r="R109" s="136">
        <v>10382.05980066445</v>
      </c>
      <c r="S109" s="73">
        <v>7500</v>
      </c>
      <c r="T109" s="136">
        <v>10382.05980066445</v>
      </c>
      <c r="U109" s="136">
        <v>12977.574750830565</v>
      </c>
      <c r="V109" s="136">
        <v>960210.75581395347</v>
      </c>
      <c r="W109" s="147" t="s">
        <v>11</v>
      </c>
      <c r="X109" s="185">
        <v>0.06</v>
      </c>
      <c r="Y109" s="137">
        <v>44349</v>
      </c>
      <c r="Z109" s="137">
        <v>45419</v>
      </c>
      <c r="AA109" s="137">
        <v>45419</v>
      </c>
      <c r="AB109" s="175">
        <v>1071</v>
      </c>
      <c r="AC109" s="176" t="s">
        <v>10</v>
      </c>
      <c r="AD109" s="138">
        <v>950</v>
      </c>
      <c r="AE109" s="140">
        <v>2.6027397260273974</v>
      </c>
      <c r="AF109" s="184"/>
      <c r="AG109" s="219" t="s">
        <v>1</v>
      </c>
      <c r="AH109" s="219" t="s">
        <v>1</v>
      </c>
      <c r="AI109" s="215" t="s">
        <v>0</v>
      </c>
      <c r="AJ109" s="11" t="s">
        <v>0</v>
      </c>
      <c r="AK109" s="164" t="s">
        <v>271</v>
      </c>
      <c r="AL109" s="131" t="s">
        <v>580</v>
      </c>
      <c r="AO109" s="197" t="s">
        <v>229</v>
      </c>
      <c r="AP109" s="198" t="s">
        <v>102</v>
      </c>
      <c r="AS109" s="212">
        <v>0</v>
      </c>
      <c r="AT109" s="212">
        <v>1245.847176079734</v>
      </c>
      <c r="AU109" s="212" t="b">
        <v>0</v>
      </c>
      <c r="AV109" s="212"/>
      <c r="AW109" s="212">
        <v>0</v>
      </c>
      <c r="AX109" s="212">
        <v>0</v>
      </c>
      <c r="BA109" s="11">
        <v>0</v>
      </c>
    </row>
    <row r="110" spans="1:53" ht="39.950000000000003" hidden="1" customHeight="1" x14ac:dyDescent="0.2">
      <c r="A110" s="131" t="s">
        <v>587</v>
      </c>
      <c r="B110" s="132" t="s">
        <v>67</v>
      </c>
      <c r="C110" s="133" t="s">
        <v>588</v>
      </c>
      <c r="D110" s="131" t="s">
        <v>499</v>
      </c>
      <c r="E110" s="161" t="s">
        <v>162</v>
      </c>
      <c r="F110" s="131" t="s">
        <v>233</v>
      </c>
      <c r="G110" s="131" t="s">
        <v>443</v>
      </c>
      <c r="H110" s="66" t="s">
        <v>234</v>
      </c>
      <c r="I110" s="133" t="s">
        <v>589</v>
      </c>
      <c r="J110" s="66" t="s">
        <v>218</v>
      </c>
      <c r="K110" s="14" t="s">
        <v>209</v>
      </c>
      <c r="L110" s="134" t="s">
        <v>191</v>
      </c>
      <c r="M110" s="134" t="s">
        <v>59</v>
      </c>
      <c r="N110" s="132" t="s">
        <v>43</v>
      </c>
      <c r="O110" s="132" t="s">
        <v>531</v>
      </c>
      <c r="P110" s="13" t="s">
        <v>534</v>
      </c>
      <c r="Q110" s="135" t="s">
        <v>9</v>
      </c>
      <c r="R110" s="136">
        <v>20764.119601328901</v>
      </c>
      <c r="S110" s="73">
        <v>15000</v>
      </c>
      <c r="T110" s="136">
        <v>20764.119601328901</v>
      </c>
      <c r="U110" s="136">
        <v>41528.239202657802</v>
      </c>
      <c r="V110" s="136">
        <v>2229201.9795127353</v>
      </c>
      <c r="W110" s="147" t="s">
        <v>11</v>
      </c>
      <c r="X110" s="185">
        <v>5.7500000000000002E-2</v>
      </c>
      <c r="Y110" s="137">
        <v>44365</v>
      </c>
      <c r="Z110" s="137">
        <v>46107</v>
      </c>
      <c r="AA110" s="137">
        <v>46107</v>
      </c>
      <c r="AB110" s="175">
        <v>1743</v>
      </c>
      <c r="AC110" s="176" t="s">
        <v>10</v>
      </c>
      <c r="AD110" s="138">
        <v>1638</v>
      </c>
      <c r="AE110" s="140">
        <v>4.4876712328767123</v>
      </c>
      <c r="AF110" s="184" t="s">
        <v>436</v>
      </c>
      <c r="AG110" s="219" t="s">
        <v>1</v>
      </c>
      <c r="AH110" s="219" t="s">
        <v>1</v>
      </c>
      <c r="AI110" s="215" t="s">
        <v>0</v>
      </c>
      <c r="AJ110" s="11" t="s">
        <v>0</v>
      </c>
      <c r="AK110" s="164" t="s">
        <v>271</v>
      </c>
      <c r="AL110" s="131" t="s">
        <v>581</v>
      </c>
      <c r="AO110" s="197" t="s">
        <v>162</v>
      </c>
      <c r="AP110" s="198" t="s">
        <v>233</v>
      </c>
      <c r="AS110" s="212">
        <v>0</v>
      </c>
      <c r="AT110" s="212">
        <v>2491.6943521594681</v>
      </c>
      <c r="AU110" s="212">
        <v>498.33887043189361</v>
      </c>
      <c r="AV110" s="212"/>
      <c r="AW110" s="212">
        <v>0</v>
      </c>
      <c r="AX110" s="212">
        <v>0</v>
      </c>
      <c r="BA110" s="11">
        <v>0</v>
      </c>
    </row>
    <row r="111" spans="1:53" ht="39.950000000000003" hidden="1" customHeight="1" x14ac:dyDescent="0.2">
      <c r="A111" s="131" t="s">
        <v>590</v>
      </c>
      <c r="B111" s="132" t="s">
        <v>24</v>
      </c>
      <c r="C111" s="133" t="s">
        <v>38</v>
      </c>
      <c r="D111" s="131" t="s">
        <v>541</v>
      </c>
      <c r="E111" s="161" t="s">
        <v>35</v>
      </c>
      <c r="F111" s="131" t="s">
        <v>104</v>
      </c>
      <c r="G111" s="131" t="s">
        <v>111</v>
      </c>
      <c r="H111" s="66" t="s">
        <v>450</v>
      </c>
      <c r="I111" s="133" t="s">
        <v>591</v>
      </c>
      <c r="J111" s="133" t="s">
        <v>218</v>
      </c>
      <c r="K111" s="217" t="s">
        <v>209</v>
      </c>
      <c r="L111" s="134" t="s">
        <v>191</v>
      </c>
      <c r="M111" s="134" t="s">
        <v>323</v>
      </c>
      <c r="N111" s="132" t="s">
        <v>43</v>
      </c>
      <c r="O111" s="132" t="s">
        <v>538</v>
      </c>
      <c r="P111" s="132" t="s">
        <v>534</v>
      </c>
      <c r="Q111" s="135" t="s">
        <v>66</v>
      </c>
      <c r="R111" s="136">
        <v>20729.972041006524</v>
      </c>
      <c r="S111" s="73">
        <v>1112163</v>
      </c>
      <c r="T111" s="136">
        <v>20729.972041006524</v>
      </c>
      <c r="U111" s="136">
        <v>62758.639328984158</v>
      </c>
      <c r="V111" s="136">
        <v>1276597.1144454801</v>
      </c>
      <c r="W111" s="147" t="s">
        <v>11</v>
      </c>
      <c r="X111" s="185">
        <v>0.05</v>
      </c>
      <c r="Y111" s="137">
        <v>44369</v>
      </c>
      <c r="Z111" s="137">
        <v>45415</v>
      </c>
      <c r="AA111" s="137">
        <v>45415</v>
      </c>
      <c r="AB111" s="138">
        <v>1047</v>
      </c>
      <c r="AC111" s="139" t="s">
        <v>10</v>
      </c>
      <c r="AD111" s="138">
        <v>946</v>
      </c>
      <c r="AE111" s="140">
        <v>2.591780821917808</v>
      </c>
      <c r="AF111" s="184"/>
      <c r="AG111" s="219" t="s">
        <v>1</v>
      </c>
      <c r="AH111" s="219" t="s">
        <v>1</v>
      </c>
      <c r="AI111" s="215" t="s">
        <v>0</v>
      </c>
      <c r="AJ111" s="11" t="s">
        <v>0</v>
      </c>
      <c r="AK111" s="164" t="s">
        <v>563</v>
      </c>
      <c r="AL111" s="131" t="s">
        <v>592</v>
      </c>
      <c r="AO111" s="197" t="s">
        <v>35</v>
      </c>
      <c r="AP111" s="198" t="s">
        <v>104</v>
      </c>
      <c r="AS111" s="212">
        <v>0</v>
      </c>
      <c r="AT111" s="212">
        <v>2487.5966449207826</v>
      </c>
      <c r="AU111" s="212" t="b">
        <v>0</v>
      </c>
      <c r="AV111" s="212"/>
      <c r="AW111" s="212">
        <v>0</v>
      </c>
      <c r="AX111" s="212">
        <v>0</v>
      </c>
      <c r="BA111" s="11">
        <v>0</v>
      </c>
    </row>
    <row r="112" spans="1:53" ht="39.950000000000003" hidden="1" customHeight="1" x14ac:dyDescent="0.2">
      <c r="A112" s="131" t="s">
        <v>593</v>
      </c>
      <c r="B112" s="132" t="s">
        <v>67</v>
      </c>
      <c r="C112" s="133" t="s">
        <v>588</v>
      </c>
      <c r="D112" s="131" t="s">
        <v>542</v>
      </c>
      <c r="E112" s="161" t="s">
        <v>127</v>
      </c>
      <c r="F112" s="131" t="s">
        <v>159</v>
      </c>
      <c r="G112" s="131" t="s">
        <v>167</v>
      </c>
      <c r="H112" s="131" t="s">
        <v>167</v>
      </c>
      <c r="I112" s="133" t="s">
        <v>589</v>
      </c>
      <c r="J112" s="133" t="s">
        <v>218</v>
      </c>
      <c r="K112" s="14" t="s">
        <v>140</v>
      </c>
      <c r="L112" s="134" t="s">
        <v>191</v>
      </c>
      <c r="M112" s="134" t="s">
        <v>59</v>
      </c>
      <c r="N112" s="132" t="s">
        <v>43</v>
      </c>
      <c r="O112" s="132" t="s">
        <v>538</v>
      </c>
      <c r="P112" s="132" t="s">
        <v>534</v>
      </c>
      <c r="Q112" s="135" t="s">
        <v>59</v>
      </c>
      <c r="R112" s="136">
        <v>24031.144363094569</v>
      </c>
      <c r="S112" s="73">
        <v>15000</v>
      </c>
      <c r="T112" s="136">
        <v>24031.144363094569</v>
      </c>
      <c r="U112" s="136">
        <v>160207.62908729713</v>
      </c>
      <c r="V112" s="136">
        <v>1624585.190406767</v>
      </c>
      <c r="W112" s="147" t="s">
        <v>11</v>
      </c>
      <c r="X112" s="185">
        <v>2.8500000000000001E-2</v>
      </c>
      <c r="Y112" s="137">
        <v>44372</v>
      </c>
      <c r="Z112" s="137">
        <v>46475</v>
      </c>
      <c r="AA112" s="137">
        <v>46475</v>
      </c>
      <c r="AB112" s="138">
        <v>2104</v>
      </c>
      <c r="AC112" s="139" t="s">
        <v>10</v>
      </c>
      <c r="AD112" s="138">
        <v>2006</v>
      </c>
      <c r="AE112" s="140">
        <v>5.4958904109589044</v>
      </c>
      <c r="AF112" s="184" t="s">
        <v>436</v>
      </c>
      <c r="AG112" s="219" t="s">
        <v>1</v>
      </c>
      <c r="AH112" s="219" t="s">
        <v>1</v>
      </c>
      <c r="AI112" s="215" t="s">
        <v>0</v>
      </c>
      <c r="AJ112" s="11" t="s">
        <v>0</v>
      </c>
      <c r="AK112" s="164" t="s">
        <v>271</v>
      </c>
      <c r="AL112" s="131" t="s">
        <v>582</v>
      </c>
      <c r="AO112" s="197" t="s">
        <v>127</v>
      </c>
      <c r="AP112" s="198" t="s">
        <v>159</v>
      </c>
      <c r="AS112" s="212">
        <v>0</v>
      </c>
      <c r="AT112" s="212">
        <v>2883.737323571348</v>
      </c>
      <c r="AU112" s="212">
        <v>576.74746471426965</v>
      </c>
      <c r="AV112" s="212"/>
      <c r="AW112" s="212">
        <v>0</v>
      </c>
      <c r="AX112" s="212">
        <v>0</v>
      </c>
      <c r="BA112" s="11">
        <v>0</v>
      </c>
    </row>
    <row r="113" spans="1:53" ht="39.950000000000003" hidden="1" customHeight="1" x14ac:dyDescent="0.2">
      <c r="A113" s="131" t="s">
        <v>594</v>
      </c>
      <c r="B113" s="132" t="s">
        <v>67</v>
      </c>
      <c r="C113" s="133" t="s">
        <v>588</v>
      </c>
      <c r="D113" s="131" t="s">
        <v>499</v>
      </c>
      <c r="E113" s="220" t="s">
        <v>162</v>
      </c>
      <c r="F113" s="131" t="s">
        <v>233</v>
      </c>
      <c r="G113" s="131" t="s">
        <v>443</v>
      </c>
      <c r="H113" s="221" t="s">
        <v>234</v>
      </c>
      <c r="I113" s="133" t="s">
        <v>589</v>
      </c>
      <c r="J113" s="133" t="s">
        <v>218</v>
      </c>
      <c r="K113" s="217" t="s">
        <v>209</v>
      </c>
      <c r="L113" s="134" t="s">
        <v>191</v>
      </c>
      <c r="M113" s="134" t="s">
        <v>59</v>
      </c>
      <c r="N113" s="132" t="s">
        <v>43</v>
      </c>
      <c r="O113" s="132" t="s">
        <v>538</v>
      </c>
      <c r="P113" s="132" t="s">
        <v>534</v>
      </c>
      <c r="Q113" s="135" t="s">
        <v>9</v>
      </c>
      <c r="R113" s="136">
        <v>20764.119601328901</v>
      </c>
      <c r="S113" s="73">
        <v>15000</v>
      </c>
      <c r="T113" s="136">
        <v>20764.119601328901</v>
      </c>
      <c r="U113" s="136">
        <v>96622.369878183832</v>
      </c>
      <c r="V113" s="136">
        <v>1759921.3039867107</v>
      </c>
      <c r="W113" s="147" t="s">
        <v>11</v>
      </c>
      <c r="X113" s="185">
        <v>4.4999999999999998E-2</v>
      </c>
      <c r="Y113" s="137">
        <v>44372</v>
      </c>
      <c r="Z113" s="137">
        <v>46112</v>
      </c>
      <c r="AA113" s="137">
        <v>46112</v>
      </c>
      <c r="AB113" s="138">
        <v>1741</v>
      </c>
      <c r="AC113" s="139" t="s">
        <v>10</v>
      </c>
      <c r="AD113" s="138">
        <v>1643</v>
      </c>
      <c r="AE113" s="140">
        <v>4.5013698630136982</v>
      </c>
      <c r="AF113" s="184" t="s">
        <v>436</v>
      </c>
      <c r="AG113" s="219" t="s">
        <v>1</v>
      </c>
      <c r="AH113" s="219" t="s">
        <v>1</v>
      </c>
      <c r="AI113" s="215" t="s">
        <v>0</v>
      </c>
      <c r="AJ113" s="11" t="s">
        <v>0</v>
      </c>
      <c r="AK113" s="164" t="s">
        <v>271</v>
      </c>
      <c r="AL113" s="131" t="s">
        <v>583</v>
      </c>
      <c r="AO113" s="197" t="s">
        <v>162</v>
      </c>
      <c r="AP113" s="198" t="s">
        <v>233</v>
      </c>
      <c r="AS113" s="212">
        <v>0</v>
      </c>
      <c r="AT113" s="212">
        <v>2491.6943521594681</v>
      </c>
      <c r="AU113" s="212">
        <v>498.33887043189361</v>
      </c>
      <c r="AV113" s="212"/>
      <c r="AW113" s="212">
        <v>0</v>
      </c>
      <c r="AX113" s="212">
        <v>0</v>
      </c>
      <c r="BA113" s="11">
        <v>0</v>
      </c>
    </row>
    <row r="114" spans="1:53" ht="39.950000000000003" hidden="1" customHeight="1" x14ac:dyDescent="0.2">
      <c r="A114" s="131" t="s">
        <v>595</v>
      </c>
      <c r="B114" s="132" t="s">
        <v>51</v>
      </c>
      <c r="C114" s="133" t="s">
        <v>38</v>
      </c>
      <c r="D114" s="131" t="s">
        <v>541</v>
      </c>
      <c r="E114" s="161" t="s">
        <v>36</v>
      </c>
      <c r="F114" s="131" t="s">
        <v>102</v>
      </c>
      <c r="G114" s="131" t="s">
        <v>102</v>
      </c>
      <c r="H114" s="222" t="s">
        <v>474</v>
      </c>
      <c r="I114" s="133" t="s">
        <v>142</v>
      </c>
      <c r="J114" s="133" t="s">
        <v>218</v>
      </c>
      <c r="K114" s="217" t="s">
        <v>209</v>
      </c>
      <c r="L114" s="134" t="s">
        <v>191</v>
      </c>
      <c r="M114" s="134" t="s">
        <v>323</v>
      </c>
      <c r="N114" s="132" t="s">
        <v>43</v>
      </c>
      <c r="O114" s="132" t="s">
        <v>538</v>
      </c>
      <c r="P114" s="132" t="s">
        <v>534</v>
      </c>
      <c r="Q114" s="135" t="s">
        <v>9</v>
      </c>
      <c r="R114" s="136">
        <v>20764.119601328901</v>
      </c>
      <c r="S114" s="73">
        <v>15000</v>
      </c>
      <c r="T114" s="136">
        <v>20764.119601328901</v>
      </c>
      <c r="U114" s="136">
        <v>41528.239202657802</v>
      </c>
      <c r="V114" s="136">
        <v>2530338.7043189364</v>
      </c>
      <c r="W114" s="147" t="s">
        <v>11</v>
      </c>
      <c r="X114" s="185">
        <v>7.85E-2</v>
      </c>
      <c r="Y114" s="137">
        <v>44377</v>
      </c>
      <c r="Z114" s="137">
        <v>45460</v>
      </c>
      <c r="AA114" s="137">
        <v>45460</v>
      </c>
      <c r="AB114" s="138">
        <v>1084</v>
      </c>
      <c r="AC114" s="139" t="s">
        <v>10</v>
      </c>
      <c r="AD114" s="138">
        <v>991</v>
      </c>
      <c r="AE114" s="140">
        <v>2.7150684931506848</v>
      </c>
      <c r="AF114" s="184" t="s">
        <v>436</v>
      </c>
      <c r="AG114" s="219" t="s">
        <v>1</v>
      </c>
      <c r="AH114" s="219" t="s">
        <v>1</v>
      </c>
      <c r="AI114" s="215" t="s">
        <v>0</v>
      </c>
      <c r="AJ114" s="11" t="s">
        <v>0</v>
      </c>
      <c r="AK114" s="164" t="s">
        <v>271</v>
      </c>
      <c r="AL114" s="131" t="s">
        <v>584</v>
      </c>
      <c r="AO114" s="197" t="s">
        <v>36</v>
      </c>
      <c r="AP114" s="198" t="s">
        <v>102</v>
      </c>
      <c r="AS114" s="212">
        <v>0</v>
      </c>
      <c r="AT114" s="212">
        <v>2491.6943521594681</v>
      </c>
      <c r="AU114" s="212">
        <v>498.33887043189361</v>
      </c>
      <c r="AV114" s="212"/>
      <c r="AW114" s="212">
        <v>0</v>
      </c>
      <c r="AX114" s="212">
        <v>0</v>
      </c>
      <c r="BA114" s="11">
        <v>0</v>
      </c>
    </row>
    <row r="115" spans="1:53" ht="39.950000000000003" hidden="1" customHeight="1" x14ac:dyDescent="0.2">
      <c r="A115" s="131" t="s">
        <v>596</v>
      </c>
      <c r="B115" s="132" t="s">
        <v>24</v>
      </c>
      <c r="C115" s="133" t="s">
        <v>166</v>
      </c>
      <c r="D115" s="131" t="s">
        <v>542</v>
      </c>
      <c r="E115" s="161" t="s">
        <v>166</v>
      </c>
      <c r="F115" s="131" t="s">
        <v>102</v>
      </c>
      <c r="G115" s="131" t="s">
        <v>102</v>
      </c>
      <c r="H115" s="66" t="s">
        <v>103</v>
      </c>
      <c r="I115" s="133" t="s">
        <v>597</v>
      </c>
      <c r="J115" s="133" t="s">
        <v>220</v>
      </c>
      <c r="K115" s="217" t="s">
        <v>209</v>
      </c>
      <c r="L115" s="134" t="s">
        <v>191</v>
      </c>
      <c r="M115" s="134" t="s">
        <v>59</v>
      </c>
      <c r="N115" s="132" t="s">
        <v>43</v>
      </c>
      <c r="O115" s="132" t="s">
        <v>538</v>
      </c>
      <c r="P115" s="132" t="s">
        <v>534</v>
      </c>
      <c r="Q115" s="135" t="s">
        <v>59</v>
      </c>
      <c r="R115" s="136">
        <v>35245.678399205368</v>
      </c>
      <c r="S115" s="73">
        <v>22000</v>
      </c>
      <c r="T115" s="136">
        <v>35245.678399205368</v>
      </c>
      <c r="U115" s="136">
        <v>297345.35958602349</v>
      </c>
      <c r="V115" s="136">
        <v>1911471.0424710426</v>
      </c>
      <c r="W115" s="147" t="s">
        <v>11</v>
      </c>
      <c r="X115" s="185">
        <v>1.4500000000000001E-2</v>
      </c>
      <c r="Y115" s="137">
        <v>44376</v>
      </c>
      <c r="Z115" s="137">
        <v>46565</v>
      </c>
      <c r="AA115" s="137">
        <v>46565</v>
      </c>
      <c r="AB115" s="138">
        <v>2190</v>
      </c>
      <c r="AC115" s="139" t="s">
        <v>10</v>
      </c>
      <c r="AD115" s="138">
        <v>2096</v>
      </c>
      <c r="AE115" s="140">
        <v>5.7424657534246579</v>
      </c>
      <c r="AF115" s="184" t="s">
        <v>436</v>
      </c>
      <c r="AG115" s="219" t="s">
        <v>1</v>
      </c>
      <c r="AH115" s="219" t="s">
        <v>1</v>
      </c>
      <c r="AI115" s="215" t="s">
        <v>0</v>
      </c>
      <c r="AJ115" s="11" t="s">
        <v>0</v>
      </c>
      <c r="AK115" s="164" t="s">
        <v>563</v>
      </c>
      <c r="AL115" s="131" t="s">
        <v>585</v>
      </c>
      <c r="AO115" s="197" t="s">
        <v>166</v>
      </c>
      <c r="AP115" s="198" t="s">
        <v>102</v>
      </c>
      <c r="AS115" s="212">
        <v>0</v>
      </c>
      <c r="AT115" s="212">
        <v>4229.4814079046437</v>
      </c>
      <c r="AU115" s="212">
        <v>845.89628158092876</v>
      </c>
      <c r="AV115" s="212"/>
      <c r="AW115" s="212">
        <v>0</v>
      </c>
      <c r="AX115" s="212">
        <v>0</v>
      </c>
      <c r="BA115" s="11">
        <v>0</v>
      </c>
    </row>
    <row r="116" spans="1:53" ht="39.950000000000003" hidden="1" customHeight="1" x14ac:dyDescent="0.2">
      <c r="A116" s="131" t="s">
        <v>625</v>
      </c>
      <c r="B116" s="132" t="s">
        <v>67</v>
      </c>
      <c r="C116" s="133" t="s">
        <v>127</v>
      </c>
      <c r="D116" s="131" t="s">
        <v>542</v>
      </c>
      <c r="E116" s="161" t="s">
        <v>88</v>
      </c>
      <c r="F116" s="131" t="s">
        <v>233</v>
      </c>
      <c r="G116" s="131" t="s">
        <v>443</v>
      </c>
      <c r="H116" s="66" t="s">
        <v>234</v>
      </c>
      <c r="I116" s="133" t="s">
        <v>165</v>
      </c>
      <c r="J116" s="133" t="s">
        <v>220</v>
      </c>
      <c r="K116" s="217" t="s">
        <v>140</v>
      </c>
      <c r="L116" s="134" t="s">
        <v>191</v>
      </c>
      <c r="M116" s="134" t="s">
        <v>59</v>
      </c>
      <c r="N116" s="132" t="s">
        <v>43</v>
      </c>
      <c r="O116" s="132" t="s">
        <v>538</v>
      </c>
      <c r="P116" s="132" t="s">
        <v>534</v>
      </c>
      <c r="Q116" s="135" t="s">
        <v>59</v>
      </c>
      <c r="R116" s="136">
        <v>16020.762908729714</v>
      </c>
      <c r="S116" s="73">
        <v>10000</v>
      </c>
      <c r="T116" s="136">
        <v>16020.762908729714</v>
      </c>
      <c r="U116" s="136">
        <v>80103.814543648565</v>
      </c>
      <c r="V116" s="136">
        <v>1520943.3505823547</v>
      </c>
      <c r="W116" s="147" t="s">
        <v>11</v>
      </c>
      <c r="X116" s="185">
        <v>2.5000000000000001E-2</v>
      </c>
      <c r="Y116" s="137">
        <v>44341</v>
      </c>
      <c r="Z116" s="137">
        <v>46837</v>
      </c>
      <c r="AA116" s="137">
        <v>46853</v>
      </c>
      <c r="AB116" s="138">
        <v>2513</v>
      </c>
      <c r="AC116" s="139" t="s">
        <v>10</v>
      </c>
      <c r="AD116" s="138">
        <v>2384</v>
      </c>
      <c r="AE116" s="140">
        <v>6.5315068493150683</v>
      </c>
      <c r="AF116" s="184"/>
      <c r="AG116" s="219" t="s">
        <v>1</v>
      </c>
      <c r="AH116" s="219" t="s">
        <v>1</v>
      </c>
      <c r="AI116" s="215" t="s">
        <v>53</v>
      </c>
      <c r="AJ116" s="11" t="s">
        <v>0</v>
      </c>
      <c r="AK116" s="164" t="s">
        <v>271</v>
      </c>
      <c r="AL116" s="131" t="s">
        <v>626</v>
      </c>
      <c r="AO116" s="197" t="s">
        <v>88</v>
      </c>
      <c r="AP116" s="198" t="s">
        <v>233</v>
      </c>
      <c r="AS116" s="212">
        <v>0</v>
      </c>
      <c r="AT116" s="212">
        <v>1922.4915490475655</v>
      </c>
      <c r="AU116" s="212" t="b">
        <v>0</v>
      </c>
      <c r="AV116" s="212"/>
      <c r="AW116" s="212">
        <v>0</v>
      </c>
      <c r="AX116" s="212">
        <v>0</v>
      </c>
      <c r="BA116" s="11">
        <v>0</v>
      </c>
    </row>
    <row r="117" spans="1:53" ht="39.950000000000003" hidden="1" customHeight="1" x14ac:dyDescent="0.2">
      <c r="A117" s="131" t="s">
        <v>629</v>
      </c>
      <c r="B117" s="132" t="s">
        <v>24</v>
      </c>
      <c r="C117" s="133" t="s">
        <v>38</v>
      </c>
      <c r="D117" s="131" t="s">
        <v>541</v>
      </c>
      <c r="E117" s="161" t="s">
        <v>36</v>
      </c>
      <c r="F117" s="131" t="s">
        <v>102</v>
      </c>
      <c r="G117" s="131" t="s">
        <v>102</v>
      </c>
      <c r="H117" s="222" t="s">
        <v>474</v>
      </c>
      <c r="I117" s="133" t="s">
        <v>142</v>
      </c>
      <c r="J117" s="133" t="s">
        <v>218</v>
      </c>
      <c r="K117" s="217" t="s">
        <v>29</v>
      </c>
      <c r="L117" s="134" t="s">
        <v>191</v>
      </c>
      <c r="M117" s="134" t="s">
        <v>59</v>
      </c>
      <c r="N117" s="132" t="s">
        <v>43</v>
      </c>
      <c r="O117" s="132" t="s">
        <v>538</v>
      </c>
      <c r="P117" s="132" t="s">
        <v>534</v>
      </c>
      <c r="Q117" s="135" t="s">
        <v>9</v>
      </c>
      <c r="R117" s="136">
        <v>27685.49280177187</v>
      </c>
      <c r="S117" s="73">
        <v>20000</v>
      </c>
      <c r="T117" s="136">
        <v>27685.49280177187</v>
      </c>
      <c r="U117" s="136">
        <v>124584.71760797342</v>
      </c>
      <c r="V117" s="136">
        <v>961686.3787375415</v>
      </c>
      <c r="W117" s="147" t="s">
        <v>11</v>
      </c>
      <c r="X117" s="185">
        <v>7.4999999999999997E-2</v>
      </c>
      <c r="Y117" s="137">
        <v>44404</v>
      </c>
      <c r="Z117" s="137">
        <v>44722</v>
      </c>
      <c r="AA117" s="137">
        <v>44722</v>
      </c>
      <c r="AB117" s="138">
        <v>319</v>
      </c>
      <c r="AC117" s="139" t="s">
        <v>10</v>
      </c>
      <c r="AD117" s="138">
        <v>253</v>
      </c>
      <c r="AE117" s="140">
        <v>0.69315068493150689</v>
      </c>
      <c r="AF117" s="184" t="s">
        <v>436</v>
      </c>
      <c r="AG117" s="219" t="s">
        <v>1</v>
      </c>
      <c r="AH117" s="219" t="s">
        <v>1</v>
      </c>
      <c r="AI117" s="215" t="s">
        <v>0</v>
      </c>
      <c r="AJ117" s="11" t="s">
        <v>0</v>
      </c>
      <c r="AK117" s="164" t="s">
        <v>563</v>
      </c>
      <c r="AL117" s="131" t="s">
        <v>627</v>
      </c>
      <c r="AO117" s="197" t="s">
        <v>36</v>
      </c>
      <c r="AP117" s="198" t="s">
        <v>102</v>
      </c>
      <c r="AS117" s="212">
        <v>0</v>
      </c>
      <c r="AT117" s="212">
        <v>3322.2591362126245</v>
      </c>
      <c r="AU117" s="212">
        <v>664.45182724252493</v>
      </c>
      <c r="AV117" s="212"/>
      <c r="AW117" s="212">
        <v>0</v>
      </c>
      <c r="AX117" s="212">
        <v>0</v>
      </c>
      <c r="BA117" s="11">
        <v>0</v>
      </c>
    </row>
    <row r="118" spans="1:53" ht="39.950000000000003" hidden="1" customHeight="1" x14ac:dyDescent="0.2">
      <c r="A118" s="131" t="s">
        <v>630</v>
      </c>
      <c r="B118" s="132" t="s">
        <v>23</v>
      </c>
      <c r="C118" s="133" t="s">
        <v>89</v>
      </c>
      <c r="D118" s="131" t="s">
        <v>542</v>
      </c>
      <c r="E118" s="161" t="s">
        <v>87</v>
      </c>
      <c r="F118" s="131" t="s">
        <v>92</v>
      </c>
      <c r="G118" s="131" t="s">
        <v>134</v>
      </c>
      <c r="H118" s="66" t="s">
        <v>134</v>
      </c>
      <c r="I118" s="133" t="s">
        <v>631</v>
      </c>
      <c r="J118" s="133" t="s">
        <v>256</v>
      </c>
      <c r="K118" s="217" t="s">
        <v>140</v>
      </c>
      <c r="L118" s="134" t="s">
        <v>191</v>
      </c>
      <c r="M118" s="134" t="s">
        <v>59</v>
      </c>
      <c r="N118" s="132" t="s">
        <v>43</v>
      </c>
      <c r="O118" s="132" t="s">
        <v>533</v>
      </c>
      <c r="P118" s="132" t="s">
        <v>534</v>
      </c>
      <c r="Q118" s="135" t="s">
        <v>9</v>
      </c>
      <c r="R118" s="136">
        <v>20764.119601328901</v>
      </c>
      <c r="S118" s="73">
        <v>15000</v>
      </c>
      <c r="T118" s="136">
        <v>20764.119601328901</v>
      </c>
      <c r="U118" s="136">
        <v>173034.3300110742</v>
      </c>
      <c r="V118" s="136">
        <v>808506.33997785149</v>
      </c>
      <c r="W118" s="147" t="s">
        <v>11</v>
      </c>
      <c r="X118" s="185">
        <v>1.9E-2</v>
      </c>
      <c r="Y118" s="137">
        <v>44385</v>
      </c>
      <c r="Z118" s="137">
        <v>46386</v>
      </c>
      <c r="AA118" s="137">
        <v>46386</v>
      </c>
      <c r="AB118" s="138">
        <v>2002</v>
      </c>
      <c r="AC118" s="139" t="s">
        <v>10</v>
      </c>
      <c r="AD118" s="138">
        <v>1917</v>
      </c>
      <c r="AE118" s="140">
        <v>5.2520547945205482</v>
      </c>
      <c r="AF118" s="184" t="s">
        <v>436</v>
      </c>
      <c r="AG118" s="219" t="s">
        <v>1</v>
      </c>
      <c r="AH118" s="219" t="s">
        <v>1</v>
      </c>
      <c r="AI118" s="215" t="s">
        <v>0</v>
      </c>
      <c r="AJ118" s="11" t="s">
        <v>0</v>
      </c>
      <c r="AK118" s="164" t="s">
        <v>271</v>
      </c>
      <c r="AL118" s="131" t="s">
        <v>628</v>
      </c>
      <c r="AO118" s="197" t="s">
        <v>87</v>
      </c>
      <c r="AP118" s="198" t="s">
        <v>92</v>
      </c>
      <c r="AS118" s="212">
        <v>0</v>
      </c>
      <c r="AT118" s="212">
        <v>2491.6943521594681</v>
      </c>
      <c r="AU118" s="212">
        <v>498.33887043189361</v>
      </c>
      <c r="AV118" s="212"/>
      <c r="AW118" s="212">
        <v>0</v>
      </c>
      <c r="AX118" s="212">
        <v>0</v>
      </c>
      <c r="BA118" s="11">
        <v>0</v>
      </c>
    </row>
    <row r="119" spans="1:53" ht="39.950000000000003" hidden="1" customHeight="1" x14ac:dyDescent="0.2">
      <c r="A119" s="131" t="s">
        <v>636</v>
      </c>
      <c r="B119" s="132" t="s">
        <v>243</v>
      </c>
      <c r="C119" s="133" t="s">
        <v>37</v>
      </c>
      <c r="D119" s="131" t="s">
        <v>541</v>
      </c>
      <c r="E119" s="161" t="s">
        <v>152</v>
      </c>
      <c r="F119" s="131" t="s">
        <v>439</v>
      </c>
      <c r="G119" s="131" t="s">
        <v>445</v>
      </c>
      <c r="H119" s="66" t="s">
        <v>463</v>
      </c>
      <c r="I119" s="133" t="s">
        <v>526</v>
      </c>
      <c r="J119" s="133" t="s">
        <v>221</v>
      </c>
      <c r="K119" s="217" t="s">
        <v>140</v>
      </c>
      <c r="L119" s="134" t="s">
        <v>191</v>
      </c>
      <c r="M119" s="134" t="s">
        <v>323</v>
      </c>
      <c r="N119" s="132" t="s">
        <v>43</v>
      </c>
      <c r="O119" s="132" t="s">
        <v>538</v>
      </c>
      <c r="P119" s="132" t="s">
        <v>534</v>
      </c>
      <c r="Q119" s="135" t="s">
        <v>488</v>
      </c>
      <c r="R119" s="136">
        <v>12273.17215777313</v>
      </c>
      <c r="S119" s="136">
        <v>986842.10525999998</v>
      </c>
      <c r="T119" s="136">
        <v>12273.17215777313</v>
      </c>
      <c r="U119" s="136">
        <v>2750650.6506033437</v>
      </c>
      <c r="V119" s="136">
        <v>261547.90532828204</v>
      </c>
      <c r="W119" s="147" t="s">
        <v>11</v>
      </c>
      <c r="X119" s="185">
        <v>2.2499999999999999E-2</v>
      </c>
      <c r="Y119" s="137">
        <v>44418</v>
      </c>
      <c r="Z119" s="137">
        <v>45290</v>
      </c>
      <c r="AA119" s="137">
        <v>45290</v>
      </c>
      <c r="AB119" s="138">
        <v>873</v>
      </c>
      <c r="AC119" s="139" t="s">
        <v>10</v>
      </c>
      <c r="AD119" s="138">
        <v>821</v>
      </c>
      <c r="AE119" s="140">
        <v>2.2493150684931509</v>
      </c>
      <c r="AF119" s="184"/>
      <c r="AG119" s="219" t="s">
        <v>1</v>
      </c>
      <c r="AH119" s="219" t="s">
        <v>1</v>
      </c>
      <c r="AI119" s="215" t="s">
        <v>0</v>
      </c>
      <c r="AJ119" s="11" t="s">
        <v>0</v>
      </c>
      <c r="AK119" s="164" t="s">
        <v>271</v>
      </c>
      <c r="AL119" s="131" t="s">
        <v>632</v>
      </c>
      <c r="AO119" s="197" t="s">
        <v>152</v>
      </c>
      <c r="AP119" s="198" t="s">
        <v>439</v>
      </c>
      <c r="AS119" s="212">
        <v>0</v>
      </c>
      <c r="AT119" s="212">
        <v>1472.7806589327754</v>
      </c>
      <c r="AU119" s="212" t="b">
        <v>0</v>
      </c>
      <c r="AV119" s="212"/>
      <c r="AW119" s="212">
        <v>0</v>
      </c>
      <c r="AX119" s="212">
        <v>0</v>
      </c>
      <c r="BA119" s="11">
        <v>0</v>
      </c>
    </row>
    <row r="120" spans="1:53" ht="39.950000000000003" hidden="1" customHeight="1" x14ac:dyDescent="0.2">
      <c r="A120" s="131" t="s">
        <v>637</v>
      </c>
      <c r="B120" s="132" t="s">
        <v>67</v>
      </c>
      <c r="C120" s="133" t="s">
        <v>38</v>
      </c>
      <c r="D120" s="131" t="s">
        <v>541</v>
      </c>
      <c r="E120" s="161" t="s">
        <v>35</v>
      </c>
      <c r="F120" s="131" t="s">
        <v>159</v>
      </c>
      <c r="G120" s="131" t="s">
        <v>259</v>
      </c>
      <c r="H120" s="66" t="s">
        <v>258</v>
      </c>
      <c r="I120" s="133" t="s">
        <v>638</v>
      </c>
      <c r="J120" s="133" t="s">
        <v>687</v>
      </c>
      <c r="K120" s="217" t="s">
        <v>209</v>
      </c>
      <c r="L120" s="134" t="s">
        <v>191</v>
      </c>
      <c r="M120" s="134" t="s">
        <v>323</v>
      </c>
      <c r="N120" s="132" t="s">
        <v>43</v>
      </c>
      <c r="O120" s="132" t="s">
        <v>538</v>
      </c>
      <c r="P120" s="132" t="s">
        <v>534</v>
      </c>
      <c r="Q120" s="135" t="s">
        <v>9</v>
      </c>
      <c r="R120" s="136">
        <v>13842.746400885935</v>
      </c>
      <c r="S120" s="73">
        <v>10000</v>
      </c>
      <c r="T120" s="136">
        <v>13842.746400885935</v>
      </c>
      <c r="U120" s="136">
        <v>27685.49280177187</v>
      </c>
      <c r="V120" s="136">
        <v>782671.45625692129</v>
      </c>
      <c r="W120" s="147" t="s">
        <v>11</v>
      </c>
      <c r="X120" s="185">
        <v>0.04</v>
      </c>
      <c r="Y120" s="137">
        <v>44425</v>
      </c>
      <c r="Z120" s="137">
        <v>46233</v>
      </c>
      <c r="AA120" s="137">
        <v>46233</v>
      </c>
      <c r="AB120" s="138">
        <v>1809</v>
      </c>
      <c r="AC120" s="139" t="s">
        <v>10</v>
      </c>
      <c r="AD120" s="138">
        <v>1764</v>
      </c>
      <c r="AE120" s="140">
        <v>4.8328767123287673</v>
      </c>
      <c r="AF120" s="184"/>
      <c r="AG120" s="219" t="s">
        <v>1</v>
      </c>
      <c r="AH120" s="219" t="s">
        <v>1</v>
      </c>
      <c r="AI120" s="215" t="s">
        <v>0</v>
      </c>
      <c r="AJ120" s="11" t="s">
        <v>0</v>
      </c>
      <c r="AK120" s="164" t="s">
        <v>271</v>
      </c>
      <c r="AL120" s="131" t="s">
        <v>633</v>
      </c>
      <c r="AO120" s="197" t="s">
        <v>35</v>
      </c>
      <c r="AP120" s="198" t="s">
        <v>159</v>
      </c>
      <c r="AS120" s="212">
        <v>0</v>
      </c>
      <c r="AT120" s="212">
        <v>1661.1295681063123</v>
      </c>
      <c r="AU120" s="212" t="b">
        <v>0</v>
      </c>
      <c r="AV120" s="212"/>
      <c r="AW120" s="212">
        <v>0</v>
      </c>
      <c r="AX120" s="212">
        <v>0</v>
      </c>
      <c r="BA120" s="11">
        <v>0</v>
      </c>
    </row>
    <row r="121" spans="1:53" ht="39.950000000000003" hidden="1" customHeight="1" x14ac:dyDescent="0.2">
      <c r="A121" s="131" t="s">
        <v>639</v>
      </c>
      <c r="B121" s="132" t="s">
        <v>24</v>
      </c>
      <c r="C121" s="133" t="s">
        <v>38</v>
      </c>
      <c r="D121" s="131" t="s">
        <v>541</v>
      </c>
      <c r="E121" s="161" t="s">
        <v>35</v>
      </c>
      <c r="F121" s="131" t="s">
        <v>159</v>
      </c>
      <c r="G121" s="131" t="s">
        <v>259</v>
      </c>
      <c r="H121" s="66" t="s">
        <v>258</v>
      </c>
      <c r="I121" s="133" t="s">
        <v>638</v>
      </c>
      <c r="J121" s="133" t="s">
        <v>687</v>
      </c>
      <c r="K121" s="217" t="s">
        <v>139</v>
      </c>
      <c r="L121" s="134" t="s">
        <v>191</v>
      </c>
      <c r="M121" s="134" t="s">
        <v>323</v>
      </c>
      <c r="N121" s="132" t="s">
        <v>43</v>
      </c>
      <c r="O121" s="132" t="s">
        <v>538</v>
      </c>
      <c r="P121" s="132" t="s">
        <v>534</v>
      </c>
      <c r="Q121" s="135" t="s">
        <v>9</v>
      </c>
      <c r="R121" s="136">
        <v>27685.49280177187</v>
      </c>
      <c r="S121" s="73">
        <v>20000</v>
      </c>
      <c r="T121" s="136">
        <v>20764.119601328901</v>
      </c>
      <c r="U121" s="136">
        <v>55370.985603543741</v>
      </c>
      <c r="V121" s="136">
        <v>1936870.4318936872</v>
      </c>
      <c r="W121" s="147" t="s">
        <v>11</v>
      </c>
      <c r="X121" s="185">
        <v>3.3300000000000003E-2</v>
      </c>
      <c r="Y121" s="137">
        <v>44425</v>
      </c>
      <c r="Z121" s="137">
        <v>46240</v>
      </c>
      <c r="AA121" s="137">
        <v>46270</v>
      </c>
      <c r="AB121" s="138">
        <v>1846</v>
      </c>
      <c r="AC121" s="139" t="s">
        <v>10</v>
      </c>
      <c r="AD121" s="138">
        <v>1801</v>
      </c>
      <c r="AE121" s="140">
        <v>4.934246575342466</v>
      </c>
      <c r="AF121" s="184" t="s">
        <v>436</v>
      </c>
      <c r="AG121" s="219" t="s">
        <v>1</v>
      </c>
      <c r="AH121" s="219" t="s">
        <v>1</v>
      </c>
      <c r="AI121" s="215" t="s">
        <v>0</v>
      </c>
      <c r="AJ121" s="11" t="s">
        <v>0</v>
      </c>
      <c r="AK121" s="164" t="s">
        <v>563</v>
      </c>
      <c r="AL121" s="131" t="s">
        <v>640</v>
      </c>
      <c r="AO121" s="197" t="s">
        <v>35</v>
      </c>
      <c r="AP121" s="198" t="s">
        <v>159</v>
      </c>
      <c r="AS121" s="212">
        <v>0</v>
      </c>
      <c r="AT121" s="212">
        <v>2491.6943521594681</v>
      </c>
      <c r="AU121" s="212">
        <v>498.33887043189361</v>
      </c>
      <c r="AV121" s="212"/>
      <c r="AW121" s="212">
        <v>0</v>
      </c>
      <c r="AX121" s="212">
        <v>0</v>
      </c>
      <c r="BA121" s="11">
        <v>0</v>
      </c>
    </row>
    <row r="122" spans="1:53" ht="39.950000000000003" hidden="1" customHeight="1" x14ac:dyDescent="0.2">
      <c r="A122" s="131" t="s">
        <v>641</v>
      </c>
      <c r="B122" s="132" t="s">
        <v>51</v>
      </c>
      <c r="C122" s="133" t="s">
        <v>38</v>
      </c>
      <c r="D122" s="131" t="s">
        <v>541</v>
      </c>
      <c r="E122" s="161" t="s">
        <v>35</v>
      </c>
      <c r="F122" s="131" t="s">
        <v>475</v>
      </c>
      <c r="G122" s="131" t="s">
        <v>138</v>
      </c>
      <c r="H122" s="66" t="s">
        <v>138</v>
      </c>
      <c r="I122" s="133" t="s">
        <v>638</v>
      </c>
      <c r="J122" s="133" t="s">
        <v>687</v>
      </c>
      <c r="K122" s="217" t="s">
        <v>209</v>
      </c>
      <c r="L122" s="134" t="s">
        <v>191</v>
      </c>
      <c r="M122" s="134" t="s">
        <v>323</v>
      </c>
      <c r="N122" s="132" t="s">
        <v>43</v>
      </c>
      <c r="O122" s="132" t="s">
        <v>538</v>
      </c>
      <c r="P122" s="132" t="s">
        <v>534</v>
      </c>
      <c r="Q122" s="135" t="s">
        <v>9</v>
      </c>
      <c r="R122" s="136">
        <v>10382.05980066445</v>
      </c>
      <c r="S122" s="73">
        <v>7500</v>
      </c>
      <c r="T122" s="136">
        <v>10382.05980066445</v>
      </c>
      <c r="U122" s="136">
        <v>20764.119601328901</v>
      </c>
      <c r="V122" s="136">
        <v>1500120.4318936877</v>
      </c>
      <c r="W122" s="147" t="s">
        <v>11</v>
      </c>
      <c r="X122" s="185">
        <v>6.7500000000000004E-2</v>
      </c>
      <c r="Y122" s="137">
        <v>44434</v>
      </c>
      <c r="Z122" s="137">
        <v>45791</v>
      </c>
      <c r="AA122" s="137">
        <v>45821</v>
      </c>
      <c r="AB122" s="138">
        <v>1388</v>
      </c>
      <c r="AC122" s="139" t="s">
        <v>10</v>
      </c>
      <c r="AD122" s="138">
        <v>1352</v>
      </c>
      <c r="AE122" s="140">
        <v>3.7041095890410958</v>
      </c>
      <c r="AF122" s="184"/>
      <c r="AG122" s="219" t="s">
        <v>1</v>
      </c>
      <c r="AH122" s="219" t="s">
        <v>1</v>
      </c>
      <c r="AI122" s="215" t="s">
        <v>0</v>
      </c>
      <c r="AJ122" s="11" t="s">
        <v>0</v>
      </c>
      <c r="AK122" s="164" t="s">
        <v>271</v>
      </c>
      <c r="AL122" s="131" t="s">
        <v>634</v>
      </c>
      <c r="AO122" s="197" t="s">
        <v>35</v>
      </c>
      <c r="AP122" s="198" t="s">
        <v>475</v>
      </c>
      <c r="AS122" s="212">
        <v>0</v>
      </c>
      <c r="AT122" s="212">
        <v>1245.847176079734</v>
      </c>
      <c r="AU122" s="212" t="b">
        <v>0</v>
      </c>
      <c r="AV122" s="212"/>
      <c r="AW122" s="212">
        <v>0</v>
      </c>
      <c r="AX122" s="212">
        <v>0</v>
      </c>
      <c r="BA122" s="11">
        <v>0</v>
      </c>
    </row>
    <row r="123" spans="1:53" ht="39.950000000000003" hidden="1" customHeight="1" x14ac:dyDescent="0.2">
      <c r="A123" s="131" t="s">
        <v>642</v>
      </c>
      <c r="B123" s="132" t="s">
        <v>67</v>
      </c>
      <c r="C123" s="133" t="s">
        <v>588</v>
      </c>
      <c r="D123" s="131" t="s">
        <v>499</v>
      </c>
      <c r="E123" s="161" t="s">
        <v>643</v>
      </c>
      <c r="F123" s="131" t="s">
        <v>159</v>
      </c>
      <c r="G123" s="131" t="s">
        <v>167</v>
      </c>
      <c r="H123" s="66" t="s">
        <v>167</v>
      </c>
      <c r="I123" s="133" t="s">
        <v>589</v>
      </c>
      <c r="J123" s="133" t="s">
        <v>218</v>
      </c>
      <c r="K123" s="217" t="s">
        <v>209</v>
      </c>
      <c r="L123" s="134" t="s">
        <v>191</v>
      </c>
      <c r="M123" s="134" t="s">
        <v>59</v>
      </c>
      <c r="N123" s="132" t="s">
        <v>43</v>
      </c>
      <c r="O123" s="132" t="s">
        <v>538</v>
      </c>
      <c r="P123" s="132" t="s">
        <v>534</v>
      </c>
      <c r="Q123" s="135" t="s">
        <v>644</v>
      </c>
      <c r="R123" s="136">
        <v>16349.415344907267</v>
      </c>
      <c r="S123" s="73">
        <v>15000</v>
      </c>
      <c r="T123" s="136">
        <v>16349.415344907267</v>
      </c>
      <c r="U123" s="136">
        <v>32698.830689814535</v>
      </c>
      <c r="V123" s="136">
        <v>2192049.2248197207</v>
      </c>
      <c r="W123" s="147" t="s">
        <v>11</v>
      </c>
      <c r="X123" s="185">
        <v>5.7500000000000002E-2</v>
      </c>
      <c r="Y123" s="137">
        <v>44433</v>
      </c>
      <c r="Z123" s="137">
        <v>46142</v>
      </c>
      <c r="AA123" s="137">
        <v>46163</v>
      </c>
      <c r="AB123" s="138">
        <v>1731</v>
      </c>
      <c r="AC123" s="139" t="s">
        <v>10</v>
      </c>
      <c r="AD123" s="138">
        <v>1694</v>
      </c>
      <c r="AE123" s="140">
        <v>4.6410958904109592</v>
      </c>
      <c r="AF123" s="184"/>
      <c r="AG123" s="219" t="s">
        <v>1</v>
      </c>
      <c r="AH123" s="219" t="s">
        <v>1</v>
      </c>
      <c r="AI123" s="215" t="s">
        <v>0</v>
      </c>
      <c r="AJ123" s="11" t="s">
        <v>0</v>
      </c>
      <c r="AK123" s="164" t="s">
        <v>271</v>
      </c>
      <c r="AL123" s="131" t="s">
        <v>635</v>
      </c>
      <c r="AO123" s="197" t="s">
        <v>643</v>
      </c>
      <c r="AP123" s="198" t="s">
        <v>159</v>
      </c>
      <c r="AS123" s="212">
        <v>0</v>
      </c>
      <c r="AT123" s="212">
        <v>1961.9298413888721</v>
      </c>
      <c r="AU123" s="212" t="b">
        <v>0</v>
      </c>
      <c r="AV123" s="212"/>
      <c r="AW123" s="212">
        <v>0</v>
      </c>
      <c r="AX123" s="212">
        <v>0</v>
      </c>
      <c r="BA123" s="11">
        <v>0</v>
      </c>
    </row>
    <row r="124" spans="1:53" ht="39.950000000000003" hidden="1" customHeight="1" x14ac:dyDescent="0.2">
      <c r="A124" s="131" t="s">
        <v>646</v>
      </c>
      <c r="B124" s="132" t="s">
        <v>67</v>
      </c>
      <c r="C124" s="133" t="s">
        <v>38</v>
      </c>
      <c r="D124" s="131" t="s">
        <v>541</v>
      </c>
      <c r="E124" s="161" t="s">
        <v>35</v>
      </c>
      <c r="F124" s="131" t="s">
        <v>159</v>
      </c>
      <c r="G124" s="131" t="s">
        <v>259</v>
      </c>
      <c r="H124" s="66" t="s">
        <v>258</v>
      </c>
      <c r="I124" s="133" t="s">
        <v>142</v>
      </c>
      <c r="J124" s="133" t="s">
        <v>218</v>
      </c>
      <c r="K124" s="217" t="s">
        <v>209</v>
      </c>
      <c r="L124" s="134" t="s">
        <v>191</v>
      </c>
      <c r="M124" s="134" t="s">
        <v>323</v>
      </c>
      <c r="N124" s="132" t="s">
        <v>43</v>
      </c>
      <c r="O124" s="132" t="s">
        <v>538</v>
      </c>
      <c r="P124" s="132" t="s">
        <v>534</v>
      </c>
      <c r="Q124" s="135" t="s">
        <v>9</v>
      </c>
      <c r="R124" s="136">
        <v>9551.4950166112958</v>
      </c>
      <c r="S124" s="73">
        <v>6900</v>
      </c>
      <c r="T124" s="136">
        <v>9551.4950166112958</v>
      </c>
      <c r="U124" s="136">
        <v>19102.990033222592</v>
      </c>
      <c r="V124" s="136">
        <v>935515.89147286827</v>
      </c>
      <c r="W124" s="147" t="s">
        <v>11</v>
      </c>
      <c r="X124" s="185">
        <v>0.04</v>
      </c>
      <c r="Y124" s="137">
        <v>44441</v>
      </c>
      <c r="Z124" s="137">
        <v>46217</v>
      </c>
      <c r="AA124" s="137">
        <v>46217</v>
      </c>
      <c r="AB124" s="138">
        <v>1777</v>
      </c>
      <c r="AC124" s="139" t="s">
        <v>10</v>
      </c>
      <c r="AD124" s="138">
        <v>1748</v>
      </c>
      <c r="AE124" s="140">
        <v>4.7890410958904113</v>
      </c>
      <c r="AF124" s="184"/>
      <c r="AG124" s="219" t="s">
        <v>1</v>
      </c>
      <c r="AH124" s="219" t="s">
        <v>1</v>
      </c>
      <c r="AI124" s="215" t="s">
        <v>0</v>
      </c>
      <c r="AJ124" s="11" t="s">
        <v>0</v>
      </c>
      <c r="AK124" s="164" t="s">
        <v>271</v>
      </c>
      <c r="AL124" s="131" t="s">
        <v>645</v>
      </c>
      <c r="AO124" s="197" t="s">
        <v>35</v>
      </c>
      <c r="AP124" s="198" t="s">
        <v>159</v>
      </c>
      <c r="AS124" s="212">
        <v>0</v>
      </c>
      <c r="AT124" s="212">
        <v>1146.1794019933554</v>
      </c>
      <c r="AU124" s="212" t="b">
        <v>0</v>
      </c>
      <c r="AV124" s="212"/>
      <c r="AW124" s="212">
        <v>0</v>
      </c>
      <c r="AX124" s="212">
        <v>0</v>
      </c>
      <c r="BA124" s="11">
        <v>0</v>
      </c>
    </row>
    <row r="125" spans="1:53" ht="39.950000000000003" hidden="1" customHeight="1" x14ac:dyDescent="0.2">
      <c r="A125" s="131" t="s">
        <v>647</v>
      </c>
      <c r="B125" s="132" t="s">
        <v>243</v>
      </c>
      <c r="C125" s="133" t="s">
        <v>38</v>
      </c>
      <c r="D125" s="131" t="s">
        <v>541</v>
      </c>
      <c r="E125" s="161" t="s">
        <v>36</v>
      </c>
      <c r="F125" s="131" t="s">
        <v>102</v>
      </c>
      <c r="G125" s="131" t="s">
        <v>102</v>
      </c>
      <c r="H125" s="66" t="s">
        <v>473</v>
      </c>
      <c r="I125" s="133" t="s">
        <v>142</v>
      </c>
      <c r="J125" s="133" t="s">
        <v>218</v>
      </c>
      <c r="K125" s="217" t="s">
        <v>101</v>
      </c>
      <c r="L125" s="134" t="s">
        <v>191</v>
      </c>
      <c r="M125" s="134" t="s">
        <v>323</v>
      </c>
      <c r="N125" s="132" t="s">
        <v>43</v>
      </c>
      <c r="O125" s="132" t="s">
        <v>538</v>
      </c>
      <c r="P125" s="132" t="s">
        <v>534</v>
      </c>
      <c r="Q125" s="135" t="s">
        <v>9</v>
      </c>
      <c r="R125" s="136">
        <v>20764.119601328901</v>
      </c>
      <c r="S125" s="73">
        <v>15000</v>
      </c>
      <c r="T125" s="136">
        <v>20764.119601328901</v>
      </c>
      <c r="U125" s="136">
        <v>142580.28792912513</v>
      </c>
      <c r="V125" s="136">
        <v>764955.92469545954</v>
      </c>
      <c r="W125" s="147" t="s">
        <v>11</v>
      </c>
      <c r="X125" s="185">
        <v>2.5000000000000001E-2</v>
      </c>
      <c r="Y125" s="137">
        <v>44441</v>
      </c>
      <c r="Z125" s="137">
        <v>45516</v>
      </c>
      <c r="AA125" s="137">
        <v>45516</v>
      </c>
      <c r="AB125" s="138">
        <v>1076</v>
      </c>
      <c r="AC125" s="139" t="s">
        <v>10</v>
      </c>
      <c r="AD125" s="138">
        <v>1047</v>
      </c>
      <c r="AE125" s="140">
        <v>2.8684931506849316</v>
      </c>
      <c r="AF125" s="184" t="s">
        <v>436</v>
      </c>
      <c r="AG125" s="219" t="s">
        <v>1</v>
      </c>
      <c r="AH125" s="219" t="s">
        <v>1</v>
      </c>
      <c r="AI125" s="215" t="s">
        <v>0</v>
      </c>
      <c r="AJ125" s="11" t="s">
        <v>0</v>
      </c>
      <c r="AK125" s="164" t="s">
        <v>271</v>
      </c>
      <c r="AL125" s="131" t="s">
        <v>648</v>
      </c>
      <c r="AO125" s="197" t="s">
        <v>36</v>
      </c>
      <c r="AP125" s="198" t="s">
        <v>102</v>
      </c>
      <c r="AS125" s="212">
        <v>0</v>
      </c>
      <c r="AT125" s="212">
        <v>2491.6943521594681</v>
      </c>
      <c r="AU125" s="212">
        <v>498.33887043189361</v>
      </c>
      <c r="AV125" s="212"/>
      <c r="AW125" s="212">
        <v>0</v>
      </c>
      <c r="AX125" s="212">
        <v>0</v>
      </c>
      <c r="BA125" s="11">
        <v>0</v>
      </c>
    </row>
    <row r="126" spans="1:53" ht="39.950000000000003" hidden="1" customHeight="1" x14ac:dyDescent="0.2">
      <c r="A126" s="131" t="s">
        <v>652</v>
      </c>
      <c r="B126" s="132" t="s">
        <v>51</v>
      </c>
      <c r="C126" s="133" t="s">
        <v>38</v>
      </c>
      <c r="D126" s="131" t="s">
        <v>541</v>
      </c>
      <c r="E126" s="161" t="s">
        <v>37</v>
      </c>
      <c r="F126" s="131" t="s">
        <v>653</v>
      </c>
      <c r="G126" s="131" t="s">
        <v>117</v>
      </c>
      <c r="H126" s="66" t="s">
        <v>654</v>
      </c>
      <c r="I126" s="133" t="s">
        <v>142</v>
      </c>
      <c r="J126" s="133" t="s">
        <v>218</v>
      </c>
      <c r="K126" s="217" t="s">
        <v>29</v>
      </c>
      <c r="L126" s="134" t="s">
        <v>191</v>
      </c>
      <c r="M126" s="134" t="s">
        <v>323</v>
      </c>
      <c r="N126" s="132" t="s">
        <v>43</v>
      </c>
      <c r="O126" s="132" t="s">
        <v>538</v>
      </c>
      <c r="P126" s="132" t="s">
        <v>534</v>
      </c>
      <c r="Q126" s="135" t="s">
        <v>9</v>
      </c>
      <c r="R126" s="136">
        <v>10382.05980066445</v>
      </c>
      <c r="S126" s="73">
        <v>7500</v>
      </c>
      <c r="T126" s="136">
        <v>10382.05980066445</v>
      </c>
      <c r="U126" s="136">
        <v>20764.119601328901</v>
      </c>
      <c r="V126" s="136">
        <v>193913.81506090806</v>
      </c>
      <c r="W126" s="147" t="s">
        <v>11</v>
      </c>
      <c r="X126" s="185">
        <v>4.4999999999999998E-2</v>
      </c>
      <c r="Y126" s="137">
        <v>44470</v>
      </c>
      <c r="Z126" s="137">
        <v>44828</v>
      </c>
      <c r="AA126" s="137">
        <v>44828</v>
      </c>
      <c r="AB126" s="138">
        <v>359</v>
      </c>
      <c r="AC126" s="139" t="s">
        <v>10</v>
      </c>
      <c r="AD126" s="138">
        <v>359</v>
      </c>
      <c r="AE126" s="140">
        <v>0.98356164383561639</v>
      </c>
      <c r="AF126" s="184"/>
      <c r="AG126" s="219" t="s">
        <v>1</v>
      </c>
      <c r="AH126" s="219" t="s">
        <v>1</v>
      </c>
      <c r="AI126" s="215" t="s">
        <v>0</v>
      </c>
      <c r="AJ126" s="143" t="s">
        <v>0</v>
      </c>
      <c r="AK126" s="164" t="s">
        <v>271</v>
      </c>
      <c r="AL126" s="131" t="s">
        <v>649</v>
      </c>
      <c r="AO126" s="197" t="s">
        <v>37</v>
      </c>
      <c r="AP126" s="198" t="s">
        <v>653</v>
      </c>
      <c r="AS126" s="212">
        <v>0</v>
      </c>
      <c r="AT126" s="212">
        <v>1245.847176079734</v>
      </c>
      <c r="AU126" s="212" t="b">
        <v>0</v>
      </c>
      <c r="AV126" s="212"/>
      <c r="AW126" s="212">
        <v>0</v>
      </c>
      <c r="AX126" s="212">
        <v>0</v>
      </c>
      <c r="BA126" s="11">
        <v>0</v>
      </c>
    </row>
    <row r="127" spans="1:53" ht="39.950000000000003" hidden="1" customHeight="1" x14ac:dyDescent="0.2">
      <c r="A127" s="131" t="s">
        <v>655</v>
      </c>
      <c r="B127" s="132" t="s">
        <v>23</v>
      </c>
      <c r="C127" s="133" t="s">
        <v>34</v>
      </c>
      <c r="D127" s="131" t="s">
        <v>34</v>
      </c>
      <c r="E127" s="161" t="s">
        <v>34</v>
      </c>
      <c r="F127" s="131" t="s">
        <v>475</v>
      </c>
      <c r="G127" s="131" t="s">
        <v>227</v>
      </c>
      <c r="H127" s="14" t="s">
        <v>228</v>
      </c>
      <c r="I127" s="133" t="s">
        <v>656</v>
      </c>
      <c r="J127" s="133" t="s">
        <v>656</v>
      </c>
      <c r="K127" s="217" t="s">
        <v>209</v>
      </c>
      <c r="L127" s="134" t="s">
        <v>191</v>
      </c>
      <c r="M127" s="134" t="s">
        <v>323</v>
      </c>
      <c r="N127" s="132" t="s">
        <v>43</v>
      </c>
      <c r="O127" s="132" t="s">
        <v>531</v>
      </c>
      <c r="P127" s="132" t="s">
        <v>534</v>
      </c>
      <c r="Q127" s="135" t="s">
        <v>8</v>
      </c>
      <c r="R127" s="136">
        <v>15000</v>
      </c>
      <c r="S127" s="73">
        <v>15000</v>
      </c>
      <c r="T127" s="136">
        <v>15000</v>
      </c>
      <c r="U127" s="136">
        <v>64000</v>
      </c>
      <c r="V127" s="136">
        <v>863123.51</v>
      </c>
      <c r="W127" s="147" t="s">
        <v>11</v>
      </c>
      <c r="X127" s="185">
        <v>3.5000000000000003E-2</v>
      </c>
      <c r="Y127" s="137">
        <v>44466</v>
      </c>
      <c r="Z127" s="137">
        <v>45473</v>
      </c>
      <c r="AA127" s="137">
        <v>45473</v>
      </c>
      <c r="AB127" s="138">
        <v>1008</v>
      </c>
      <c r="AC127" s="139" t="s">
        <v>10</v>
      </c>
      <c r="AD127" s="138">
        <v>1004</v>
      </c>
      <c r="AE127" s="140">
        <v>2.7506849315068491</v>
      </c>
      <c r="AF127" s="184"/>
      <c r="AG127" s="219" t="s">
        <v>1</v>
      </c>
      <c r="AH127" s="219" t="s">
        <v>1</v>
      </c>
      <c r="AI127" s="215" t="s">
        <v>0</v>
      </c>
      <c r="AJ127" s="143" t="s">
        <v>0</v>
      </c>
      <c r="AK127" s="164" t="s">
        <v>271</v>
      </c>
      <c r="AL127" s="131" t="s">
        <v>650</v>
      </c>
      <c r="AO127" s="197" t="s">
        <v>34</v>
      </c>
      <c r="AP127" s="198" t="s">
        <v>475</v>
      </c>
      <c r="AS127" s="212">
        <v>0</v>
      </c>
      <c r="AT127" s="212">
        <v>1800</v>
      </c>
      <c r="AU127" s="212" t="b">
        <v>0</v>
      </c>
      <c r="AV127" s="212"/>
      <c r="AW127" s="212">
        <v>0</v>
      </c>
      <c r="AX127" s="212">
        <v>0</v>
      </c>
      <c r="BA127" s="11">
        <v>0</v>
      </c>
    </row>
    <row r="128" spans="1:53" ht="39.950000000000003" hidden="1" customHeight="1" x14ac:dyDescent="0.2">
      <c r="A128" s="14" t="s">
        <v>76</v>
      </c>
      <c r="B128" s="65" t="s">
        <v>51</v>
      </c>
      <c r="C128" s="66" t="s">
        <v>34</v>
      </c>
      <c r="D128" s="13" t="s">
        <v>34</v>
      </c>
      <c r="E128" s="77" t="s">
        <v>34</v>
      </c>
      <c r="F128" s="14" t="s">
        <v>104</v>
      </c>
      <c r="G128" s="14" t="s">
        <v>111</v>
      </c>
      <c r="H128" s="66" t="s">
        <v>112</v>
      </c>
      <c r="I128" s="14" t="s">
        <v>21</v>
      </c>
      <c r="J128" s="77" t="s">
        <v>21</v>
      </c>
      <c r="K128" s="13" t="s">
        <v>29</v>
      </c>
      <c r="L128" s="65" t="s">
        <v>191</v>
      </c>
      <c r="M128" s="13" t="s">
        <v>323</v>
      </c>
      <c r="N128" s="13" t="s">
        <v>43</v>
      </c>
      <c r="O128" s="132" t="s">
        <v>533</v>
      </c>
      <c r="P128" s="132" t="s">
        <v>548</v>
      </c>
      <c r="Q128" s="135" t="s">
        <v>9</v>
      </c>
      <c r="R128" s="136">
        <v>27685.49280177187</v>
      </c>
      <c r="S128" s="73">
        <v>20000</v>
      </c>
      <c r="T128" s="136">
        <v>27685.49280177187</v>
      </c>
      <c r="U128" s="136">
        <v>102851.6057585825</v>
      </c>
      <c r="V128" s="136">
        <v>1132478.668327796</v>
      </c>
      <c r="W128" s="147" t="s">
        <v>11</v>
      </c>
      <c r="X128" s="185">
        <v>1.9E-2</v>
      </c>
      <c r="Y128" s="137">
        <v>44470</v>
      </c>
      <c r="Z128" s="137">
        <v>46203</v>
      </c>
      <c r="AA128" s="137">
        <v>46203</v>
      </c>
      <c r="AB128" s="138">
        <v>1734</v>
      </c>
      <c r="AC128" s="139" t="s">
        <v>10</v>
      </c>
      <c r="AD128" s="138">
        <v>1734</v>
      </c>
      <c r="AE128" s="140">
        <v>4.7506849315068491</v>
      </c>
      <c r="AF128" s="184" t="s">
        <v>436</v>
      </c>
      <c r="AG128" s="219" t="s">
        <v>1</v>
      </c>
      <c r="AH128" s="219" t="s">
        <v>1</v>
      </c>
      <c r="AI128" s="215" t="s">
        <v>0</v>
      </c>
      <c r="AJ128" s="143" t="s">
        <v>0</v>
      </c>
      <c r="AK128" s="164" t="s">
        <v>271</v>
      </c>
      <c r="AL128" s="131" t="s">
        <v>651</v>
      </c>
      <c r="AO128" s="197" t="s">
        <v>34</v>
      </c>
      <c r="AP128" s="198" t="s">
        <v>104</v>
      </c>
      <c r="AS128" s="212">
        <v>0</v>
      </c>
      <c r="AT128" s="212">
        <v>3322.2591362126245</v>
      </c>
      <c r="AU128" s="212">
        <v>664.45182724252493</v>
      </c>
      <c r="AV128" s="212"/>
      <c r="AW128" s="212">
        <v>0</v>
      </c>
      <c r="AX128" s="212">
        <v>0</v>
      </c>
      <c r="BA128" s="11">
        <v>0</v>
      </c>
    </row>
    <row r="129" spans="1:53" x14ac:dyDescent="0.2">
      <c r="A129" s="129"/>
      <c r="B129" s="129"/>
      <c r="C129" s="129"/>
      <c r="D129" s="129"/>
      <c r="E129" s="129"/>
      <c r="F129" s="129"/>
      <c r="G129" s="129"/>
      <c r="H129" s="129"/>
      <c r="I129" s="129"/>
      <c r="J129" s="129"/>
      <c r="K129" s="129"/>
      <c r="L129" s="129"/>
      <c r="M129" s="129"/>
      <c r="N129" s="127"/>
      <c r="O129" s="127"/>
      <c r="P129" s="127"/>
      <c r="Q129" s="51" t="s">
        <v>428</v>
      </c>
      <c r="R129" s="50">
        <v>2502379.0330451718</v>
      </c>
      <c r="S129" s="50"/>
      <c r="T129" s="50">
        <v>2381816.613007037</v>
      </c>
      <c r="U129" s="50">
        <v>16162860.911001414</v>
      </c>
      <c r="V129" s="50">
        <v>132458419.92780496</v>
      </c>
      <c r="W129" s="49"/>
      <c r="X129" s="183">
        <v>2.5905148570359623E-2</v>
      </c>
      <c r="Y129" s="48"/>
      <c r="Z129" s="48"/>
      <c r="AA129" s="48" t="s">
        <v>495</v>
      </c>
      <c r="AB129" s="189">
        <v>1741.4290412572659</v>
      </c>
      <c r="AC129" s="47">
        <v>4.7710384691979888</v>
      </c>
      <c r="AD129" s="189">
        <v>1056.2445690461132</v>
      </c>
      <c r="AE129" s="46">
        <v>2.8938207371126388</v>
      </c>
      <c r="AF129" s="45"/>
      <c r="AG129" s="28"/>
      <c r="AH129" s="28"/>
      <c r="AI129" s="44"/>
      <c r="AJ129" s="28"/>
      <c r="AK129" s="28"/>
      <c r="AL129" s="43"/>
      <c r="AO129" s="202"/>
      <c r="AP129" s="202"/>
      <c r="AQ129" s="203">
        <v>11</v>
      </c>
      <c r="AS129" s="204"/>
      <c r="AT129" s="204"/>
      <c r="AU129" s="204"/>
      <c r="AW129" s="205">
        <v>10932.540492137798</v>
      </c>
      <c r="AX129" s="205">
        <v>8679.962284634923</v>
      </c>
      <c r="AY129" s="203"/>
      <c r="BA129" s="11">
        <v>8854.2624377618085</v>
      </c>
    </row>
    <row r="130" spans="1:53" s="27" customFormat="1" x14ac:dyDescent="0.2">
      <c r="A130" s="37"/>
      <c r="B130" s="37"/>
      <c r="C130" s="35"/>
      <c r="D130" s="35"/>
      <c r="E130" s="35"/>
      <c r="F130" s="28"/>
      <c r="G130" s="28"/>
      <c r="H130" s="28"/>
      <c r="I130" s="36"/>
      <c r="J130" s="28"/>
      <c r="K130" s="28"/>
      <c r="L130" s="28"/>
      <c r="M130" s="35"/>
      <c r="N130" s="28"/>
      <c r="O130" s="28"/>
      <c r="P130" s="28"/>
      <c r="Q130" s="42" t="s">
        <v>429</v>
      </c>
      <c r="R130" s="41">
        <v>3833.194</v>
      </c>
      <c r="S130" s="41"/>
      <c r="T130" s="41">
        <v>3833.194</v>
      </c>
      <c r="U130" s="41">
        <v>3833.194</v>
      </c>
      <c r="V130" s="41">
        <v>511810.27</v>
      </c>
      <c r="W130" s="30"/>
      <c r="X130" s="30"/>
      <c r="Y130" s="30"/>
      <c r="Z130" s="28"/>
      <c r="AA130" s="40" t="s">
        <v>242</v>
      </c>
      <c r="AB130" s="38">
        <v>1614.9257415988213</v>
      </c>
      <c r="AC130" s="39"/>
      <c r="AD130" s="38">
        <v>1060.1889274870814</v>
      </c>
      <c r="AE130" s="38">
        <v>2.9046271985947434</v>
      </c>
      <c r="AF130" s="29"/>
      <c r="AG130" s="28"/>
      <c r="AH130" s="28"/>
      <c r="AI130" s="28"/>
      <c r="AJ130" s="28"/>
      <c r="AK130" s="28"/>
      <c r="AL130" s="28"/>
      <c r="AO130" s="206"/>
      <c r="AP130" s="207"/>
      <c r="AQ130" s="204"/>
      <c r="AR130" s="204"/>
      <c r="AS130" s="204"/>
      <c r="AT130" s="204"/>
      <c r="AU130" s="204"/>
      <c r="AV130" s="204"/>
      <c r="AW130" s="204"/>
      <c r="AX130" s="204"/>
      <c r="AY130" s="204"/>
    </row>
    <row r="131" spans="1:53" s="27" customFormat="1" x14ac:dyDescent="0.2">
      <c r="A131" s="37"/>
      <c r="B131" s="37"/>
      <c r="C131" s="35"/>
      <c r="D131" s="35"/>
      <c r="E131" s="35"/>
      <c r="F131" s="28"/>
      <c r="G131" s="28"/>
      <c r="H131" s="28"/>
      <c r="I131" s="36"/>
      <c r="J131" s="28"/>
      <c r="K131" s="28"/>
      <c r="L131" s="28"/>
      <c r="M131" s="35"/>
      <c r="N131" s="28"/>
      <c r="O131" s="28"/>
      <c r="P131" s="28"/>
      <c r="Q131" s="34" t="s">
        <v>6</v>
      </c>
      <c r="R131" s="33">
        <v>2506212.2270451719</v>
      </c>
      <c r="S131" s="33"/>
      <c r="T131" s="32">
        <v>2385649.8070070371</v>
      </c>
      <c r="U131" s="31">
        <v>16166694.105001414</v>
      </c>
      <c r="V131" s="31">
        <v>132970230.19780496</v>
      </c>
      <c r="W131" s="30"/>
      <c r="X131" s="30"/>
      <c r="Y131" s="30"/>
      <c r="Z131" s="28"/>
      <c r="AA131" s="28"/>
      <c r="AB131" s="28"/>
      <c r="AC131" s="29"/>
      <c r="AD131" s="28"/>
      <c r="AE131" s="28"/>
      <c r="AF131" s="29"/>
      <c r="AG131" s="28"/>
      <c r="AH131" s="28"/>
      <c r="AI131" s="28"/>
      <c r="AJ131" s="28"/>
      <c r="AK131" s="28"/>
      <c r="AL131" s="28"/>
      <c r="AO131" s="206"/>
      <c r="AP131" s="207"/>
      <c r="AQ131" s="204"/>
      <c r="AR131" s="204"/>
      <c r="AS131" s="204"/>
      <c r="AT131" s="204"/>
      <c r="AU131" s="204"/>
      <c r="AV131" s="204"/>
      <c r="AW131" s="204"/>
      <c r="AX131" s="204"/>
      <c r="AY131" s="204"/>
    </row>
    <row r="132" spans="1:53" x14ac:dyDescent="0.2">
      <c r="Q132" s="160"/>
      <c r="R132" s="24"/>
      <c r="S132" s="24"/>
      <c r="T132" s="26"/>
      <c r="W132" s="23"/>
      <c r="X132" s="23"/>
      <c r="Y132" s="23"/>
      <c r="Z132" s="11"/>
      <c r="AA132" s="11" t="s">
        <v>437</v>
      </c>
      <c r="AB132" s="22">
        <v>1037868.6626063626</v>
      </c>
    </row>
    <row r="133" spans="1:53" x14ac:dyDescent="0.2">
      <c r="F133" s="11">
        <v>126</v>
      </c>
      <c r="I133" s="11"/>
      <c r="Q133" s="25"/>
      <c r="U133" s="24"/>
      <c r="V133" s="24"/>
      <c r="W133" s="23"/>
      <c r="X133" s="23"/>
      <c r="Y133" s="23"/>
      <c r="Z133" s="11"/>
      <c r="AG133" s="22"/>
      <c r="AO133" s="11">
        <v>124</v>
      </c>
    </row>
    <row r="134" spans="1:53" x14ac:dyDescent="0.2">
      <c r="Q134" s="160"/>
      <c r="R134" s="19"/>
      <c r="S134" s="19"/>
      <c r="T134" s="19"/>
      <c r="U134" s="19"/>
      <c r="V134" s="19"/>
      <c r="W134" s="19"/>
      <c r="X134" s="19"/>
    </row>
    <row r="135" spans="1:53" x14ac:dyDescent="0.2">
      <c r="I135" s="11"/>
      <c r="Q135" s="25"/>
      <c r="T135" s="19"/>
    </row>
    <row r="136" spans="1:53" x14ac:dyDescent="0.2">
      <c r="Q136" s="160"/>
      <c r="T136" s="19"/>
    </row>
    <row r="137" spans="1:53" x14ac:dyDescent="0.2">
      <c r="I137" s="11"/>
      <c r="Q137" s="25"/>
      <c r="T137" s="19"/>
    </row>
    <row r="138" spans="1:53" x14ac:dyDescent="0.2">
      <c r="Q138" s="160"/>
      <c r="T138" s="19"/>
    </row>
    <row r="139" spans="1:53" x14ac:dyDescent="0.2">
      <c r="I139" s="11"/>
      <c r="Q139" s="25"/>
      <c r="T139" s="19"/>
    </row>
    <row r="140" spans="1:53" x14ac:dyDescent="0.2">
      <c r="Q140" s="160"/>
      <c r="T140" s="19"/>
    </row>
    <row r="141" spans="1:53" x14ac:dyDescent="0.2">
      <c r="I141" s="11"/>
      <c r="Q141" s="25"/>
      <c r="T141" s="19"/>
    </row>
    <row r="142" spans="1:53" x14ac:dyDescent="0.2">
      <c r="Q142" s="160"/>
      <c r="T142" s="19"/>
    </row>
    <row r="143" spans="1:53" x14ac:dyDescent="0.2">
      <c r="I143" s="11"/>
      <c r="Q143" s="25"/>
      <c r="T143" s="19"/>
    </row>
    <row r="144" spans="1:53" x14ac:dyDescent="0.2">
      <c r="Q144" s="160"/>
    </row>
    <row r="145" spans="9:17" x14ac:dyDescent="0.2">
      <c r="I145" s="11"/>
      <c r="Q145" s="25"/>
    </row>
    <row r="146" spans="9:17" x14ac:dyDescent="0.2">
      <c r="Q146" s="160"/>
    </row>
    <row r="147" spans="9:17" x14ac:dyDescent="0.2">
      <c r="I147" s="11"/>
    </row>
    <row r="148" spans="9:17" x14ac:dyDescent="0.2">
      <c r="I148" s="11"/>
    </row>
    <row r="149" spans="9:17" x14ac:dyDescent="0.2">
      <c r="I149" s="11"/>
    </row>
    <row r="150" spans="9:17" x14ac:dyDescent="0.2">
      <c r="I150" s="11"/>
    </row>
    <row r="151" spans="9:17" x14ac:dyDescent="0.2">
      <c r="I151" s="11"/>
    </row>
    <row r="152" spans="9:17" x14ac:dyDescent="0.2">
      <c r="I152" s="11"/>
    </row>
    <row r="153" spans="9:17" x14ac:dyDescent="0.2">
      <c r="I153" s="11"/>
    </row>
  </sheetData>
  <conditionalFormatting sqref="AJ3:AJ128">
    <cfRule type="containsText" dxfId="510" priority="12" operator="containsText" text="SEND NOTICE">
      <formula>NOT(ISERROR(SEARCH("SEND NOTICE",AJ3)))</formula>
    </cfRule>
  </conditionalFormatting>
  <conditionalFormatting sqref="D93:E93 N91:W91 A91:C91 C92:C93 L92 N92:P92 R94:V94 R100:V100 G91:L91 R95:W99 Y91:AE91 Y92:AB93 Q93:V93 AB94:AB99 A92:A94 W92:W94 AD92:AE100 Y94:AA100">
    <cfRule type="cellIs" dxfId="509" priority="11" operator="equal">
      <formula>#REF!</formula>
    </cfRule>
  </conditionalFormatting>
  <conditionalFormatting sqref="Q92:V92">
    <cfRule type="cellIs" dxfId="508" priority="10" operator="equal">
      <formula>#REF!</formula>
    </cfRule>
  </conditionalFormatting>
  <conditionalFormatting sqref="E91">
    <cfRule type="cellIs" dxfId="507" priority="9" operator="equal">
      <formula>#REF!</formula>
    </cfRule>
  </conditionalFormatting>
  <conditionalFormatting sqref="D91 J93">
    <cfRule type="cellIs" dxfId="506" priority="8" operator="equal">
      <formula>#REF!</formula>
    </cfRule>
  </conditionalFormatting>
  <conditionalFormatting sqref="J92">
    <cfRule type="cellIs" dxfId="505" priority="7" operator="equal">
      <formula>#REF!</formula>
    </cfRule>
  </conditionalFormatting>
  <conditionalFormatting sqref="L93">
    <cfRule type="cellIs" dxfId="504" priority="6" operator="equal">
      <formula>#REF!</formula>
    </cfRule>
  </conditionalFormatting>
  <conditionalFormatting sqref="Q98:Q99">
    <cfRule type="cellIs" dxfId="503" priority="5" operator="equal">
      <formula>#REF!</formula>
    </cfRule>
  </conditionalFormatting>
  <conditionalFormatting sqref="AK4">
    <cfRule type="containsText" dxfId="502" priority="4" operator="containsText" text="SEND NOTICE">
      <formula>NOT(ISERROR(SEARCH("SEND NOTICE",AK4)))</formula>
    </cfRule>
  </conditionalFormatting>
  <conditionalFormatting sqref="AK30">
    <cfRule type="containsText" dxfId="501" priority="3" operator="containsText" text="SEND NOTICE">
      <formula>NOT(ISERROR(SEARCH("SEND NOTICE",AK30)))</formula>
    </cfRule>
  </conditionalFormatting>
  <conditionalFormatting sqref="AJ126:AJ127">
    <cfRule type="containsText" dxfId="500" priority="2" operator="containsText" text="SEND NOTICE">
      <formula>NOT(ISERROR(SEARCH("SEND NOTICE",AJ126)))</formula>
    </cfRule>
  </conditionalFormatting>
  <conditionalFormatting sqref="AJ128">
    <cfRule type="containsText" dxfId="499" priority="1" operator="containsText" text="SEND NOTICE">
      <formula>NOT(ISERROR(SEARCH("SEND NOTICE",AJ128)))</formula>
    </cfRule>
  </conditionalFormatting>
  <pageMargins left="0.25" right="0.25" top="0.75" bottom="0.75" header="0.3" footer="0.3"/>
  <pageSetup paperSize="8" scale="18" fitToHeight="0" orientation="landscape"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ACB45-AA13-45D9-B755-72C084D2A7D0}">
  <sheetPr codeName="Sheet25">
    <tabColor theme="9" tint="0.79998168889431442"/>
    <pageSetUpPr fitToPage="1"/>
  </sheetPr>
  <dimension ref="A1:BC164"/>
  <sheetViews>
    <sheetView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1"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11" customWidth="1"/>
    <col min="20" max="20" width="14" style="11" customWidth="1"/>
    <col min="21" max="21" width="14.42578125" style="11" customWidth="1"/>
    <col min="22" max="22" width="17" style="11" customWidth="1"/>
    <col min="23" max="24" width="11.28515625" style="11" customWidth="1"/>
    <col min="25" max="25" width="10.85546875" style="11" customWidth="1"/>
    <col min="26" max="26" width="11.7109375" style="20" customWidth="1"/>
    <col min="27" max="27" width="10.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ustomWidth="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3" width="9.140625" style="11" customWidth="1"/>
    <col min="54" max="16384" width="9.140625" style="11"/>
  </cols>
  <sheetData>
    <row r="1" spans="1:55" x14ac:dyDescent="0.2">
      <c r="A1" s="126">
        <v>44561</v>
      </c>
      <c r="B1" s="125"/>
      <c r="C1" s="124"/>
      <c r="D1" s="124"/>
      <c r="E1" s="124"/>
      <c r="M1" s="124"/>
      <c r="AO1" s="195"/>
      <c r="AP1" s="196"/>
      <c r="AQ1" s="196"/>
      <c r="AR1" s="196"/>
      <c r="AS1" s="196"/>
      <c r="AT1" s="196"/>
      <c r="AU1" s="196"/>
      <c r="AV1" s="196"/>
      <c r="AW1" s="196"/>
      <c r="AX1" s="196"/>
      <c r="AY1" s="196"/>
    </row>
    <row r="2" spans="1:55" s="112" customFormat="1" ht="51" x14ac:dyDescent="0.2">
      <c r="A2" s="123" t="s">
        <v>14</v>
      </c>
      <c r="B2" s="122" t="s">
        <v>63</v>
      </c>
      <c r="C2" s="121" t="s">
        <v>84</v>
      </c>
      <c r="D2" s="121" t="s">
        <v>468</v>
      </c>
      <c r="E2" s="121" t="s">
        <v>467</v>
      </c>
      <c r="F2" s="121" t="s">
        <v>81</v>
      </c>
      <c r="G2" s="121" t="s">
        <v>82</v>
      </c>
      <c r="H2" s="121" t="s">
        <v>83</v>
      </c>
      <c r="I2" s="122" t="s">
        <v>2</v>
      </c>
      <c r="J2" s="121" t="s">
        <v>217</v>
      </c>
      <c r="K2" s="121" t="s">
        <v>39</v>
      </c>
      <c r="L2" s="120" t="s">
        <v>5</v>
      </c>
      <c r="M2" s="118" t="s">
        <v>427</v>
      </c>
      <c r="N2" s="119" t="s">
        <v>41</v>
      </c>
      <c r="O2" s="119" t="s">
        <v>535</v>
      </c>
      <c r="P2" s="119" t="s">
        <v>536</v>
      </c>
      <c r="Q2" s="114" t="s">
        <v>403</v>
      </c>
      <c r="R2" s="117" t="s">
        <v>479</v>
      </c>
      <c r="S2" s="118" t="s">
        <v>430</v>
      </c>
      <c r="T2" s="117" t="s">
        <v>431</v>
      </c>
      <c r="U2" s="117" t="s">
        <v>432</v>
      </c>
      <c r="V2" s="117" t="s">
        <v>208</v>
      </c>
      <c r="W2" s="117" t="s">
        <v>12</v>
      </c>
      <c r="X2" s="117" t="s">
        <v>573</v>
      </c>
      <c r="Y2" s="117" t="s">
        <v>471</v>
      </c>
      <c r="Z2" s="117" t="s">
        <v>433</v>
      </c>
      <c r="AA2" s="117" t="s">
        <v>15</v>
      </c>
      <c r="AB2" s="116" t="s">
        <v>17</v>
      </c>
      <c r="AC2" s="116" t="s">
        <v>18</v>
      </c>
      <c r="AD2" s="116" t="s">
        <v>434</v>
      </c>
      <c r="AE2" s="116" t="s">
        <v>435</v>
      </c>
      <c r="AF2" s="116" t="s">
        <v>436</v>
      </c>
      <c r="AG2" s="115" t="s">
        <v>46</v>
      </c>
      <c r="AH2" s="115" t="s">
        <v>19</v>
      </c>
      <c r="AI2" s="115" t="s">
        <v>20</v>
      </c>
      <c r="AJ2" s="115" t="s">
        <v>170</v>
      </c>
      <c r="AK2" s="115" t="s">
        <v>241</v>
      </c>
      <c r="AL2" s="114" t="s">
        <v>324</v>
      </c>
      <c r="AM2" s="113" t="s">
        <v>482</v>
      </c>
      <c r="AN2" s="113" t="s">
        <v>481</v>
      </c>
      <c r="AO2" s="118" t="s">
        <v>612</v>
      </c>
      <c r="AP2" s="118" t="s">
        <v>613</v>
      </c>
      <c r="AQ2" s="113" t="s">
        <v>614</v>
      </c>
      <c r="AR2" s="113" t="s">
        <v>615</v>
      </c>
      <c r="AS2" s="113" t="s">
        <v>616</v>
      </c>
      <c r="AT2" s="113" t="s">
        <v>617</v>
      </c>
      <c r="AU2" s="113" t="s">
        <v>618</v>
      </c>
      <c r="AV2" s="113" t="s">
        <v>619</v>
      </c>
      <c r="AW2" s="113" t="s">
        <v>620</v>
      </c>
      <c r="AX2" s="113" t="s">
        <v>737</v>
      </c>
      <c r="AY2" s="113" t="s">
        <v>623</v>
      </c>
      <c r="BA2" s="225">
        <v>44531</v>
      </c>
      <c r="BB2" s="225">
        <v>44440</v>
      </c>
      <c r="BC2" s="225">
        <v>44348</v>
      </c>
    </row>
    <row r="3" spans="1:55" ht="39.950000000000003" hidden="1" customHeight="1" x14ac:dyDescent="0.2">
      <c r="A3" s="111" t="s">
        <v>25</v>
      </c>
      <c r="B3" s="65" t="s">
        <v>24</v>
      </c>
      <c r="C3" s="110" t="s">
        <v>34</v>
      </c>
      <c r="D3" s="16" t="s">
        <v>34</v>
      </c>
      <c r="E3" s="130" t="s">
        <v>34</v>
      </c>
      <c r="F3" s="14" t="s">
        <v>543</v>
      </c>
      <c r="G3" s="131" t="s">
        <v>96</v>
      </c>
      <c r="H3" s="14" t="s">
        <v>97</v>
      </c>
      <c r="I3" s="66" t="s">
        <v>26</v>
      </c>
      <c r="J3" s="66" t="s">
        <v>26</v>
      </c>
      <c r="K3" s="13" t="s">
        <v>45</v>
      </c>
      <c r="L3" s="65" t="s">
        <v>191</v>
      </c>
      <c r="M3" s="65" t="s">
        <v>323</v>
      </c>
      <c r="N3" s="65" t="s">
        <v>43</v>
      </c>
      <c r="O3" s="65" t="s">
        <v>531</v>
      </c>
      <c r="P3" s="65" t="s">
        <v>534</v>
      </c>
      <c r="Q3" s="64" t="s">
        <v>8</v>
      </c>
      <c r="R3" s="62">
        <v>10000</v>
      </c>
      <c r="S3" s="62">
        <v>6651.4378666572402</v>
      </c>
      <c r="T3" s="62">
        <v>6651.4378666572402</v>
      </c>
      <c r="U3" s="62">
        <v>32395.415789999999</v>
      </c>
      <c r="V3" s="62">
        <v>782554.47</v>
      </c>
      <c r="W3" s="61" t="s">
        <v>11</v>
      </c>
      <c r="X3" s="181">
        <v>1.6666666666666666E-2</v>
      </c>
      <c r="Y3" s="105">
        <v>41884</v>
      </c>
      <c r="Z3" s="60">
        <v>44806</v>
      </c>
      <c r="AA3" s="60">
        <v>45173</v>
      </c>
      <c r="AB3" s="58">
        <v>3290</v>
      </c>
      <c r="AC3" s="59" t="s">
        <v>10</v>
      </c>
      <c r="AD3" s="58">
        <v>612</v>
      </c>
      <c r="AE3" s="57">
        <v>1.6767123287671233</v>
      </c>
      <c r="AF3" s="56"/>
      <c r="AG3" s="71" t="s">
        <v>1</v>
      </c>
      <c r="AH3" s="71" t="s">
        <v>1</v>
      </c>
      <c r="AI3" s="71" t="s">
        <v>250</v>
      </c>
      <c r="AJ3" s="11" t="s">
        <v>0</v>
      </c>
      <c r="AK3" s="11" t="s">
        <v>271</v>
      </c>
      <c r="AL3" s="14" t="s">
        <v>327</v>
      </c>
      <c r="AM3" s="11">
        <v>25104.400000000001</v>
      </c>
      <c r="AN3" s="11">
        <v>45000</v>
      </c>
      <c r="AO3" s="197" t="s">
        <v>34</v>
      </c>
      <c r="AP3" s="198" t="s">
        <v>543</v>
      </c>
      <c r="AS3" s="212">
        <v>0</v>
      </c>
      <c r="AT3" s="212">
        <v>798.17254399886883</v>
      </c>
      <c r="AU3" s="212" t="b">
        <v>0</v>
      </c>
      <c r="AV3" s="212"/>
      <c r="AW3" s="212">
        <v>0</v>
      </c>
      <c r="AX3" s="212">
        <v>0</v>
      </c>
      <c r="BB3" s="11">
        <v>0</v>
      </c>
    </row>
    <row r="4" spans="1:55" ht="39.950000000000003" customHeight="1" x14ac:dyDescent="0.2">
      <c r="A4" s="13" t="s">
        <v>30</v>
      </c>
      <c r="B4" s="65" t="s">
        <v>24</v>
      </c>
      <c r="C4" s="66" t="s">
        <v>34</v>
      </c>
      <c r="D4" s="13" t="s">
        <v>34</v>
      </c>
      <c r="E4" s="130" t="s">
        <v>34</v>
      </c>
      <c r="F4" s="66" t="s">
        <v>545</v>
      </c>
      <c r="G4" s="66" t="s">
        <v>85</v>
      </c>
      <c r="H4" s="66" t="s">
        <v>99</v>
      </c>
      <c r="I4" s="66" t="s">
        <v>232</v>
      </c>
      <c r="J4" s="66" t="s">
        <v>21</v>
      </c>
      <c r="K4" s="13" t="s">
        <v>139</v>
      </c>
      <c r="L4" s="65" t="s">
        <v>191</v>
      </c>
      <c r="M4" s="65" t="s">
        <v>323</v>
      </c>
      <c r="N4" s="65" t="s">
        <v>43</v>
      </c>
      <c r="O4" s="65" t="s">
        <v>538</v>
      </c>
      <c r="P4" s="65" t="s">
        <v>534</v>
      </c>
      <c r="Q4" s="64" t="s">
        <v>8</v>
      </c>
      <c r="R4" s="62">
        <v>25000</v>
      </c>
      <c r="S4" s="150">
        <v>22694.903999999999</v>
      </c>
      <c r="T4" s="62">
        <v>22694.903999999999</v>
      </c>
      <c r="U4" s="62">
        <v>50000</v>
      </c>
      <c r="V4" s="62">
        <v>3042895.94</v>
      </c>
      <c r="W4" s="61" t="s">
        <v>551</v>
      </c>
      <c r="X4" s="181">
        <v>2.7500000000000004E-2</v>
      </c>
      <c r="Y4" s="105">
        <v>42152</v>
      </c>
      <c r="Z4" s="105">
        <v>45441</v>
      </c>
      <c r="AA4" s="60">
        <v>45441</v>
      </c>
      <c r="AB4" s="58">
        <v>3290</v>
      </c>
      <c r="AC4" s="59" t="s">
        <v>10</v>
      </c>
      <c r="AD4" s="58">
        <v>880</v>
      </c>
      <c r="AE4" s="57">
        <v>2.4109589041095889</v>
      </c>
      <c r="AF4" s="56" t="s">
        <v>436</v>
      </c>
      <c r="AG4" s="71" t="s">
        <v>1</v>
      </c>
      <c r="AH4" s="71" t="s">
        <v>1</v>
      </c>
      <c r="AI4" s="71" t="s">
        <v>0</v>
      </c>
      <c r="AJ4" s="11" t="s">
        <v>0</v>
      </c>
      <c r="AK4" s="11" t="s">
        <v>271</v>
      </c>
      <c r="AL4" s="13" t="s">
        <v>328</v>
      </c>
      <c r="AM4" s="11">
        <v>15700</v>
      </c>
      <c r="AN4" s="213">
        <v>50000</v>
      </c>
      <c r="AO4" s="197" t="s">
        <v>34</v>
      </c>
      <c r="AP4" s="198" t="s">
        <v>545</v>
      </c>
      <c r="AQ4" s="199">
        <v>1</v>
      </c>
      <c r="AR4" s="214">
        <v>0.05</v>
      </c>
      <c r="AS4" s="212">
        <v>1134.7452000000001</v>
      </c>
      <c r="AT4" s="212">
        <v>2723.3884799999996</v>
      </c>
      <c r="AU4" s="212">
        <v>544.67769599999997</v>
      </c>
      <c r="AV4" s="212"/>
      <c r="AW4" s="212">
        <v>1134.7452000000001</v>
      </c>
      <c r="AX4" s="212">
        <v>1134.7452000000001</v>
      </c>
      <c r="AY4" s="12"/>
      <c r="BA4" s="212">
        <v>1134.7452000000001</v>
      </c>
      <c r="BB4" s="226">
        <v>1134.7452000000001</v>
      </c>
      <c r="BC4" s="226">
        <v>1134.7452000000001</v>
      </c>
    </row>
    <row r="5" spans="1:55" ht="39.950000000000003" hidden="1" customHeight="1" x14ac:dyDescent="0.2">
      <c r="A5" s="14" t="s">
        <v>31</v>
      </c>
      <c r="B5" s="65" t="s">
        <v>23</v>
      </c>
      <c r="C5" s="66" t="s">
        <v>34</v>
      </c>
      <c r="D5" s="13" t="s">
        <v>34</v>
      </c>
      <c r="E5" s="130" t="s">
        <v>34</v>
      </c>
      <c r="F5" s="66" t="s">
        <v>106</v>
      </c>
      <c r="G5" s="66" t="s">
        <v>106</v>
      </c>
      <c r="H5" s="66" t="s">
        <v>129</v>
      </c>
      <c r="I5" s="66" t="s">
        <v>3</v>
      </c>
      <c r="J5" s="66" t="s">
        <v>3</v>
      </c>
      <c r="K5" s="13" t="s">
        <v>13</v>
      </c>
      <c r="L5" s="65" t="s">
        <v>191</v>
      </c>
      <c r="M5" s="65" t="s">
        <v>323</v>
      </c>
      <c r="N5" s="13" t="s">
        <v>42</v>
      </c>
      <c r="O5" s="13" t="s">
        <v>538</v>
      </c>
      <c r="P5" s="13" t="s">
        <v>532</v>
      </c>
      <c r="Q5" s="64" t="s">
        <v>8</v>
      </c>
      <c r="R5" s="62">
        <v>18000</v>
      </c>
      <c r="S5" s="76">
        <v>425.13330000000002</v>
      </c>
      <c r="T5" s="150">
        <v>425.13330000000002</v>
      </c>
      <c r="U5" s="62">
        <v>425.13330000000002</v>
      </c>
      <c r="V5" s="150">
        <v>2716834.5552336448</v>
      </c>
      <c r="W5" s="61" t="s">
        <v>11</v>
      </c>
      <c r="X5" s="181">
        <v>2.75E-2</v>
      </c>
      <c r="Y5" s="60">
        <v>42339</v>
      </c>
      <c r="Z5" s="105">
        <v>43465</v>
      </c>
      <c r="AA5" s="105">
        <v>44616</v>
      </c>
      <c r="AB5" s="58">
        <v>2278</v>
      </c>
      <c r="AC5" s="59" t="s">
        <v>1</v>
      </c>
      <c r="AD5" s="58">
        <v>55</v>
      </c>
      <c r="AE5" s="57">
        <v>0.15068493150684931</v>
      </c>
      <c r="AF5" s="56"/>
      <c r="AG5" s="152" t="s">
        <v>1</v>
      </c>
      <c r="AH5" s="152" t="s">
        <v>1</v>
      </c>
      <c r="AI5" s="152" t="s">
        <v>599</v>
      </c>
      <c r="AJ5" s="11" t="s">
        <v>672</v>
      </c>
      <c r="AK5" s="11" t="s">
        <v>271</v>
      </c>
      <c r="AL5" s="14" t="s">
        <v>329</v>
      </c>
      <c r="AM5" s="11">
        <v>13812.1</v>
      </c>
      <c r="AO5" s="197" t="s">
        <v>34</v>
      </c>
      <c r="AP5" s="198" t="s">
        <v>106</v>
      </c>
      <c r="AS5" s="212">
        <v>0</v>
      </c>
      <c r="AT5" s="212">
        <v>51.015996000000001</v>
      </c>
      <c r="AU5" s="212" t="b">
        <v>0</v>
      </c>
      <c r="AV5" s="212"/>
      <c r="AW5" s="212">
        <v>0</v>
      </c>
      <c r="AX5" s="212">
        <v>0</v>
      </c>
      <c r="BA5" s="212">
        <v>0</v>
      </c>
      <c r="BB5" s="226">
        <v>0</v>
      </c>
      <c r="BC5" s="226"/>
    </row>
    <row r="6" spans="1:55" ht="39.950000000000003" hidden="1" customHeight="1" x14ac:dyDescent="0.2">
      <c r="A6" s="13" t="s">
        <v>57</v>
      </c>
      <c r="B6" s="65" t="s">
        <v>24</v>
      </c>
      <c r="C6" s="66" t="s">
        <v>89</v>
      </c>
      <c r="D6" s="13" t="s">
        <v>542</v>
      </c>
      <c r="E6" s="77" t="s">
        <v>89</v>
      </c>
      <c r="F6" s="14" t="s">
        <v>92</v>
      </c>
      <c r="G6" s="14" t="s">
        <v>108</v>
      </c>
      <c r="H6" s="66" t="s">
        <v>109</v>
      </c>
      <c r="I6" s="66" t="s">
        <v>58</v>
      </c>
      <c r="J6" s="66" t="s">
        <v>220</v>
      </c>
      <c r="K6" s="13" t="s">
        <v>29</v>
      </c>
      <c r="L6" s="65" t="s">
        <v>191</v>
      </c>
      <c r="M6" s="13" t="s">
        <v>59</v>
      </c>
      <c r="N6" s="65" t="s">
        <v>43</v>
      </c>
      <c r="O6" s="65" t="s">
        <v>539</v>
      </c>
      <c r="P6" s="65" t="s">
        <v>534</v>
      </c>
      <c r="Q6" s="64" t="s">
        <v>59</v>
      </c>
      <c r="R6" s="62">
        <v>23250.315258511982</v>
      </c>
      <c r="S6" s="63">
        <v>7684.0659999999998</v>
      </c>
      <c r="T6" s="150">
        <v>12112.336065573771</v>
      </c>
      <c r="U6" s="62">
        <v>62376.477799388711</v>
      </c>
      <c r="V6" s="150">
        <v>812227.3013871375</v>
      </c>
      <c r="W6" s="61" t="s">
        <v>551</v>
      </c>
      <c r="X6" s="181">
        <v>1.6666666666666666E-2</v>
      </c>
      <c r="Y6" s="60">
        <v>42877</v>
      </c>
      <c r="Z6" s="60">
        <v>43242</v>
      </c>
      <c r="AA6" s="60">
        <v>44703</v>
      </c>
      <c r="AB6" s="58">
        <v>1827</v>
      </c>
      <c r="AC6" s="59" t="s">
        <v>10</v>
      </c>
      <c r="AD6" s="58">
        <v>142</v>
      </c>
      <c r="AE6" s="57">
        <v>0.38904109589041097</v>
      </c>
      <c r="AF6" s="56"/>
      <c r="AG6" s="71" t="s">
        <v>1</v>
      </c>
      <c r="AH6" s="71" t="s">
        <v>1</v>
      </c>
      <c r="AI6" s="71" t="s">
        <v>251</v>
      </c>
      <c r="AJ6" s="11" t="s">
        <v>0</v>
      </c>
      <c r="AK6" s="11" t="s">
        <v>271</v>
      </c>
      <c r="AL6" s="13" t="s">
        <v>330</v>
      </c>
      <c r="AM6" s="11">
        <v>29400</v>
      </c>
      <c r="AN6" s="11">
        <v>60000</v>
      </c>
      <c r="AO6" s="197" t="s">
        <v>89</v>
      </c>
      <c r="AP6" s="198" t="s">
        <v>92</v>
      </c>
      <c r="AS6" s="212">
        <v>0</v>
      </c>
      <c r="AT6" s="212">
        <v>1453.4803278688523</v>
      </c>
      <c r="AU6" s="212" t="b">
        <v>0</v>
      </c>
      <c r="AV6" s="212"/>
      <c r="AW6" s="212">
        <v>0</v>
      </c>
      <c r="AX6" s="212">
        <v>0</v>
      </c>
      <c r="BA6" s="212">
        <v>0</v>
      </c>
      <c r="BB6" s="226">
        <v>0</v>
      </c>
      <c r="BC6" s="226"/>
    </row>
    <row r="7" spans="1:55" ht="39.950000000000003" hidden="1" customHeight="1" x14ac:dyDescent="0.2">
      <c r="A7" s="13" t="s">
        <v>62</v>
      </c>
      <c r="B7" s="65" t="s">
        <v>24</v>
      </c>
      <c r="C7" s="66" t="s">
        <v>37</v>
      </c>
      <c r="D7" s="13" t="s">
        <v>540</v>
      </c>
      <c r="E7" s="77" t="s">
        <v>90</v>
      </c>
      <c r="F7" s="14" t="s">
        <v>102</v>
      </c>
      <c r="G7" s="14" t="s">
        <v>102</v>
      </c>
      <c r="H7" s="66" t="s">
        <v>110</v>
      </c>
      <c r="I7" s="66" t="s">
        <v>55</v>
      </c>
      <c r="J7" s="66" t="s">
        <v>218</v>
      </c>
      <c r="K7" s="13" t="s">
        <v>101</v>
      </c>
      <c r="L7" s="65" t="s">
        <v>191</v>
      </c>
      <c r="M7" s="13" t="s">
        <v>323</v>
      </c>
      <c r="N7" s="13" t="s">
        <v>43</v>
      </c>
      <c r="O7" s="13" t="s">
        <v>531</v>
      </c>
      <c r="P7" s="13" t="s">
        <v>534</v>
      </c>
      <c r="Q7" s="64" t="s">
        <v>59</v>
      </c>
      <c r="R7" s="62">
        <v>31525.851197982349</v>
      </c>
      <c r="S7" s="63">
        <v>16680</v>
      </c>
      <c r="T7" s="62">
        <v>26292.559899117277</v>
      </c>
      <c r="U7" s="62">
        <v>131462.7994955864</v>
      </c>
      <c r="V7" s="62">
        <v>2219323.7704918035</v>
      </c>
      <c r="W7" s="61" t="s">
        <v>11</v>
      </c>
      <c r="X7" s="181">
        <v>2.2166666666666668E-2</v>
      </c>
      <c r="Y7" s="60">
        <v>42879</v>
      </c>
      <c r="Z7" s="105">
        <v>45084</v>
      </c>
      <c r="AA7" s="105">
        <v>45084</v>
      </c>
      <c r="AB7" s="58">
        <v>2206</v>
      </c>
      <c r="AC7" s="59" t="s">
        <v>10</v>
      </c>
      <c r="AD7" s="58">
        <v>523</v>
      </c>
      <c r="AE7" s="57">
        <v>1.4328767123287671</v>
      </c>
      <c r="AF7" s="56"/>
      <c r="AG7" s="71" t="s">
        <v>1</v>
      </c>
      <c r="AH7" s="71" t="s">
        <v>1</v>
      </c>
      <c r="AI7" s="71" t="s">
        <v>0</v>
      </c>
      <c r="AJ7" s="11" t="s">
        <v>0</v>
      </c>
      <c r="AK7" s="11" t="s">
        <v>271</v>
      </c>
      <c r="AL7" s="13" t="s">
        <v>331</v>
      </c>
      <c r="AM7" s="11">
        <v>10000</v>
      </c>
      <c r="AN7" s="11">
        <v>120000</v>
      </c>
      <c r="AO7" s="197" t="s">
        <v>90</v>
      </c>
      <c r="AP7" s="198" t="s">
        <v>102</v>
      </c>
      <c r="AS7" s="212">
        <v>0</v>
      </c>
      <c r="AT7" s="212">
        <v>3155.1071878940734</v>
      </c>
      <c r="AU7" s="212" t="b">
        <v>0</v>
      </c>
      <c r="AV7" s="212"/>
      <c r="AW7" s="212">
        <v>0</v>
      </c>
      <c r="AX7" s="212">
        <v>0</v>
      </c>
      <c r="BA7" s="212">
        <v>0</v>
      </c>
      <c r="BB7" s="226">
        <v>0</v>
      </c>
      <c r="BC7" s="226"/>
    </row>
    <row r="8" spans="1:55" ht="39.950000000000003" hidden="1" customHeight="1" x14ac:dyDescent="0.2">
      <c r="A8" s="13" t="s">
        <v>64</v>
      </c>
      <c r="B8" s="65" t="s">
        <v>24</v>
      </c>
      <c r="C8" s="66" t="s">
        <v>37</v>
      </c>
      <c r="D8" s="13" t="s">
        <v>34</v>
      </c>
      <c r="E8" s="77" t="s">
        <v>34</v>
      </c>
      <c r="F8" s="14" t="s">
        <v>104</v>
      </c>
      <c r="G8" s="14" t="s">
        <v>111</v>
      </c>
      <c r="H8" s="14" t="s">
        <v>113</v>
      </c>
      <c r="I8" s="146" t="s">
        <v>526</v>
      </c>
      <c r="J8" s="66" t="s">
        <v>221</v>
      </c>
      <c r="K8" s="13" t="s">
        <v>140</v>
      </c>
      <c r="L8" s="65" t="s">
        <v>191</v>
      </c>
      <c r="M8" s="13" t="s">
        <v>323</v>
      </c>
      <c r="N8" s="13" t="s">
        <v>43</v>
      </c>
      <c r="O8" s="13" t="s">
        <v>531</v>
      </c>
      <c r="P8" s="165" t="s">
        <v>534</v>
      </c>
      <c r="Q8" s="156" t="s">
        <v>9</v>
      </c>
      <c r="R8" s="73">
        <v>13932.039511264054</v>
      </c>
      <c r="S8" s="63">
        <v>23733.742999999999</v>
      </c>
      <c r="T8" s="62">
        <v>33065.944522618665</v>
      </c>
      <c r="U8" s="62">
        <v>208980.5926689608</v>
      </c>
      <c r="V8" s="62">
        <v>1289415.8992434903</v>
      </c>
      <c r="W8" s="106" t="s">
        <v>11</v>
      </c>
      <c r="X8" s="181">
        <v>1.6E-2</v>
      </c>
      <c r="Y8" s="60">
        <v>42909</v>
      </c>
      <c r="Z8" s="60">
        <v>45100</v>
      </c>
      <c r="AA8" s="157">
        <v>45152</v>
      </c>
      <c r="AB8" s="58">
        <v>2243</v>
      </c>
      <c r="AC8" s="59" t="s">
        <v>10</v>
      </c>
      <c r="AD8" s="58">
        <v>591</v>
      </c>
      <c r="AE8" s="57">
        <v>1.6191780821917807</v>
      </c>
      <c r="AF8" s="56"/>
      <c r="AG8" s="71" t="s">
        <v>1</v>
      </c>
      <c r="AH8" s="71" t="s">
        <v>1</v>
      </c>
      <c r="AI8" s="70" t="s">
        <v>267</v>
      </c>
      <c r="AJ8" s="11" t="s">
        <v>0</v>
      </c>
      <c r="AK8" s="11" t="s">
        <v>271</v>
      </c>
      <c r="AL8" s="13" t="s">
        <v>332</v>
      </c>
      <c r="AM8" s="11">
        <v>12500</v>
      </c>
      <c r="AN8" s="11">
        <v>90000</v>
      </c>
      <c r="AO8" s="197" t="s">
        <v>34</v>
      </c>
      <c r="AP8" s="198" t="s">
        <v>104</v>
      </c>
      <c r="AS8" s="212">
        <v>0</v>
      </c>
      <c r="AT8" s="212">
        <v>3967.9133427142397</v>
      </c>
      <c r="AU8" s="212" t="b">
        <v>0</v>
      </c>
      <c r="AV8" s="212"/>
      <c r="AW8" s="212">
        <v>0</v>
      </c>
      <c r="AX8" s="212">
        <v>0</v>
      </c>
      <c r="BA8" s="212">
        <v>0</v>
      </c>
      <c r="BB8" s="226">
        <v>0</v>
      </c>
      <c r="BC8" s="226"/>
    </row>
    <row r="9" spans="1:55" ht="39.950000000000003" customHeight="1" x14ac:dyDescent="0.2">
      <c r="A9" s="13" t="s">
        <v>65</v>
      </c>
      <c r="B9" s="65" t="s">
        <v>24</v>
      </c>
      <c r="C9" s="66" t="s">
        <v>38</v>
      </c>
      <c r="D9" s="13" t="s">
        <v>540</v>
      </c>
      <c r="E9" s="130" t="s">
        <v>35</v>
      </c>
      <c r="F9" s="14" t="s">
        <v>106</v>
      </c>
      <c r="G9" s="14" t="s">
        <v>106</v>
      </c>
      <c r="H9" s="66" t="s">
        <v>107</v>
      </c>
      <c r="I9" s="14" t="s">
        <v>300</v>
      </c>
      <c r="J9" s="66" t="s">
        <v>218</v>
      </c>
      <c r="K9" s="13" t="s">
        <v>101</v>
      </c>
      <c r="L9" s="65" t="s">
        <v>191</v>
      </c>
      <c r="M9" s="13" t="s">
        <v>323</v>
      </c>
      <c r="N9" s="65" t="s">
        <v>43</v>
      </c>
      <c r="O9" s="65" t="s">
        <v>531</v>
      </c>
      <c r="P9" s="65" t="s">
        <v>534</v>
      </c>
      <c r="Q9" s="64" t="s">
        <v>66</v>
      </c>
      <c r="R9" s="73">
        <v>18725.53976368369</v>
      </c>
      <c r="S9" s="63">
        <v>525000</v>
      </c>
      <c r="T9" s="150">
        <v>9830.9083759339374</v>
      </c>
      <c r="U9" s="62">
        <v>109472.38631076617</v>
      </c>
      <c r="V9" s="150">
        <v>2615826.6015017885</v>
      </c>
      <c r="W9" s="106" t="s">
        <v>551</v>
      </c>
      <c r="X9" s="181">
        <v>5.9166666666666666E-2</v>
      </c>
      <c r="Y9" s="105">
        <v>43013</v>
      </c>
      <c r="Z9" s="60">
        <v>44839</v>
      </c>
      <c r="AA9" s="60">
        <v>44846</v>
      </c>
      <c r="AB9" s="58">
        <v>1833</v>
      </c>
      <c r="AC9" s="59" t="s">
        <v>10</v>
      </c>
      <c r="AD9" s="58">
        <v>285</v>
      </c>
      <c r="AE9" s="57">
        <v>0.78082191780821919</v>
      </c>
      <c r="AF9" s="56"/>
      <c r="AG9" s="71" t="s">
        <v>1</v>
      </c>
      <c r="AH9" s="71" t="s">
        <v>1</v>
      </c>
      <c r="AI9" s="70" t="s">
        <v>600</v>
      </c>
      <c r="AJ9" s="11" t="s">
        <v>0</v>
      </c>
      <c r="AK9" s="11" t="s">
        <v>271</v>
      </c>
      <c r="AL9" s="13" t="s">
        <v>333</v>
      </c>
      <c r="AM9" s="11">
        <v>50222.729999999996</v>
      </c>
      <c r="AO9" s="197" t="s">
        <v>35</v>
      </c>
      <c r="AP9" s="198" t="s">
        <v>106</v>
      </c>
      <c r="AQ9" s="11">
        <v>1</v>
      </c>
      <c r="AR9" s="214">
        <v>7.4999999999999997E-2</v>
      </c>
      <c r="AS9" s="212">
        <v>1404.4154822762766</v>
      </c>
      <c r="AT9" s="212">
        <v>2247.0647716420426</v>
      </c>
      <c r="AU9" s="212" t="b">
        <v>0</v>
      </c>
      <c r="AV9" s="212"/>
      <c r="AW9" s="212">
        <v>1404.4154822762766</v>
      </c>
      <c r="AX9" s="212">
        <v>983.09083759339376</v>
      </c>
      <c r="AY9" s="12" t="s">
        <v>738</v>
      </c>
      <c r="BA9" s="212">
        <v>1404.4154822762766</v>
      </c>
      <c r="BB9" s="226">
        <v>983.09083759339376</v>
      </c>
      <c r="BC9" s="226">
        <v>605.7781919850886</v>
      </c>
    </row>
    <row r="10" spans="1:55" ht="39.950000000000003" hidden="1" customHeight="1" x14ac:dyDescent="0.2">
      <c r="A10" s="14" t="s">
        <v>207</v>
      </c>
      <c r="B10" s="65" t="s">
        <v>51</v>
      </c>
      <c r="C10" s="66" t="s">
        <v>127</v>
      </c>
      <c r="D10" s="13" t="s">
        <v>542</v>
      </c>
      <c r="E10" s="130" t="s">
        <v>127</v>
      </c>
      <c r="F10" s="66" t="s">
        <v>102</v>
      </c>
      <c r="G10" s="66" t="s">
        <v>102</v>
      </c>
      <c r="H10" s="66" t="s">
        <v>122</v>
      </c>
      <c r="I10" s="14" t="s">
        <v>158</v>
      </c>
      <c r="J10" s="66" t="s">
        <v>220</v>
      </c>
      <c r="K10" s="13" t="s">
        <v>101</v>
      </c>
      <c r="L10" s="65" t="s">
        <v>191</v>
      </c>
      <c r="M10" s="65" t="s">
        <v>59</v>
      </c>
      <c r="N10" s="65" t="s">
        <v>43</v>
      </c>
      <c r="O10" s="65" t="s">
        <v>533</v>
      </c>
      <c r="P10" s="65" t="s">
        <v>534</v>
      </c>
      <c r="Q10" s="64" t="s">
        <v>59</v>
      </c>
      <c r="R10" s="62">
        <v>31525.851197982349</v>
      </c>
      <c r="S10" s="63">
        <v>20000</v>
      </c>
      <c r="T10" s="62">
        <v>31525.851197982349</v>
      </c>
      <c r="U10" s="62">
        <v>275851.19798234553</v>
      </c>
      <c r="V10" s="62">
        <v>2404371.0592686003</v>
      </c>
      <c r="W10" s="61" t="s">
        <v>551</v>
      </c>
      <c r="X10" s="181">
        <v>0.01</v>
      </c>
      <c r="Y10" s="105">
        <v>43070</v>
      </c>
      <c r="Z10" s="60">
        <v>46689</v>
      </c>
      <c r="AA10" s="60">
        <v>46689</v>
      </c>
      <c r="AB10" s="58">
        <v>3620</v>
      </c>
      <c r="AC10" s="59" t="s">
        <v>10</v>
      </c>
      <c r="AD10" s="58">
        <v>2128</v>
      </c>
      <c r="AE10" s="57">
        <v>5.8301369863013699</v>
      </c>
      <c r="AF10" s="56"/>
      <c r="AG10" s="71" t="s">
        <v>1</v>
      </c>
      <c r="AH10" s="71" t="s">
        <v>1</v>
      </c>
      <c r="AI10" s="71" t="s">
        <v>0</v>
      </c>
      <c r="AJ10" s="11" t="s">
        <v>0</v>
      </c>
      <c r="AK10" s="11" t="s">
        <v>271</v>
      </c>
      <c r="AL10" s="14" t="s">
        <v>334</v>
      </c>
      <c r="AM10" s="11">
        <v>16300</v>
      </c>
      <c r="AO10" s="197" t="s">
        <v>127</v>
      </c>
      <c r="AP10" s="198" t="s">
        <v>102</v>
      </c>
      <c r="AS10" s="212">
        <v>0</v>
      </c>
      <c r="AT10" s="212">
        <v>3783.1021437578815</v>
      </c>
      <c r="AU10" s="212" t="b">
        <v>0</v>
      </c>
      <c r="AV10" s="212"/>
      <c r="AW10" s="212">
        <v>0</v>
      </c>
      <c r="AX10" s="212">
        <v>0</v>
      </c>
      <c r="BA10" s="212">
        <v>0</v>
      </c>
      <c r="BB10" s="226">
        <v>0</v>
      </c>
      <c r="BC10" s="226"/>
    </row>
    <row r="11" spans="1:55" ht="39.950000000000003" hidden="1" customHeight="1" x14ac:dyDescent="0.2">
      <c r="A11" s="14" t="s">
        <v>69</v>
      </c>
      <c r="B11" s="65" t="s">
        <v>23</v>
      </c>
      <c r="C11" s="66" t="s">
        <v>47</v>
      </c>
      <c r="D11" s="13" t="s">
        <v>469</v>
      </c>
      <c r="E11" s="77" t="s">
        <v>128</v>
      </c>
      <c r="F11" s="14" t="s">
        <v>48</v>
      </c>
      <c r="G11" s="14" t="s">
        <v>95</v>
      </c>
      <c r="H11" s="130" t="s">
        <v>447</v>
      </c>
      <c r="I11" s="14" t="s">
        <v>32</v>
      </c>
      <c r="J11" s="14" t="s">
        <v>33</v>
      </c>
      <c r="K11" s="13" t="s">
        <v>140</v>
      </c>
      <c r="L11" s="65" t="s">
        <v>191</v>
      </c>
      <c r="M11" s="13" t="s">
        <v>323</v>
      </c>
      <c r="N11" s="13" t="s">
        <v>43</v>
      </c>
      <c r="O11" s="13" t="s">
        <v>533</v>
      </c>
      <c r="P11" s="13" t="s">
        <v>534</v>
      </c>
      <c r="Q11" s="64" t="s">
        <v>9</v>
      </c>
      <c r="R11" s="62">
        <v>27864.079022528109</v>
      </c>
      <c r="S11" s="63">
        <v>14289.456</v>
      </c>
      <c r="T11" s="150">
        <v>19908.12655864692</v>
      </c>
      <c r="U11" s="62">
        <v>183554.62056090392</v>
      </c>
      <c r="V11" s="150">
        <v>1723303.1472477256</v>
      </c>
      <c r="W11" s="61" t="s">
        <v>11</v>
      </c>
      <c r="X11" s="181">
        <v>1.9833333333333331E-2</v>
      </c>
      <c r="Y11" s="60">
        <v>43076</v>
      </c>
      <c r="Z11" s="60">
        <v>46751</v>
      </c>
      <c r="AA11" s="60">
        <v>46751</v>
      </c>
      <c r="AB11" s="58">
        <v>3676</v>
      </c>
      <c r="AC11" s="59" t="s">
        <v>10</v>
      </c>
      <c r="AD11" s="58">
        <v>2190</v>
      </c>
      <c r="AE11" s="57">
        <v>6</v>
      </c>
      <c r="AF11" s="56"/>
      <c r="AG11" s="71" t="s">
        <v>1</v>
      </c>
      <c r="AH11" s="71" t="s">
        <v>1</v>
      </c>
      <c r="AI11" s="70" t="s">
        <v>569</v>
      </c>
      <c r="AJ11" s="11" t="s">
        <v>0</v>
      </c>
      <c r="AK11" s="11" t="s">
        <v>271</v>
      </c>
      <c r="AL11" s="14" t="s">
        <v>326</v>
      </c>
      <c r="AM11" s="11">
        <v>8817.5</v>
      </c>
      <c r="AO11" s="197" t="s">
        <v>128</v>
      </c>
      <c r="AP11" s="198" t="s">
        <v>48</v>
      </c>
      <c r="AS11" s="212">
        <v>0</v>
      </c>
      <c r="AT11" s="212">
        <v>2388.9751870376303</v>
      </c>
      <c r="AU11" s="212" t="b">
        <v>0</v>
      </c>
      <c r="AV11" s="212"/>
      <c r="AW11" s="212">
        <v>0</v>
      </c>
      <c r="AX11" s="212">
        <v>0</v>
      </c>
      <c r="BA11" s="212">
        <v>0</v>
      </c>
      <c r="BB11" s="226">
        <v>0</v>
      </c>
      <c r="BC11" s="226"/>
    </row>
    <row r="12" spans="1:55" ht="39.950000000000003" hidden="1" customHeight="1" x14ac:dyDescent="0.2">
      <c r="A12" s="14" t="s">
        <v>438</v>
      </c>
      <c r="B12" s="65" t="s">
        <v>67</v>
      </c>
      <c r="C12" s="66" t="s">
        <v>87</v>
      </c>
      <c r="D12" s="13" t="s">
        <v>542</v>
      </c>
      <c r="E12" s="77" t="s">
        <v>87</v>
      </c>
      <c r="F12" s="14" t="s">
        <v>102</v>
      </c>
      <c r="G12" s="14" t="s">
        <v>102</v>
      </c>
      <c r="H12" s="66" t="s">
        <v>122</v>
      </c>
      <c r="I12" s="14" t="s">
        <v>78</v>
      </c>
      <c r="J12" s="14" t="s">
        <v>219</v>
      </c>
      <c r="K12" s="13" t="s">
        <v>101</v>
      </c>
      <c r="L12" s="65" t="s">
        <v>191</v>
      </c>
      <c r="M12" s="13" t="s">
        <v>59</v>
      </c>
      <c r="N12" s="13" t="s">
        <v>43</v>
      </c>
      <c r="O12" s="13" t="s">
        <v>538</v>
      </c>
      <c r="P12" s="13" t="s">
        <v>534</v>
      </c>
      <c r="Q12" s="64" t="s">
        <v>156</v>
      </c>
      <c r="R12" s="62">
        <v>28276.811129752859</v>
      </c>
      <c r="S12" s="63">
        <v>15000</v>
      </c>
      <c r="T12" s="79">
        <v>28276.811129752859</v>
      </c>
      <c r="U12" s="62">
        <v>64094.105227439817</v>
      </c>
      <c r="V12" s="76">
        <v>1697134.9369427112</v>
      </c>
      <c r="W12" s="61" t="s">
        <v>11</v>
      </c>
      <c r="X12" s="181">
        <v>1.8499999999999999E-2</v>
      </c>
      <c r="Y12" s="60">
        <v>43228</v>
      </c>
      <c r="Z12" s="60">
        <v>45054</v>
      </c>
      <c r="AA12" s="60">
        <v>45054</v>
      </c>
      <c r="AB12" s="58">
        <v>1827</v>
      </c>
      <c r="AC12" s="84" t="s">
        <v>10</v>
      </c>
      <c r="AD12" s="58">
        <v>493</v>
      </c>
      <c r="AE12" s="57">
        <v>1.3506849315068492</v>
      </c>
      <c r="AF12" s="56"/>
      <c r="AG12" s="71" t="s">
        <v>1</v>
      </c>
      <c r="AH12" s="71" t="s">
        <v>1</v>
      </c>
      <c r="AI12" s="71" t="s">
        <v>0</v>
      </c>
      <c r="AJ12" s="11" t="s">
        <v>0</v>
      </c>
      <c r="AK12" s="11" t="s">
        <v>271</v>
      </c>
      <c r="AL12" s="14" t="s">
        <v>340</v>
      </c>
      <c r="AM12" s="11">
        <v>6427.5</v>
      </c>
      <c r="AO12" s="197" t="s">
        <v>87</v>
      </c>
      <c r="AP12" s="198" t="s">
        <v>102</v>
      </c>
      <c r="AS12" s="212">
        <v>0</v>
      </c>
      <c r="AT12" s="212">
        <v>3393.217335570343</v>
      </c>
      <c r="AU12" s="212" t="b">
        <v>0</v>
      </c>
      <c r="AV12" s="212"/>
      <c r="AW12" s="212">
        <v>0</v>
      </c>
      <c r="AX12" s="212">
        <v>0</v>
      </c>
      <c r="BA12" s="212">
        <v>0</v>
      </c>
      <c r="BB12" s="226">
        <v>0</v>
      </c>
      <c r="BC12" s="226"/>
    </row>
    <row r="13" spans="1:55" ht="39.950000000000003" hidden="1" customHeight="1" x14ac:dyDescent="0.2">
      <c r="A13" s="14" t="s">
        <v>80</v>
      </c>
      <c r="B13" s="65" t="s">
        <v>23</v>
      </c>
      <c r="C13" s="66" t="s">
        <v>37</v>
      </c>
      <c r="D13" s="13" t="s">
        <v>540</v>
      </c>
      <c r="E13" s="161" t="s">
        <v>36</v>
      </c>
      <c r="F13" s="14" t="s">
        <v>104</v>
      </c>
      <c r="G13" s="14" t="s">
        <v>105</v>
      </c>
      <c r="H13" s="66" t="s">
        <v>131</v>
      </c>
      <c r="I13" s="14" t="s">
        <v>79</v>
      </c>
      <c r="J13" s="14" t="s">
        <v>222</v>
      </c>
      <c r="K13" s="14" t="s">
        <v>209</v>
      </c>
      <c r="L13" s="65" t="s">
        <v>191</v>
      </c>
      <c r="M13" s="13" t="s">
        <v>323</v>
      </c>
      <c r="N13" s="13" t="s">
        <v>43</v>
      </c>
      <c r="O13" s="13" t="s">
        <v>533</v>
      </c>
      <c r="P13" s="13" t="s">
        <v>534</v>
      </c>
      <c r="Q13" s="64" t="s">
        <v>9</v>
      </c>
      <c r="R13" s="62">
        <v>34830.098778160136</v>
      </c>
      <c r="S13" s="63">
        <v>25000</v>
      </c>
      <c r="T13" s="150">
        <v>34830.098778160136</v>
      </c>
      <c r="U13" s="62">
        <v>366412.63914624462</v>
      </c>
      <c r="V13" s="76">
        <v>923751.53600735613</v>
      </c>
      <c r="W13" s="61" t="s">
        <v>11</v>
      </c>
      <c r="X13" s="181">
        <v>1.7100000000000001E-2</v>
      </c>
      <c r="Y13" s="60">
        <v>43234</v>
      </c>
      <c r="Z13" s="60">
        <v>43234</v>
      </c>
      <c r="AA13" s="60">
        <v>45050</v>
      </c>
      <c r="AB13" s="58">
        <v>1817</v>
      </c>
      <c r="AC13" s="84" t="s">
        <v>10</v>
      </c>
      <c r="AD13" s="58">
        <v>489</v>
      </c>
      <c r="AE13" s="57">
        <v>1.3397260273972602</v>
      </c>
      <c r="AF13" s="56"/>
      <c r="AG13" s="71" t="s">
        <v>1</v>
      </c>
      <c r="AH13" s="71" t="s">
        <v>1</v>
      </c>
      <c r="AI13" s="71" t="s">
        <v>0</v>
      </c>
      <c r="AJ13" s="11" t="s">
        <v>0</v>
      </c>
      <c r="AK13" s="11" t="s">
        <v>271</v>
      </c>
      <c r="AL13" s="14" t="s">
        <v>341</v>
      </c>
      <c r="AM13" s="11">
        <v>11639</v>
      </c>
      <c r="AO13" s="197" t="s">
        <v>36</v>
      </c>
      <c r="AP13" s="198" t="s">
        <v>104</v>
      </c>
      <c r="AS13" s="212">
        <v>0</v>
      </c>
      <c r="AT13" s="212">
        <v>4179.611853379216</v>
      </c>
      <c r="AU13" s="212" t="b">
        <v>0</v>
      </c>
      <c r="AV13" s="212"/>
      <c r="AW13" s="212">
        <v>0</v>
      </c>
      <c r="AX13" s="212">
        <v>0</v>
      </c>
      <c r="BA13" s="212">
        <v>0</v>
      </c>
      <c r="BB13" s="226">
        <v>0</v>
      </c>
      <c r="BC13" s="226"/>
    </row>
    <row r="14" spans="1:55" ht="39.950000000000003" hidden="1" customHeight="1" x14ac:dyDescent="0.2">
      <c r="A14" s="13" t="s">
        <v>137</v>
      </c>
      <c r="B14" s="65" t="s">
        <v>24</v>
      </c>
      <c r="C14" s="66" t="s">
        <v>34</v>
      </c>
      <c r="D14" s="13" t="s">
        <v>34</v>
      </c>
      <c r="E14" s="77" t="s">
        <v>34</v>
      </c>
      <c r="F14" s="14" t="s">
        <v>475</v>
      </c>
      <c r="G14" s="14" t="s">
        <v>138</v>
      </c>
      <c r="H14" s="14" t="s">
        <v>138</v>
      </c>
      <c r="I14" s="14" t="s">
        <v>70</v>
      </c>
      <c r="J14" s="66" t="s">
        <v>218</v>
      </c>
      <c r="K14" s="14" t="s">
        <v>209</v>
      </c>
      <c r="L14" s="65" t="s">
        <v>191</v>
      </c>
      <c r="M14" s="13" t="s">
        <v>323</v>
      </c>
      <c r="N14" s="13" t="s">
        <v>43</v>
      </c>
      <c r="O14" s="13" t="s">
        <v>531</v>
      </c>
      <c r="P14" s="13" t="s">
        <v>534</v>
      </c>
      <c r="Q14" s="64" t="s">
        <v>8</v>
      </c>
      <c r="R14" s="62">
        <v>20000</v>
      </c>
      <c r="S14" s="63">
        <v>20000</v>
      </c>
      <c r="T14" s="150">
        <v>20000</v>
      </c>
      <c r="U14" s="62">
        <v>40000</v>
      </c>
      <c r="V14" s="150">
        <v>2636444</v>
      </c>
      <c r="W14" s="61" t="s">
        <v>11</v>
      </c>
      <c r="X14" s="181">
        <v>5.3499999999999999E-2</v>
      </c>
      <c r="Y14" s="60">
        <v>43273</v>
      </c>
      <c r="Z14" s="60">
        <v>45210</v>
      </c>
      <c r="AA14" s="60">
        <v>45210</v>
      </c>
      <c r="AB14" s="58">
        <v>1938</v>
      </c>
      <c r="AC14" s="84" t="s">
        <v>10</v>
      </c>
      <c r="AD14" s="58">
        <v>649</v>
      </c>
      <c r="AE14" s="57">
        <v>1.7780821917808218</v>
      </c>
      <c r="AF14" s="56"/>
      <c r="AG14" s="71" t="s">
        <v>1</v>
      </c>
      <c r="AH14" s="71" t="s">
        <v>1</v>
      </c>
      <c r="AI14" s="71" t="s">
        <v>0</v>
      </c>
      <c r="AJ14" s="11" t="s">
        <v>0</v>
      </c>
      <c r="AK14" s="11" t="s">
        <v>271</v>
      </c>
      <c r="AL14" s="13" t="s">
        <v>342</v>
      </c>
      <c r="AM14" s="11">
        <v>12137</v>
      </c>
      <c r="AO14" s="197" t="s">
        <v>34</v>
      </c>
      <c r="AP14" s="198" t="s">
        <v>475</v>
      </c>
      <c r="AS14" s="212">
        <v>0</v>
      </c>
      <c r="AT14" s="212">
        <v>2400</v>
      </c>
      <c r="AU14" s="212" t="b">
        <v>0</v>
      </c>
      <c r="AV14" s="212"/>
      <c r="AW14" s="212">
        <v>0</v>
      </c>
      <c r="AX14" s="212">
        <v>0</v>
      </c>
      <c r="BA14" s="212">
        <v>0</v>
      </c>
      <c r="BB14" s="226">
        <v>0</v>
      </c>
      <c r="BC14" s="226"/>
    </row>
    <row r="15" spans="1:55" ht="39.950000000000003" customHeight="1" x14ac:dyDescent="0.2">
      <c r="A15" s="13" t="s">
        <v>144</v>
      </c>
      <c r="B15" s="65" t="s">
        <v>23</v>
      </c>
      <c r="C15" s="66" t="s">
        <v>166</v>
      </c>
      <c r="D15" s="13" t="s">
        <v>540</v>
      </c>
      <c r="E15" s="161" t="s">
        <v>36</v>
      </c>
      <c r="F15" s="14" t="s">
        <v>92</v>
      </c>
      <c r="G15" s="14" t="s">
        <v>100</v>
      </c>
      <c r="H15" s="66" t="s">
        <v>100</v>
      </c>
      <c r="I15" s="14" t="s">
        <v>145</v>
      </c>
      <c r="J15" s="66" t="s">
        <v>221</v>
      </c>
      <c r="K15" s="14" t="s">
        <v>44</v>
      </c>
      <c r="L15" s="65" t="s">
        <v>191</v>
      </c>
      <c r="M15" s="13" t="s">
        <v>59</v>
      </c>
      <c r="N15" s="13" t="s">
        <v>43</v>
      </c>
      <c r="O15" s="13" t="s">
        <v>533</v>
      </c>
      <c r="P15" s="13" t="s">
        <v>534</v>
      </c>
      <c r="Q15" s="64" t="s">
        <v>9</v>
      </c>
      <c r="R15" s="62">
        <v>13932.039511264054</v>
      </c>
      <c r="S15" s="63">
        <v>8500</v>
      </c>
      <c r="T15" s="150">
        <v>11842.233584574446</v>
      </c>
      <c r="U15" s="62">
        <v>167184.47413516865</v>
      </c>
      <c r="V15" s="150">
        <v>620058.52849798673</v>
      </c>
      <c r="W15" s="61" t="s">
        <v>551</v>
      </c>
      <c r="X15" s="181">
        <v>2.1000000000000001E-2</v>
      </c>
      <c r="Y15" s="60">
        <v>43279</v>
      </c>
      <c r="Z15" s="60">
        <v>45503</v>
      </c>
      <c r="AA15" s="60">
        <v>45503</v>
      </c>
      <c r="AB15" s="58">
        <v>2225</v>
      </c>
      <c r="AC15" s="59" t="s">
        <v>10</v>
      </c>
      <c r="AD15" s="58">
        <v>942</v>
      </c>
      <c r="AE15" s="57">
        <v>2.580821917808219</v>
      </c>
      <c r="AF15" s="56"/>
      <c r="AG15" s="71" t="s">
        <v>1</v>
      </c>
      <c r="AH15" s="71" t="s">
        <v>1</v>
      </c>
      <c r="AI15" s="71" t="s">
        <v>0</v>
      </c>
      <c r="AJ15" s="11" t="s">
        <v>0</v>
      </c>
      <c r="AK15" s="11" t="s">
        <v>271</v>
      </c>
      <c r="AL15" s="13" t="s">
        <v>345</v>
      </c>
      <c r="AO15" s="197" t="s">
        <v>36</v>
      </c>
      <c r="AP15" s="198" t="s">
        <v>92</v>
      </c>
      <c r="AQ15" s="11">
        <v>1</v>
      </c>
      <c r="AR15" s="214">
        <v>0.05</v>
      </c>
      <c r="AS15" s="212">
        <v>592.11167922872232</v>
      </c>
      <c r="AT15" s="212">
        <v>1421.0680301489333</v>
      </c>
      <c r="AU15" s="212" t="b">
        <v>0</v>
      </c>
      <c r="AV15" s="212"/>
      <c r="AW15" s="212">
        <v>592.11167922872232</v>
      </c>
      <c r="AX15" s="212">
        <v>592.11167922872232</v>
      </c>
      <c r="AY15" s="12"/>
      <c r="BA15" s="212">
        <v>592.11167922872232</v>
      </c>
      <c r="BB15" s="226">
        <v>592.11167922872232</v>
      </c>
      <c r="BC15" s="226">
        <v>592.11167922872232</v>
      </c>
    </row>
    <row r="16" spans="1:55" ht="39.950000000000003" hidden="1" customHeight="1" x14ac:dyDescent="0.2">
      <c r="A16" s="13" t="s">
        <v>147</v>
      </c>
      <c r="B16" s="65" t="s">
        <v>51</v>
      </c>
      <c r="C16" s="66" t="s">
        <v>88</v>
      </c>
      <c r="D16" s="13" t="s">
        <v>542</v>
      </c>
      <c r="E16" s="77" t="s">
        <v>88</v>
      </c>
      <c r="F16" s="14" t="s">
        <v>106</v>
      </c>
      <c r="G16" s="14" t="s">
        <v>106</v>
      </c>
      <c r="H16" s="66" t="s">
        <v>107</v>
      </c>
      <c r="I16" s="14" t="s">
        <v>61</v>
      </c>
      <c r="J16" s="66" t="s">
        <v>220</v>
      </c>
      <c r="K16" s="14" t="s">
        <v>101</v>
      </c>
      <c r="L16" s="65" t="s">
        <v>191</v>
      </c>
      <c r="M16" s="13" t="s">
        <v>59</v>
      </c>
      <c r="N16" s="13" t="s">
        <v>43</v>
      </c>
      <c r="O16" s="13" t="s">
        <v>533</v>
      </c>
      <c r="P16" s="13" t="s">
        <v>548</v>
      </c>
      <c r="Q16" s="64" t="s">
        <v>59</v>
      </c>
      <c r="R16" s="62">
        <v>23644.388398486761</v>
      </c>
      <c r="S16" s="63">
        <v>15000</v>
      </c>
      <c r="T16" s="150">
        <v>23644.388398486761</v>
      </c>
      <c r="U16" s="62">
        <v>78814.627994955867</v>
      </c>
      <c r="V16" s="150">
        <v>640466.58259773022</v>
      </c>
      <c r="W16" s="61" t="s">
        <v>11</v>
      </c>
      <c r="X16" s="181">
        <v>1.2E-2</v>
      </c>
      <c r="Y16" s="60">
        <v>43282</v>
      </c>
      <c r="Z16" s="60">
        <v>44834</v>
      </c>
      <c r="AA16" s="60">
        <v>44834</v>
      </c>
      <c r="AB16" s="58">
        <v>1553</v>
      </c>
      <c r="AC16" s="59" t="s">
        <v>10</v>
      </c>
      <c r="AD16" s="58">
        <v>273</v>
      </c>
      <c r="AE16" s="57">
        <v>0.74794520547945209</v>
      </c>
      <c r="AF16" s="56"/>
      <c r="AG16" s="71" t="s">
        <v>1</v>
      </c>
      <c r="AH16" s="71" t="s">
        <v>1</v>
      </c>
      <c r="AI16" s="71" t="s">
        <v>0</v>
      </c>
      <c r="AJ16" s="11" t="s">
        <v>0</v>
      </c>
      <c r="AK16" s="11" t="s">
        <v>271</v>
      </c>
      <c r="AL16" s="13" t="s">
        <v>336</v>
      </c>
      <c r="AM16" s="11">
        <v>5540</v>
      </c>
      <c r="AO16" s="197" t="s">
        <v>88</v>
      </c>
      <c r="AP16" s="198" t="s">
        <v>106</v>
      </c>
      <c r="AS16" s="212">
        <v>0</v>
      </c>
      <c r="AT16" s="212">
        <v>2837.326607818411</v>
      </c>
      <c r="AU16" s="212" t="b">
        <v>0</v>
      </c>
      <c r="AV16" s="212"/>
      <c r="AW16" s="212">
        <v>0</v>
      </c>
      <c r="AX16" s="212">
        <v>0</v>
      </c>
      <c r="BA16" s="212">
        <v>0</v>
      </c>
      <c r="BB16" s="226">
        <v>0</v>
      </c>
      <c r="BC16" s="226"/>
    </row>
    <row r="17" spans="1:55" ht="39.950000000000003" hidden="1" customHeight="1" x14ac:dyDescent="0.2">
      <c r="A17" s="13" t="s">
        <v>143</v>
      </c>
      <c r="B17" s="65" t="s">
        <v>67</v>
      </c>
      <c r="C17" s="66" t="s">
        <v>34</v>
      </c>
      <c r="D17" s="13" t="s">
        <v>34</v>
      </c>
      <c r="E17" s="77" t="s">
        <v>34</v>
      </c>
      <c r="F17" s="14" t="s">
        <v>104</v>
      </c>
      <c r="G17" s="14" t="s">
        <v>111</v>
      </c>
      <c r="H17" s="14" t="s">
        <v>112</v>
      </c>
      <c r="I17" s="66" t="s">
        <v>70</v>
      </c>
      <c r="J17" s="66" t="s">
        <v>218</v>
      </c>
      <c r="K17" s="14" t="s">
        <v>139</v>
      </c>
      <c r="L17" s="65" t="s">
        <v>191</v>
      </c>
      <c r="M17" s="13" t="s">
        <v>323</v>
      </c>
      <c r="N17" s="13" t="s">
        <v>43</v>
      </c>
      <c r="O17" s="13" t="s">
        <v>538</v>
      </c>
      <c r="P17" s="13" t="s">
        <v>534</v>
      </c>
      <c r="Q17" s="64" t="s">
        <v>8</v>
      </c>
      <c r="R17" s="62">
        <v>20000</v>
      </c>
      <c r="S17" s="63">
        <v>20000</v>
      </c>
      <c r="T17" s="62">
        <v>20000</v>
      </c>
      <c r="U17" s="62">
        <v>50000</v>
      </c>
      <c r="V17" s="76">
        <v>1526431.89</v>
      </c>
      <c r="W17" s="61" t="s">
        <v>11</v>
      </c>
      <c r="X17" s="181">
        <v>0.05</v>
      </c>
      <c r="Y17" s="60">
        <v>43308</v>
      </c>
      <c r="Z17" s="60">
        <v>44671</v>
      </c>
      <c r="AA17" s="60">
        <v>44671</v>
      </c>
      <c r="AB17" s="58">
        <v>1364</v>
      </c>
      <c r="AC17" s="59" t="s">
        <v>10</v>
      </c>
      <c r="AD17" s="58">
        <v>110</v>
      </c>
      <c r="AE17" s="57">
        <v>0.30136986301369861</v>
      </c>
      <c r="AF17" s="56"/>
      <c r="AG17" s="71" t="s">
        <v>1</v>
      </c>
      <c r="AH17" s="71" t="s">
        <v>1</v>
      </c>
      <c r="AI17" s="71" t="s">
        <v>0</v>
      </c>
      <c r="AJ17" s="11" t="s">
        <v>0</v>
      </c>
      <c r="AK17" s="11" t="s">
        <v>271</v>
      </c>
      <c r="AL17" s="13" t="s">
        <v>344</v>
      </c>
      <c r="AM17" s="11">
        <v>24062.5</v>
      </c>
      <c r="AO17" s="197" t="s">
        <v>34</v>
      </c>
      <c r="AP17" s="198" t="s">
        <v>104</v>
      </c>
      <c r="AS17" s="212">
        <v>0</v>
      </c>
      <c r="AT17" s="212">
        <v>2400</v>
      </c>
      <c r="AU17" s="212" t="b">
        <v>0</v>
      </c>
      <c r="AV17" s="212"/>
      <c r="AW17" s="212">
        <v>0</v>
      </c>
      <c r="AX17" s="212">
        <v>0</v>
      </c>
      <c r="BA17" s="212">
        <v>0</v>
      </c>
      <c r="BB17" s="226">
        <v>0</v>
      </c>
      <c r="BC17" s="226"/>
    </row>
    <row r="18" spans="1:55" ht="39.950000000000003" hidden="1" customHeight="1" x14ac:dyDescent="0.2">
      <c r="A18" s="14" t="s">
        <v>146</v>
      </c>
      <c r="B18" s="65" t="s">
        <v>24</v>
      </c>
      <c r="C18" s="66" t="s">
        <v>38</v>
      </c>
      <c r="D18" s="13" t="s">
        <v>34</v>
      </c>
      <c r="E18" s="77" t="s">
        <v>34</v>
      </c>
      <c r="F18" s="14" t="s">
        <v>106</v>
      </c>
      <c r="G18" s="14" t="s">
        <v>106</v>
      </c>
      <c r="H18" s="66" t="s">
        <v>107</v>
      </c>
      <c r="I18" s="133" t="s">
        <v>638</v>
      </c>
      <c r="J18" s="14" t="s">
        <v>687</v>
      </c>
      <c r="K18" s="14" t="s">
        <v>101</v>
      </c>
      <c r="L18" s="65" t="s">
        <v>191</v>
      </c>
      <c r="M18" s="13" t="s">
        <v>323</v>
      </c>
      <c r="N18" s="13" t="s">
        <v>43</v>
      </c>
      <c r="O18" s="13" t="s">
        <v>539</v>
      </c>
      <c r="P18" s="13" t="s">
        <v>534</v>
      </c>
      <c r="Q18" s="64" t="s">
        <v>8</v>
      </c>
      <c r="R18" s="62">
        <v>22500</v>
      </c>
      <c r="S18" s="63">
        <v>22500</v>
      </c>
      <c r="T18" s="62">
        <v>22500</v>
      </c>
      <c r="U18" s="62">
        <v>55000</v>
      </c>
      <c r="V18" s="76">
        <v>2014904.53</v>
      </c>
      <c r="W18" s="61" t="s">
        <v>11</v>
      </c>
      <c r="X18" s="181">
        <v>0.06</v>
      </c>
      <c r="Y18" s="60">
        <v>43320</v>
      </c>
      <c r="Z18" s="60">
        <v>44620</v>
      </c>
      <c r="AA18" s="60">
        <v>44620</v>
      </c>
      <c r="AB18" s="58">
        <v>1301</v>
      </c>
      <c r="AC18" s="59" t="s">
        <v>1</v>
      </c>
      <c r="AD18" s="58">
        <v>59</v>
      </c>
      <c r="AE18" s="57">
        <v>0.16164383561643836</v>
      </c>
      <c r="AF18" s="56"/>
      <c r="AG18" s="71" t="s">
        <v>1</v>
      </c>
      <c r="AH18" s="71" t="s">
        <v>1</v>
      </c>
      <c r="AI18" s="71" t="s">
        <v>0</v>
      </c>
      <c r="AJ18" s="11" t="s">
        <v>672</v>
      </c>
      <c r="AK18" s="11" t="s">
        <v>271</v>
      </c>
      <c r="AL18" s="14" t="s">
        <v>346</v>
      </c>
      <c r="AM18" s="11">
        <v>19560</v>
      </c>
      <c r="AO18" s="197" t="s">
        <v>34</v>
      </c>
      <c r="AP18" s="198" t="s">
        <v>106</v>
      </c>
      <c r="AQ18" s="11">
        <v>0</v>
      </c>
      <c r="AR18" s="214">
        <v>0</v>
      </c>
      <c r="AS18" s="212">
        <v>0</v>
      </c>
      <c r="AT18" s="212">
        <v>2700</v>
      </c>
      <c r="AU18" s="212" t="b">
        <v>0</v>
      </c>
      <c r="AV18" s="212"/>
      <c r="AW18" s="212">
        <v>0</v>
      </c>
      <c r="AX18" s="212">
        <v>0</v>
      </c>
      <c r="AY18" s="12"/>
      <c r="BA18" s="212">
        <v>0</v>
      </c>
      <c r="BB18" s="226">
        <v>0</v>
      </c>
      <c r="BC18" s="226"/>
    </row>
    <row r="19" spans="1:55" ht="39.950000000000003" hidden="1" customHeight="1" x14ac:dyDescent="0.2">
      <c r="A19" s="13" t="s">
        <v>153</v>
      </c>
      <c r="B19" s="65" t="s">
        <v>23</v>
      </c>
      <c r="C19" s="66" t="s">
        <v>89</v>
      </c>
      <c r="D19" s="13" t="s">
        <v>542</v>
      </c>
      <c r="E19" s="77" t="s">
        <v>127</v>
      </c>
      <c r="F19" s="14" t="s">
        <v>92</v>
      </c>
      <c r="G19" s="14" t="s">
        <v>108</v>
      </c>
      <c r="H19" s="66" t="s">
        <v>109</v>
      </c>
      <c r="I19" s="14" t="s">
        <v>220</v>
      </c>
      <c r="J19" s="14" t="s">
        <v>220</v>
      </c>
      <c r="K19" s="14" t="s">
        <v>22</v>
      </c>
      <c r="L19" s="65" t="s">
        <v>191</v>
      </c>
      <c r="M19" s="13" t="s">
        <v>59</v>
      </c>
      <c r="N19" s="13" t="s">
        <v>43</v>
      </c>
      <c r="O19" s="13" t="s">
        <v>531</v>
      </c>
      <c r="P19" s="13" t="s">
        <v>534</v>
      </c>
      <c r="Q19" s="64" t="s">
        <v>9</v>
      </c>
      <c r="R19" s="62">
        <v>4038.7436086768744</v>
      </c>
      <c r="S19" s="63">
        <v>1574.373</v>
      </c>
      <c r="T19" s="150">
        <v>2193.4226841467321</v>
      </c>
      <c r="U19" s="62">
        <v>25589.928540689292</v>
      </c>
      <c r="V19" s="76">
        <v>208240.80137091267</v>
      </c>
      <c r="W19" s="61" t="s">
        <v>11</v>
      </c>
      <c r="X19" s="181">
        <v>2.2499999999999999E-2</v>
      </c>
      <c r="Y19" s="60">
        <v>43350</v>
      </c>
      <c r="Z19" s="60">
        <v>45894</v>
      </c>
      <c r="AA19" s="60">
        <v>45894</v>
      </c>
      <c r="AB19" s="58">
        <v>2545</v>
      </c>
      <c r="AC19" s="59" t="s">
        <v>10</v>
      </c>
      <c r="AD19" s="58">
        <v>1333</v>
      </c>
      <c r="AE19" s="57">
        <v>3.6520547945205482</v>
      </c>
      <c r="AF19" s="56"/>
      <c r="AG19" s="71" t="s">
        <v>1</v>
      </c>
      <c r="AH19" s="71" t="s">
        <v>1</v>
      </c>
      <c r="AI19" s="70" t="s">
        <v>251</v>
      </c>
      <c r="AJ19" s="11" t="s">
        <v>0</v>
      </c>
      <c r="AK19" s="11" t="s">
        <v>271</v>
      </c>
      <c r="AL19" s="13" t="s">
        <v>347</v>
      </c>
      <c r="AM19" s="11">
        <v>12110</v>
      </c>
      <c r="AO19" s="197" t="s">
        <v>127</v>
      </c>
      <c r="AP19" s="198" t="s">
        <v>92</v>
      </c>
      <c r="AS19" s="212">
        <v>0</v>
      </c>
      <c r="AT19" s="212">
        <v>263.21072209760786</v>
      </c>
      <c r="AU19" s="212" t="b">
        <v>0</v>
      </c>
      <c r="AV19" s="212"/>
      <c r="AW19" s="212">
        <v>0</v>
      </c>
      <c r="AX19" s="212">
        <v>0</v>
      </c>
      <c r="BA19" s="212">
        <v>0</v>
      </c>
      <c r="BB19" s="226">
        <v>0</v>
      </c>
      <c r="BC19" s="226"/>
    </row>
    <row r="20" spans="1:55" ht="39.950000000000003" hidden="1" customHeight="1" x14ac:dyDescent="0.2">
      <c r="A20" s="13" t="s">
        <v>150</v>
      </c>
      <c r="B20" s="65" t="s">
        <v>67</v>
      </c>
      <c r="C20" s="66" t="s">
        <v>149</v>
      </c>
      <c r="D20" s="13" t="s">
        <v>34</v>
      </c>
      <c r="E20" s="77" t="s">
        <v>34</v>
      </c>
      <c r="F20" s="14" t="s">
        <v>48</v>
      </c>
      <c r="G20" s="14" t="s">
        <v>95</v>
      </c>
      <c r="H20" s="66" t="s">
        <v>130</v>
      </c>
      <c r="I20" s="14" t="s">
        <v>148</v>
      </c>
      <c r="J20" s="66" t="s">
        <v>148</v>
      </c>
      <c r="K20" s="14" t="s">
        <v>209</v>
      </c>
      <c r="L20" s="65" t="s">
        <v>191</v>
      </c>
      <c r="M20" s="13" t="s">
        <v>59</v>
      </c>
      <c r="N20" s="13" t="s">
        <v>43</v>
      </c>
      <c r="O20" s="13" t="s">
        <v>531</v>
      </c>
      <c r="P20" s="13" t="s">
        <v>534</v>
      </c>
      <c r="Q20" s="64" t="s">
        <v>9</v>
      </c>
      <c r="R20" s="62">
        <v>13932.039511264054</v>
      </c>
      <c r="S20" s="73">
        <v>8467</v>
      </c>
      <c r="T20" s="76">
        <v>11796.257854187274</v>
      </c>
      <c r="U20" s="62">
        <v>88471.933906404549</v>
      </c>
      <c r="V20" s="76">
        <v>1093270.8249160594</v>
      </c>
      <c r="W20" s="61" t="s">
        <v>11</v>
      </c>
      <c r="X20" s="181">
        <v>3.7499999999999999E-2</v>
      </c>
      <c r="Y20" s="60">
        <v>43353</v>
      </c>
      <c r="Z20" s="60">
        <v>45199</v>
      </c>
      <c r="AA20" s="60">
        <v>45199</v>
      </c>
      <c r="AB20" s="58">
        <v>1847</v>
      </c>
      <c r="AC20" s="59" t="s">
        <v>10</v>
      </c>
      <c r="AD20" s="58">
        <v>638</v>
      </c>
      <c r="AE20" s="57">
        <v>1.747945205479452</v>
      </c>
      <c r="AF20" s="56"/>
      <c r="AG20" s="71" t="s">
        <v>1</v>
      </c>
      <c r="AH20" s="71" t="s">
        <v>1</v>
      </c>
      <c r="AI20" s="70" t="s">
        <v>598</v>
      </c>
      <c r="AJ20" s="11" t="s">
        <v>0</v>
      </c>
      <c r="AK20" s="11" t="s">
        <v>271</v>
      </c>
      <c r="AL20" s="13" t="s">
        <v>553</v>
      </c>
      <c r="AM20" s="11">
        <v>16582.5</v>
      </c>
      <c r="AO20" s="197" t="s">
        <v>34</v>
      </c>
      <c r="AP20" s="198" t="s">
        <v>48</v>
      </c>
      <c r="AQ20" s="11">
        <v>0</v>
      </c>
      <c r="AR20" s="214">
        <v>0</v>
      </c>
      <c r="AS20" s="212">
        <v>0</v>
      </c>
      <c r="AT20" s="212">
        <v>1415.5509425024727</v>
      </c>
      <c r="AU20" s="212" t="b">
        <v>0</v>
      </c>
      <c r="AV20" s="212"/>
      <c r="AW20" s="212">
        <v>0</v>
      </c>
      <c r="AX20" s="212">
        <v>0</v>
      </c>
      <c r="AY20" s="12"/>
      <c r="BA20" s="212">
        <v>0</v>
      </c>
      <c r="BB20" s="226">
        <v>0</v>
      </c>
      <c r="BC20" s="226">
        <v>1172.0653377630122</v>
      </c>
    </row>
    <row r="21" spans="1:55" ht="39.950000000000003" hidden="1" customHeight="1" x14ac:dyDescent="0.2">
      <c r="A21" s="13" t="s">
        <v>202</v>
      </c>
      <c r="B21" s="65" t="s">
        <v>23</v>
      </c>
      <c r="C21" s="66" t="s">
        <v>89</v>
      </c>
      <c r="D21" s="13" t="s">
        <v>542</v>
      </c>
      <c r="E21" s="77" t="s">
        <v>127</v>
      </c>
      <c r="F21" s="14" t="s">
        <v>92</v>
      </c>
      <c r="G21" s="14" t="s">
        <v>108</v>
      </c>
      <c r="H21" s="66" t="s">
        <v>109</v>
      </c>
      <c r="I21" s="14" t="s">
        <v>220</v>
      </c>
      <c r="J21" s="66" t="s">
        <v>220</v>
      </c>
      <c r="K21" s="14" t="s">
        <v>22</v>
      </c>
      <c r="L21" s="65" t="s">
        <v>191</v>
      </c>
      <c r="M21" s="13" t="s">
        <v>59</v>
      </c>
      <c r="N21" s="13" t="s">
        <v>43</v>
      </c>
      <c r="O21" s="13" t="s">
        <v>531</v>
      </c>
      <c r="P21" s="13" t="s">
        <v>534</v>
      </c>
      <c r="Q21" s="64" t="s">
        <v>9</v>
      </c>
      <c r="R21" s="62">
        <v>3398.0244367973028</v>
      </c>
      <c r="S21" s="73">
        <v>1364.5840000000001</v>
      </c>
      <c r="T21" s="150">
        <v>1901.1438204438748</v>
      </c>
      <c r="U21" s="62">
        <v>22180.011238511874</v>
      </c>
      <c r="V21" s="76">
        <v>180903.35344191035</v>
      </c>
      <c r="W21" s="61" t="s">
        <v>11</v>
      </c>
      <c r="X21" s="181">
        <v>2.2499999999999999E-2</v>
      </c>
      <c r="Y21" s="60">
        <v>43368</v>
      </c>
      <c r="Z21" s="60">
        <v>45955</v>
      </c>
      <c r="AA21" s="60">
        <v>45955</v>
      </c>
      <c r="AB21" s="58">
        <v>2588</v>
      </c>
      <c r="AC21" s="59" t="s">
        <v>10</v>
      </c>
      <c r="AD21" s="58">
        <v>1394</v>
      </c>
      <c r="AE21" s="57">
        <v>3.8191780821917809</v>
      </c>
      <c r="AF21" s="56"/>
      <c r="AG21" s="71" t="s">
        <v>1</v>
      </c>
      <c r="AH21" s="71" t="s">
        <v>1</v>
      </c>
      <c r="AI21" s="70" t="s">
        <v>658</v>
      </c>
      <c r="AJ21" s="11" t="s">
        <v>0</v>
      </c>
      <c r="AK21" s="11" t="s">
        <v>271</v>
      </c>
      <c r="AL21" s="13" t="s">
        <v>349</v>
      </c>
      <c r="AM21" s="11">
        <v>2242.5</v>
      </c>
      <c r="AO21" s="197" t="s">
        <v>127</v>
      </c>
      <c r="AP21" s="198" t="s">
        <v>92</v>
      </c>
      <c r="AS21" s="212">
        <v>0</v>
      </c>
      <c r="AT21" s="212">
        <v>228.13725845326496</v>
      </c>
      <c r="AU21" s="212" t="b">
        <v>0</v>
      </c>
      <c r="AV21" s="212"/>
      <c r="AW21" s="212">
        <v>0</v>
      </c>
      <c r="AX21" s="212">
        <v>0</v>
      </c>
      <c r="BA21" s="212">
        <v>0</v>
      </c>
      <c r="BB21" s="226">
        <v>0</v>
      </c>
      <c r="BC21" s="226"/>
    </row>
    <row r="22" spans="1:55" ht="39.950000000000003" hidden="1" customHeight="1" x14ac:dyDescent="0.2">
      <c r="A22" s="14" t="s">
        <v>157</v>
      </c>
      <c r="B22" s="65" t="s">
        <v>24</v>
      </c>
      <c r="C22" s="66" t="s">
        <v>127</v>
      </c>
      <c r="D22" s="13" t="s">
        <v>542</v>
      </c>
      <c r="E22" s="77" t="s">
        <v>127</v>
      </c>
      <c r="F22" s="14" t="s">
        <v>546</v>
      </c>
      <c r="G22" s="14" t="s">
        <v>160</v>
      </c>
      <c r="H22" s="66" t="s">
        <v>160</v>
      </c>
      <c r="I22" s="14" t="s">
        <v>158</v>
      </c>
      <c r="J22" s="66" t="s">
        <v>220</v>
      </c>
      <c r="K22" s="14" t="s">
        <v>139</v>
      </c>
      <c r="L22" s="65" t="s">
        <v>191</v>
      </c>
      <c r="M22" s="13" t="s">
        <v>59</v>
      </c>
      <c r="N22" s="13" t="s">
        <v>43</v>
      </c>
      <c r="O22" s="13" t="s">
        <v>538</v>
      </c>
      <c r="P22" s="13" t="s">
        <v>548</v>
      </c>
      <c r="Q22" s="64" t="s">
        <v>59</v>
      </c>
      <c r="R22" s="62">
        <v>15762.925598991174</v>
      </c>
      <c r="S22" s="73">
        <v>3333</v>
      </c>
      <c r="T22" s="150">
        <v>5253.7831021437578</v>
      </c>
      <c r="U22" s="62">
        <v>70933.165195460286</v>
      </c>
      <c r="V22" s="76">
        <v>555671.54791929387</v>
      </c>
      <c r="W22" s="61" t="s">
        <v>11</v>
      </c>
      <c r="X22" s="181">
        <v>1.15E-2</v>
      </c>
      <c r="Y22" s="60">
        <v>43390</v>
      </c>
      <c r="Z22" s="60">
        <v>45155</v>
      </c>
      <c r="AA22" s="60">
        <v>45155</v>
      </c>
      <c r="AB22" s="58">
        <v>1766</v>
      </c>
      <c r="AC22" s="59" t="s">
        <v>10</v>
      </c>
      <c r="AD22" s="58">
        <v>594</v>
      </c>
      <c r="AE22" s="57">
        <v>1.6273972602739726</v>
      </c>
      <c r="AF22" s="56"/>
      <c r="AG22" s="71" t="s">
        <v>1</v>
      </c>
      <c r="AH22" s="71" t="s">
        <v>1</v>
      </c>
      <c r="AI22" s="70" t="s">
        <v>0</v>
      </c>
      <c r="AJ22" s="11" t="s">
        <v>0</v>
      </c>
      <c r="AK22" s="11" t="s">
        <v>271</v>
      </c>
      <c r="AL22" s="14" t="s">
        <v>157</v>
      </c>
      <c r="AM22" s="11">
        <v>6640</v>
      </c>
      <c r="AO22" s="197" t="s">
        <v>127</v>
      </c>
      <c r="AP22" s="198" t="s">
        <v>546</v>
      </c>
      <c r="AS22" s="212">
        <v>0</v>
      </c>
      <c r="AT22" s="212">
        <v>630.45397225725094</v>
      </c>
      <c r="AU22" s="212" t="b">
        <v>0</v>
      </c>
      <c r="AV22" s="212"/>
      <c r="AW22" s="212">
        <v>0</v>
      </c>
      <c r="AX22" s="212">
        <v>0</v>
      </c>
      <c r="BA22" s="212">
        <v>0</v>
      </c>
      <c r="BB22" s="226">
        <v>0</v>
      </c>
      <c r="BC22" s="226"/>
    </row>
    <row r="23" spans="1:55" ht="39.950000000000003" hidden="1" customHeight="1" x14ac:dyDescent="0.2">
      <c r="A23" s="14" t="s">
        <v>164</v>
      </c>
      <c r="B23" s="65" t="s">
        <v>23</v>
      </c>
      <c r="C23" s="66" t="s">
        <v>127</v>
      </c>
      <c r="D23" s="13" t="s">
        <v>542</v>
      </c>
      <c r="E23" s="77" t="s">
        <v>89</v>
      </c>
      <c r="F23" s="14" t="s">
        <v>102</v>
      </c>
      <c r="G23" s="14" t="s">
        <v>102</v>
      </c>
      <c r="H23" s="66" t="s">
        <v>122</v>
      </c>
      <c r="I23" s="14" t="s">
        <v>158</v>
      </c>
      <c r="J23" s="66" t="s">
        <v>220</v>
      </c>
      <c r="K23" s="14" t="s">
        <v>101</v>
      </c>
      <c r="L23" s="65" t="s">
        <v>191</v>
      </c>
      <c r="M23" s="13" t="s">
        <v>59</v>
      </c>
      <c r="N23" s="13" t="s">
        <v>43</v>
      </c>
      <c r="O23" s="13" t="s">
        <v>538</v>
      </c>
      <c r="P23" s="13" t="s">
        <v>534</v>
      </c>
      <c r="Q23" s="64" t="s">
        <v>59</v>
      </c>
      <c r="R23" s="62">
        <v>29949.558638083228</v>
      </c>
      <c r="S23" s="73">
        <v>19000</v>
      </c>
      <c r="T23" s="79">
        <v>29949.558638083228</v>
      </c>
      <c r="U23" s="62">
        <v>274274.90542244643</v>
      </c>
      <c r="V23" s="76">
        <v>1000542.6229508197</v>
      </c>
      <c r="W23" s="61" t="s">
        <v>11</v>
      </c>
      <c r="X23" s="181">
        <v>9.5999999999999992E-3</v>
      </c>
      <c r="Y23" s="60">
        <v>43392</v>
      </c>
      <c r="Z23" s="60">
        <v>45534</v>
      </c>
      <c r="AA23" s="60">
        <v>45534</v>
      </c>
      <c r="AB23" s="58">
        <v>2143</v>
      </c>
      <c r="AC23" s="59" t="s">
        <v>10</v>
      </c>
      <c r="AD23" s="58">
        <v>973</v>
      </c>
      <c r="AE23" s="57">
        <v>2.6657534246575341</v>
      </c>
      <c r="AF23" s="56"/>
      <c r="AG23" s="71" t="s">
        <v>1</v>
      </c>
      <c r="AH23" s="71" t="s">
        <v>1</v>
      </c>
      <c r="AI23" s="70" t="s">
        <v>0</v>
      </c>
      <c r="AJ23" s="11" t="s">
        <v>0</v>
      </c>
      <c r="AK23" s="11" t="s">
        <v>271</v>
      </c>
      <c r="AL23" s="14" t="s">
        <v>353</v>
      </c>
      <c r="AM23" s="11">
        <v>6040</v>
      </c>
      <c r="AO23" s="197" t="s">
        <v>89</v>
      </c>
      <c r="AP23" s="198" t="s">
        <v>102</v>
      </c>
      <c r="AS23" s="212">
        <v>0</v>
      </c>
      <c r="AT23" s="212">
        <v>3593.9470365699872</v>
      </c>
      <c r="AU23" s="212" t="b">
        <v>0</v>
      </c>
      <c r="AV23" s="212"/>
      <c r="AW23" s="212">
        <v>0</v>
      </c>
      <c r="AX23" s="212">
        <v>0</v>
      </c>
      <c r="BA23" s="212">
        <v>0</v>
      </c>
      <c r="BB23" s="226">
        <v>0</v>
      </c>
      <c r="BC23" s="226"/>
    </row>
    <row r="24" spans="1:55" ht="39.950000000000003" hidden="1" customHeight="1" x14ac:dyDescent="0.2">
      <c r="A24" s="14" t="s">
        <v>184</v>
      </c>
      <c r="B24" s="65" t="s">
        <v>23</v>
      </c>
      <c r="C24" s="66" t="s">
        <v>38</v>
      </c>
      <c r="D24" s="13" t="s">
        <v>540</v>
      </c>
      <c r="E24" s="77" t="s">
        <v>49</v>
      </c>
      <c r="F24" s="14" t="s">
        <v>48</v>
      </c>
      <c r="G24" s="14" t="s">
        <v>95</v>
      </c>
      <c r="H24" s="130" t="s">
        <v>447</v>
      </c>
      <c r="I24" s="77" t="s">
        <v>73</v>
      </c>
      <c r="J24" s="77" t="s">
        <v>221</v>
      </c>
      <c r="K24" s="13" t="s">
        <v>140</v>
      </c>
      <c r="L24" s="65" t="s">
        <v>191</v>
      </c>
      <c r="M24" s="13" t="s">
        <v>323</v>
      </c>
      <c r="N24" s="13" t="s">
        <v>43</v>
      </c>
      <c r="O24" s="13" t="s">
        <v>538</v>
      </c>
      <c r="P24" s="13" t="s">
        <v>534</v>
      </c>
      <c r="Q24" s="64" t="s">
        <v>9</v>
      </c>
      <c r="R24" s="62">
        <v>13932.039511264054</v>
      </c>
      <c r="S24" s="63">
        <v>3482.3989999999999</v>
      </c>
      <c r="T24" s="150">
        <v>4851.6920461986429</v>
      </c>
      <c r="U24" s="62">
        <v>104490.2963344804</v>
      </c>
      <c r="V24" s="150">
        <v>896359.20977471897</v>
      </c>
      <c r="W24" s="61" t="s">
        <v>11</v>
      </c>
      <c r="X24" s="181">
        <v>3.7499999999999999E-2</v>
      </c>
      <c r="Y24" s="60">
        <v>43398</v>
      </c>
      <c r="Z24" s="60">
        <v>45930</v>
      </c>
      <c r="AA24" s="60">
        <v>45930</v>
      </c>
      <c r="AB24" s="58">
        <v>2533</v>
      </c>
      <c r="AC24" s="59" t="s">
        <v>10</v>
      </c>
      <c r="AD24" s="58">
        <v>1369</v>
      </c>
      <c r="AE24" s="57">
        <v>3.7506849315068491</v>
      </c>
      <c r="AF24" s="56"/>
      <c r="AG24" s="71" t="s">
        <v>1</v>
      </c>
      <c r="AH24" s="71" t="s">
        <v>1</v>
      </c>
      <c r="AI24" s="70" t="s">
        <v>252</v>
      </c>
      <c r="AJ24" s="11" t="s">
        <v>0</v>
      </c>
      <c r="AK24" s="11" t="s">
        <v>271</v>
      </c>
      <c r="AL24" s="14" t="s">
        <v>337</v>
      </c>
      <c r="AM24" s="11">
        <v>14500</v>
      </c>
      <c r="AO24" s="197" t="s">
        <v>49</v>
      </c>
      <c r="AP24" s="198" t="s">
        <v>48</v>
      </c>
      <c r="AS24" s="212">
        <v>0</v>
      </c>
      <c r="AT24" s="212">
        <v>582.20304554383711</v>
      </c>
      <c r="AU24" s="212" t="b">
        <v>0</v>
      </c>
      <c r="AV24" s="212"/>
      <c r="AW24" s="212">
        <v>0</v>
      </c>
      <c r="AX24" s="212">
        <v>0</v>
      </c>
      <c r="BA24" s="212">
        <v>0</v>
      </c>
      <c r="BB24" s="226">
        <v>0</v>
      </c>
      <c r="BC24" s="226"/>
    </row>
    <row r="25" spans="1:55" ht="39.950000000000003" hidden="1" customHeight="1" x14ac:dyDescent="0.2">
      <c r="A25" s="87" t="s">
        <v>714</v>
      </c>
      <c r="B25" s="100" t="s">
        <v>51</v>
      </c>
      <c r="C25" s="104" t="s">
        <v>34</v>
      </c>
      <c r="D25" s="103" t="s">
        <v>34</v>
      </c>
      <c r="E25" s="102" t="s">
        <v>34</v>
      </c>
      <c r="F25" s="103" t="s">
        <v>543</v>
      </c>
      <c r="G25" s="103" t="s">
        <v>132</v>
      </c>
      <c r="H25" s="101" t="s">
        <v>136</v>
      </c>
      <c r="I25" s="102" t="s">
        <v>52</v>
      </c>
      <c r="J25" s="102" t="s">
        <v>52</v>
      </c>
      <c r="K25" s="101" t="s">
        <v>7</v>
      </c>
      <c r="L25" s="100" t="s">
        <v>40</v>
      </c>
      <c r="M25" s="87"/>
      <c r="N25" s="87" t="s">
        <v>42</v>
      </c>
      <c r="O25" s="87" t="s">
        <v>531</v>
      </c>
      <c r="P25" s="87" t="s">
        <v>532</v>
      </c>
      <c r="Q25" s="99" t="s">
        <v>8</v>
      </c>
      <c r="R25" s="97">
        <v>254.03200000000001</v>
      </c>
      <c r="S25" s="98">
        <v>254.03200000000001</v>
      </c>
      <c r="T25" s="155">
        <v>254.03200000000001</v>
      </c>
      <c r="U25" s="97">
        <v>254.03200000000001</v>
      </c>
      <c r="V25" s="155">
        <v>6350.8</v>
      </c>
      <c r="W25" s="96" t="s">
        <v>11</v>
      </c>
      <c r="X25" s="182">
        <v>2.5000000000000001E-2</v>
      </c>
      <c r="Y25" s="95">
        <v>44531</v>
      </c>
      <c r="Z25" s="95">
        <v>44895</v>
      </c>
      <c r="AA25" s="95">
        <v>44895</v>
      </c>
      <c r="AB25" s="93">
        <v>365</v>
      </c>
      <c r="AC25" s="94" t="s">
        <v>10</v>
      </c>
      <c r="AD25" s="93">
        <v>334</v>
      </c>
      <c r="AE25" s="92">
        <v>0.91506849315068495</v>
      </c>
      <c r="AF25" s="91"/>
      <c r="AG25" s="90" t="s">
        <v>1</v>
      </c>
      <c r="AH25" s="90" t="s">
        <v>1</v>
      </c>
      <c r="AI25" s="89" t="s">
        <v>0</v>
      </c>
      <c r="AJ25" s="88" t="s">
        <v>0</v>
      </c>
      <c r="AK25" s="88" t="s">
        <v>271</v>
      </c>
      <c r="AL25" s="87" t="s">
        <v>716</v>
      </c>
      <c r="AO25" s="197" t="s">
        <v>34</v>
      </c>
      <c r="AP25" s="198" t="s">
        <v>543</v>
      </c>
      <c r="AS25" s="212">
        <v>0</v>
      </c>
      <c r="AT25" s="212">
        <v>30.483840000000001</v>
      </c>
      <c r="AU25" s="212" t="b">
        <v>0</v>
      </c>
      <c r="AV25" s="212"/>
      <c r="AW25" s="212">
        <v>0</v>
      </c>
      <c r="AX25" s="212">
        <v>0</v>
      </c>
      <c r="BA25" s="212">
        <v>0</v>
      </c>
      <c r="BB25" s="226">
        <v>0</v>
      </c>
      <c r="BC25" s="226"/>
    </row>
    <row r="26" spans="1:55" ht="39.950000000000003" hidden="1" customHeight="1" x14ac:dyDescent="0.2">
      <c r="A26" s="87" t="s">
        <v>715</v>
      </c>
      <c r="B26" s="100" t="s">
        <v>51</v>
      </c>
      <c r="C26" s="104" t="s">
        <v>34</v>
      </c>
      <c r="D26" s="103" t="s">
        <v>34</v>
      </c>
      <c r="E26" s="102" t="s">
        <v>34</v>
      </c>
      <c r="F26" s="103" t="s">
        <v>543</v>
      </c>
      <c r="G26" s="103" t="s">
        <v>132</v>
      </c>
      <c r="H26" s="101" t="s">
        <v>136</v>
      </c>
      <c r="I26" s="102" t="s">
        <v>52</v>
      </c>
      <c r="J26" s="102" t="s">
        <v>52</v>
      </c>
      <c r="K26" s="101" t="s">
        <v>7</v>
      </c>
      <c r="L26" s="100" t="s">
        <v>40</v>
      </c>
      <c r="M26" s="87"/>
      <c r="N26" s="87" t="s">
        <v>42</v>
      </c>
      <c r="O26" s="87" t="s">
        <v>531</v>
      </c>
      <c r="P26" s="87" t="s">
        <v>532</v>
      </c>
      <c r="Q26" s="99" t="s">
        <v>8</v>
      </c>
      <c r="R26" s="97">
        <v>323.60899999999998</v>
      </c>
      <c r="S26" s="98">
        <v>323.60899999999998</v>
      </c>
      <c r="T26" s="155">
        <v>323.60899999999998</v>
      </c>
      <c r="U26" s="97">
        <v>323.60899999999998</v>
      </c>
      <c r="V26" s="155">
        <v>8090.23</v>
      </c>
      <c r="W26" s="96" t="s">
        <v>11</v>
      </c>
      <c r="X26" s="182">
        <v>2.5000000000000001E-2</v>
      </c>
      <c r="Y26" s="95">
        <v>44531</v>
      </c>
      <c r="Z26" s="95">
        <v>44895</v>
      </c>
      <c r="AA26" s="95">
        <v>44895</v>
      </c>
      <c r="AB26" s="93">
        <v>365</v>
      </c>
      <c r="AC26" s="94" t="s">
        <v>10</v>
      </c>
      <c r="AD26" s="93">
        <v>334</v>
      </c>
      <c r="AE26" s="92">
        <v>0.91506849315068495</v>
      </c>
      <c r="AF26" s="91"/>
      <c r="AG26" s="90" t="s">
        <v>1</v>
      </c>
      <c r="AH26" s="90" t="s">
        <v>1</v>
      </c>
      <c r="AI26" s="89" t="s">
        <v>0</v>
      </c>
      <c r="AJ26" s="88" t="s">
        <v>0</v>
      </c>
      <c r="AK26" s="88" t="s">
        <v>271</v>
      </c>
      <c r="AL26" s="87" t="s">
        <v>717</v>
      </c>
      <c r="AO26" s="197" t="s">
        <v>34</v>
      </c>
      <c r="AP26" s="198" t="s">
        <v>543</v>
      </c>
      <c r="AS26" s="212">
        <v>0</v>
      </c>
      <c r="AT26" s="212">
        <v>38.833079999999995</v>
      </c>
      <c r="AU26" s="212" t="b">
        <v>0</v>
      </c>
      <c r="AV26" s="212"/>
      <c r="AW26" s="212">
        <v>0</v>
      </c>
      <c r="AX26" s="212">
        <v>0</v>
      </c>
      <c r="BA26" s="212">
        <v>0</v>
      </c>
      <c r="BB26" s="226">
        <v>0</v>
      </c>
      <c r="BC26" s="226"/>
    </row>
    <row r="27" spans="1:55" ht="39.950000000000003" hidden="1" customHeight="1" x14ac:dyDescent="0.2">
      <c r="A27" s="13" t="s">
        <v>171</v>
      </c>
      <c r="B27" s="65" t="s">
        <v>24</v>
      </c>
      <c r="C27" s="66" t="s">
        <v>87</v>
      </c>
      <c r="D27" s="13" t="s">
        <v>542</v>
      </c>
      <c r="E27" s="77" t="s">
        <v>87</v>
      </c>
      <c r="F27" s="14" t="s">
        <v>173</v>
      </c>
      <c r="G27" s="14" t="s">
        <v>174</v>
      </c>
      <c r="H27" s="14" t="s">
        <v>172</v>
      </c>
      <c r="I27" s="77" t="s">
        <v>75</v>
      </c>
      <c r="J27" s="77" t="s">
        <v>21</v>
      </c>
      <c r="K27" s="14" t="s">
        <v>29</v>
      </c>
      <c r="L27" s="65" t="s">
        <v>191</v>
      </c>
      <c r="M27" s="13" t="s">
        <v>59</v>
      </c>
      <c r="N27" s="13" t="s">
        <v>43</v>
      </c>
      <c r="O27" s="13" t="s">
        <v>538</v>
      </c>
      <c r="P27" s="13" t="s">
        <v>548</v>
      </c>
      <c r="Q27" s="64" t="s">
        <v>9</v>
      </c>
      <c r="R27" s="62">
        <v>34830.098778160136</v>
      </c>
      <c r="S27" s="63">
        <v>25000</v>
      </c>
      <c r="T27" s="150">
        <v>34830.098778160136</v>
      </c>
      <c r="U27" s="62">
        <v>143190.40597963135</v>
      </c>
      <c r="V27" s="150">
        <v>2113969.3216489963</v>
      </c>
      <c r="W27" s="61" t="s">
        <v>11</v>
      </c>
      <c r="X27" s="181">
        <v>1.6299999999999999E-2</v>
      </c>
      <c r="Y27" s="60">
        <v>43448</v>
      </c>
      <c r="Z27" s="60">
        <v>45716</v>
      </c>
      <c r="AA27" s="60">
        <v>45716</v>
      </c>
      <c r="AB27" s="58">
        <v>2269</v>
      </c>
      <c r="AC27" s="75" t="s">
        <v>10</v>
      </c>
      <c r="AD27" s="58">
        <v>1155</v>
      </c>
      <c r="AE27" s="57">
        <v>3.1643835616438358</v>
      </c>
      <c r="AF27" s="56"/>
      <c r="AG27" s="71" t="s">
        <v>1</v>
      </c>
      <c r="AH27" s="71" t="s">
        <v>1</v>
      </c>
      <c r="AI27" s="70" t="s">
        <v>302</v>
      </c>
      <c r="AJ27" s="11" t="s">
        <v>0</v>
      </c>
      <c r="AK27" s="11" t="s">
        <v>271</v>
      </c>
      <c r="AL27" s="13" t="s">
        <v>355</v>
      </c>
      <c r="AO27" s="197" t="s">
        <v>87</v>
      </c>
      <c r="AP27" s="198" t="s">
        <v>173</v>
      </c>
      <c r="AS27" s="212">
        <v>0</v>
      </c>
      <c r="AT27" s="212">
        <v>4179.611853379216</v>
      </c>
      <c r="AU27" s="212" t="b">
        <v>0</v>
      </c>
      <c r="AV27" s="212"/>
      <c r="AW27" s="212">
        <v>0</v>
      </c>
      <c r="AX27" s="212">
        <v>0</v>
      </c>
      <c r="BA27" s="212">
        <v>0</v>
      </c>
      <c r="BB27" s="226">
        <v>0</v>
      </c>
      <c r="BC27" s="226"/>
    </row>
    <row r="28" spans="1:55" s="12" customFormat="1" ht="39.950000000000003" customHeight="1" x14ac:dyDescent="0.2">
      <c r="A28" s="13" t="s">
        <v>175</v>
      </c>
      <c r="B28" s="65" t="s">
        <v>23</v>
      </c>
      <c r="C28" s="66" t="s">
        <v>34</v>
      </c>
      <c r="D28" s="13" t="s">
        <v>34</v>
      </c>
      <c r="E28" s="77" t="s">
        <v>34</v>
      </c>
      <c r="F28" s="14" t="s">
        <v>544</v>
      </c>
      <c r="G28" s="14" t="s">
        <v>178</v>
      </c>
      <c r="H28" s="14" t="s">
        <v>177</v>
      </c>
      <c r="I28" s="66" t="s">
        <v>232</v>
      </c>
      <c r="J28" s="77" t="s">
        <v>21</v>
      </c>
      <c r="K28" s="14" t="s">
        <v>29</v>
      </c>
      <c r="L28" s="65" t="s">
        <v>191</v>
      </c>
      <c r="M28" s="13" t="s">
        <v>323</v>
      </c>
      <c r="N28" s="13" t="s">
        <v>43</v>
      </c>
      <c r="O28" s="13" t="s">
        <v>531</v>
      </c>
      <c r="P28" s="13" t="s">
        <v>534</v>
      </c>
      <c r="Q28" s="64" t="s">
        <v>8</v>
      </c>
      <c r="R28" s="62">
        <v>20000</v>
      </c>
      <c r="S28" s="63">
        <v>20000</v>
      </c>
      <c r="T28" s="150">
        <v>20000</v>
      </c>
      <c r="U28" s="62">
        <v>95000</v>
      </c>
      <c r="V28" s="150">
        <v>1786247.15</v>
      </c>
      <c r="W28" s="61" t="s">
        <v>11</v>
      </c>
      <c r="X28" s="181">
        <v>1.95E-2</v>
      </c>
      <c r="Y28" s="60">
        <v>43480</v>
      </c>
      <c r="Z28" s="60">
        <v>45169</v>
      </c>
      <c r="AA28" s="60">
        <v>45169</v>
      </c>
      <c r="AB28" s="58">
        <v>1690</v>
      </c>
      <c r="AC28" s="59" t="s">
        <v>10</v>
      </c>
      <c r="AD28" s="58">
        <v>608</v>
      </c>
      <c r="AE28" s="57">
        <v>1.6657534246575343</v>
      </c>
      <c r="AF28" s="56"/>
      <c r="AG28" s="71" t="s">
        <v>1</v>
      </c>
      <c r="AH28" s="71" t="s">
        <v>1</v>
      </c>
      <c r="AI28" s="70" t="s">
        <v>0</v>
      </c>
      <c r="AJ28" s="11" t="s">
        <v>0</v>
      </c>
      <c r="AK28" s="11" t="s">
        <v>271</v>
      </c>
      <c r="AL28" s="13" t="s">
        <v>356</v>
      </c>
      <c r="AM28" s="11">
        <v>7789.99</v>
      </c>
      <c r="AN28" s="11"/>
      <c r="AO28" s="197" t="s">
        <v>34</v>
      </c>
      <c r="AP28" s="198" t="s">
        <v>544</v>
      </c>
      <c r="AQ28" s="11">
        <v>1</v>
      </c>
      <c r="AR28" s="214">
        <v>6.25E-2</v>
      </c>
      <c r="AS28" s="212">
        <v>1250</v>
      </c>
      <c r="AT28" s="212">
        <v>2400</v>
      </c>
      <c r="AU28" s="212" t="b">
        <v>0</v>
      </c>
      <c r="AV28" s="212"/>
      <c r="AW28" s="212">
        <v>1250</v>
      </c>
      <c r="AX28" s="212">
        <v>1000</v>
      </c>
      <c r="AY28" s="12" t="s">
        <v>739</v>
      </c>
      <c r="BA28" s="212">
        <v>1250</v>
      </c>
      <c r="BB28" s="227">
        <v>1000</v>
      </c>
      <c r="BC28" s="227">
        <v>1000</v>
      </c>
    </row>
    <row r="29" spans="1:55" ht="39.950000000000003" hidden="1" customHeight="1" x14ac:dyDescent="0.2">
      <c r="A29" s="13" t="s">
        <v>204</v>
      </c>
      <c r="B29" s="65" t="s">
        <v>23</v>
      </c>
      <c r="C29" s="66" t="s">
        <v>89</v>
      </c>
      <c r="D29" s="13" t="s">
        <v>542</v>
      </c>
      <c r="E29" s="77" t="s">
        <v>127</v>
      </c>
      <c r="F29" s="14" t="s">
        <v>92</v>
      </c>
      <c r="G29" s="14" t="s">
        <v>108</v>
      </c>
      <c r="H29" s="14" t="s">
        <v>109</v>
      </c>
      <c r="I29" s="14" t="s">
        <v>220</v>
      </c>
      <c r="J29" s="14" t="s">
        <v>220</v>
      </c>
      <c r="K29" s="14" t="s">
        <v>22</v>
      </c>
      <c r="L29" s="65" t="s">
        <v>191</v>
      </c>
      <c r="M29" s="13" t="s">
        <v>59</v>
      </c>
      <c r="N29" s="13" t="s">
        <v>43</v>
      </c>
      <c r="O29" s="13" t="s">
        <v>531</v>
      </c>
      <c r="P29" s="13" t="s">
        <v>534</v>
      </c>
      <c r="Q29" s="64" t="s">
        <v>9</v>
      </c>
      <c r="R29" s="62">
        <v>3736.5729969210192</v>
      </c>
      <c r="S29" s="63">
        <v>1630.643</v>
      </c>
      <c r="T29" s="150">
        <v>2271.818270476615</v>
      </c>
      <c r="U29" s="62">
        <v>26502.005305146107</v>
      </c>
      <c r="V29" s="150">
        <v>171301.97695640664</v>
      </c>
      <c r="W29" s="61" t="s">
        <v>11</v>
      </c>
      <c r="X29" s="181">
        <v>2.2499999999999999E-2</v>
      </c>
      <c r="Y29" s="60">
        <v>43486</v>
      </c>
      <c r="Z29" s="60">
        <v>46041</v>
      </c>
      <c r="AA29" s="60">
        <v>46041</v>
      </c>
      <c r="AB29" s="58">
        <v>2556</v>
      </c>
      <c r="AC29" s="59" t="s">
        <v>10</v>
      </c>
      <c r="AD29" s="58">
        <v>1480</v>
      </c>
      <c r="AE29" s="57">
        <v>4.0547945205479454</v>
      </c>
      <c r="AF29" s="56"/>
      <c r="AG29" s="71" t="s">
        <v>1</v>
      </c>
      <c r="AH29" s="71" t="s">
        <v>1</v>
      </c>
      <c r="AI29" s="70" t="s">
        <v>251</v>
      </c>
      <c r="AJ29" s="11" t="s">
        <v>0</v>
      </c>
      <c r="AK29" s="11" t="s">
        <v>271</v>
      </c>
      <c r="AL29" s="13" t="s">
        <v>357</v>
      </c>
      <c r="AM29" s="11">
        <v>2145</v>
      </c>
      <c r="AO29" s="197" t="s">
        <v>127</v>
      </c>
      <c r="AP29" s="198" t="s">
        <v>92</v>
      </c>
      <c r="AS29" s="212">
        <v>0</v>
      </c>
      <c r="AT29" s="212">
        <v>272.6181924571938</v>
      </c>
      <c r="AU29" s="212" t="b">
        <v>0</v>
      </c>
      <c r="AV29" s="212"/>
      <c r="AW29" s="212">
        <v>0</v>
      </c>
      <c r="AX29" s="212">
        <v>0</v>
      </c>
      <c r="BA29" s="212">
        <v>0</v>
      </c>
      <c r="BB29" s="226">
        <v>0</v>
      </c>
      <c r="BC29" s="226"/>
    </row>
    <row r="30" spans="1:55" ht="39.950000000000003" hidden="1" customHeight="1" x14ac:dyDescent="0.2">
      <c r="A30" s="14" t="s">
        <v>190</v>
      </c>
      <c r="B30" s="65" t="s">
        <v>23</v>
      </c>
      <c r="C30" s="66" t="s">
        <v>37</v>
      </c>
      <c r="D30" s="13" t="s">
        <v>540</v>
      </c>
      <c r="E30" s="161" t="s">
        <v>36</v>
      </c>
      <c r="F30" s="14" t="s">
        <v>106</v>
      </c>
      <c r="G30" s="14" t="s">
        <v>106</v>
      </c>
      <c r="H30" s="66" t="s">
        <v>107</v>
      </c>
      <c r="I30" s="14" t="s">
        <v>72</v>
      </c>
      <c r="J30" s="14" t="s">
        <v>219</v>
      </c>
      <c r="K30" s="14" t="s">
        <v>29</v>
      </c>
      <c r="L30" s="65" t="s">
        <v>191</v>
      </c>
      <c r="M30" s="13" t="s">
        <v>323</v>
      </c>
      <c r="N30" s="13" t="s">
        <v>43</v>
      </c>
      <c r="O30" s="13" t="s">
        <v>538</v>
      </c>
      <c r="P30" s="13" t="s">
        <v>548</v>
      </c>
      <c r="Q30" s="64" t="s">
        <v>9</v>
      </c>
      <c r="R30" s="62">
        <v>5921.1167922872228</v>
      </c>
      <c r="S30" s="63">
        <v>2975</v>
      </c>
      <c r="T30" s="150">
        <v>4144.7817546010556</v>
      </c>
      <c r="U30" s="62">
        <v>69660.197556320272</v>
      </c>
      <c r="V30" s="150">
        <v>266624.54546721093</v>
      </c>
      <c r="W30" s="61" t="s">
        <v>11</v>
      </c>
      <c r="X30" s="181">
        <v>2.5000000000000001E-2</v>
      </c>
      <c r="Y30" s="60">
        <v>43496</v>
      </c>
      <c r="Z30" s="60">
        <v>44848</v>
      </c>
      <c r="AA30" s="60">
        <v>44848</v>
      </c>
      <c r="AB30" s="58">
        <v>1353</v>
      </c>
      <c r="AC30" s="59" t="s">
        <v>10</v>
      </c>
      <c r="AD30" s="58">
        <v>287</v>
      </c>
      <c r="AE30" s="57">
        <v>0.78630136986301369</v>
      </c>
      <c r="AF30" s="56"/>
      <c r="AG30" s="71" t="s">
        <v>1</v>
      </c>
      <c r="AH30" s="71" t="s">
        <v>1</v>
      </c>
      <c r="AI30" s="70" t="s">
        <v>601</v>
      </c>
      <c r="AJ30" s="11" t="s">
        <v>0</v>
      </c>
      <c r="AK30" s="11" t="s">
        <v>271</v>
      </c>
      <c r="AL30" s="14" t="s">
        <v>361</v>
      </c>
      <c r="AM30" s="11">
        <v>5500</v>
      </c>
      <c r="AO30" s="197" t="s">
        <v>36</v>
      </c>
      <c r="AP30" s="198" t="s">
        <v>106</v>
      </c>
      <c r="AS30" s="212">
        <v>0</v>
      </c>
      <c r="AT30" s="212">
        <v>497.37381055212666</v>
      </c>
      <c r="AU30" s="212" t="b">
        <v>0</v>
      </c>
      <c r="AV30" s="212"/>
      <c r="AW30" s="212">
        <v>0</v>
      </c>
      <c r="AX30" s="212">
        <v>0</v>
      </c>
      <c r="BA30" s="212">
        <v>0</v>
      </c>
      <c r="BB30" s="226">
        <v>0</v>
      </c>
      <c r="BC30" s="226"/>
    </row>
    <row r="31" spans="1:55" ht="39.950000000000003" hidden="1" customHeight="1" x14ac:dyDescent="0.2">
      <c r="A31" s="14" t="s">
        <v>185</v>
      </c>
      <c r="B31" s="65" t="s">
        <v>67</v>
      </c>
      <c r="C31" s="66" t="s">
        <v>127</v>
      </c>
      <c r="D31" s="13" t="s">
        <v>542</v>
      </c>
      <c r="E31" s="68" t="s">
        <v>127</v>
      </c>
      <c r="F31" s="14" t="s">
        <v>92</v>
      </c>
      <c r="G31" s="14" t="s">
        <v>93</v>
      </c>
      <c r="H31" s="66" t="s">
        <v>94</v>
      </c>
      <c r="I31" s="14" t="s">
        <v>165</v>
      </c>
      <c r="J31" s="14" t="s">
        <v>220</v>
      </c>
      <c r="K31" s="14" t="s">
        <v>22</v>
      </c>
      <c r="L31" s="65" t="s">
        <v>191</v>
      </c>
      <c r="M31" s="13" t="s">
        <v>59</v>
      </c>
      <c r="N31" s="13" t="s">
        <v>43</v>
      </c>
      <c r="O31" s="13" t="s">
        <v>538</v>
      </c>
      <c r="P31" s="13" t="s">
        <v>534</v>
      </c>
      <c r="Q31" s="64" t="s">
        <v>59</v>
      </c>
      <c r="R31" s="62">
        <v>28373.266078184111</v>
      </c>
      <c r="S31" s="63">
        <v>18000</v>
      </c>
      <c r="T31" s="150">
        <v>28373.266078184111</v>
      </c>
      <c r="U31" s="62">
        <v>275851.19798234553</v>
      </c>
      <c r="V31" s="150">
        <v>1938408.7326607821</v>
      </c>
      <c r="W31" s="61" t="s">
        <v>11</v>
      </c>
      <c r="X31" s="181">
        <v>1.7999999999999999E-2</v>
      </c>
      <c r="Y31" s="60">
        <v>43500</v>
      </c>
      <c r="Z31" s="60">
        <v>46042</v>
      </c>
      <c r="AA31" s="60">
        <v>46042</v>
      </c>
      <c r="AB31" s="58">
        <v>2543</v>
      </c>
      <c r="AC31" s="59" t="s">
        <v>10</v>
      </c>
      <c r="AD31" s="58">
        <v>1481</v>
      </c>
      <c r="AE31" s="57">
        <v>4.0575342465753428</v>
      </c>
      <c r="AF31" s="56" t="s">
        <v>436</v>
      </c>
      <c r="AG31" s="71" t="s">
        <v>1</v>
      </c>
      <c r="AH31" s="71" t="s">
        <v>1</v>
      </c>
      <c r="AI31" s="70" t="s">
        <v>0</v>
      </c>
      <c r="AJ31" s="11" t="s">
        <v>0</v>
      </c>
      <c r="AK31" s="11" t="s">
        <v>271</v>
      </c>
      <c r="AL31" s="14" t="s">
        <v>358</v>
      </c>
      <c r="AM31" s="11">
        <v>23780</v>
      </c>
      <c r="AO31" s="197" t="s">
        <v>127</v>
      </c>
      <c r="AP31" s="198" t="s">
        <v>92</v>
      </c>
      <c r="AS31" s="212">
        <v>0</v>
      </c>
      <c r="AT31" s="212">
        <v>3404.7919293820933</v>
      </c>
      <c r="AU31" s="212">
        <v>680.95838587641867</v>
      </c>
      <c r="AV31" s="212"/>
      <c r="AW31" s="212">
        <v>0</v>
      </c>
      <c r="AX31" s="212">
        <v>0</v>
      </c>
      <c r="BA31" s="212">
        <v>0</v>
      </c>
      <c r="BB31" s="226">
        <v>0</v>
      </c>
      <c r="BC31" s="226"/>
    </row>
    <row r="32" spans="1:55" ht="39.950000000000003" hidden="1" customHeight="1" x14ac:dyDescent="0.2">
      <c r="A32" s="148" t="s">
        <v>203</v>
      </c>
      <c r="B32" s="65" t="s">
        <v>23</v>
      </c>
      <c r="C32" s="66" t="s">
        <v>89</v>
      </c>
      <c r="D32" s="13" t="s">
        <v>542</v>
      </c>
      <c r="E32" s="77" t="s">
        <v>127</v>
      </c>
      <c r="F32" s="14" t="s">
        <v>92</v>
      </c>
      <c r="G32" s="14" t="s">
        <v>108</v>
      </c>
      <c r="H32" s="14" t="s">
        <v>109</v>
      </c>
      <c r="I32" s="14" t="s">
        <v>220</v>
      </c>
      <c r="J32" s="14" t="s">
        <v>220</v>
      </c>
      <c r="K32" s="14" t="s">
        <v>22</v>
      </c>
      <c r="L32" s="65" t="s">
        <v>191</v>
      </c>
      <c r="M32" s="13" t="s">
        <v>59</v>
      </c>
      <c r="N32" s="13" t="s">
        <v>43</v>
      </c>
      <c r="O32" s="13" t="s">
        <v>531</v>
      </c>
      <c r="P32" s="13" t="s">
        <v>534</v>
      </c>
      <c r="Q32" s="64" t="s">
        <v>9</v>
      </c>
      <c r="R32" s="62">
        <v>2759.1164300541955</v>
      </c>
      <c r="S32" s="63">
        <v>1232.1990000000001</v>
      </c>
      <c r="T32" s="150">
        <v>1716.7045153740057</v>
      </c>
      <c r="U32" s="62">
        <v>20555.437317336553</v>
      </c>
      <c r="V32" s="150">
        <v>133277.6655474595</v>
      </c>
      <c r="W32" s="61" t="s">
        <v>11</v>
      </c>
      <c r="X32" s="181">
        <v>2.2499999999999999E-2</v>
      </c>
      <c r="Y32" s="60">
        <v>43508</v>
      </c>
      <c r="Z32" s="60">
        <v>46081</v>
      </c>
      <c r="AA32" s="60">
        <v>46081</v>
      </c>
      <c r="AB32" s="58">
        <v>2574</v>
      </c>
      <c r="AC32" s="59" t="s">
        <v>10</v>
      </c>
      <c r="AD32" s="58">
        <v>1520</v>
      </c>
      <c r="AE32" s="57">
        <v>4.1643835616438354</v>
      </c>
      <c r="AF32" s="56"/>
      <c r="AG32" s="71" t="s">
        <v>1</v>
      </c>
      <c r="AH32" s="71" t="s">
        <v>1</v>
      </c>
      <c r="AI32" s="70" t="s">
        <v>251</v>
      </c>
      <c r="AJ32" s="11" t="s">
        <v>0</v>
      </c>
      <c r="AK32" s="11" t="s">
        <v>271</v>
      </c>
      <c r="AL32" s="14" t="s">
        <v>360</v>
      </c>
      <c r="AM32" s="11">
        <v>1555</v>
      </c>
      <c r="AO32" s="197" t="s">
        <v>127</v>
      </c>
      <c r="AP32" s="198" t="s">
        <v>92</v>
      </c>
      <c r="AS32" s="212">
        <v>0</v>
      </c>
      <c r="AT32" s="212">
        <v>206.00454184488069</v>
      </c>
      <c r="AU32" s="212" t="b">
        <v>0</v>
      </c>
      <c r="AV32" s="212"/>
      <c r="AW32" s="212">
        <v>0</v>
      </c>
      <c r="AX32" s="212">
        <v>0</v>
      </c>
      <c r="BA32" s="212">
        <v>0</v>
      </c>
      <c r="BB32" s="226">
        <v>0</v>
      </c>
      <c r="BC32" s="226"/>
    </row>
    <row r="33" spans="1:55" ht="39.950000000000003" hidden="1" customHeight="1" x14ac:dyDescent="0.2">
      <c r="A33" s="14" t="s">
        <v>187</v>
      </c>
      <c r="B33" s="65" t="s">
        <v>67</v>
      </c>
      <c r="C33" s="66" t="s">
        <v>34</v>
      </c>
      <c r="D33" s="13" t="s">
        <v>34</v>
      </c>
      <c r="E33" s="77" t="s">
        <v>34</v>
      </c>
      <c r="F33" s="14" t="s">
        <v>543</v>
      </c>
      <c r="G33" s="131" t="s">
        <v>96</v>
      </c>
      <c r="H33" s="14" t="s">
        <v>97</v>
      </c>
      <c r="I33" s="14" t="s">
        <v>70</v>
      </c>
      <c r="J33" s="14" t="s">
        <v>218</v>
      </c>
      <c r="K33" s="14" t="s">
        <v>139</v>
      </c>
      <c r="L33" s="65" t="s">
        <v>191</v>
      </c>
      <c r="M33" s="13" t="s">
        <v>323</v>
      </c>
      <c r="N33" s="13" t="s">
        <v>43</v>
      </c>
      <c r="O33" s="13" t="s">
        <v>538</v>
      </c>
      <c r="P33" s="13" t="s">
        <v>534</v>
      </c>
      <c r="Q33" s="15" t="s">
        <v>8</v>
      </c>
      <c r="R33" s="86">
        <v>15000</v>
      </c>
      <c r="S33" s="63">
        <v>15000</v>
      </c>
      <c r="T33" s="169">
        <v>15000</v>
      </c>
      <c r="U33" s="86">
        <v>65000</v>
      </c>
      <c r="V33" s="169">
        <v>1815402.7390411</v>
      </c>
      <c r="W33" s="61" t="s">
        <v>11</v>
      </c>
      <c r="X33" s="181">
        <v>5.2499999999999998E-2</v>
      </c>
      <c r="Y33" s="85">
        <v>43511</v>
      </c>
      <c r="Z33" s="85">
        <v>45392</v>
      </c>
      <c r="AA33" s="85">
        <v>45392</v>
      </c>
      <c r="AB33" s="58">
        <v>1882</v>
      </c>
      <c r="AC33" s="59" t="s">
        <v>10</v>
      </c>
      <c r="AD33" s="58">
        <v>831</v>
      </c>
      <c r="AE33" s="57">
        <v>2.2767123287671232</v>
      </c>
      <c r="AF33" s="56"/>
      <c r="AG33" s="71" t="s">
        <v>1</v>
      </c>
      <c r="AH33" s="71" t="s">
        <v>1</v>
      </c>
      <c r="AI33" s="70" t="s">
        <v>0</v>
      </c>
      <c r="AJ33" s="11" t="s">
        <v>0</v>
      </c>
      <c r="AK33" s="11" t="s">
        <v>271</v>
      </c>
      <c r="AL33" s="14" t="s">
        <v>359</v>
      </c>
      <c r="AM33" s="12">
        <v>5500</v>
      </c>
      <c r="AN33" s="12"/>
      <c r="AO33" s="197" t="s">
        <v>34</v>
      </c>
      <c r="AP33" s="198" t="s">
        <v>543</v>
      </c>
      <c r="AQ33" s="12"/>
      <c r="AS33" s="212">
        <v>0</v>
      </c>
      <c r="AT33" s="212">
        <v>1800</v>
      </c>
      <c r="AU33" s="212" t="b">
        <v>0</v>
      </c>
      <c r="AV33" s="212"/>
      <c r="AW33" s="212">
        <v>0</v>
      </c>
      <c r="AX33" s="212">
        <v>0</v>
      </c>
      <c r="BA33" s="212">
        <v>0</v>
      </c>
      <c r="BB33" s="226">
        <v>0</v>
      </c>
      <c r="BC33" s="226"/>
    </row>
    <row r="34" spans="1:55" ht="39.950000000000003" hidden="1" customHeight="1" x14ac:dyDescent="0.2">
      <c r="A34" s="65" t="s">
        <v>194</v>
      </c>
      <c r="B34" s="65" t="s">
        <v>23</v>
      </c>
      <c r="C34" s="66" t="s">
        <v>89</v>
      </c>
      <c r="D34" s="13" t="s">
        <v>542</v>
      </c>
      <c r="E34" s="77" t="s">
        <v>193</v>
      </c>
      <c r="F34" s="14" t="s">
        <v>92</v>
      </c>
      <c r="G34" s="66" t="s">
        <v>134</v>
      </c>
      <c r="H34" s="14" t="s">
        <v>134</v>
      </c>
      <c r="I34" s="14" t="s">
        <v>220</v>
      </c>
      <c r="J34" s="14" t="s">
        <v>220</v>
      </c>
      <c r="K34" s="14" t="s">
        <v>22</v>
      </c>
      <c r="L34" s="65" t="s">
        <v>191</v>
      </c>
      <c r="M34" s="13" t="s">
        <v>59</v>
      </c>
      <c r="N34" s="13" t="s">
        <v>43</v>
      </c>
      <c r="O34" s="13" t="s">
        <v>531</v>
      </c>
      <c r="P34" s="13" t="s">
        <v>534</v>
      </c>
      <c r="Q34" s="64" t="s">
        <v>9</v>
      </c>
      <c r="R34" s="62">
        <v>20898.059266896082</v>
      </c>
      <c r="S34" s="63">
        <v>8076.9229999999998</v>
      </c>
      <c r="T34" s="150">
        <v>11252.801036543739</v>
      </c>
      <c r="U34" s="62">
        <v>102775.58280043281</v>
      </c>
      <c r="V34" s="150">
        <v>1066409.8527383422</v>
      </c>
      <c r="W34" s="61" t="s">
        <v>11</v>
      </c>
      <c r="X34" s="181">
        <v>2.8500000000000001E-2</v>
      </c>
      <c r="Y34" s="60">
        <v>43515</v>
      </c>
      <c r="Z34" s="60">
        <v>46042</v>
      </c>
      <c r="AA34" s="60">
        <v>46042</v>
      </c>
      <c r="AB34" s="58">
        <v>2528</v>
      </c>
      <c r="AC34" s="59" t="s">
        <v>10</v>
      </c>
      <c r="AD34" s="58">
        <v>1481</v>
      </c>
      <c r="AE34" s="57">
        <v>4.0575342465753428</v>
      </c>
      <c r="AF34" s="56"/>
      <c r="AG34" s="71" t="s">
        <v>1</v>
      </c>
      <c r="AH34" s="71" t="s">
        <v>1</v>
      </c>
      <c r="AI34" s="70" t="s">
        <v>269</v>
      </c>
      <c r="AJ34" s="11" t="s">
        <v>0</v>
      </c>
      <c r="AK34" s="11" t="s">
        <v>271</v>
      </c>
      <c r="AL34" s="13" t="s">
        <v>362</v>
      </c>
      <c r="AM34" s="11">
        <v>6472.5</v>
      </c>
      <c r="AO34" s="197" t="s">
        <v>193</v>
      </c>
      <c r="AP34" s="198" t="s">
        <v>92</v>
      </c>
      <c r="AS34" s="212">
        <v>0</v>
      </c>
      <c r="AT34" s="212">
        <v>1350.3361243852485</v>
      </c>
      <c r="AU34" s="212" t="b">
        <v>0</v>
      </c>
      <c r="AV34" s="212"/>
      <c r="AW34" s="212">
        <v>0</v>
      </c>
      <c r="AX34" s="212">
        <v>0</v>
      </c>
      <c r="BA34" s="212">
        <v>0</v>
      </c>
      <c r="BB34" s="226">
        <v>0</v>
      </c>
      <c r="BC34" s="226"/>
    </row>
    <row r="35" spans="1:55" ht="39.950000000000003" customHeight="1" x14ac:dyDescent="0.2">
      <c r="A35" s="66" t="s">
        <v>192</v>
      </c>
      <c r="B35" s="65" t="s">
        <v>23</v>
      </c>
      <c r="C35" s="66" t="s">
        <v>149</v>
      </c>
      <c r="D35" s="13" t="s">
        <v>541</v>
      </c>
      <c r="E35" s="130" t="s">
        <v>37</v>
      </c>
      <c r="F35" s="14" t="s">
        <v>544</v>
      </c>
      <c r="G35" s="66" t="s">
        <v>178</v>
      </c>
      <c r="H35" s="66" t="s">
        <v>177</v>
      </c>
      <c r="I35" s="14" t="s">
        <v>148</v>
      </c>
      <c r="J35" s="14" t="s">
        <v>148</v>
      </c>
      <c r="K35" s="14" t="s">
        <v>29</v>
      </c>
      <c r="L35" s="65" t="s">
        <v>191</v>
      </c>
      <c r="M35" s="13" t="s">
        <v>59</v>
      </c>
      <c r="N35" s="13" t="s">
        <v>43</v>
      </c>
      <c r="O35" s="13" t="s">
        <v>539</v>
      </c>
      <c r="P35" s="13" t="s">
        <v>534</v>
      </c>
      <c r="Q35" s="64" t="s">
        <v>9</v>
      </c>
      <c r="R35" s="62">
        <v>10449.029633448041</v>
      </c>
      <c r="S35" s="63">
        <v>7500</v>
      </c>
      <c r="T35" s="150">
        <v>10449.029633448041</v>
      </c>
      <c r="U35" s="62">
        <v>41796.118533792163</v>
      </c>
      <c r="V35" s="150">
        <v>563021.23242821509</v>
      </c>
      <c r="W35" s="61" t="s">
        <v>551</v>
      </c>
      <c r="X35" s="181">
        <v>3.5000000000000003E-2</v>
      </c>
      <c r="Y35" s="60">
        <v>43532</v>
      </c>
      <c r="Z35" s="60">
        <v>45323</v>
      </c>
      <c r="AA35" s="60">
        <v>45323</v>
      </c>
      <c r="AB35" s="58">
        <v>1792</v>
      </c>
      <c r="AC35" s="59" t="s">
        <v>10</v>
      </c>
      <c r="AD35" s="58">
        <v>762</v>
      </c>
      <c r="AE35" s="57">
        <v>2.0876712328767124</v>
      </c>
      <c r="AF35" s="56"/>
      <c r="AG35" s="71" t="s">
        <v>1</v>
      </c>
      <c r="AH35" s="71" t="s">
        <v>1</v>
      </c>
      <c r="AI35" s="71" t="s">
        <v>0</v>
      </c>
      <c r="AJ35" s="11" t="s">
        <v>0</v>
      </c>
      <c r="AK35" s="11" t="s">
        <v>271</v>
      </c>
      <c r="AL35" s="14" t="s">
        <v>363</v>
      </c>
      <c r="AM35" s="11">
        <v>8000</v>
      </c>
      <c r="AO35" s="197" t="s">
        <v>37</v>
      </c>
      <c r="AP35" s="198" t="s">
        <v>544</v>
      </c>
      <c r="AQ35" s="11">
        <v>1</v>
      </c>
      <c r="AR35" s="214">
        <v>7.4999999999999997E-2</v>
      </c>
      <c r="AS35" s="212">
        <v>783.67722250860299</v>
      </c>
      <c r="AT35" s="212">
        <v>1253.8835560137647</v>
      </c>
      <c r="AU35" s="212" t="b">
        <v>0</v>
      </c>
      <c r="AV35" s="212"/>
      <c r="AW35" s="212">
        <v>783.67722250860299</v>
      </c>
      <c r="AX35" s="212">
        <v>1044.9029633448042</v>
      </c>
      <c r="AY35" s="12" t="s">
        <v>740</v>
      </c>
      <c r="BA35" s="212">
        <v>783.67722250860299</v>
      </c>
      <c r="BB35" s="226">
        <v>1044.9029633448042</v>
      </c>
      <c r="BC35" s="226">
        <v>1038.2059800664451</v>
      </c>
    </row>
    <row r="36" spans="1:55" ht="39.950000000000003" hidden="1" customHeight="1" x14ac:dyDescent="0.2">
      <c r="A36" s="148" t="s">
        <v>206</v>
      </c>
      <c r="B36" s="65" t="s">
        <v>23</v>
      </c>
      <c r="C36" s="66" t="s">
        <v>38</v>
      </c>
      <c r="D36" s="13" t="s">
        <v>541</v>
      </c>
      <c r="E36" s="130" t="s">
        <v>37</v>
      </c>
      <c r="F36" s="14" t="s">
        <v>546</v>
      </c>
      <c r="G36" s="131" t="s">
        <v>114</v>
      </c>
      <c r="H36" s="66" t="s">
        <v>167</v>
      </c>
      <c r="I36" s="66" t="s">
        <v>50</v>
      </c>
      <c r="J36" s="66" t="s">
        <v>21</v>
      </c>
      <c r="K36" s="14" t="s">
        <v>29</v>
      </c>
      <c r="L36" s="65" t="s">
        <v>191</v>
      </c>
      <c r="M36" s="13" t="s">
        <v>323</v>
      </c>
      <c r="N36" s="65" t="s">
        <v>43</v>
      </c>
      <c r="O36" s="65" t="s">
        <v>531</v>
      </c>
      <c r="P36" s="13" t="s">
        <v>548</v>
      </c>
      <c r="Q36" s="83" t="s">
        <v>9</v>
      </c>
      <c r="R36" s="62">
        <v>27864.079022528109</v>
      </c>
      <c r="S36" s="149">
        <v>20000</v>
      </c>
      <c r="T36" s="82">
        <v>27864.079022528109</v>
      </c>
      <c r="U36" s="82">
        <v>128174.76350362929</v>
      </c>
      <c r="V36" s="82">
        <v>1093904.732713822</v>
      </c>
      <c r="W36" s="61" t="s">
        <v>11</v>
      </c>
      <c r="X36" s="181">
        <v>1.4500000000000001E-2</v>
      </c>
      <c r="Y36" s="81">
        <v>43609</v>
      </c>
      <c r="Z36" s="81">
        <v>45044</v>
      </c>
      <c r="AA36" s="81">
        <v>45044</v>
      </c>
      <c r="AB36" s="58">
        <v>1436</v>
      </c>
      <c r="AC36" s="151" t="s">
        <v>10</v>
      </c>
      <c r="AD36" s="80">
        <v>483</v>
      </c>
      <c r="AE36" s="57">
        <v>1.3232876712328767</v>
      </c>
      <c r="AF36" s="56" t="s">
        <v>436</v>
      </c>
      <c r="AG36" s="71" t="s">
        <v>1</v>
      </c>
      <c r="AH36" s="71" t="s">
        <v>1</v>
      </c>
      <c r="AI36" s="71" t="s">
        <v>0</v>
      </c>
      <c r="AJ36" s="11" t="s">
        <v>0</v>
      </c>
      <c r="AK36" s="11" t="s">
        <v>271</v>
      </c>
      <c r="AL36" s="14" t="s">
        <v>367</v>
      </c>
      <c r="AM36" s="11">
        <v>3500</v>
      </c>
      <c r="AO36" s="197" t="s">
        <v>37</v>
      </c>
      <c r="AP36" s="198" t="s">
        <v>546</v>
      </c>
      <c r="AS36" s="212">
        <v>0</v>
      </c>
      <c r="AT36" s="212">
        <v>3343.689482703373</v>
      </c>
      <c r="AU36" s="212">
        <v>668.73789654067468</v>
      </c>
      <c r="AV36" s="212"/>
      <c r="AW36" s="212">
        <v>0</v>
      </c>
      <c r="AX36" s="212">
        <v>0</v>
      </c>
      <c r="BA36" s="212">
        <v>0</v>
      </c>
      <c r="BB36" s="226">
        <v>0</v>
      </c>
      <c r="BC36" s="226"/>
    </row>
    <row r="37" spans="1:55" ht="39.950000000000003" hidden="1" customHeight="1" x14ac:dyDescent="0.2">
      <c r="A37" s="66" t="s">
        <v>205</v>
      </c>
      <c r="B37" s="65" t="s">
        <v>23</v>
      </c>
      <c r="C37" s="66" t="s">
        <v>38</v>
      </c>
      <c r="D37" s="13" t="s">
        <v>540</v>
      </c>
      <c r="E37" s="161" t="s">
        <v>36</v>
      </c>
      <c r="F37" s="14" t="s">
        <v>92</v>
      </c>
      <c r="G37" s="66" t="s">
        <v>134</v>
      </c>
      <c r="H37" s="66" t="s">
        <v>134</v>
      </c>
      <c r="I37" s="66" t="s">
        <v>50</v>
      </c>
      <c r="J37" s="66" t="s">
        <v>21</v>
      </c>
      <c r="K37" s="14" t="s">
        <v>22</v>
      </c>
      <c r="L37" s="65" t="s">
        <v>191</v>
      </c>
      <c r="M37" s="13" t="s">
        <v>323</v>
      </c>
      <c r="N37" s="65" t="s">
        <v>43</v>
      </c>
      <c r="O37" s="65" t="s">
        <v>531</v>
      </c>
      <c r="P37" s="65" t="s">
        <v>534</v>
      </c>
      <c r="Q37" s="83" t="s">
        <v>9</v>
      </c>
      <c r="R37" s="62">
        <v>28212.380010309709</v>
      </c>
      <c r="S37" s="149">
        <v>13251.522999999999</v>
      </c>
      <c r="T37" s="82">
        <v>18462.074202042437</v>
      </c>
      <c r="U37" s="82">
        <v>88253.273222602846</v>
      </c>
      <c r="V37" s="82">
        <v>879549.15920141549</v>
      </c>
      <c r="W37" s="61" t="s">
        <v>11</v>
      </c>
      <c r="X37" s="181">
        <v>1.4E-2</v>
      </c>
      <c r="Y37" s="81">
        <v>43609</v>
      </c>
      <c r="Z37" s="81">
        <v>46457</v>
      </c>
      <c r="AA37" s="81">
        <v>46457</v>
      </c>
      <c r="AB37" s="58">
        <v>2849</v>
      </c>
      <c r="AC37" s="151" t="s">
        <v>10</v>
      </c>
      <c r="AD37" s="80">
        <v>1896</v>
      </c>
      <c r="AE37" s="57">
        <v>5.1945205479452055</v>
      </c>
      <c r="AF37" s="56" t="s">
        <v>436</v>
      </c>
      <c r="AG37" s="71" t="s">
        <v>1</v>
      </c>
      <c r="AH37" s="71" t="s">
        <v>1</v>
      </c>
      <c r="AI37" s="70" t="s">
        <v>733</v>
      </c>
      <c r="AJ37" s="11" t="s">
        <v>0</v>
      </c>
      <c r="AK37" s="11" t="s">
        <v>271</v>
      </c>
      <c r="AL37" s="14" t="s">
        <v>366</v>
      </c>
      <c r="AM37" s="11">
        <v>8100</v>
      </c>
      <c r="AO37" s="197" t="s">
        <v>36</v>
      </c>
      <c r="AP37" s="198" t="s">
        <v>92</v>
      </c>
      <c r="AS37" s="212">
        <v>0</v>
      </c>
      <c r="AT37" s="212">
        <v>2215.4489042450923</v>
      </c>
      <c r="AU37" s="212">
        <v>443.0897808490185</v>
      </c>
      <c r="AV37" s="212"/>
      <c r="AW37" s="212">
        <v>0</v>
      </c>
      <c r="AX37" s="212">
        <v>0</v>
      </c>
      <c r="BA37" s="212">
        <v>0</v>
      </c>
      <c r="BB37" s="226">
        <v>0</v>
      </c>
      <c r="BC37" s="226"/>
    </row>
    <row r="38" spans="1:55" ht="39.950000000000003" hidden="1" customHeight="1" x14ac:dyDescent="0.2">
      <c r="A38" s="65" t="s">
        <v>210</v>
      </c>
      <c r="B38" s="65" t="s">
        <v>51</v>
      </c>
      <c r="C38" s="66" t="s">
        <v>211</v>
      </c>
      <c r="D38" s="13" t="s">
        <v>542</v>
      </c>
      <c r="E38" s="77" t="s">
        <v>211</v>
      </c>
      <c r="F38" s="14" t="s">
        <v>102</v>
      </c>
      <c r="G38" s="66" t="s">
        <v>102</v>
      </c>
      <c r="H38" s="66" t="s">
        <v>122</v>
      </c>
      <c r="I38" s="66" t="s">
        <v>212</v>
      </c>
      <c r="J38" s="66" t="s">
        <v>220</v>
      </c>
      <c r="K38" s="14" t="s">
        <v>13</v>
      </c>
      <c r="L38" s="65" t="s">
        <v>191</v>
      </c>
      <c r="M38" s="13" t="s">
        <v>59</v>
      </c>
      <c r="N38" s="65" t="s">
        <v>43</v>
      </c>
      <c r="O38" s="65" t="s">
        <v>538</v>
      </c>
      <c r="P38" s="65" t="s">
        <v>534</v>
      </c>
      <c r="Q38" s="64" t="s">
        <v>59</v>
      </c>
      <c r="R38" s="62">
        <v>12653.688524590165</v>
      </c>
      <c r="S38" s="149">
        <v>8027.5</v>
      </c>
      <c r="T38" s="82">
        <v>12653.688524590165</v>
      </c>
      <c r="U38" s="82">
        <v>25307.37704918033</v>
      </c>
      <c r="V38" s="62">
        <v>590393.52143757883</v>
      </c>
      <c r="W38" s="61" t="s">
        <v>11</v>
      </c>
      <c r="X38" s="181">
        <v>2.5000000000000001E-2</v>
      </c>
      <c r="Y38" s="81">
        <v>43626</v>
      </c>
      <c r="Z38" s="60">
        <v>44904</v>
      </c>
      <c r="AA38" s="157">
        <v>44904</v>
      </c>
      <c r="AB38" s="58">
        <v>1279</v>
      </c>
      <c r="AC38" s="151" t="s">
        <v>10</v>
      </c>
      <c r="AD38" s="80">
        <v>343</v>
      </c>
      <c r="AE38" s="57">
        <v>0.9397260273972603</v>
      </c>
      <c r="AF38" s="56"/>
      <c r="AG38" s="71" t="s">
        <v>1</v>
      </c>
      <c r="AH38" s="71" t="s">
        <v>1</v>
      </c>
      <c r="AI38" s="71" t="s">
        <v>0</v>
      </c>
      <c r="AJ38" s="11" t="s">
        <v>0</v>
      </c>
      <c r="AK38" s="11" t="s">
        <v>271</v>
      </c>
      <c r="AL38" s="14" t="s">
        <v>368</v>
      </c>
      <c r="AM38" s="11">
        <v>11000</v>
      </c>
      <c r="AO38" s="197" t="s">
        <v>211</v>
      </c>
      <c r="AP38" s="198" t="s">
        <v>102</v>
      </c>
      <c r="AS38" s="212">
        <v>0</v>
      </c>
      <c r="AT38" s="212">
        <v>1518.4426229508197</v>
      </c>
      <c r="AU38" s="212" t="b">
        <v>0</v>
      </c>
      <c r="AV38" s="212"/>
      <c r="AW38" s="212">
        <v>0</v>
      </c>
      <c r="AX38" s="212">
        <v>0</v>
      </c>
      <c r="BA38" s="212">
        <v>0</v>
      </c>
      <c r="BB38" s="226">
        <v>0</v>
      </c>
      <c r="BC38" s="226"/>
    </row>
    <row r="39" spans="1:55" ht="39.950000000000003" hidden="1" customHeight="1" x14ac:dyDescent="0.2">
      <c r="A39" s="13" t="s">
        <v>213</v>
      </c>
      <c r="B39" s="65" t="s">
        <v>67</v>
      </c>
      <c r="C39" s="66" t="s">
        <v>87</v>
      </c>
      <c r="D39" s="13" t="s">
        <v>34</v>
      </c>
      <c r="E39" s="77" t="s">
        <v>34</v>
      </c>
      <c r="F39" s="14" t="s">
        <v>48</v>
      </c>
      <c r="G39" s="66" t="s">
        <v>120</v>
      </c>
      <c r="H39" s="66" t="s">
        <v>214</v>
      </c>
      <c r="I39" s="14" t="s">
        <v>181</v>
      </c>
      <c r="J39" s="14" t="s">
        <v>33</v>
      </c>
      <c r="K39" s="14" t="s">
        <v>209</v>
      </c>
      <c r="L39" s="65" t="s">
        <v>191</v>
      </c>
      <c r="M39" s="13" t="s">
        <v>59</v>
      </c>
      <c r="N39" s="13" t="s">
        <v>43</v>
      </c>
      <c r="O39" s="13" t="s">
        <v>533</v>
      </c>
      <c r="P39" s="13" t="s">
        <v>532</v>
      </c>
      <c r="Q39" s="64" t="s">
        <v>9</v>
      </c>
      <c r="R39" s="62">
        <v>34830.098778160136</v>
      </c>
      <c r="S39" s="63">
        <v>21437.5</v>
      </c>
      <c r="T39" s="150">
        <v>29866.809702272316</v>
      </c>
      <c r="U39" s="62">
        <v>125440.60074954372</v>
      </c>
      <c r="V39" s="76">
        <v>1504919.9047048499</v>
      </c>
      <c r="W39" s="61" t="s">
        <v>11</v>
      </c>
      <c r="X39" s="181">
        <v>0.02</v>
      </c>
      <c r="Y39" s="60">
        <v>43630</v>
      </c>
      <c r="Z39" s="60">
        <v>45365</v>
      </c>
      <c r="AA39" s="60">
        <v>45365</v>
      </c>
      <c r="AB39" s="58">
        <v>1736</v>
      </c>
      <c r="AC39" s="59" t="s">
        <v>10</v>
      </c>
      <c r="AD39" s="58">
        <v>804</v>
      </c>
      <c r="AE39" s="57">
        <v>2.2027397260273971</v>
      </c>
      <c r="AF39" s="56" t="s">
        <v>436</v>
      </c>
      <c r="AG39" s="71" t="s">
        <v>1</v>
      </c>
      <c r="AH39" s="71" t="s">
        <v>1</v>
      </c>
      <c r="AI39" s="70" t="s">
        <v>719</v>
      </c>
      <c r="AJ39" s="11" t="s">
        <v>0</v>
      </c>
      <c r="AK39" s="11" t="s">
        <v>271</v>
      </c>
      <c r="AL39" s="13" t="s">
        <v>370</v>
      </c>
      <c r="AM39" s="11">
        <v>8500</v>
      </c>
      <c r="AO39" s="197" t="s">
        <v>34</v>
      </c>
      <c r="AP39" s="198" t="s">
        <v>48</v>
      </c>
      <c r="AS39" s="212">
        <v>0</v>
      </c>
      <c r="AT39" s="212">
        <v>3584.0171642726777</v>
      </c>
      <c r="AU39" s="212">
        <v>716.80343285453557</v>
      </c>
      <c r="AV39" s="212"/>
      <c r="AW39" s="212">
        <v>0</v>
      </c>
      <c r="AX39" s="212">
        <v>0</v>
      </c>
      <c r="BA39" s="212">
        <v>0</v>
      </c>
      <c r="BB39" s="226">
        <v>0</v>
      </c>
      <c r="BC39" s="226"/>
    </row>
    <row r="40" spans="1:55" ht="39.950000000000003" hidden="1" customHeight="1" x14ac:dyDescent="0.2">
      <c r="A40" s="14" t="s">
        <v>189</v>
      </c>
      <c r="B40" s="65" t="s">
        <v>23</v>
      </c>
      <c r="C40" s="66" t="s">
        <v>149</v>
      </c>
      <c r="D40" s="13" t="s">
        <v>34</v>
      </c>
      <c r="E40" s="77" t="s">
        <v>34</v>
      </c>
      <c r="F40" s="14" t="s">
        <v>102</v>
      </c>
      <c r="G40" s="66" t="s">
        <v>102</v>
      </c>
      <c r="H40" s="14" t="s">
        <v>474</v>
      </c>
      <c r="I40" s="14" t="s">
        <v>148</v>
      </c>
      <c r="J40" s="14" t="s">
        <v>148</v>
      </c>
      <c r="K40" s="14" t="s">
        <v>101</v>
      </c>
      <c r="L40" s="65" t="s">
        <v>191</v>
      </c>
      <c r="M40" s="13" t="s">
        <v>59</v>
      </c>
      <c r="N40" s="13" t="s">
        <v>43</v>
      </c>
      <c r="O40" s="13" t="s">
        <v>538</v>
      </c>
      <c r="P40" s="13" t="s">
        <v>534</v>
      </c>
      <c r="Q40" s="64" t="s">
        <v>8</v>
      </c>
      <c r="R40" s="62">
        <v>5000</v>
      </c>
      <c r="S40" s="63">
        <v>5000</v>
      </c>
      <c r="T40" s="150">
        <v>5000</v>
      </c>
      <c r="U40" s="62">
        <v>10000</v>
      </c>
      <c r="V40" s="76">
        <v>97584.95</v>
      </c>
      <c r="W40" s="61" t="s">
        <v>11</v>
      </c>
      <c r="X40" s="181">
        <v>1.7999999999999999E-2</v>
      </c>
      <c r="Y40" s="60">
        <v>43633</v>
      </c>
      <c r="Z40" s="60">
        <v>44719</v>
      </c>
      <c r="AA40" s="60">
        <v>44719</v>
      </c>
      <c r="AB40" s="58">
        <v>1087</v>
      </c>
      <c r="AC40" s="59" t="s">
        <v>10</v>
      </c>
      <c r="AD40" s="58">
        <v>158</v>
      </c>
      <c r="AE40" s="57">
        <v>0.43287671232876712</v>
      </c>
      <c r="AF40" s="56"/>
      <c r="AG40" s="71" t="s">
        <v>1</v>
      </c>
      <c r="AH40" s="71" t="s">
        <v>1</v>
      </c>
      <c r="AI40" s="71" t="s">
        <v>0</v>
      </c>
      <c r="AJ40" s="11" t="s">
        <v>0</v>
      </c>
      <c r="AK40" s="11" t="s">
        <v>271</v>
      </c>
      <c r="AL40" s="14" t="s">
        <v>373</v>
      </c>
      <c r="AM40" s="11">
        <v>6000</v>
      </c>
      <c r="AO40" s="197" t="s">
        <v>34</v>
      </c>
      <c r="AP40" s="198" t="s">
        <v>102</v>
      </c>
      <c r="AS40" s="212">
        <v>0</v>
      </c>
      <c r="AT40" s="212">
        <v>600</v>
      </c>
      <c r="AU40" s="212" t="b">
        <v>0</v>
      </c>
      <c r="AV40" s="212"/>
      <c r="AW40" s="212">
        <v>0</v>
      </c>
      <c r="AX40" s="212">
        <v>0</v>
      </c>
      <c r="BA40" s="212">
        <v>0</v>
      </c>
      <c r="BB40" s="226">
        <v>0</v>
      </c>
      <c r="BC40" s="226"/>
    </row>
    <row r="41" spans="1:55" ht="39.950000000000003" hidden="1" customHeight="1" x14ac:dyDescent="0.2">
      <c r="A41" s="14" t="s">
        <v>215</v>
      </c>
      <c r="B41" s="65" t="s">
        <v>67</v>
      </c>
      <c r="C41" s="66" t="s">
        <v>38</v>
      </c>
      <c r="D41" s="13" t="s">
        <v>541</v>
      </c>
      <c r="E41" s="77" t="s">
        <v>37</v>
      </c>
      <c r="F41" s="14" t="s">
        <v>102</v>
      </c>
      <c r="G41" s="66" t="s">
        <v>102</v>
      </c>
      <c r="H41" s="14" t="s">
        <v>122</v>
      </c>
      <c r="I41" s="14" t="s">
        <v>142</v>
      </c>
      <c r="J41" s="66" t="s">
        <v>218</v>
      </c>
      <c r="K41" s="14" t="s">
        <v>101</v>
      </c>
      <c r="L41" s="65" t="s">
        <v>191</v>
      </c>
      <c r="M41" s="13" t="s">
        <v>323</v>
      </c>
      <c r="N41" s="13" t="s">
        <v>43</v>
      </c>
      <c r="O41" s="13" t="s">
        <v>531</v>
      </c>
      <c r="P41" s="13" t="s">
        <v>534</v>
      </c>
      <c r="Q41" s="64" t="s">
        <v>54</v>
      </c>
      <c r="R41" s="62">
        <v>34839.470440049306</v>
      </c>
      <c r="S41" s="63">
        <v>195000</v>
      </c>
      <c r="T41" s="62">
        <v>34839.470440049306</v>
      </c>
      <c r="U41" s="62">
        <v>518125.45782637433</v>
      </c>
      <c r="V41" s="76">
        <v>566327.52854156611</v>
      </c>
      <c r="W41" s="61" t="s">
        <v>551</v>
      </c>
      <c r="X41" s="181">
        <v>1.6799999999999999E-2</v>
      </c>
      <c r="Y41" s="60">
        <v>43633</v>
      </c>
      <c r="Z41" s="60">
        <v>44719</v>
      </c>
      <c r="AA41" s="60">
        <v>44719</v>
      </c>
      <c r="AB41" s="58">
        <v>1087</v>
      </c>
      <c r="AC41" s="59" t="s">
        <v>10</v>
      </c>
      <c r="AD41" s="58">
        <v>158</v>
      </c>
      <c r="AE41" s="57">
        <v>0.43287671232876712</v>
      </c>
      <c r="AF41" s="56" t="s">
        <v>436</v>
      </c>
      <c r="AG41" s="152" t="s">
        <v>1</v>
      </c>
      <c r="AH41" s="152" t="s">
        <v>1</v>
      </c>
      <c r="AI41" s="153" t="s">
        <v>0</v>
      </c>
      <c r="AJ41" s="11" t="s">
        <v>0</v>
      </c>
      <c r="AK41" s="11" t="s">
        <v>271</v>
      </c>
      <c r="AL41" s="14" t="s">
        <v>374</v>
      </c>
      <c r="AM41" s="11">
        <v>8500</v>
      </c>
      <c r="AO41" s="197" t="s">
        <v>37</v>
      </c>
      <c r="AP41" s="198" t="s">
        <v>102</v>
      </c>
      <c r="AS41" s="212">
        <v>0</v>
      </c>
      <c r="AT41" s="212">
        <v>4180.736452805917</v>
      </c>
      <c r="AU41" s="212">
        <v>836.14729056118347</v>
      </c>
      <c r="AV41" s="212"/>
      <c r="AW41" s="212">
        <v>0</v>
      </c>
      <c r="AX41" s="212">
        <v>0</v>
      </c>
      <c r="BA41" s="212">
        <v>0</v>
      </c>
      <c r="BB41" s="226">
        <v>0</v>
      </c>
      <c r="BC41" s="226"/>
    </row>
    <row r="42" spans="1:55" ht="39.950000000000003" customHeight="1" x14ac:dyDescent="0.2">
      <c r="A42" s="14" t="s">
        <v>223</v>
      </c>
      <c r="B42" s="65" t="s">
        <v>24</v>
      </c>
      <c r="C42" s="66" t="s">
        <v>38</v>
      </c>
      <c r="D42" s="13" t="s">
        <v>540</v>
      </c>
      <c r="E42" s="77" t="s">
        <v>229</v>
      </c>
      <c r="F42" s="14" t="s">
        <v>92</v>
      </c>
      <c r="G42" s="66" t="s">
        <v>100</v>
      </c>
      <c r="H42" s="14" t="s">
        <v>100</v>
      </c>
      <c r="I42" s="14" t="s">
        <v>230</v>
      </c>
      <c r="J42" s="66" t="s">
        <v>231</v>
      </c>
      <c r="K42" s="14" t="s">
        <v>44</v>
      </c>
      <c r="L42" s="65" t="s">
        <v>191</v>
      </c>
      <c r="M42" s="13" t="s">
        <v>323</v>
      </c>
      <c r="N42" s="13" t="s">
        <v>43</v>
      </c>
      <c r="O42" s="13" t="s">
        <v>539</v>
      </c>
      <c r="P42" s="13" t="s">
        <v>534</v>
      </c>
      <c r="Q42" s="64" t="s">
        <v>9</v>
      </c>
      <c r="R42" s="62">
        <v>15325.243462390459</v>
      </c>
      <c r="S42" s="63">
        <v>9379.8310000000001</v>
      </c>
      <c r="T42" s="62">
        <v>13068.017610097942</v>
      </c>
      <c r="U42" s="62">
        <v>49609.206291709044</v>
      </c>
      <c r="V42" s="76">
        <v>759762.87668751832</v>
      </c>
      <c r="W42" s="61" t="s">
        <v>551</v>
      </c>
      <c r="X42" s="181">
        <v>1.7500000000000002E-2</v>
      </c>
      <c r="Y42" s="60">
        <v>43670</v>
      </c>
      <c r="Z42" s="60">
        <v>47992</v>
      </c>
      <c r="AA42" s="60">
        <v>47992</v>
      </c>
      <c r="AB42" s="58">
        <v>4323</v>
      </c>
      <c r="AC42" s="59" t="s">
        <v>10</v>
      </c>
      <c r="AD42" s="58">
        <v>3431</v>
      </c>
      <c r="AE42" s="57">
        <v>9.4</v>
      </c>
      <c r="AF42" s="56"/>
      <c r="AG42" s="71" t="s">
        <v>1</v>
      </c>
      <c r="AH42" s="71" t="s">
        <v>1</v>
      </c>
      <c r="AI42" s="70" t="s">
        <v>661</v>
      </c>
      <c r="AJ42" s="11" t="s">
        <v>0</v>
      </c>
      <c r="AK42" s="11" t="s">
        <v>271</v>
      </c>
      <c r="AL42" s="14" t="s">
        <v>375</v>
      </c>
      <c r="AM42" s="11">
        <v>19997.5</v>
      </c>
      <c r="AO42" s="197" t="s">
        <v>229</v>
      </c>
      <c r="AP42" s="198" t="s">
        <v>92</v>
      </c>
      <c r="AQ42" s="11">
        <v>1</v>
      </c>
      <c r="AR42" s="214">
        <v>0.05</v>
      </c>
      <c r="AS42" s="212">
        <v>653.40088050489715</v>
      </c>
      <c r="AT42" s="212">
        <v>1568.162113211753</v>
      </c>
      <c r="AU42" s="212" t="b">
        <v>0</v>
      </c>
      <c r="AV42" s="212"/>
      <c r="AW42" s="212">
        <v>653.40088050489715</v>
      </c>
      <c r="AX42" s="212">
        <v>653.40088050489715</v>
      </c>
      <c r="BA42" s="212">
        <v>653.40088050489715</v>
      </c>
      <c r="BB42" s="226">
        <v>653.40088050489715</v>
      </c>
      <c r="BC42" s="226">
        <v>0</v>
      </c>
    </row>
    <row r="43" spans="1:55" ht="39.950000000000003" hidden="1" customHeight="1" x14ac:dyDescent="0.2">
      <c r="A43" s="14" t="s">
        <v>226</v>
      </c>
      <c r="B43" s="65" t="s">
        <v>23</v>
      </c>
      <c r="C43" s="66" t="s">
        <v>87</v>
      </c>
      <c r="D43" s="13" t="s">
        <v>496</v>
      </c>
      <c r="E43" s="77" t="s">
        <v>872</v>
      </c>
      <c r="F43" s="14" t="s">
        <v>475</v>
      </c>
      <c r="G43" s="66" t="s">
        <v>227</v>
      </c>
      <c r="H43" s="14" t="s">
        <v>228</v>
      </c>
      <c r="I43" s="14" t="s">
        <v>181</v>
      </c>
      <c r="J43" s="14" t="s">
        <v>33</v>
      </c>
      <c r="K43" s="14" t="s">
        <v>209</v>
      </c>
      <c r="L43" s="65" t="s">
        <v>191</v>
      </c>
      <c r="M43" s="13" t="s">
        <v>59</v>
      </c>
      <c r="N43" s="13" t="s">
        <v>43</v>
      </c>
      <c r="O43" s="13" t="s">
        <v>538</v>
      </c>
      <c r="P43" s="13" t="s">
        <v>534</v>
      </c>
      <c r="Q43" s="64" t="s">
        <v>9</v>
      </c>
      <c r="R43" s="62">
        <v>31347.088900344119</v>
      </c>
      <c r="S43" s="63">
        <v>22500</v>
      </c>
      <c r="T43" s="62">
        <v>31347.088900344119</v>
      </c>
      <c r="U43" s="62">
        <v>208980.5926689608</v>
      </c>
      <c r="V43" s="76">
        <v>918255.1513716093</v>
      </c>
      <c r="W43" s="61" t="s">
        <v>11</v>
      </c>
      <c r="X43" s="181">
        <v>1.8499999999999999E-2</v>
      </c>
      <c r="Y43" s="60">
        <v>43672</v>
      </c>
      <c r="Z43" s="60">
        <v>45197</v>
      </c>
      <c r="AA43" s="60">
        <v>45197</v>
      </c>
      <c r="AB43" s="58">
        <v>1526</v>
      </c>
      <c r="AC43" s="59" t="s">
        <v>10</v>
      </c>
      <c r="AD43" s="58">
        <v>636</v>
      </c>
      <c r="AE43" s="57">
        <v>1.7424657534246575</v>
      </c>
      <c r="AF43" s="56" t="s">
        <v>436</v>
      </c>
      <c r="AG43" s="71" t="s">
        <v>1</v>
      </c>
      <c r="AH43" s="71" t="s">
        <v>1</v>
      </c>
      <c r="AI43" s="70" t="s">
        <v>0</v>
      </c>
      <c r="AJ43" s="11" t="s">
        <v>0</v>
      </c>
      <c r="AK43" s="11" t="s">
        <v>271</v>
      </c>
      <c r="AL43" s="14" t="s">
        <v>350</v>
      </c>
      <c r="AM43" s="11">
        <v>9195</v>
      </c>
      <c r="AO43" s="197" t="s">
        <v>872</v>
      </c>
      <c r="AP43" s="198" t="s">
        <v>475</v>
      </c>
      <c r="AS43" s="212">
        <v>0</v>
      </c>
      <c r="AT43" s="212">
        <v>3761.650668041294</v>
      </c>
      <c r="AU43" s="212">
        <v>752.33013360825885</v>
      </c>
      <c r="AV43" s="212"/>
      <c r="AW43" s="212">
        <v>0</v>
      </c>
      <c r="AX43" s="212">
        <v>0</v>
      </c>
      <c r="BA43" s="212">
        <v>0</v>
      </c>
      <c r="BB43" s="226">
        <v>0</v>
      </c>
      <c r="BC43" s="226"/>
    </row>
    <row r="44" spans="1:55" ht="39.950000000000003" hidden="1" customHeight="1" x14ac:dyDescent="0.2">
      <c r="A44" s="14" t="s">
        <v>235</v>
      </c>
      <c r="B44" s="65" t="s">
        <v>23</v>
      </c>
      <c r="C44" s="66" t="s">
        <v>37</v>
      </c>
      <c r="D44" s="13" t="s">
        <v>542</v>
      </c>
      <c r="E44" s="77" t="s">
        <v>91</v>
      </c>
      <c r="F44" s="14" t="s">
        <v>173</v>
      </c>
      <c r="G44" s="66" t="s">
        <v>174</v>
      </c>
      <c r="H44" s="14" t="s">
        <v>172</v>
      </c>
      <c r="I44" s="14" t="s">
        <v>236</v>
      </c>
      <c r="J44" s="66" t="s">
        <v>21</v>
      </c>
      <c r="K44" s="14" t="s">
        <v>139</v>
      </c>
      <c r="L44" s="65" t="s">
        <v>191</v>
      </c>
      <c r="M44" s="13" t="s">
        <v>323</v>
      </c>
      <c r="N44" s="13" t="s">
        <v>43</v>
      </c>
      <c r="O44" s="13" t="s">
        <v>533</v>
      </c>
      <c r="P44" s="13" t="s">
        <v>534</v>
      </c>
      <c r="Q44" s="64" t="s">
        <v>59</v>
      </c>
      <c r="R44" s="62">
        <v>15762.925598991174</v>
      </c>
      <c r="S44" s="63">
        <v>7700</v>
      </c>
      <c r="T44" s="62">
        <v>12137.452711223204</v>
      </c>
      <c r="U44" s="62">
        <v>110340.47919293822</v>
      </c>
      <c r="V44" s="76">
        <v>426896.72635561152</v>
      </c>
      <c r="W44" s="61" t="s">
        <v>11</v>
      </c>
      <c r="X44" s="181">
        <v>1.4500000000000001E-2</v>
      </c>
      <c r="Y44" s="60">
        <v>43706</v>
      </c>
      <c r="Z44" s="60">
        <v>45490</v>
      </c>
      <c r="AA44" s="60">
        <v>45490</v>
      </c>
      <c r="AB44" s="58">
        <v>1785</v>
      </c>
      <c r="AC44" s="59" t="s">
        <v>10</v>
      </c>
      <c r="AD44" s="58">
        <v>929</v>
      </c>
      <c r="AE44" s="57">
        <v>2.5452054794520547</v>
      </c>
      <c r="AF44" s="56"/>
      <c r="AG44" s="71" t="s">
        <v>1</v>
      </c>
      <c r="AH44" s="71" t="s">
        <v>1</v>
      </c>
      <c r="AI44" s="70" t="s">
        <v>0</v>
      </c>
      <c r="AJ44" s="11" t="s">
        <v>0</v>
      </c>
      <c r="AK44" s="11" t="s">
        <v>271</v>
      </c>
      <c r="AL44" s="14" t="s">
        <v>378</v>
      </c>
      <c r="AM44" s="11">
        <v>5000</v>
      </c>
      <c r="AO44" s="197" t="s">
        <v>91</v>
      </c>
      <c r="AP44" s="198" t="s">
        <v>173</v>
      </c>
      <c r="AS44" s="212">
        <v>0</v>
      </c>
      <c r="AT44" s="212">
        <v>1456.4943253467845</v>
      </c>
      <c r="AU44" s="212" t="b">
        <v>0</v>
      </c>
      <c r="AV44" s="212"/>
      <c r="AW44" s="212">
        <v>0</v>
      </c>
      <c r="AX44" s="212">
        <v>0</v>
      </c>
      <c r="BA44" s="212">
        <v>0</v>
      </c>
      <c r="BB44" s="226">
        <v>0</v>
      </c>
      <c r="BC44" s="226"/>
    </row>
    <row r="45" spans="1:55" ht="39.950000000000003" hidden="1" customHeight="1" x14ac:dyDescent="0.2">
      <c r="A45" s="14" t="s">
        <v>239</v>
      </c>
      <c r="B45" s="65" t="s">
        <v>24</v>
      </c>
      <c r="C45" s="66" t="s">
        <v>38</v>
      </c>
      <c r="D45" s="13" t="s">
        <v>540</v>
      </c>
      <c r="E45" s="77" t="s">
        <v>49</v>
      </c>
      <c r="F45" s="14" t="s">
        <v>233</v>
      </c>
      <c r="G45" s="131" t="s">
        <v>233</v>
      </c>
      <c r="H45" s="131" t="s">
        <v>443</v>
      </c>
      <c r="I45" s="14" t="s">
        <v>142</v>
      </c>
      <c r="J45" s="14" t="s">
        <v>218</v>
      </c>
      <c r="K45" s="14" t="s">
        <v>139</v>
      </c>
      <c r="L45" s="65" t="s">
        <v>191</v>
      </c>
      <c r="M45" s="13" t="s">
        <v>323</v>
      </c>
      <c r="N45" s="13" t="s">
        <v>43</v>
      </c>
      <c r="O45" s="13" t="s">
        <v>531</v>
      </c>
      <c r="P45" s="13" t="s">
        <v>534</v>
      </c>
      <c r="Q45" s="64" t="s">
        <v>9</v>
      </c>
      <c r="R45" s="62">
        <v>13932.039511264054</v>
      </c>
      <c r="S45" s="63">
        <v>13142.089</v>
      </c>
      <c r="T45" s="62">
        <v>18309.61032085487</v>
      </c>
      <c r="U45" s="62">
        <v>27864.079022528109</v>
      </c>
      <c r="V45" s="76">
        <v>807864.81742062222</v>
      </c>
      <c r="W45" s="61" t="s">
        <v>11</v>
      </c>
      <c r="X45" s="181">
        <v>6.25E-2</v>
      </c>
      <c r="Y45" s="60">
        <v>43707</v>
      </c>
      <c r="Z45" s="60">
        <v>44756</v>
      </c>
      <c r="AA45" s="60">
        <v>44756</v>
      </c>
      <c r="AB45" s="58">
        <v>1050</v>
      </c>
      <c r="AC45" s="59" t="s">
        <v>10</v>
      </c>
      <c r="AD45" s="58">
        <v>195</v>
      </c>
      <c r="AE45" s="57">
        <v>0.53424657534246578</v>
      </c>
      <c r="AF45" s="56"/>
      <c r="AG45" s="152" t="s">
        <v>1</v>
      </c>
      <c r="AH45" s="152" t="s">
        <v>1</v>
      </c>
      <c r="AI45" s="153" t="s">
        <v>662</v>
      </c>
      <c r="AJ45" s="11" t="s">
        <v>0</v>
      </c>
      <c r="AK45" s="11" t="s">
        <v>271</v>
      </c>
      <c r="AL45" s="14" t="s">
        <v>377</v>
      </c>
      <c r="AM45" s="11">
        <v>11000</v>
      </c>
      <c r="AO45" s="197" t="s">
        <v>49</v>
      </c>
      <c r="AP45" s="198" t="s">
        <v>233</v>
      </c>
      <c r="AS45" s="212">
        <v>0</v>
      </c>
      <c r="AT45" s="212">
        <v>2197.1532385025844</v>
      </c>
      <c r="AU45" s="212" t="b">
        <v>0</v>
      </c>
      <c r="AV45" s="212"/>
      <c r="AW45" s="212">
        <v>0</v>
      </c>
      <c r="AX45" s="212">
        <v>0</v>
      </c>
      <c r="BA45" s="212">
        <v>0</v>
      </c>
      <c r="BB45" s="226">
        <v>0</v>
      </c>
      <c r="BC45" s="226"/>
    </row>
    <row r="46" spans="1:55" ht="39.950000000000003" hidden="1" customHeight="1" x14ac:dyDescent="0.2">
      <c r="A46" s="14" t="s">
        <v>247</v>
      </c>
      <c r="B46" s="65" t="s">
        <v>67</v>
      </c>
      <c r="C46" s="66" t="s">
        <v>87</v>
      </c>
      <c r="D46" s="13" t="s">
        <v>542</v>
      </c>
      <c r="E46" s="77" t="s">
        <v>87</v>
      </c>
      <c r="F46" s="14" t="s">
        <v>48</v>
      </c>
      <c r="G46" s="66" t="s">
        <v>95</v>
      </c>
      <c r="H46" s="130" t="s">
        <v>447</v>
      </c>
      <c r="I46" s="14" t="s">
        <v>246</v>
      </c>
      <c r="J46" s="14" t="s">
        <v>219</v>
      </c>
      <c r="K46" s="14" t="s">
        <v>140</v>
      </c>
      <c r="L46" s="65" t="s">
        <v>191</v>
      </c>
      <c r="M46" s="13" t="s">
        <v>59</v>
      </c>
      <c r="N46" s="13" t="s">
        <v>43</v>
      </c>
      <c r="O46" s="13" t="s">
        <v>538</v>
      </c>
      <c r="P46" s="13" t="s">
        <v>534</v>
      </c>
      <c r="Q46" s="64" t="s">
        <v>9</v>
      </c>
      <c r="R46" s="62">
        <v>27864.079022528109</v>
      </c>
      <c r="S46" s="63">
        <v>20000</v>
      </c>
      <c r="T46" s="62">
        <v>27864.079022528109</v>
      </c>
      <c r="U46" s="62">
        <v>139320.39511264054</v>
      </c>
      <c r="V46" s="76">
        <v>1898113.74117057</v>
      </c>
      <c r="W46" s="61" t="s">
        <v>11</v>
      </c>
      <c r="X46" s="181">
        <v>8.6999999999999994E-3</v>
      </c>
      <c r="Y46" s="60">
        <v>43732</v>
      </c>
      <c r="Z46" s="60">
        <v>46598</v>
      </c>
      <c r="AA46" s="60">
        <v>46598</v>
      </c>
      <c r="AB46" s="58">
        <v>2867</v>
      </c>
      <c r="AC46" s="59" t="s">
        <v>10</v>
      </c>
      <c r="AD46" s="58">
        <v>2037</v>
      </c>
      <c r="AE46" s="57">
        <v>5.580821917808219</v>
      </c>
      <c r="AF46" s="56" t="s">
        <v>436</v>
      </c>
      <c r="AG46" s="152" t="s">
        <v>1</v>
      </c>
      <c r="AH46" s="152" t="s">
        <v>1</v>
      </c>
      <c r="AI46" s="153" t="s">
        <v>0</v>
      </c>
      <c r="AJ46" s="11" t="s">
        <v>0</v>
      </c>
      <c r="AK46" s="11" t="s">
        <v>271</v>
      </c>
      <c r="AL46" s="14" t="s">
        <v>381</v>
      </c>
      <c r="AM46" s="11">
        <v>13000</v>
      </c>
      <c r="AO46" s="197" t="s">
        <v>87</v>
      </c>
      <c r="AP46" s="198" t="s">
        <v>48</v>
      </c>
      <c r="AS46" s="212">
        <v>0</v>
      </c>
      <c r="AT46" s="212">
        <v>3343.689482703373</v>
      </c>
      <c r="AU46" s="212">
        <v>668.73789654067468</v>
      </c>
      <c r="AV46" s="212"/>
      <c r="AW46" s="212">
        <v>0</v>
      </c>
      <c r="AX46" s="212">
        <v>0</v>
      </c>
      <c r="BA46" s="212">
        <v>0</v>
      </c>
      <c r="BB46" s="226">
        <v>0</v>
      </c>
      <c r="BC46" s="226"/>
    </row>
    <row r="47" spans="1:55" ht="39.950000000000003" hidden="1" customHeight="1" x14ac:dyDescent="0.2">
      <c r="A47" s="14" t="s">
        <v>240</v>
      </c>
      <c r="B47" s="65" t="s">
        <v>51</v>
      </c>
      <c r="C47" s="66" t="s">
        <v>38</v>
      </c>
      <c r="D47" s="13" t="s">
        <v>541</v>
      </c>
      <c r="E47" s="77" t="s">
        <v>38</v>
      </c>
      <c r="F47" s="14" t="s">
        <v>102</v>
      </c>
      <c r="G47" s="66" t="s">
        <v>102</v>
      </c>
      <c r="H47" s="14" t="s">
        <v>474</v>
      </c>
      <c r="I47" s="14" t="s">
        <v>237</v>
      </c>
      <c r="J47" s="14" t="s">
        <v>219</v>
      </c>
      <c r="K47" s="14" t="s">
        <v>101</v>
      </c>
      <c r="L47" s="65" t="s">
        <v>191</v>
      </c>
      <c r="M47" s="13" t="s">
        <v>323</v>
      </c>
      <c r="N47" s="13" t="s">
        <v>43</v>
      </c>
      <c r="O47" s="13" t="s">
        <v>538</v>
      </c>
      <c r="P47" s="13" t="s">
        <v>534</v>
      </c>
      <c r="Q47" s="64" t="s">
        <v>238</v>
      </c>
      <c r="R47" s="62">
        <v>28703.523357492133</v>
      </c>
      <c r="S47" s="63">
        <v>28000</v>
      </c>
      <c r="T47" s="62">
        <v>28703.523357492133</v>
      </c>
      <c r="U47" s="62">
        <v>102512.58341961476</v>
      </c>
      <c r="V47" s="76">
        <v>1295092.6713754113</v>
      </c>
      <c r="W47" s="61" t="s">
        <v>11</v>
      </c>
      <c r="X47" s="181">
        <v>2.0400000000000001E-2</v>
      </c>
      <c r="Y47" s="60">
        <v>43738</v>
      </c>
      <c r="Z47" s="60">
        <v>45148</v>
      </c>
      <c r="AA47" s="60">
        <v>45148</v>
      </c>
      <c r="AB47" s="58">
        <v>1411</v>
      </c>
      <c r="AC47" s="59" t="s">
        <v>10</v>
      </c>
      <c r="AD47" s="58">
        <v>587</v>
      </c>
      <c r="AE47" s="57">
        <v>1.6082191780821917</v>
      </c>
      <c r="AF47" s="56" t="s">
        <v>436</v>
      </c>
      <c r="AG47" s="152" t="s">
        <v>1</v>
      </c>
      <c r="AH47" s="152" t="s">
        <v>1</v>
      </c>
      <c r="AI47" s="153" t="s">
        <v>0</v>
      </c>
      <c r="AJ47" s="11" t="s">
        <v>0</v>
      </c>
      <c r="AK47" s="11" t="s">
        <v>271</v>
      </c>
      <c r="AL47" s="14" t="s">
        <v>379</v>
      </c>
      <c r="AM47" s="11">
        <v>10372.5</v>
      </c>
      <c r="AO47" s="197" t="s">
        <v>38</v>
      </c>
      <c r="AP47" s="198" t="s">
        <v>102</v>
      </c>
      <c r="AS47" s="212">
        <v>0</v>
      </c>
      <c r="AT47" s="212">
        <v>3444.422802899056</v>
      </c>
      <c r="AU47" s="212">
        <v>688.88456057981125</v>
      </c>
      <c r="AV47" s="212"/>
      <c r="AW47" s="212">
        <v>0</v>
      </c>
      <c r="AX47" s="212">
        <v>0</v>
      </c>
      <c r="BA47" s="212">
        <v>0</v>
      </c>
      <c r="BB47" s="226">
        <v>0</v>
      </c>
      <c r="BC47" s="226"/>
    </row>
    <row r="48" spans="1:55" ht="39.950000000000003" hidden="1" customHeight="1" x14ac:dyDescent="0.2">
      <c r="A48" s="14" t="s">
        <v>244</v>
      </c>
      <c r="B48" s="65" t="s">
        <v>23</v>
      </c>
      <c r="C48" s="66" t="s">
        <v>38</v>
      </c>
      <c r="D48" s="13" t="s">
        <v>541</v>
      </c>
      <c r="E48" s="77" t="s">
        <v>38</v>
      </c>
      <c r="F48" s="14" t="s">
        <v>106</v>
      </c>
      <c r="G48" s="66" t="s">
        <v>106</v>
      </c>
      <c r="H48" s="14" t="s">
        <v>245</v>
      </c>
      <c r="I48" s="14" t="s">
        <v>50</v>
      </c>
      <c r="J48" s="14" t="s">
        <v>21</v>
      </c>
      <c r="K48" s="14" t="s">
        <v>101</v>
      </c>
      <c r="L48" s="65" t="s">
        <v>191</v>
      </c>
      <c r="M48" s="13" t="s">
        <v>323</v>
      </c>
      <c r="N48" s="13" t="s">
        <v>43</v>
      </c>
      <c r="O48" s="13" t="s">
        <v>533</v>
      </c>
      <c r="P48" s="13" t="s">
        <v>534</v>
      </c>
      <c r="Q48" s="64" t="s">
        <v>8</v>
      </c>
      <c r="R48" s="62">
        <v>25000</v>
      </c>
      <c r="S48" s="63">
        <v>25000</v>
      </c>
      <c r="T48" s="62">
        <v>25000</v>
      </c>
      <c r="U48" s="62">
        <v>75000</v>
      </c>
      <c r="V48" s="76">
        <v>711986.31</v>
      </c>
      <c r="W48" s="61" t="s">
        <v>11</v>
      </c>
      <c r="X48" s="181">
        <v>1.35E-2</v>
      </c>
      <c r="Y48" s="60">
        <v>43756</v>
      </c>
      <c r="Z48" s="60">
        <v>45520</v>
      </c>
      <c r="AA48" s="60">
        <v>45520</v>
      </c>
      <c r="AB48" s="58">
        <v>1765</v>
      </c>
      <c r="AC48" s="59" t="s">
        <v>10</v>
      </c>
      <c r="AD48" s="58">
        <v>959</v>
      </c>
      <c r="AE48" s="57">
        <v>2.6273972602739728</v>
      </c>
      <c r="AF48" s="56" t="s">
        <v>436</v>
      </c>
      <c r="AG48" s="71" t="s">
        <v>1</v>
      </c>
      <c r="AH48" s="71" t="s">
        <v>1</v>
      </c>
      <c r="AI48" s="70" t="s">
        <v>0</v>
      </c>
      <c r="AJ48" s="11" t="s">
        <v>0</v>
      </c>
      <c r="AK48" s="11" t="s">
        <v>271</v>
      </c>
      <c r="AL48" s="14" t="s">
        <v>371</v>
      </c>
      <c r="AM48" s="11">
        <v>6000</v>
      </c>
      <c r="AO48" s="197" t="s">
        <v>38</v>
      </c>
      <c r="AP48" s="198" t="s">
        <v>106</v>
      </c>
      <c r="AS48" s="212">
        <v>0</v>
      </c>
      <c r="AT48" s="212">
        <v>3000</v>
      </c>
      <c r="AU48" s="212">
        <v>600</v>
      </c>
      <c r="AV48" s="212"/>
      <c r="AW48" s="212">
        <v>0</v>
      </c>
      <c r="AX48" s="212">
        <v>0</v>
      </c>
      <c r="BA48" s="212">
        <v>0</v>
      </c>
      <c r="BB48" s="226">
        <v>0</v>
      </c>
      <c r="BC48" s="226"/>
    </row>
    <row r="49" spans="1:55" ht="39.950000000000003" hidden="1" customHeight="1" x14ac:dyDescent="0.2">
      <c r="A49" s="14" t="s">
        <v>248</v>
      </c>
      <c r="B49" s="65" t="s">
        <v>24</v>
      </c>
      <c r="C49" s="66" t="s">
        <v>127</v>
      </c>
      <c r="D49" s="13" t="s">
        <v>542</v>
      </c>
      <c r="E49" s="77" t="s">
        <v>127</v>
      </c>
      <c r="F49" s="14" t="s">
        <v>546</v>
      </c>
      <c r="G49" s="66" t="s">
        <v>249</v>
      </c>
      <c r="H49" s="14" t="s">
        <v>249</v>
      </c>
      <c r="I49" s="14" t="s">
        <v>158</v>
      </c>
      <c r="J49" s="14" t="s">
        <v>220</v>
      </c>
      <c r="K49" s="14" t="s">
        <v>29</v>
      </c>
      <c r="L49" s="65" t="s">
        <v>191</v>
      </c>
      <c r="M49" s="13" t="s">
        <v>59</v>
      </c>
      <c r="N49" s="13" t="s">
        <v>43</v>
      </c>
      <c r="O49" s="13" t="s">
        <v>538</v>
      </c>
      <c r="P49" s="13" t="s">
        <v>534</v>
      </c>
      <c r="Q49" s="64" t="s">
        <v>59</v>
      </c>
      <c r="R49" s="62">
        <v>15762.925598991174</v>
      </c>
      <c r="S49" s="63">
        <v>10000</v>
      </c>
      <c r="T49" s="62">
        <v>15762.925598991174</v>
      </c>
      <c r="U49" s="62">
        <v>207383.92181588901</v>
      </c>
      <c r="V49" s="76">
        <v>824176.59205548558</v>
      </c>
      <c r="W49" s="61" t="s">
        <v>11</v>
      </c>
      <c r="X49" s="181">
        <v>1.7500000000000002E-2</v>
      </c>
      <c r="Y49" s="60">
        <v>43784</v>
      </c>
      <c r="Z49" s="60">
        <v>45627</v>
      </c>
      <c r="AA49" s="60">
        <v>45627</v>
      </c>
      <c r="AB49" s="58">
        <v>1844</v>
      </c>
      <c r="AC49" s="59" t="s">
        <v>10</v>
      </c>
      <c r="AD49" s="58">
        <v>1066</v>
      </c>
      <c r="AE49" s="57">
        <v>2.9205479452054797</v>
      </c>
      <c r="AF49" s="56"/>
      <c r="AG49" s="71" t="s">
        <v>1</v>
      </c>
      <c r="AH49" s="71" t="s">
        <v>1</v>
      </c>
      <c r="AI49" s="70" t="s">
        <v>0</v>
      </c>
      <c r="AJ49" s="11" t="s">
        <v>0</v>
      </c>
      <c r="AK49" s="11" t="s">
        <v>271</v>
      </c>
      <c r="AL49" s="14" t="s">
        <v>372</v>
      </c>
      <c r="AM49" s="11">
        <v>8100</v>
      </c>
      <c r="AO49" s="197" t="s">
        <v>127</v>
      </c>
      <c r="AP49" s="198" t="s">
        <v>546</v>
      </c>
      <c r="AS49" s="212">
        <v>0</v>
      </c>
      <c r="AT49" s="212">
        <v>1891.5510718789408</v>
      </c>
      <c r="AU49" s="212" t="b">
        <v>0</v>
      </c>
      <c r="AV49" s="212"/>
      <c r="AW49" s="212">
        <v>0</v>
      </c>
      <c r="AX49" s="212">
        <v>0</v>
      </c>
      <c r="BA49" s="212">
        <v>0</v>
      </c>
      <c r="BB49" s="226">
        <v>0</v>
      </c>
      <c r="BC49" s="226"/>
    </row>
    <row r="50" spans="1:55" ht="39.950000000000003" hidden="1" customHeight="1" x14ac:dyDescent="0.2">
      <c r="A50" s="14" t="s">
        <v>260</v>
      </c>
      <c r="B50" s="65" t="s">
        <v>51</v>
      </c>
      <c r="C50" s="66" t="s">
        <v>119</v>
      </c>
      <c r="D50" s="13" t="s">
        <v>542</v>
      </c>
      <c r="E50" s="77" t="s">
        <v>119</v>
      </c>
      <c r="F50" s="14" t="s">
        <v>106</v>
      </c>
      <c r="G50" s="66" t="s">
        <v>106</v>
      </c>
      <c r="H50" s="14" t="s">
        <v>263</v>
      </c>
      <c r="I50" s="14" t="s">
        <v>264</v>
      </c>
      <c r="J50" s="14" t="s">
        <v>221</v>
      </c>
      <c r="K50" s="14" t="s">
        <v>13</v>
      </c>
      <c r="L50" s="65" t="s">
        <v>191</v>
      </c>
      <c r="M50" s="13" t="s">
        <v>59</v>
      </c>
      <c r="N50" s="13" t="s">
        <v>43</v>
      </c>
      <c r="O50" s="13" t="s">
        <v>538</v>
      </c>
      <c r="P50" s="13" t="s">
        <v>534</v>
      </c>
      <c r="Q50" s="64" t="s">
        <v>59</v>
      </c>
      <c r="R50" s="62">
        <v>23644.388398486761</v>
      </c>
      <c r="S50" s="63">
        <v>15000</v>
      </c>
      <c r="T50" s="62">
        <v>23644.388398486761</v>
      </c>
      <c r="U50" s="62">
        <v>76607.818411097105</v>
      </c>
      <c r="V50" s="76">
        <v>916604.57124842366</v>
      </c>
      <c r="W50" s="61" t="s">
        <v>11</v>
      </c>
      <c r="X50" s="181">
        <v>2.1999999999999999E-2</v>
      </c>
      <c r="Y50" s="60">
        <v>43805</v>
      </c>
      <c r="Z50" s="60">
        <v>45306</v>
      </c>
      <c r="AA50" s="60">
        <v>45306</v>
      </c>
      <c r="AB50" s="58">
        <v>1502</v>
      </c>
      <c r="AC50" s="59" t="s">
        <v>10</v>
      </c>
      <c r="AD50" s="58">
        <v>745</v>
      </c>
      <c r="AE50" s="57">
        <v>2.0410958904109591</v>
      </c>
      <c r="AF50" s="56"/>
      <c r="AG50" s="71" t="s">
        <v>1</v>
      </c>
      <c r="AH50" s="71" t="s">
        <v>1</v>
      </c>
      <c r="AI50" s="70" t="s">
        <v>0</v>
      </c>
      <c r="AJ50" s="11" t="s">
        <v>0</v>
      </c>
      <c r="AK50" s="11" t="s">
        <v>271</v>
      </c>
      <c r="AL50" s="14" t="s">
        <v>380</v>
      </c>
      <c r="AM50" s="11">
        <v>7250</v>
      </c>
      <c r="AO50" s="197" t="s">
        <v>119</v>
      </c>
      <c r="AP50" s="198" t="s">
        <v>106</v>
      </c>
      <c r="AS50" s="212">
        <v>0</v>
      </c>
      <c r="AT50" s="212">
        <v>2837.326607818411</v>
      </c>
      <c r="AU50" s="212" t="b">
        <v>0</v>
      </c>
      <c r="AV50" s="212"/>
      <c r="AW50" s="212">
        <v>0</v>
      </c>
      <c r="AX50" s="212">
        <v>0</v>
      </c>
      <c r="BA50" s="212">
        <v>0</v>
      </c>
      <c r="BB50" s="226">
        <v>0</v>
      </c>
      <c r="BC50" s="226"/>
    </row>
    <row r="51" spans="1:55" ht="39.950000000000003" hidden="1" customHeight="1" x14ac:dyDescent="0.2">
      <c r="A51" s="14" t="s">
        <v>261</v>
      </c>
      <c r="B51" s="65" t="s">
        <v>51</v>
      </c>
      <c r="C51" s="66" t="s">
        <v>119</v>
      </c>
      <c r="D51" s="13" t="s">
        <v>542</v>
      </c>
      <c r="E51" s="77" t="s">
        <v>119</v>
      </c>
      <c r="F51" s="14" t="s">
        <v>106</v>
      </c>
      <c r="G51" s="66" t="s">
        <v>106</v>
      </c>
      <c r="H51" s="14" t="s">
        <v>263</v>
      </c>
      <c r="I51" s="14" t="s">
        <v>264</v>
      </c>
      <c r="J51" s="14" t="s">
        <v>221</v>
      </c>
      <c r="K51" s="14" t="s">
        <v>13</v>
      </c>
      <c r="L51" s="65" t="s">
        <v>191</v>
      </c>
      <c r="M51" s="13" t="s">
        <v>59</v>
      </c>
      <c r="N51" s="13" t="s">
        <v>43</v>
      </c>
      <c r="O51" s="13" t="s">
        <v>538</v>
      </c>
      <c r="P51" s="13" t="s">
        <v>534</v>
      </c>
      <c r="Q51" s="64" t="s">
        <v>59</v>
      </c>
      <c r="R51" s="62">
        <v>31525.851197982349</v>
      </c>
      <c r="S51" s="63">
        <v>20000</v>
      </c>
      <c r="T51" s="62">
        <v>31525.851197982349</v>
      </c>
      <c r="U51" s="62">
        <v>142260.40353089533</v>
      </c>
      <c r="V51" s="76">
        <v>754788.46153846162</v>
      </c>
      <c r="W51" s="61" t="s">
        <v>11</v>
      </c>
      <c r="X51" s="181">
        <v>1.7999999999999999E-2</v>
      </c>
      <c r="Y51" s="60">
        <v>43809</v>
      </c>
      <c r="Z51" s="60">
        <v>45674</v>
      </c>
      <c r="AA51" s="60">
        <v>44943</v>
      </c>
      <c r="AB51" s="58">
        <v>1135</v>
      </c>
      <c r="AC51" s="59" t="s">
        <v>10</v>
      </c>
      <c r="AD51" s="58">
        <v>382</v>
      </c>
      <c r="AE51" s="57">
        <v>1.0465753424657533</v>
      </c>
      <c r="AF51" s="56" t="s">
        <v>436</v>
      </c>
      <c r="AG51" s="152" t="s">
        <v>1</v>
      </c>
      <c r="AH51" s="152" t="s">
        <v>1</v>
      </c>
      <c r="AI51" s="153" t="s">
        <v>0</v>
      </c>
      <c r="AJ51" s="11" t="s">
        <v>0</v>
      </c>
      <c r="AK51" s="11" t="s">
        <v>271</v>
      </c>
      <c r="AL51" s="14" t="s">
        <v>383</v>
      </c>
      <c r="AM51" s="11">
        <v>5937.5</v>
      </c>
      <c r="AO51" s="197" t="s">
        <v>119</v>
      </c>
      <c r="AP51" s="198" t="s">
        <v>106</v>
      </c>
      <c r="AS51" s="212">
        <v>0</v>
      </c>
      <c r="AT51" s="212">
        <v>3783.1021437578815</v>
      </c>
      <c r="AU51" s="212">
        <v>756.62042875157636</v>
      </c>
      <c r="AV51" s="212"/>
      <c r="AW51" s="212">
        <v>0</v>
      </c>
      <c r="AX51" s="212">
        <v>0</v>
      </c>
      <c r="BA51" s="212">
        <v>0</v>
      </c>
      <c r="BB51" s="226">
        <v>0</v>
      </c>
      <c r="BC51" s="226"/>
    </row>
    <row r="52" spans="1:55" ht="39.950000000000003" hidden="1" customHeight="1" x14ac:dyDescent="0.2">
      <c r="A52" s="14" t="s">
        <v>262</v>
      </c>
      <c r="B52" s="65" t="s">
        <v>51</v>
      </c>
      <c r="C52" s="66" t="s">
        <v>127</v>
      </c>
      <c r="D52" s="13" t="s">
        <v>499</v>
      </c>
      <c r="E52" s="77" t="s">
        <v>162</v>
      </c>
      <c r="F52" s="14" t="s">
        <v>547</v>
      </c>
      <c r="G52" s="66" t="s">
        <v>265</v>
      </c>
      <c r="H52" s="14" t="s">
        <v>266</v>
      </c>
      <c r="I52" s="14" t="s">
        <v>158</v>
      </c>
      <c r="J52" s="14" t="s">
        <v>220</v>
      </c>
      <c r="K52" s="14" t="s">
        <v>29</v>
      </c>
      <c r="L52" s="65" t="s">
        <v>191</v>
      </c>
      <c r="M52" s="13" t="s">
        <v>59</v>
      </c>
      <c r="N52" s="13" t="s">
        <v>43</v>
      </c>
      <c r="O52" s="13" t="s">
        <v>538</v>
      </c>
      <c r="P52" s="13" t="s">
        <v>534</v>
      </c>
      <c r="Q52" s="64" t="s">
        <v>9</v>
      </c>
      <c r="R52" s="62">
        <v>27864.079022528109</v>
      </c>
      <c r="S52" s="63">
        <v>20000</v>
      </c>
      <c r="T52" s="62">
        <v>27864.079022528109</v>
      </c>
      <c r="U52" s="62">
        <v>174150.49389080066</v>
      </c>
      <c r="V52" s="76">
        <v>837881.60552823334</v>
      </c>
      <c r="W52" s="61" t="s">
        <v>551</v>
      </c>
      <c r="X52" s="181">
        <v>2.2499999999999999E-2</v>
      </c>
      <c r="Y52" s="60">
        <v>43819</v>
      </c>
      <c r="Z52" s="60">
        <v>44791</v>
      </c>
      <c r="AA52" s="60">
        <v>44791</v>
      </c>
      <c r="AB52" s="58">
        <v>973</v>
      </c>
      <c r="AC52" s="59" t="s">
        <v>10</v>
      </c>
      <c r="AD52" s="58">
        <v>230</v>
      </c>
      <c r="AE52" s="57">
        <v>0.63013698630136983</v>
      </c>
      <c r="AF52" s="56" t="s">
        <v>436</v>
      </c>
      <c r="AG52" s="71" t="s">
        <v>1</v>
      </c>
      <c r="AH52" s="71" t="s">
        <v>1</v>
      </c>
      <c r="AI52" s="70" t="s">
        <v>0</v>
      </c>
      <c r="AJ52" s="11" t="s">
        <v>0</v>
      </c>
      <c r="AK52" s="11" t="s">
        <v>271</v>
      </c>
      <c r="AL52" s="14" t="s">
        <v>384</v>
      </c>
      <c r="AM52" s="11">
        <v>7012.5</v>
      </c>
      <c r="AO52" s="197" t="s">
        <v>162</v>
      </c>
      <c r="AP52" s="198" t="s">
        <v>547</v>
      </c>
      <c r="AS52" s="212">
        <v>0</v>
      </c>
      <c r="AT52" s="212">
        <v>3343.689482703373</v>
      </c>
      <c r="AU52" s="212">
        <v>668.73789654067468</v>
      </c>
      <c r="AV52" s="212"/>
      <c r="AW52" s="212">
        <v>0</v>
      </c>
      <c r="AX52" s="212">
        <v>0</v>
      </c>
      <c r="BA52" s="212">
        <v>0</v>
      </c>
      <c r="BB52" s="226">
        <v>0</v>
      </c>
      <c r="BC52" s="226"/>
    </row>
    <row r="53" spans="1:55" ht="39.950000000000003" hidden="1" customHeight="1" x14ac:dyDescent="0.2">
      <c r="A53" s="14" t="s">
        <v>276</v>
      </c>
      <c r="B53" s="65" t="s">
        <v>51</v>
      </c>
      <c r="C53" s="66" t="s">
        <v>38</v>
      </c>
      <c r="D53" s="13" t="s">
        <v>540</v>
      </c>
      <c r="E53" s="77" t="s">
        <v>274</v>
      </c>
      <c r="F53" s="14" t="s">
        <v>48</v>
      </c>
      <c r="G53" s="66" t="s">
        <v>95</v>
      </c>
      <c r="H53" s="14" t="s">
        <v>275</v>
      </c>
      <c r="I53" s="14" t="s">
        <v>50</v>
      </c>
      <c r="J53" s="14" t="s">
        <v>21</v>
      </c>
      <c r="K53" s="14" t="s">
        <v>45</v>
      </c>
      <c r="L53" s="65" t="s">
        <v>191</v>
      </c>
      <c r="M53" s="13" t="s">
        <v>323</v>
      </c>
      <c r="N53" s="13" t="s">
        <v>43</v>
      </c>
      <c r="O53" s="13" t="s">
        <v>538</v>
      </c>
      <c r="P53" s="13" t="s">
        <v>548</v>
      </c>
      <c r="Q53" s="64" t="s">
        <v>9</v>
      </c>
      <c r="R53" s="62">
        <v>27864.079022528109</v>
      </c>
      <c r="S53" s="63">
        <v>20000</v>
      </c>
      <c r="T53" s="62">
        <v>27864.079022528109</v>
      </c>
      <c r="U53" s="62">
        <v>175000</v>
      </c>
      <c r="V53" s="76">
        <v>697801.52416512254</v>
      </c>
      <c r="W53" s="61" t="s">
        <v>11</v>
      </c>
      <c r="X53" s="181">
        <v>1.77E-2</v>
      </c>
      <c r="Y53" s="60">
        <v>43850</v>
      </c>
      <c r="Z53" s="60">
        <v>45562</v>
      </c>
      <c r="AA53" s="60">
        <v>45562</v>
      </c>
      <c r="AB53" s="58">
        <v>1713</v>
      </c>
      <c r="AC53" s="59" t="s">
        <v>10</v>
      </c>
      <c r="AD53" s="58">
        <v>1001</v>
      </c>
      <c r="AE53" s="57">
        <v>2.7424657534246575</v>
      </c>
      <c r="AF53" s="56" t="s">
        <v>436</v>
      </c>
      <c r="AG53" s="71" t="s">
        <v>1</v>
      </c>
      <c r="AH53" s="71" t="s">
        <v>1</v>
      </c>
      <c r="AI53" s="70" t="s">
        <v>0</v>
      </c>
      <c r="AJ53" s="11" t="s">
        <v>0</v>
      </c>
      <c r="AK53" s="11" t="s">
        <v>271</v>
      </c>
      <c r="AL53" s="14" t="s">
        <v>385</v>
      </c>
      <c r="AM53" s="11">
        <v>6697.5</v>
      </c>
      <c r="AN53" s="11">
        <v>7000</v>
      </c>
      <c r="AO53" s="197" t="s">
        <v>274</v>
      </c>
      <c r="AP53" s="198" t="s">
        <v>48</v>
      </c>
      <c r="AS53" s="212">
        <v>0</v>
      </c>
      <c r="AT53" s="212">
        <v>3343.689482703373</v>
      </c>
      <c r="AU53" s="212">
        <v>668.73789654067468</v>
      </c>
      <c r="AV53" s="212"/>
      <c r="AW53" s="212">
        <v>0</v>
      </c>
      <c r="AX53" s="212">
        <v>0</v>
      </c>
      <c r="BA53" s="212">
        <v>0</v>
      </c>
      <c r="BB53" s="226">
        <v>0</v>
      </c>
      <c r="BC53" s="226"/>
    </row>
    <row r="54" spans="1:55" ht="39.950000000000003" hidden="1" customHeight="1" x14ac:dyDescent="0.2">
      <c r="A54" s="14" t="s">
        <v>284</v>
      </c>
      <c r="B54" s="65" t="s">
        <v>24</v>
      </c>
      <c r="C54" s="66" t="s">
        <v>127</v>
      </c>
      <c r="D54" s="13" t="s">
        <v>542</v>
      </c>
      <c r="E54" s="77" t="s">
        <v>88</v>
      </c>
      <c r="F54" s="14" t="s">
        <v>104</v>
      </c>
      <c r="G54" s="66" t="s">
        <v>105</v>
      </c>
      <c r="H54" s="14" t="s">
        <v>285</v>
      </c>
      <c r="I54" s="14" t="s">
        <v>286</v>
      </c>
      <c r="J54" s="14" t="s">
        <v>220</v>
      </c>
      <c r="K54" s="14" t="s">
        <v>209</v>
      </c>
      <c r="L54" s="65" t="s">
        <v>191</v>
      </c>
      <c r="M54" s="13" t="s">
        <v>59</v>
      </c>
      <c r="N54" s="13" t="s">
        <v>43</v>
      </c>
      <c r="O54" s="13" t="s">
        <v>538</v>
      </c>
      <c r="P54" s="13" t="s">
        <v>548</v>
      </c>
      <c r="Q54" s="64" t="s">
        <v>59</v>
      </c>
      <c r="R54" s="62">
        <v>23644.388398486761</v>
      </c>
      <c r="S54" s="76">
        <v>13783.782999999999</v>
      </c>
      <c r="T54" s="62">
        <v>21727.274590163935</v>
      </c>
      <c r="U54" s="62">
        <v>189155.10718789409</v>
      </c>
      <c r="V54" s="62">
        <v>896039.42307692312</v>
      </c>
      <c r="W54" s="61" t="s">
        <v>11</v>
      </c>
      <c r="X54" s="181">
        <v>0.01</v>
      </c>
      <c r="Y54" s="60">
        <v>43861</v>
      </c>
      <c r="Z54" s="60">
        <v>45868</v>
      </c>
      <c r="AA54" s="60">
        <v>45868</v>
      </c>
      <c r="AB54" s="58">
        <v>2008</v>
      </c>
      <c r="AC54" s="75" t="s">
        <v>10</v>
      </c>
      <c r="AD54" s="58">
        <v>1307</v>
      </c>
      <c r="AE54" s="57">
        <v>3.580821917808219</v>
      </c>
      <c r="AF54" s="56"/>
      <c r="AG54" s="71" t="s">
        <v>1</v>
      </c>
      <c r="AH54" s="71" t="s">
        <v>1</v>
      </c>
      <c r="AI54" s="153" t="s">
        <v>735</v>
      </c>
      <c r="AJ54" s="11" t="s">
        <v>0</v>
      </c>
      <c r="AK54" s="11" t="s">
        <v>271</v>
      </c>
      <c r="AL54" s="14" t="s">
        <v>389</v>
      </c>
      <c r="AM54" s="11">
        <v>10000</v>
      </c>
      <c r="AN54" s="11">
        <v>30000</v>
      </c>
      <c r="AO54" s="197" t="s">
        <v>88</v>
      </c>
      <c r="AP54" s="198" t="s">
        <v>104</v>
      </c>
      <c r="AS54" s="212">
        <v>0</v>
      </c>
      <c r="AT54" s="212">
        <v>2607.2729508196721</v>
      </c>
      <c r="AU54" s="212" t="b">
        <v>0</v>
      </c>
      <c r="AV54" s="212"/>
      <c r="AW54" s="212">
        <v>0</v>
      </c>
      <c r="AX54" s="212">
        <v>0</v>
      </c>
      <c r="BA54" s="212">
        <v>0</v>
      </c>
      <c r="BB54" s="226">
        <v>0</v>
      </c>
      <c r="BC54" s="226"/>
    </row>
    <row r="55" spans="1:55" ht="39.950000000000003" hidden="1" customHeight="1" x14ac:dyDescent="0.2">
      <c r="A55" s="14" t="s">
        <v>278</v>
      </c>
      <c r="B55" s="65" t="s">
        <v>24</v>
      </c>
      <c r="C55" s="66" t="s">
        <v>38</v>
      </c>
      <c r="D55" s="13" t="s">
        <v>540</v>
      </c>
      <c r="E55" s="77" t="s">
        <v>35</v>
      </c>
      <c r="F55" s="14" t="s">
        <v>546</v>
      </c>
      <c r="G55" s="66" t="s">
        <v>259</v>
      </c>
      <c r="H55" s="14" t="s">
        <v>258</v>
      </c>
      <c r="I55" s="133" t="s">
        <v>638</v>
      </c>
      <c r="J55" s="14" t="s">
        <v>687</v>
      </c>
      <c r="K55" s="14" t="s">
        <v>209</v>
      </c>
      <c r="L55" s="65" t="s">
        <v>191</v>
      </c>
      <c r="M55" s="13" t="s">
        <v>323</v>
      </c>
      <c r="N55" s="13" t="s">
        <v>43</v>
      </c>
      <c r="O55" s="13" t="s">
        <v>531</v>
      </c>
      <c r="P55" s="13" t="s">
        <v>534</v>
      </c>
      <c r="Q55" s="64" t="s">
        <v>9</v>
      </c>
      <c r="R55" s="62">
        <v>13932.039511264054</v>
      </c>
      <c r="S55" s="73">
        <v>10000</v>
      </c>
      <c r="T55" s="62">
        <v>13932.039511264054</v>
      </c>
      <c r="U55" s="62">
        <v>41796.118533792163</v>
      </c>
      <c r="V55" s="62">
        <v>1475115.0368502445</v>
      </c>
      <c r="W55" s="61" t="s">
        <v>11</v>
      </c>
      <c r="X55" s="181">
        <v>0.04</v>
      </c>
      <c r="Y55" s="60">
        <v>43868</v>
      </c>
      <c r="Z55" s="60">
        <v>45553</v>
      </c>
      <c r="AA55" s="60">
        <v>45553</v>
      </c>
      <c r="AB55" s="58">
        <v>1686</v>
      </c>
      <c r="AC55" s="59" t="s">
        <v>10</v>
      </c>
      <c r="AD55" s="58">
        <v>992</v>
      </c>
      <c r="AE55" s="57">
        <v>2.7178082191780821</v>
      </c>
      <c r="AF55" s="56"/>
      <c r="AG55" s="71" t="s">
        <v>1</v>
      </c>
      <c r="AH55" s="71" t="s">
        <v>1</v>
      </c>
      <c r="AI55" s="70" t="s">
        <v>279</v>
      </c>
      <c r="AJ55" s="11" t="s">
        <v>0</v>
      </c>
      <c r="AK55" s="11" t="s">
        <v>271</v>
      </c>
      <c r="AL55" s="14" t="s">
        <v>386</v>
      </c>
      <c r="AM55" s="11">
        <v>10000</v>
      </c>
      <c r="AN55" s="11">
        <v>66600</v>
      </c>
      <c r="AO55" s="197" t="s">
        <v>35</v>
      </c>
      <c r="AP55" s="198" t="s">
        <v>546</v>
      </c>
      <c r="AS55" s="212">
        <v>0</v>
      </c>
      <c r="AT55" s="212">
        <v>1671.8447413516865</v>
      </c>
      <c r="AU55" s="212" t="b">
        <v>0</v>
      </c>
      <c r="AV55" s="212"/>
      <c r="AW55" s="212">
        <v>0</v>
      </c>
      <c r="AX55" s="212">
        <v>0</v>
      </c>
      <c r="BA55" s="212">
        <v>0</v>
      </c>
      <c r="BB55" s="226">
        <v>0</v>
      </c>
      <c r="BC55" s="226"/>
    </row>
    <row r="56" spans="1:55" ht="39.950000000000003" hidden="1" customHeight="1" x14ac:dyDescent="0.2">
      <c r="A56" s="14" t="s">
        <v>280</v>
      </c>
      <c r="B56" s="65" t="s">
        <v>23</v>
      </c>
      <c r="C56" s="66" t="s">
        <v>89</v>
      </c>
      <c r="D56" s="13" t="s">
        <v>542</v>
      </c>
      <c r="E56" s="77" t="s">
        <v>89</v>
      </c>
      <c r="F56" s="14" t="s">
        <v>546</v>
      </c>
      <c r="G56" s="66" t="s">
        <v>249</v>
      </c>
      <c r="H56" s="14" t="s">
        <v>249</v>
      </c>
      <c r="I56" s="14" t="s">
        <v>281</v>
      </c>
      <c r="J56" s="14" t="s">
        <v>256</v>
      </c>
      <c r="K56" s="14" t="s">
        <v>29</v>
      </c>
      <c r="L56" s="65" t="s">
        <v>191</v>
      </c>
      <c r="M56" s="13" t="s">
        <v>59</v>
      </c>
      <c r="N56" s="65" t="s">
        <v>43</v>
      </c>
      <c r="O56" s="65" t="s">
        <v>538</v>
      </c>
      <c r="P56" s="65" t="s">
        <v>534</v>
      </c>
      <c r="Q56" s="64" t="s">
        <v>9</v>
      </c>
      <c r="R56" s="62">
        <v>10449.029633448041</v>
      </c>
      <c r="S56" s="63">
        <v>7500</v>
      </c>
      <c r="T56" s="62">
        <v>10449.029633448041</v>
      </c>
      <c r="U56" s="62">
        <v>159382.53200886078</v>
      </c>
      <c r="V56" s="62">
        <v>464696.23974253592</v>
      </c>
      <c r="W56" s="61" t="s">
        <v>11</v>
      </c>
      <c r="X56" s="181">
        <v>2.2499999999999999E-2</v>
      </c>
      <c r="Y56" s="60">
        <v>43872</v>
      </c>
      <c r="Z56" s="60">
        <v>45558</v>
      </c>
      <c r="AA56" s="60">
        <v>45558</v>
      </c>
      <c r="AB56" s="58">
        <v>1687</v>
      </c>
      <c r="AC56" s="59" t="s">
        <v>10</v>
      </c>
      <c r="AD56" s="58">
        <v>997</v>
      </c>
      <c r="AE56" s="57">
        <v>2.7315068493150685</v>
      </c>
      <c r="AF56" s="56"/>
      <c r="AG56" s="71" t="s">
        <v>1</v>
      </c>
      <c r="AH56" s="71" t="s">
        <v>1</v>
      </c>
      <c r="AI56" s="70" t="s">
        <v>0</v>
      </c>
      <c r="AJ56" s="11" t="s">
        <v>0</v>
      </c>
      <c r="AK56" s="11" t="s">
        <v>271</v>
      </c>
      <c r="AL56" s="14" t="s">
        <v>387</v>
      </c>
      <c r="AM56" s="11">
        <v>7255</v>
      </c>
      <c r="AN56" s="11">
        <v>25000</v>
      </c>
      <c r="AO56" s="197" t="s">
        <v>89</v>
      </c>
      <c r="AP56" s="198" t="s">
        <v>546</v>
      </c>
      <c r="AS56" s="212">
        <v>0</v>
      </c>
      <c r="AT56" s="212">
        <v>1253.8835560137647</v>
      </c>
      <c r="AU56" s="212" t="b">
        <v>0</v>
      </c>
      <c r="AV56" s="212"/>
      <c r="AW56" s="212">
        <v>0</v>
      </c>
      <c r="AX56" s="212">
        <v>0</v>
      </c>
      <c r="BA56" s="212">
        <v>0</v>
      </c>
      <c r="BB56" s="226">
        <v>0</v>
      </c>
      <c r="BC56" s="226"/>
    </row>
    <row r="57" spans="1:55" ht="39.950000000000003" hidden="1" customHeight="1" x14ac:dyDescent="0.2">
      <c r="A57" s="14" t="s">
        <v>282</v>
      </c>
      <c r="B57" s="65" t="s">
        <v>23</v>
      </c>
      <c r="C57" s="66" t="s">
        <v>88</v>
      </c>
      <c r="D57" s="13" t="s">
        <v>540</v>
      </c>
      <c r="E57" s="77" t="s">
        <v>49</v>
      </c>
      <c r="F57" s="14" t="s">
        <v>104</v>
      </c>
      <c r="G57" s="66" t="s">
        <v>111</v>
      </c>
      <c r="H57" s="14" t="s">
        <v>135</v>
      </c>
      <c r="I57" s="14" t="s">
        <v>283</v>
      </c>
      <c r="J57" s="14" t="s">
        <v>148</v>
      </c>
      <c r="K57" s="14" t="s">
        <v>140</v>
      </c>
      <c r="L57" s="65" t="s">
        <v>191</v>
      </c>
      <c r="M57" s="13" t="s">
        <v>59</v>
      </c>
      <c r="N57" s="13" t="s">
        <v>43</v>
      </c>
      <c r="O57" s="13" t="s">
        <v>531</v>
      </c>
      <c r="P57" s="13" t="s">
        <v>534</v>
      </c>
      <c r="Q57" s="64" t="s">
        <v>9</v>
      </c>
      <c r="R57" s="62">
        <v>10449.029633448041</v>
      </c>
      <c r="S57" s="63">
        <v>7500</v>
      </c>
      <c r="T57" s="62">
        <v>10449.029633448041</v>
      </c>
      <c r="U57" s="62">
        <v>20898.059266896082</v>
      </c>
      <c r="V57" s="62">
        <v>1414175.8502027111</v>
      </c>
      <c r="W57" s="61" t="s">
        <v>11</v>
      </c>
      <c r="X57" s="181">
        <v>3.0700000000000002E-2</v>
      </c>
      <c r="Y57" s="60">
        <v>43878</v>
      </c>
      <c r="Z57" s="60">
        <v>47382</v>
      </c>
      <c r="AA57" s="60">
        <v>47382</v>
      </c>
      <c r="AB57" s="58">
        <v>3505</v>
      </c>
      <c r="AC57" s="59" t="s">
        <v>10</v>
      </c>
      <c r="AD57" s="58">
        <v>2821</v>
      </c>
      <c r="AE57" s="57">
        <v>7.7287671232876711</v>
      </c>
      <c r="AF57" s="56"/>
      <c r="AG57" s="71" t="s">
        <v>1</v>
      </c>
      <c r="AH57" s="71" t="s">
        <v>1</v>
      </c>
      <c r="AI57" s="70" t="s">
        <v>0</v>
      </c>
      <c r="AJ57" s="11" t="s">
        <v>0</v>
      </c>
      <c r="AK57" s="11" t="s">
        <v>271</v>
      </c>
      <c r="AL57" s="14" t="s">
        <v>388</v>
      </c>
      <c r="AM57" s="11">
        <v>7700</v>
      </c>
      <c r="AN57" s="11">
        <v>50000</v>
      </c>
      <c r="AO57" s="197" t="s">
        <v>49</v>
      </c>
      <c r="AP57" s="198" t="s">
        <v>104</v>
      </c>
      <c r="AS57" s="212">
        <v>0</v>
      </c>
      <c r="AT57" s="212">
        <v>1253.8835560137647</v>
      </c>
      <c r="AU57" s="212" t="b">
        <v>0</v>
      </c>
      <c r="AV57" s="212"/>
      <c r="AW57" s="212">
        <v>0</v>
      </c>
      <c r="AX57" s="212">
        <v>0</v>
      </c>
      <c r="BA57" s="212">
        <v>0</v>
      </c>
      <c r="BB57" s="226">
        <v>0</v>
      </c>
      <c r="BC57" s="226"/>
    </row>
    <row r="58" spans="1:55" ht="39.950000000000003" hidden="1" customHeight="1" x14ac:dyDescent="0.2">
      <c r="A58" s="13" t="s">
        <v>317</v>
      </c>
      <c r="B58" s="65" t="s">
        <v>23</v>
      </c>
      <c r="C58" s="66" t="s">
        <v>34</v>
      </c>
      <c r="D58" s="13" t="s">
        <v>34</v>
      </c>
      <c r="E58" s="77" t="s">
        <v>34</v>
      </c>
      <c r="F58" s="14" t="s">
        <v>48</v>
      </c>
      <c r="G58" s="66" t="s">
        <v>95</v>
      </c>
      <c r="H58" s="14" t="s">
        <v>130</v>
      </c>
      <c r="I58" s="14" t="s">
        <v>321</v>
      </c>
      <c r="J58" s="14" t="s">
        <v>26</v>
      </c>
      <c r="K58" s="14" t="s">
        <v>29</v>
      </c>
      <c r="L58" s="65" t="s">
        <v>191</v>
      </c>
      <c r="M58" s="13" t="s">
        <v>323</v>
      </c>
      <c r="N58" s="13" t="s">
        <v>43</v>
      </c>
      <c r="O58" s="13" t="s">
        <v>537</v>
      </c>
      <c r="P58" s="13" t="s">
        <v>534</v>
      </c>
      <c r="Q58" s="64" t="s">
        <v>8</v>
      </c>
      <c r="R58" s="62">
        <v>7000</v>
      </c>
      <c r="S58" s="62">
        <v>7000</v>
      </c>
      <c r="T58" s="62">
        <v>7000</v>
      </c>
      <c r="U58" s="62">
        <v>50000</v>
      </c>
      <c r="V58" s="62">
        <v>454461.66</v>
      </c>
      <c r="W58" s="61" t="s">
        <v>11</v>
      </c>
      <c r="X58" s="181">
        <v>2.1499999999999998E-2</v>
      </c>
      <c r="Y58" s="60">
        <v>43886</v>
      </c>
      <c r="Z58" s="60">
        <v>45152</v>
      </c>
      <c r="AA58" s="60">
        <v>45152</v>
      </c>
      <c r="AB58" s="58">
        <v>1267</v>
      </c>
      <c r="AC58" s="59" t="s">
        <v>10</v>
      </c>
      <c r="AD58" s="58">
        <v>591</v>
      </c>
      <c r="AE58" s="57">
        <v>1.6191780821917807</v>
      </c>
      <c r="AF58" s="56"/>
      <c r="AG58" s="71" t="s">
        <v>1</v>
      </c>
      <c r="AH58" s="71" t="s">
        <v>1</v>
      </c>
      <c r="AI58" s="70" t="s">
        <v>0</v>
      </c>
      <c r="AJ58" s="11" t="s">
        <v>0</v>
      </c>
      <c r="AK58" s="11" t="s">
        <v>271</v>
      </c>
      <c r="AL58" s="78" t="s">
        <v>399</v>
      </c>
      <c r="AO58" s="197" t="s">
        <v>34</v>
      </c>
      <c r="AP58" s="198" t="s">
        <v>48</v>
      </c>
      <c r="AS58" s="212">
        <v>0</v>
      </c>
      <c r="AT58" s="212">
        <v>840</v>
      </c>
      <c r="AU58" s="212" t="b">
        <v>0</v>
      </c>
      <c r="AV58" s="212"/>
      <c r="AW58" s="212">
        <v>0</v>
      </c>
      <c r="AX58" s="212">
        <v>0</v>
      </c>
      <c r="BA58" s="212">
        <v>0</v>
      </c>
      <c r="BB58" s="226">
        <v>0</v>
      </c>
      <c r="BC58" s="226"/>
    </row>
    <row r="59" spans="1:55" ht="39.950000000000003" hidden="1" customHeight="1" x14ac:dyDescent="0.2">
      <c r="A59" s="14" t="s">
        <v>312</v>
      </c>
      <c r="B59" s="65" t="s">
        <v>67</v>
      </c>
      <c r="C59" s="66" t="s">
        <v>149</v>
      </c>
      <c r="D59" s="13" t="s">
        <v>540</v>
      </c>
      <c r="E59" s="77" t="s">
        <v>229</v>
      </c>
      <c r="F59" s="14" t="s">
        <v>104</v>
      </c>
      <c r="G59" s="66" t="s">
        <v>292</v>
      </c>
      <c r="H59" s="14" t="s">
        <v>292</v>
      </c>
      <c r="I59" s="14" t="s">
        <v>148</v>
      </c>
      <c r="J59" s="14" t="s">
        <v>148</v>
      </c>
      <c r="K59" s="14" t="s">
        <v>29</v>
      </c>
      <c r="L59" s="65" t="s">
        <v>191</v>
      </c>
      <c r="M59" s="65" t="s">
        <v>59</v>
      </c>
      <c r="N59" s="13" t="s">
        <v>43</v>
      </c>
      <c r="O59" s="13" t="s">
        <v>538</v>
      </c>
      <c r="P59" s="13" t="s">
        <v>534</v>
      </c>
      <c r="Q59" s="64" t="s">
        <v>9</v>
      </c>
      <c r="R59" s="62">
        <v>4353.762347270017</v>
      </c>
      <c r="S59" s="63">
        <v>2750</v>
      </c>
      <c r="T59" s="62">
        <v>3831.3108655976148</v>
      </c>
      <c r="U59" s="62">
        <v>8707.524694540034</v>
      </c>
      <c r="V59" s="62">
        <v>232280.08972233444</v>
      </c>
      <c r="W59" s="61" t="s">
        <v>11</v>
      </c>
      <c r="X59" s="181">
        <v>3.5000000000000003E-2</v>
      </c>
      <c r="Y59" s="60">
        <v>43908</v>
      </c>
      <c r="Z59" s="60">
        <v>45412</v>
      </c>
      <c r="AA59" s="60">
        <v>45412</v>
      </c>
      <c r="AB59" s="58">
        <v>1505</v>
      </c>
      <c r="AC59" s="59" t="s">
        <v>10</v>
      </c>
      <c r="AD59" s="58">
        <v>851</v>
      </c>
      <c r="AE59" s="57">
        <v>2.3315068493150686</v>
      </c>
      <c r="AF59" s="56"/>
      <c r="AG59" s="71" t="s">
        <v>1</v>
      </c>
      <c r="AH59" s="71" t="s">
        <v>1</v>
      </c>
      <c r="AI59" s="70" t="s">
        <v>734</v>
      </c>
      <c r="AJ59" s="11" t="s">
        <v>0</v>
      </c>
      <c r="AK59" s="11" t="s">
        <v>271</v>
      </c>
      <c r="AL59" s="14" t="s">
        <v>351</v>
      </c>
      <c r="AM59" s="11">
        <v>7500</v>
      </c>
      <c r="AN59" s="11">
        <v>12750</v>
      </c>
      <c r="AO59" s="197" t="s">
        <v>229</v>
      </c>
      <c r="AP59" s="198" t="s">
        <v>104</v>
      </c>
      <c r="AS59" s="212">
        <v>0</v>
      </c>
      <c r="AT59" s="212">
        <v>459.75730387171376</v>
      </c>
      <c r="AU59" s="212" t="b">
        <v>0</v>
      </c>
      <c r="AV59" s="212"/>
      <c r="AW59" s="212">
        <v>0</v>
      </c>
      <c r="AX59" s="212">
        <v>0</v>
      </c>
      <c r="BA59" s="212">
        <v>0</v>
      </c>
      <c r="BB59" s="226">
        <v>0</v>
      </c>
      <c r="BC59" s="226"/>
    </row>
    <row r="60" spans="1:55" ht="39.950000000000003" hidden="1" customHeight="1" x14ac:dyDescent="0.2">
      <c r="A60" s="14" t="s">
        <v>294</v>
      </c>
      <c r="B60" s="65" t="s">
        <v>24</v>
      </c>
      <c r="C60" s="66" t="s">
        <v>295</v>
      </c>
      <c r="D60" s="13" t="s">
        <v>34</v>
      </c>
      <c r="E60" s="77" t="s">
        <v>295</v>
      </c>
      <c r="F60" s="14" t="s">
        <v>106</v>
      </c>
      <c r="G60" s="66" t="s">
        <v>106</v>
      </c>
      <c r="H60" s="66" t="s">
        <v>107</v>
      </c>
      <c r="I60" s="66" t="s">
        <v>296</v>
      </c>
      <c r="J60" s="66" t="s">
        <v>687</v>
      </c>
      <c r="K60" s="14" t="s">
        <v>101</v>
      </c>
      <c r="L60" s="65" t="s">
        <v>191</v>
      </c>
      <c r="M60" s="65" t="s">
        <v>323</v>
      </c>
      <c r="N60" s="13" t="s">
        <v>43</v>
      </c>
      <c r="O60" s="13" t="s">
        <v>531</v>
      </c>
      <c r="P60" s="13" t="s">
        <v>534</v>
      </c>
      <c r="Q60" s="64" t="s">
        <v>297</v>
      </c>
      <c r="R60" s="62">
        <v>32383.419689119168</v>
      </c>
      <c r="S60" s="63">
        <v>34375</v>
      </c>
      <c r="T60" s="62">
        <v>32383.419689119168</v>
      </c>
      <c r="U60" s="62">
        <v>58878.944889307575</v>
      </c>
      <c r="V60" s="62">
        <v>749541.23410268477</v>
      </c>
      <c r="W60" s="61" t="s">
        <v>11</v>
      </c>
      <c r="X60" s="181">
        <v>2.5000000000000001E-2</v>
      </c>
      <c r="Y60" s="60">
        <v>43910</v>
      </c>
      <c r="Z60" s="60">
        <v>44830</v>
      </c>
      <c r="AA60" s="60">
        <v>44830</v>
      </c>
      <c r="AB60" s="58">
        <v>921</v>
      </c>
      <c r="AC60" s="59" t="s">
        <v>10</v>
      </c>
      <c r="AD60" s="58">
        <v>269</v>
      </c>
      <c r="AE60" s="57">
        <v>0.73698630136986298</v>
      </c>
      <c r="AF60" s="56" t="s">
        <v>436</v>
      </c>
      <c r="AG60" s="71" t="s">
        <v>1</v>
      </c>
      <c r="AH60" s="71" t="s">
        <v>1</v>
      </c>
      <c r="AI60" s="70" t="s">
        <v>0</v>
      </c>
      <c r="AJ60" s="11" t="s">
        <v>0</v>
      </c>
      <c r="AK60" s="11" t="s">
        <v>271</v>
      </c>
      <c r="AL60" s="14" t="s">
        <v>391</v>
      </c>
      <c r="AM60" s="11">
        <v>13000</v>
      </c>
      <c r="AN60" s="11">
        <v>60000</v>
      </c>
      <c r="AO60" s="197" t="s">
        <v>295</v>
      </c>
      <c r="AP60" s="198" t="s">
        <v>106</v>
      </c>
      <c r="AS60" s="212">
        <v>0</v>
      </c>
      <c r="AT60" s="212">
        <v>3886.0103626943001</v>
      </c>
      <c r="AU60" s="212">
        <v>777.20207253886008</v>
      </c>
      <c r="AV60" s="212"/>
      <c r="AW60" s="212">
        <v>0</v>
      </c>
      <c r="AX60" s="212">
        <v>0</v>
      </c>
      <c r="BA60" s="212">
        <v>0</v>
      </c>
      <c r="BB60" s="226">
        <v>0</v>
      </c>
      <c r="BC60" s="226"/>
    </row>
    <row r="61" spans="1:55" ht="39.950000000000003" hidden="1" customHeight="1" x14ac:dyDescent="0.2">
      <c r="A61" s="14" t="s">
        <v>313</v>
      </c>
      <c r="B61" s="65" t="s">
        <v>67</v>
      </c>
      <c r="C61" s="66" t="s">
        <v>87</v>
      </c>
      <c r="D61" s="13" t="s">
        <v>499</v>
      </c>
      <c r="E61" s="77" t="s">
        <v>162</v>
      </c>
      <c r="F61" s="14" t="s">
        <v>546</v>
      </c>
      <c r="G61" s="131" t="s">
        <v>114</v>
      </c>
      <c r="H61" s="66" t="s">
        <v>167</v>
      </c>
      <c r="I61" s="14" t="s">
        <v>298</v>
      </c>
      <c r="J61" s="66" t="s">
        <v>218</v>
      </c>
      <c r="K61" s="14" t="s">
        <v>209</v>
      </c>
      <c r="L61" s="65" t="s">
        <v>191</v>
      </c>
      <c r="M61" s="65" t="s">
        <v>59</v>
      </c>
      <c r="N61" s="13" t="s">
        <v>43</v>
      </c>
      <c r="O61" s="13" t="s">
        <v>531</v>
      </c>
      <c r="P61" s="13" t="s">
        <v>534</v>
      </c>
      <c r="Q61" s="64" t="s">
        <v>9</v>
      </c>
      <c r="R61" s="62">
        <v>20898.059266896082</v>
      </c>
      <c r="S61" s="76">
        <v>15000</v>
      </c>
      <c r="T61" s="62">
        <v>20898.059266896082</v>
      </c>
      <c r="U61" s="62">
        <v>41796.118533792163</v>
      </c>
      <c r="V61" s="62">
        <v>3901551.5973083298</v>
      </c>
      <c r="W61" s="61" t="s">
        <v>11</v>
      </c>
      <c r="X61" s="181">
        <v>5.3800000000000001E-2</v>
      </c>
      <c r="Y61" s="60">
        <v>43915</v>
      </c>
      <c r="Z61" s="60">
        <v>46372</v>
      </c>
      <c r="AA61" s="60">
        <v>46372</v>
      </c>
      <c r="AB61" s="58">
        <v>2458</v>
      </c>
      <c r="AC61" s="75" t="s">
        <v>10</v>
      </c>
      <c r="AD61" s="58">
        <v>1811</v>
      </c>
      <c r="AE61" s="57">
        <v>4.9616438356164387</v>
      </c>
      <c r="AF61" s="56"/>
      <c r="AG61" s="71" t="s">
        <v>182</v>
      </c>
      <c r="AH61" s="71" t="s">
        <v>182</v>
      </c>
      <c r="AI61" s="70" t="s">
        <v>0</v>
      </c>
      <c r="AJ61" s="11" t="s">
        <v>0</v>
      </c>
      <c r="AK61" s="11" t="s">
        <v>271</v>
      </c>
      <c r="AL61" s="14" t="s">
        <v>392</v>
      </c>
      <c r="AM61" s="11">
        <v>12000</v>
      </c>
      <c r="AN61" s="11">
        <v>250000</v>
      </c>
      <c r="AO61" s="197" t="s">
        <v>162</v>
      </c>
      <c r="AP61" s="198" t="s">
        <v>546</v>
      </c>
      <c r="AS61" s="212">
        <v>0</v>
      </c>
      <c r="AT61" s="212">
        <v>2507.7671120275295</v>
      </c>
      <c r="AU61" s="212" t="b">
        <v>0</v>
      </c>
      <c r="AV61" s="212"/>
      <c r="AW61" s="212">
        <v>0</v>
      </c>
      <c r="AX61" s="212">
        <v>0</v>
      </c>
      <c r="BA61" s="212">
        <v>0</v>
      </c>
      <c r="BB61" s="226">
        <v>0</v>
      </c>
      <c r="BC61" s="226"/>
    </row>
    <row r="62" spans="1:55" ht="39.950000000000003" hidden="1" customHeight="1" x14ac:dyDescent="0.2">
      <c r="A62" s="13" t="s">
        <v>301</v>
      </c>
      <c r="B62" s="65" t="s">
        <v>24</v>
      </c>
      <c r="C62" s="66" t="s">
        <v>37</v>
      </c>
      <c r="D62" s="13" t="s">
        <v>542</v>
      </c>
      <c r="E62" s="130" t="s">
        <v>87</v>
      </c>
      <c r="F62" s="14" t="s">
        <v>102</v>
      </c>
      <c r="G62" s="66" t="s">
        <v>102</v>
      </c>
      <c r="H62" s="66" t="s">
        <v>110</v>
      </c>
      <c r="I62" s="14" t="s">
        <v>55</v>
      </c>
      <c r="J62" s="66" t="s">
        <v>218</v>
      </c>
      <c r="K62" s="14" t="s">
        <v>101</v>
      </c>
      <c r="L62" s="65" t="s">
        <v>191</v>
      </c>
      <c r="M62" s="13" t="s">
        <v>323</v>
      </c>
      <c r="N62" s="13" t="s">
        <v>43</v>
      </c>
      <c r="O62" s="13" t="s">
        <v>538</v>
      </c>
      <c r="P62" s="13" t="s">
        <v>534</v>
      </c>
      <c r="Q62" s="15" t="s">
        <v>59</v>
      </c>
      <c r="R62" s="62">
        <v>28493.06196291263</v>
      </c>
      <c r="S62" s="63">
        <v>18075.998509271772</v>
      </c>
      <c r="T62" s="62">
        <v>28493.06196291263</v>
      </c>
      <c r="U62" s="62">
        <v>37990.810313419766</v>
      </c>
      <c r="V62" s="62">
        <v>989669.65541335894</v>
      </c>
      <c r="W62" s="61" t="s">
        <v>11</v>
      </c>
      <c r="X62" s="181">
        <v>2.6499999999999999E-2</v>
      </c>
      <c r="Y62" s="60">
        <v>43915</v>
      </c>
      <c r="Z62" s="60">
        <v>44970</v>
      </c>
      <c r="AA62" s="60">
        <v>44970</v>
      </c>
      <c r="AB62" s="58">
        <v>1056</v>
      </c>
      <c r="AC62" s="59" t="s">
        <v>10</v>
      </c>
      <c r="AD62" s="58">
        <v>409</v>
      </c>
      <c r="AE62" s="57">
        <v>1.1205479452054794</v>
      </c>
      <c r="AF62" s="56" t="s">
        <v>436</v>
      </c>
      <c r="AG62" s="71" t="s">
        <v>1</v>
      </c>
      <c r="AH62" s="71" t="s">
        <v>1</v>
      </c>
      <c r="AI62" s="70" t="s">
        <v>0</v>
      </c>
      <c r="AJ62" s="11" t="s">
        <v>0</v>
      </c>
      <c r="AK62" s="11" t="s">
        <v>271</v>
      </c>
      <c r="AL62" s="14" t="s">
        <v>394</v>
      </c>
      <c r="AM62" s="11">
        <v>6000</v>
      </c>
      <c r="AN62" s="11">
        <v>55000</v>
      </c>
      <c r="AO62" s="197" t="s">
        <v>87</v>
      </c>
      <c r="AP62" s="198" t="s">
        <v>102</v>
      </c>
      <c r="AS62" s="212">
        <v>0</v>
      </c>
      <c r="AT62" s="212">
        <v>3419.1674355495156</v>
      </c>
      <c r="AU62" s="212">
        <v>683.83348710990322</v>
      </c>
      <c r="AV62" s="212"/>
      <c r="AW62" s="212">
        <v>0</v>
      </c>
      <c r="AX62" s="212">
        <v>0</v>
      </c>
      <c r="BA62" s="212">
        <v>0</v>
      </c>
      <c r="BB62" s="226">
        <v>0</v>
      </c>
      <c r="BC62" s="226"/>
    </row>
    <row r="63" spans="1:55" ht="39.950000000000003" hidden="1" customHeight="1" x14ac:dyDescent="0.2">
      <c r="A63" s="13" t="s">
        <v>305</v>
      </c>
      <c r="B63" s="65" t="s">
        <v>23</v>
      </c>
      <c r="C63" s="66" t="s">
        <v>88</v>
      </c>
      <c r="D63" s="13" t="s">
        <v>542</v>
      </c>
      <c r="E63" s="130" t="s">
        <v>127</v>
      </c>
      <c r="F63" s="14" t="s">
        <v>92</v>
      </c>
      <c r="G63" s="66" t="s">
        <v>134</v>
      </c>
      <c r="H63" s="66" t="s">
        <v>134</v>
      </c>
      <c r="I63" s="66" t="s">
        <v>61</v>
      </c>
      <c r="J63" s="66" t="s">
        <v>220</v>
      </c>
      <c r="K63" s="14" t="s">
        <v>68</v>
      </c>
      <c r="L63" s="65" t="s">
        <v>191</v>
      </c>
      <c r="M63" s="13" t="s">
        <v>59</v>
      </c>
      <c r="N63" s="13" t="s">
        <v>43</v>
      </c>
      <c r="O63" s="13" t="s">
        <v>531</v>
      </c>
      <c r="P63" s="13" t="s">
        <v>534</v>
      </c>
      <c r="Q63" s="64" t="s">
        <v>9</v>
      </c>
      <c r="R63" s="62">
        <v>20898.059266896082</v>
      </c>
      <c r="S63" s="76">
        <v>15000</v>
      </c>
      <c r="T63" s="62">
        <v>20898.059266896082</v>
      </c>
      <c r="U63" s="62">
        <v>146286.41486827255</v>
      </c>
      <c r="V63" s="62">
        <v>361397.10492218955</v>
      </c>
      <c r="W63" s="61" t="s">
        <v>11</v>
      </c>
      <c r="X63" s="181">
        <v>1.3100000000000001E-2</v>
      </c>
      <c r="Y63" s="60">
        <v>43920</v>
      </c>
      <c r="Z63" s="60">
        <v>45125</v>
      </c>
      <c r="AA63" s="60">
        <v>45125</v>
      </c>
      <c r="AB63" s="58">
        <v>1206</v>
      </c>
      <c r="AC63" s="59" t="s">
        <v>10</v>
      </c>
      <c r="AD63" s="58">
        <v>564</v>
      </c>
      <c r="AE63" s="57">
        <v>1.5452054794520549</v>
      </c>
      <c r="AF63" s="56"/>
      <c r="AG63" s="71" t="s">
        <v>1</v>
      </c>
      <c r="AH63" s="71" t="s">
        <v>1</v>
      </c>
      <c r="AI63" s="70" t="s">
        <v>0</v>
      </c>
      <c r="AJ63" s="11" t="s">
        <v>0</v>
      </c>
      <c r="AK63" s="11" t="s">
        <v>271</v>
      </c>
      <c r="AL63" s="14" t="s">
        <v>397</v>
      </c>
      <c r="AM63" s="11">
        <v>6500</v>
      </c>
      <c r="AN63" s="11">
        <v>15000</v>
      </c>
      <c r="AO63" s="197" t="s">
        <v>127</v>
      </c>
      <c r="AP63" s="198" t="s">
        <v>92</v>
      </c>
      <c r="AS63" s="212">
        <v>0</v>
      </c>
      <c r="AT63" s="212">
        <v>2507.7671120275295</v>
      </c>
      <c r="AU63" s="212" t="b">
        <v>0</v>
      </c>
      <c r="AV63" s="212"/>
      <c r="AW63" s="212">
        <v>0</v>
      </c>
      <c r="AX63" s="212">
        <v>0</v>
      </c>
      <c r="BA63" s="212">
        <v>0</v>
      </c>
      <c r="BB63" s="226">
        <v>0</v>
      </c>
      <c r="BC63" s="226"/>
    </row>
    <row r="64" spans="1:55" ht="39.950000000000003" hidden="1" customHeight="1" x14ac:dyDescent="0.2">
      <c r="A64" s="13" t="s">
        <v>306</v>
      </c>
      <c r="B64" s="65" t="s">
        <v>243</v>
      </c>
      <c r="C64" s="66" t="s">
        <v>89</v>
      </c>
      <c r="D64" s="13" t="s">
        <v>542</v>
      </c>
      <c r="E64" s="130" t="s">
        <v>308</v>
      </c>
      <c r="F64" s="14" t="s">
        <v>92</v>
      </c>
      <c r="G64" s="66" t="s">
        <v>134</v>
      </c>
      <c r="H64" s="66" t="s">
        <v>134</v>
      </c>
      <c r="I64" s="66" t="s">
        <v>311</v>
      </c>
      <c r="J64" s="66" t="s">
        <v>256</v>
      </c>
      <c r="K64" s="14" t="s">
        <v>68</v>
      </c>
      <c r="L64" s="65" t="s">
        <v>191</v>
      </c>
      <c r="M64" s="65" t="s">
        <v>59</v>
      </c>
      <c r="N64" s="13" t="s">
        <v>43</v>
      </c>
      <c r="O64" s="13" t="s">
        <v>538</v>
      </c>
      <c r="P64" s="13" t="s">
        <v>534</v>
      </c>
      <c r="Q64" s="64" t="s">
        <v>9</v>
      </c>
      <c r="R64" s="62">
        <v>11145.631609011243</v>
      </c>
      <c r="S64" s="63">
        <v>6933.3329999999996</v>
      </c>
      <c r="T64" s="62">
        <v>9659.5469300750938</v>
      </c>
      <c r="U64" s="62">
        <v>58561.00607436923</v>
      </c>
      <c r="V64" s="62">
        <v>606784.41562060267</v>
      </c>
      <c r="W64" s="61" t="s">
        <v>11</v>
      </c>
      <c r="X64" s="181">
        <v>0.02</v>
      </c>
      <c r="Y64" s="60">
        <v>43921</v>
      </c>
      <c r="Z64" s="60">
        <v>45660</v>
      </c>
      <c r="AA64" s="60">
        <v>45660</v>
      </c>
      <c r="AB64" s="58">
        <v>1740</v>
      </c>
      <c r="AC64" s="59" t="s">
        <v>10</v>
      </c>
      <c r="AD64" s="58">
        <v>1099</v>
      </c>
      <c r="AE64" s="57">
        <v>3.010958904109589</v>
      </c>
      <c r="AF64" s="56"/>
      <c r="AG64" s="71" t="s">
        <v>1</v>
      </c>
      <c r="AH64" s="71" t="s">
        <v>1</v>
      </c>
      <c r="AI64" s="70" t="s">
        <v>659</v>
      </c>
      <c r="AJ64" s="11" t="s">
        <v>0</v>
      </c>
      <c r="AK64" s="11" t="s">
        <v>271</v>
      </c>
      <c r="AL64" s="13" t="s">
        <v>396</v>
      </c>
      <c r="AM64" s="11">
        <v>10480</v>
      </c>
      <c r="AN64" s="11">
        <v>31210</v>
      </c>
      <c r="AO64" s="197" t="s">
        <v>308</v>
      </c>
      <c r="AP64" s="198" t="s">
        <v>92</v>
      </c>
      <c r="AS64" s="212">
        <v>0</v>
      </c>
      <c r="AT64" s="212">
        <v>1159.1456316090112</v>
      </c>
      <c r="AU64" s="212" t="b">
        <v>0</v>
      </c>
      <c r="AV64" s="212"/>
      <c r="AW64" s="212">
        <v>0</v>
      </c>
      <c r="AX64" s="212">
        <v>0</v>
      </c>
      <c r="BA64" s="212">
        <v>0</v>
      </c>
      <c r="BB64" s="226">
        <v>0</v>
      </c>
      <c r="BC64" s="226"/>
    </row>
    <row r="65" spans="1:55" ht="39.950000000000003" customHeight="1" x14ac:dyDescent="0.2">
      <c r="A65" s="13" t="s">
        <v>303</v>
      </c>
      <c r="B65" s="65" t="s">
        <v>23</v>
      </c>
      <c r="C65" s="66" t="s">
        <v>38</v>
      </c>
      <c r="D65" s="13" t="s">
        <v>540</v>
      </c>
      <c r="E65" s="130" t="s">
        <v>49</v>
      </c>
      <c r="F65" s="14" t="s">
        <v>544</v>
      </c>
      <c r="G65" s="66" t="s">
        <v>304</v>
      </c>
      <c r="H65" s="14" t="s">
        <v>310</v>
      </c>
      <c r="I65" s="66" t="s">
        <v>142</v>
      </c>
      <c r="J65" s="66" t="s">
        <v>218</v>
      </c>
      <c r="K65" s="14" t="s">
        <v>29</v>
      </c>
      <c r="L65" s="65" t="s">
        <v>191</v>
      </c>
      <c r="M65" s="65" t="s">
        <v>323</v>
      </c>
      <c r="N65" s="13" t="s">
        <v>43</v>
      </c>
      <c r="O65" s="13" t="s">
        <v>538</v>
      </c>
      <c r="P65" s="13" t="s">
        <v>534</v>
      </c>
      <c r="Q65" s="64" t="s">
        <v>59</v>
      </c>
      <c r="R65" s="62">
        <v>11822.19419924338</v>
      </c>
      <c r="S65" s="63">
        <v>7462.5</v>
      </c>
      <c r="T65" s="62">
        <v>11763.083228247164</v>
      </c>
      <c r="U65" s="62">
        <v>15762.925598991174</v>
      </c>
      <c r="V65" s="62">
        <v>642165.60529634298</v>
      </c>
      <c r="W65" s="61" t="s">
        <v>11</v>
      </c>
      <c r="X65" s="181">
        <v>2.7E-2</v>
      </c>
      <c r="Y65" s="60">
        <v>43921</v>
      </c>
      <c r="Z65" s="60">
        <v>45691</v>
      </c>
      <c r="AA65" s="60">
        <v>45691</v>
      </c>
      <c r="AB65" s="58">
        <v>1771</v>
      </c>
      <c r="AC65" s="59" t="s">
        <v>10</v>
      </c>
      <c r="AD65" s="58">
        <v>1130</v>
      </c>
      <c r="AE65" s="57">
        <v>3.095890410958904</v>
      </c>
      <c r="AF65" s="56"/>
      <c r="AG65" s="71" t="s">
        <v>1</v>
      </c>
      <c r="AH65" s="71" t="s">
        <v>1</v>
      </c>
      <c r="AI65" s="70" t="s">
        <v>663</v>
      </c>
      <c r="AJ65" s="11" t="s">
        <v>0</v>
      </c>
      <c r="AK65" s="11" t="s">
        <v>271</v>
      </c>
      <c r="AL65" s="14" t="s">
        <v>395</v>
      </c>
      <c r="AM65" s="11">
        <v>10000</v>
      </c>
      <c r="AN65" s="11">
        <v>45000</v>
      </c>
      <c r="AO65" s="197" t="s">
        <v>49</v>
      </c>
      <c r="AP65" s="198" t="s">
        <v>544</v>
      </c>
      <c r="AQ65" s="11">
        <v>1</v>
      </c>
      <c r="AR65" s="214">
        <v>0.15</v>
      </c>
      <c r="AS65" s="212">
        <v>1764.4624842370745</v>
      </c>
      <c r="AT65" s="212">
        <v>1411.5699873896597</v>
      </c>
      <c r="AU65" s="212" t="b">
        <v>0</v>
      </c>
      <c r="AV65" s="212"/>
      <c r="AW65" s="212">
        <v>1411.5699873896597</v>
      </c>
      <c r="AX65" s="212">
        <v>1411.5699873896597</v>
      </c>
      <c r="AY65" s="12"/>
      <c r="BA65" s="212">
        <v>1411.5699873896597</v>
      </c>
      <c r="BB65" s="226">
        <v>1411.5699873896597</v>
      </c>
      <c r="BC65" s="226">
        <v>1198.713532738429</v>
      </c>
    </row>
    <row r="66" spans="1:55" ht="39.950000000000003" hidden="1" customHeight="1" x14ac:dyDescent="0.2">
      <c r="A66" s="13" t="s">
        <v>320</v>
      </c>
      <c r="B66" s="65" t="s">
        <v>51</v>
      </c>
      <c r="C66" s="66" t="s">
        <v>87</v>
      </c>
      <c r="D66" s="13" t="s">
        <v>542</v>
      </c>
      <c r="E66" s="130" t="s">
        <v>87</v>
      </c>
      <c r="F66" s="14" t="s">
        <v>173</v>
      </c>
      <c r="G66" s="66" t="s">
        <v>316</v>
      </c>
      <c r="H66" s="14" t="s">
        <v>197</v>
      </c>
      <c r="I66" s="77" t="s">
        <v>75</v>
      </c>
      <c r="J66" s="66" t="s">
        <v>21</v>
      </c>
      <c r="K66" s="14" t="s">
        <v>29</v>
      </c>
      <c r="L66" s="65" t="s">
        <v>191</v>
      </c>
      <c r="M66" s="65" t="s">
        <v>59</v>
      </c>
      <c r="N66" s="13" t="s">
        <v>43</v>
      </c>
      <c r="O66" s="13" t="s">
        <v>538</v>
      </c>
      <c r="P66" s="13" t="s">
        <v>548</v>
      </c>
      <c r="Q66" s="64" t="s">
        <v>156</v>
      </c>
      <c r="R66" s="62">
        <v>18851.207419835242</v>
      </c>
      <c r="S66" s="63">
        <v>6500</v>
      </c>
      <c r="T66" s="62">
        <v>12253.284822892907</v>
      </c>
      <c r="U66" s="62">
        <v>150809.65935868194</v>
      </c>
      <c r="V66" s="62">
        <v>330632.15638961678</v>
      </c>
      <c r="W66" s="61" t="s">
        <v>11</v>
      </c>
      <c r="X66" s="181">
        <v>7.7000000000000002E-3</v>
      </c>
      <c r="Y66" s="60">
        <v>43927</v>
      </c>
      <c r="Z66" s="60">
        <v>46081</v>
      </c>
      <c r="AA66" s="60">
        <v>46081</v>
      </c>
      <c r="AB66" s="58">
        <v>2155</v>
      </c>
      <c r="AC66" s="75" t="s">
        <v>10</v>
      </c>
      <c r="AD66" s="58">
        <v>1520</v>
      </c>
      <c r="AE66" s="57">
        <v>4.1643835616438354</v>
      </c>
      <c r="AF66" s="56"/>
      <c r="AG66" s="71" t="s">
        <v>1</v>
      </c>
      <c r="AH66" s="71" t="s">
        <v>1</v>
      </c>
      <c r="AI66" s="70" t="s">
        <v>0</v>
      </c>
      <c r="AJ66" s="11" t="s">
        <v>0</v>
      </c>
      <c r="AK66" s="11" t="s">
        <v>271</v>
      </c>
      <c r="AL66" s="13" t="s">
        <v>398</v>
      </c>
      <c r="AM66" s="11">
        <v>10230</v>
      </c>
      <c r="AO66" s="197" t="s">
        <v>87</v>
      </c>
      <c r="AP66" s="198" t="s">
        <v>173</v>
      </c>
      <c r="AS66" s="212">
        <v>0</v>
      </c>
      <c r="AT66" s="212">
        <v>1470.3941787471488</v>
      </c>
      <c r="AU66" s="212" t="b">
        <v>0</v>
      </c>
      <c r="AV66" s="212"/>
      <c r="AW66" s="212">
        <v>0</v>
      </c>
      <c r="AX66" s="212">
        <v>0</v>
      </c>
      <c r="BA66" s="212">
        <v>0</v>
      </c>
      <c r="BB66" s="226">
        <v>0</v>
      </c>
      <c r="BC66" s="226"/>
    </row>
    <row r="67" spans="1:55" ht="39.950000000000003" hidden="1" customHeight="1" x14ac:dyDescent="0.2">
      <c r="A67" s="13" t="s">
        <v>550</v>
      </c>
      <c r="B67" s="65" t="s">
        <v>23</v>
      </c>
      <c r="C67" s="66" t="s">
        <v>37</v>
      </c>
      <c r="D67" s="13" t="s">
        <v>540</v>
      </c>
      <c r="E67" s="161" t="s">
        <v>36</v>
      </c>
      <c r="F67" s="14" t="s">
        <v>104</v>
      </c>
      <c r="G67" s="66" t="s">
        <v>111</v>
      </c>
      <c r="H67" s="66" t="s">
        <v>449</v>
      </c>
      <c r="I67" s="14" t="s">
        <v>77</v>
      </c>
      <c r="J67" s="66" t="s">
        <v>220</v>
      </c>
      <c r="K67" s="14" t="s">
        <v>29</v>
      </c>
      <c r="L67" s="65" t="s">
        <v>191</v>
      </c>
      <c r="M67" s="13" t="s">
        <v>323</v>
      </c>
      <c r="N67" s="13" t="s">
        <v>43</v>
      </c>
      <c r="O67" s="13" t="s">
        <v>531</v>
      </c>
      <c r="P67" s="13" t="s">
        <v>548</v>
      </c>
      <c r="Q67" s="64" t="s">
        <v>9</v>
      </c>
      <c r="R67" s="62">
        <v>9752.4276578848367</v>
      </c>
      <c r="S67" s="63">
        <v>9000</v>
      </c>
      <c r="T67" s="62">
        <v>12538.835560137648</v>
      </c>
      <c r="U67" s="62">
        <v>257742.73095838499</v>
      </c>
      <c r="V67" s="62">
        <v>836706.89775276196</v>
      </c>
      <c r="W67" s="61" t="s">
        <v>11</v>
      </c>
      <c r="X67" s="181">
        <v>3.7499999999999999E-2</v>
      </c>
      <c r="Y67" s="60">
        <v>43938</v>
      </c>
      <c r="Z67" s="60">
        <v>45063</v>
      </c>
      <c r="AA67" s="60">
        <v>45063</v>
      </c>
      <c r="AB67" s="58">
        <v>1126</v>
      </c>
      <c r="AC67" s="59" t="s">
        <v>10</v>
      </c>
      <c r="AD67" s="58">
        <v>502</v>
      </c>
      <c r="AE67" s="57">
        <v>1.3753424657534246</v>
      </c>
      <c r="AF67" s="56"/>
      <c r="AG67" s="71" t="s">
        <v>1</v>
      </c>
      <c r="AH67" s="71" t="s">
        <v>1</v>
      </c>
      <c r="AI67" s="70" t="s">
        <v>608</v>
      </c>
      <c r="AJ67" s="11" t="s">
        <v>0</v>
      </c>
      <c r="AK67" s="11" t="s">
        <v>271</v>
      </c>
      <c r="AL67" s="13" t="s">
        <v>401</v>
      </c>
      <c r="AM67" s="11">
        <v>12225</v>
      </c>
      <c r="AO67" s="197" t="s">
        <v>36</v>
      </c>
      <c r="AP67" s="198" t="s">
        <v>104</v>
      </c>
      <c r="AS67" s="212">
        <v>0</v>
      </c>
      <c r="AT67" s="212">
        <v>1504.6602672165177</v>
      </c>
      <c r="AU67" s="212" t="b">
        <v>0</v>
      </c>
      <c r="AV67" s="212"/>
      <c r="AW67" s="212">
        <v>0</v>
      </c>
      <c r="AX67" s="212">
        <v>0</v>
      </c>
      <c r="BA67" s="212">
        <v>0</v>
      </c>
      <c r="BB67" s="226">
        <v>0</v>
      </c>
      <c r="BC67" s="226"/>
    </row>
    <row r="68" spans="1:55" ht="39.950000000000003" hidden="1" customHeight="1" x14ac:dyDescent="0.2">
      <c r="A68" s="13" t="s">
        <v>319</v>
      </c>
      <c r="B68" s="65" t="s">
        <v>23</v>
      </c>
      <c r="C68" s="66" t="s">
        <v>89</v>
      </c>
      <c r="D68" s="13" t="s">
        <v>542</v>
      </c>
      <c r="E68" s="130" t="s">
        <v>166</v>
      </c>
      <c r="F68" s="14" t="s">
        <v>92</v>
      </c>
      <c r="G68" s="66" t="s">
        <v>134</v>
      </c>
      <c r="H68" s="14" t="s">
        <v>134</v>
      </c>
      <c r="I68" s="66" t="s">
        <v>58</v>
      </c>
      <c r="J68" s="14" t="s">
        <v>220</v>
      </c>
      <c r="K68" s="14" t="s">
        <v>68</v>
      </c>
      <c r="L68" s="65" t="s">
        <v>191</v>
      </c>
      <c r="M68" s="65" t="s">
        <v>59</v>
      </c>
      <c r="N68" s="13" t="s">
        <v>43</v>
      </c>
      <c r="O68" s="13" t="s">
        <v>539</v>
      </c>
      <c r="P68" s="13" t="s">
        <v>534</v>
      </c>
      <c r="Q68" s="64" t="s">
        <v>9</v>
      </c>
      <c r="R68" s="62">
        <v>27864.079022528109</v>
      </c>
      <c r="S68" s="63">
        <v>14655.062</v>
      </c>
      <c r="T68" s="62">
        <v>20417.490282402439</v>
      </c>
      <c r="U68" s="62">
        <v>74397.090990150042</v>
      </c>
      <c r="V68" s="62">
        <v>1234438.6084678937</v>
      </c>
      <c r="W68" s="61" t="s">
        <v>11</v>
      </c>
      <c r="X68" s="181">
        <v>2.1999999999999999E-2</v>
      </c>
      <c r="Y68" s="60">
        <v>43943</v>
      </c>
      <c r="Z68" s="60">
        <v>45860</v>
      </c>
      <c r="AA68" s="60">
        <v>45860</v>
      </c>
      <c r="AB68" s="58">
        <v>1918</v>
      </c>
      <c r="AC68" s="59" t="s">
        <v>10</v>
      </c>
      <c r="AD68" s="58">
        <v>1299</v>
      </c>
      <c r="AE68" s="57">
        <v>3.558904109589041</v>
      </c>
      <c r="AF68" s="56" t="s">
        <v>436</v>
      </c>
      <c r="AG68" s="71" t="s">
        <v>1</v>
      </c>
      <c r="AH68" s="71" t="s">
        <v>1</v>
      </c>
      <c r="AI68" s="70" t="s">
        <v>664</v>
      </c>
      <c r="AJ68" s="11" t="s">
        <v>0</v>
      </c>
      <c r="AK68" s="11" t="s">
        <v>271</v>
      </c>
      <c r="AL68" s="13" t="s">
        <v>402</v>
      </c>
      <c r="AM68" s="11">
        <v>6000</v>
      </c>
      <c r="AO68" s="197" t="s">
        <v>166</v>
      </c>
      <c r="AP68" s="198" t="s">
        <v>92</v>
      </c>
      <c r="AS68" s="212">
        <v>0</v>
      </c>
      <c r="AT68" s="212">
        <v>2450.0988338882926</v>
      </c>
      <c r="AU68" s="212">
        <v>490.01976677765856</v>
      </c>
      <c r="AV68" s="212"/>
      <c r="AW68" s="212">
        <v>0</v>
      </c>
      <c r="AX68" s="212">
        <v>0</v>
      </c>
      <c r="BA68" s="212">
        <v>0</v>
      </c>
      <c r="BB68" s="226">
        <v>0</v>
      </c>
      <c r="BC68" s="226"/>
    </row>
    <row r="69" spans="1:55" ht="39.950000000000003" hidden="1" customHeight="1" x14ac:dyDescent="0.2">
      <c r="A69" s="13" t="s">
        <v>318</v>
      </c>
      <c r="B69" s="65" t="s">
        <v>24</v>
      </c>
      <c r="C69" s="66" t="s">
        <v>38</v>
      </c>
      <c r="D69" s="13" t="s">
        <v>540</v>
      </c>
      <c r="E69" s="161" t="s">
        <v>36</v>
      </c>
      <c r="F69" s="14" t="s">
        <v>102</v>
      </c>
      <c r="G69" s="14" t="s">
        <v>102</v>
      </c>
      <c r="H69" s="130" t="s">
        <v>473</v>
      </c>
      <c r="I69" s="133" t="s">
        <v>706</v>
      </c>
      <c r="J69" s="14" t="s">
        <v>220</v>
      </c>
      <c r="K69" s="14" t="s">
        <v>101</v>
      </c>
      <c r="L69" s="65" t="s">
        <v>191</v>
      </c>
      <c r="M69" s="65" t="s">
        <v>323</v>
      </c>
      <c r="N69" s="13" t="s">
        <v>43</v>
      </c>
      <c r="O69" s="13" t="s">
        <v>531</v>
      </c>
      <c r="P69" s="13" t="s">
        <v>534</v>
      </c>
      <c r="Q69" s="64" t="s">
        <v>238</v>
      </c>
      <c r="R69" s="62">
        <v>14454.274262165682</v>
      </c>
      <c r="S69" s="63">
        <v>14100</v>
      </c>
      <c r="T69" s="62">
        <v>14454.274262165682</v>
      </c>
      <c r="U69" s="62">
        <v>52999.005627940831</v>
      </c>
      <c r="V69" s="62">
        <v>802172.59018544527</v>
      </c>
      <c r="W69" s="61" t="s">
        <v>11</v>
      </c>
      <c r="X69" s="181">
        <v>2.3E-2</v>
      </c>
      <c r="Y69" s="60">
        <v>43948</v>
      </c>
      <c r="Z69" s="60">
        <v>45748</v>
      </c>
      <c r="AA69" s="60">
        <v>45748</v>
      </c>
      <c r="AB69" s="58">
        <v>1801</v>
      </c>
      <c r="AC69" s="59" t="s">
        <v>10</v>
      </c>
      <c r="AD69" s="58">
        <v>1187</v>
      </c>
      <c r="AE69" s="57">
        <v>3.2520547945205478</v>
      </c>
      <c r="AF69" s="56"/>
      <c r="AG69" s="71" t="s">
        <v>1</v>
      </c>
      <c r="AH69" s="71" t="s">
        <v>1</v>
      </c>
      <c r="AI69" s="70" t="s">
        <v>0</v>
      </c>
      <c r="AJ69" s="11" t="s">
        <v>0</v>
      </c>
      <c r="AK69" s="11" t="s">
        <v>271</v>
      </c>
      <c r="AL69" s="14" t="s">
        <v>400</v>
      </c>
      <c r="AM69" s="11">
        <v>15933</v>
      </c>
      <c r="AO69" s="197" t="s">
        <v>36</v>
      </c>
      <c r="AP69" s="198" t="s">
        <v>102</v>
      </c>
      <c r="AS69" s="212">
        <v>0</v>
      </c>
      <c r="AT69" s="212">
        <v>1734.5129114598817</v>
      </c>
      <c r="AU69" s="212" t="b">
        <v>0</v>
      </c>
      <c r="AV69" s="212"/>
      <c r="AW69" s="212">
        <v>0</v>
      </c>
      <c r="AX69" s="212">
        <v>0</v>
      </c>
      <c r="BA69" s="212">
        <v>0</v>
      </c>
      <c r="BB69" s="226">
        <v>0</v>
      </c>
      <c r="BC69" s="226"/>
    </row>
    <row r="70" spans="1:55" ht="39.950000000000003" hidden="1" customHeight="1" x14ac:dyDescent="0.2">
      <c r="A70" s="13" t="s">
        <v>404</v>
      </c>
      <c r="B70" s="65" t="s">
        <v>67</v>
      </c>
      <c r="C70" s="66" t="s">
        <v>87</v>
      </c>
      <c r="D70" s="13" t="s">
        <v>34</v>
      </c>
      <c r="E70" s="130" t="s">
        <v>34</v>
      </c>
      <c r="F70" s="14" t="s">
        <v>546</v>
      </c>
      <c r="G70" s="131" t="s">
        <v>114</v>
      </c>
      <c r="H70" s="14" t="s">
        <v>167</v>
      </c>
      <c r="I70" s="66" t="s">
        <v>298</v>
      </c>
      <c r="J70" s="14" t="s">
        <v>218</v>
      </c>
      <c r="K70" s="14" t="s">
        <v>209</v>
      </c>
      <c r="L70" s="65" t="s">
        <v>191</v>
      </c>
      <c r="M70" s="65" t="s">
        <v>59</v>
      </c>
      <c r="N70" s="13" t="s">
        <v>43</v>
      </c>
      <c r="O70" s="13" t="s">
        <v>531</v>
      </c>
      <c r="P70" s="13" t="s">
        <v>534</v>
      </c>
      <c r="Q70" s="64" t="s">
        <v>8</v>
      </c>
      <c r="R70" s="62">
        <v>30000</v>
      </c>
      <c r="S70" s="63">
        <v>30000</v>
      </c>
      <c r="T70" s="62">
        <v>30000</v>
      </c>
      <c r="U70" s="62">
        <v>60000</v>
      </c>
      <c r="V70" s="62">
        <v>2983002.6799999997</v>
      </c>
      <c r="W70" s="61" t="s">
        <v>11</v>
      </c>
      <c r="X70" s="181">
        <v>4.4999999999999998E-2</v>
      </c>
      <c r="Y70" s="60">
        <v>43955</v>
      </c>
      <c r="Z70" s="60">
        <v>45768</v>
      </c>
      <c r="AA70" s="60">
        <v>45768</v>
      </c>
      <c r="AB70" s="58">
        <v>1814</v>
      </c>
      <c r="AC70" s="59" t="s">
        <v>10</v>
      </c>
      <c r="AD70" s="58">
        <v>1207</v>
      </c>
      <c r="AE70" s="57">
        <v>3.3068493150684932</v>
      </c>
      <c r="AF70" s="56" t="s">
        <v>436</v>
      </c>
      <c r="AG70" s="71" t="s">
        <v>1</v>
      </c>
      <c r="AH70" s="71" t="s">
        <v>1</v>
      </c>
      <c r="AI70" s="70" t="s">
        <v>0</v>
      </c>
      <c r="AJ70" s="11" t="s">
        <v>0</v>
      </c>
      <c r="AK70" s="11" t="s">
        <v>271</v>
      </c>
      <c r="AL70" s="13" t="s">
        <v>406</v>
      </c>
      <c r="AM70" s="11">
        <v>12267.5</v>
      </c>
      <c r="AO70" s="197" t="s">
        <v>34</v>
      </c>
      <c r="AP70" s="198" t="s">
        <v>546</v>
      </c>
      <c r="AS70" s="212">
        <v>0</v>
      </c>
      <c r="AT70" s="212">
        <v>3600</v>
      </c>
      <c r="AU70" s="212">
        <v>720</v>
      </c>
      <c r="AV70" s="212"/>
      <c r="AW70" s="212">
        <v>0</v>
      </c>
      <c r="AX70" s="212">
        <v>0</v>
      </c>
      <c r="BA70" s="212">
        <v>0</v>
      </c>
      <c r="BB70" s="226">
        <v>0</v>
      </c>
      <c r="BC70" s="226"/>
    </row>
    <row r="71" spans="1:55" ht="39.950000000000003" hidden="1" customHeight="1" x14ac:dyDescent="0.2">
      <c r="A71" s="13" t="s">
        <v>405</v>
      </c>
      <c r="B71" s="65" t="s">
        <v>67</v>
      </c>
      <c r="C71" s="66" t="s">
        <v>34</v>
      </c>
      <c r="D71" s="13" t="s">
        <v>34</v>
      </c>
      <c r="E71" s="130" t="s">
        <v>34</v>
      </c>
      <c r="F71" s="14" t="s">
        <v>106</v>
      </c>
      <c r="G71" s="14" t="s">
        <v>106</v>
      </c>
      <c r="H71" s="14" t="s">
        <v>245</v>
      </c>
      <c r="I71" s="66" t="s">
        <v>409</v>
      </c>
      <c r="J71" s="14" t="s">
        <v>408</v>
      </c>
      <c r="K71" s="14" t="s">
        <v>29</v>
      </c>
      <c r="L71" s="65" t="s">
        <v>191</v>
      </c>
      <c r="M71" s="13" t="s">
        <v>323</v>
      </c>
      <c r="N71" s="13" t="s">
        <v>43</v>
      </c>
      <c r="O71" s="13" t="s">
        <v>533</v>
      </c>
      <c r="P71" s="13" t="s">
        <v>534</v>
      </c>
      <c r="Q71" s="64" t="s">
        <v>8</v>
      </c>
      <c r="R71" s="62">
        <v>25000</v>
      </c>
      <c r="S71" s="63">
        <v>25000</v>
      </c>
      <c r="T71" s="62">
        <v>25000</v>
      </c>
      <c r="U71" s="62">
        <v>50000</v>
      </c>
      <c r="V71" s="62">
        <v>1429880.14</v>
      </c>
      <c r="W71" s="61" t="s">
        <v>11</v>
      </c>
      <c r="X71" s="181">
        <v>2.1999999999999999E-2</v>
      </c>
      <c r="Y71" s="60">
        <v>43957</v>
      </c>
      <c r="Z71" s="60">
        <v>45628</v>
      </c>
      <c r="AA71" s="60">
        <v>45628</v>
      </c>
      <c r="AB71" s="58">
        <v>1672</v>
      </c>
      <c r="AC71" s="59" t="s">
        <v>10</v>
      </c>
      <c r="AD71" s="58">
        <v>1067</v>
      </c>
      <c r="AE71" s="57">
        <v>2.9232876712328766</v>
      </c>
      <c r="AF71" s="56" t="s">
        <v>436</v>
      </c>
      <c r="AG71" s="71" t="s">
        <v>1</v>
      </c>
      <c r="AH71" s="71" t="s">
        <v>1</v>
      </c>
      <c r="AI71" s="70" t="s">
        <v>0</v>
      </c>
      <c r="AJ71" s="11" t="s">
        <v>0</v>
      </c>
      <c r="AK71" s="11" t="s">
        <v>271</v>
      </c>
      <c r="AL71" s="13" t="s">
        <v>407</v>
      </c>
      <c r="AM71" s="11">
        <v>4500</v>
      </c>
      <c r="AO71" s="197" t="s">
        <v>34</v>
      </c>
      <c r="AP71" s="198" t="s">
        <v>106</v>
      </c>
      <c r="AS71" s="212">
        <v>0</v>
      </c>
      <c r="AT71" s="212">
        <v>3000</v>
      </c>
      <c r="AU71" s="212">
        <v>600</v>
      </c>
      <c r="AV71" s="212"/>
      <c r="AW71" s="212">
        <v>0</v>
      </c>
      <c r="AX71" s="212">
        <v>0</v>
      </c>
      <c r="BA71" s="212">
        <v>0</v>
      </c>
      <c r="BB71" s="226">
        <v>0</v>
      </c>
      <c r="BC71" s="226"/>
    </row>
    <row r="72" spans="1:55" ht="39.950000000000003" hidden="1" customHeight="1" x14ac:dyDescent="0.2">
      <c r="A72" s="13" t="s">
        <v>411</v>
      </c>
      <c r="B72" s="65" t="s">
        <v>243</v>
      </c>
      <c r="C72" s="66" t="s">
        <v>89</v>
      </c>
      <c r="D72" s="13" t="s">
        <v>542</v>
      </c>
      <c r="E72" s="130" t="s">
        <v>87</v>
      </c>
      <c r="F72" s="14" t="s">
        <v>543</v>
      </c>
      <c r="G72" s="14" t="s">
        <v>132</v>
      </c>
      <c r="H72" s="130" t="s">
        <v>133</v>
      </c>
      <c r="I72" s="14" t="s">
        <v>281</v>
      </c>
      <c r="J72" s="14" t="s">
        <v>256</v>
      </c>
      <c r="K72" s="14" t="s">
        <v>29</v>
      </c>
      <c r="L72" s="65" t="s">
        <v>191</v>
      </c>
      <c r="M72" s="13" t="s">
        <v>59</v>
      </c>
      <c r="N72" s="13" t="s">
        <v>43</v>
      </c>
      <c r="O72" s="13" t="s">
        <v>533</v>
      </c>
      <c r="P72" s="13" t="s">
        <v>532</v>
      </c>
      <c r="Q72" s="64" t="s">
        <v>156</v>
      </c>
      <c r="R72" s="62">
        <v>18577.33626418409</v>
      </c>
      <c r="S72" s="63" t="s">
        <v>53</v>
      </c>
      <c r="T72" s="62">
        <v>18577.33626418409</v>
      </c>
      <c r="U72" s="62">
        <v>248835.93794182516</v>
      </c>
      <c r="V72" s="62">
        <v>257427.10894849626</v>
      </c>
      <c r="W72" s="61" t="s">
        <v>551</v>
      </c>
      <c r="X72" s="181">
        <v>1.4E-2</v>
      </c>
      <c r="Y72" s="60">
        <v>43964</v>
      </c>
      <c r="Z72" s="60">
        <v>45442</v>
      </c>
      <c r="AA72" s="60">
        <v>45442</v>
      </c>
      <c r="AB72" s="58">
        <v>1479</v>
      </c>
      <c r="AC72" s="59" t="s">
        <v>10</v>
      </c>
      <c r="AD72" s="58">
        <v>881</v>
      </c>
      <c r="AE72" s="57">
        <v>2.4136986301369863</v>
      </c>
      <c r="AF72" s="56"/>
      <c r="AG72" s="71" t="s">
        <v>1</v>
      </c>
      <c r="AH72" s="71" t="s">
        <v>1</v>
      </c>
      <c r="AI72" s="70" t="s">
        <v>0</v>
      </c>
      <c r="AJ72" s="11" t="s">
        <v>0</v>
      </c>
      <c r="AK72" s="11" t="s">
        <v>271</v>
      </c>
      <c r="AL72" s="13" t="s">
        <v>417</v>
      </c>
      <c r="AM72" s="11">
        <v>16213</v>
      </c>
      <c r="AO72" s="197" t="s">
        <v>87</v>
      </c>
      <c r="AP72" s="198" t="s">
        <v>543</v>
      </c>
      <c r="AS72" s="212">
        <v>0</v>
      </c>
      <c r="AT72" s="212">
        <v>2229.2803517020907</v>
      </c>
      <c r="AU72" s="212" t="b">
        <v>0</v>
      </c>
      <c r="AV72" s="212"/>
      <c r="AW72" s="212">
        <v>0</v>
      </c>
      <c r="AX72" s="212">
        <v>0</v>
      </c>
      <c r="BA72" s="212">
        <v>0</v>
      </c>
      <c r="BB72" s="226">
        <v>0</v>
      </c>
      <c r="BC72" s="226"/>
    </row>
    <row r="73" spans="1:55" ht="39.950000000000003" hidden="1" customHeight="1" x14ac:dyDescent="0.2">
      <c r="A73" s="13" t="s">
        <v>412</v>
      </c>
      <c r="B73" s="65" t="s">
        <v>243</v>
      </c>
      <c r="C73" s="66" t="s">
        <v>87</v>
      </c>
      <c r="D73" s="13" t="s">
        <v>469</v>
      </c>
      <c r="E73" s="130" t="s">
        <v>413</v>
      </c>
      <c r="F73" s="14" t="s">
        <v>48</v>
      </c>
      <c r="G73" s="131" t="s">
        <v>95</v>
      </c>
      <c r="H73" s="130" t="s">
        <v>521</v>
      </c>
      <c r="I73" s="14" t="s">
        <v>181</v>
      </c>
      <c r="J73" s="14" t="s">
        <v>33</v>
      </c>
      <c r="K73" s="14" t="s">
        <v>140</v>
      </c>
      <c r="L73" s="65" t="s">
        <v>191</v>
      </c>
      <c r="M73" s="13" t="s">
        <v>59</v>
      </c>
      <c r="N73" s="13" t="s">
        <v>43</v>
      </c>
      <c r="O73" s="13" t="s">
        <v>538</v>
      </c>
      <c r="P73" s="13" t="s">
        <v>534</v>
      </c>
      <c r="Q73" s="64" t="s">
        <v>9</v>
      </c>
      <c r="R73" s="62">
        <v>10449.029633448041</v>
      </c>
      <c r="S73" s="63">
        <v>7500</v>
      </c>
      <c r="T73" s="62">
        <v>10449.029633448041</v>
      </c>
      <c r="U73" s="62">
        <v>34830.098778160136</v>
      </c>
      <c r="V73" s="62">
        <v>1336387.7007955194</v>
      </c>
      <c r="W73" s="61" t="s">
        <v>11</v>
      </c>
      <c r="X73" s="181">
        <v>3.7499999999999999E-2</v>
      </c>
      <c r="Y73" s="60">
        <v>43965</v>
      </c>
      <c r="Z73" s="60">
        <v>47238</v>
      </c>
      <c r="AA73" s="60">
        <v>47238</v>
      </c>
      <c r="AB73" s="58">
        <v>3274</v>
      </c>
      <c r="AC73" s="59" t="s">
        <v>10</v>
      </c>
      <c r="AD73" s="58">
        <v>2677</v>
      </c>
      <c r="AE73" s="57">
        <v>7.3342465753424655</v>
      </c>
      <c r="AF73" s="56"/>
      <c r="AG73" s="71" t="s">
        <v>1</v>
      </c>
      <c r="AH73" s="71" t="s">
        <v>1</v>
      </c>
      <c r="AI73" s="70" t="s">
        <v>0</v>
      </c>
      <c r="AJ73" s="11" t="s">
        <v>0</v>
      </c>
      <c r="AK73" s="11" t="s">
        <v>271</v>
      </c>
      <c r="AL73" s="13" t="s">
        <v>416</v>
      </c>
      <c r="AM73" s="11">
        <v>10237</v>
      </c>
      <c r="AO73" s="197" t="s">
        <v>413</v>
      </c>
      <c r="AP73" s="198" t="s">
        <v>48</v>
      </c>
      <c r="AS73" s="212">
        <v>0</v>
      </c>
      <c r="AT73" s="212">
        <v>1253.8835560137647</v>
      </c>
      <c r="AU73" s="212" t="b">
        <v>0</v>
      </c>
      <c r="AV73" s="212"/>
      <c r="AW73" s="212">
        <v>0</v>
      </c>
      <c r="AX73" s="212">
        <v>0</v>
      </c>
      <c r="BA73" s="212">
        <v>0</v>
      </c>
      <c r="BB73" s="226">
        <v>0</v>
      </c>
      <c r="BC73" s="226"/>
    </row>
    <row r="74" spans="1:55" ht="39.950000000000003" hidden="1" customHeight="1" x14ac:dyDescent="0.2">
      <c r="A74" s="13" t="s">
        <v>410</v>
      </c>
      <c r="B74" s="65" t="s">
        <v>23</v>
      </c>
      <c r="C74" s="66" t="s">
        <v>34</v>
      </c>
      <c r="D74" s="13" t="s">
        <v>34</v>
      </c>
      <c r="E74" s="130" t="s">
        <v>34</v>
      </c>
      <c r="F74" s="14" t="s">
        <v>543</v>
      </c>
      <c r="G74" s="14" t="s">
        <v>132</v>
      </c>
      <c r="H74" s="130" t="s">
        <v>133</v>
      </c>
      <c r="I74" s="66" t="s">
        <v>232</v>
      </c>
      <c r="J74" s="14" t="s">
        <v>21</v>
      </c>
      <c r="K74" s="14" t="s">
        <v>44</v>
      </c>
      <c r="L74" s="65" t="s">
        <v>191</v>
      </c>
      <c r="M74" s="13" t="s">
        <v>323</v>
      </c>
      <c r="N74" s="13" t="s">
        <v>43</v>
      </c>
      <c r="O74" s="13" t="s">
        <v>533</v>
      </c>
      <c r="P74" s="13" t="s">
        <v>534</v>
      </c>
      <c r="Q74" s="64" t="s">
        <v>9</v>
      </c>
      <c r="R74" s="62">
        <v>27864.079022528109</v>
      </c>
      <c r="S74" s="63">
        <v>20000</v>
      </c>
      <c r="T74" s="62">
        <v>27864.079022528109</v>
      </c>
      <c r="U74" s="62">
        <v>65062.62451760313</v>
      </c>
      <c r="V74" s="62">
        <v>920741.54673502652</v>
      </c>
      <c r="W74" s="61" t="s">
        <v>11</v>
      </c>
      <c r="X74" s="181">
        <v>2.1000000000000001E-2</v>
      </c>
      <c r="Y74" s="60">
        <v>43966</v>
      </c>
      <c r="Z74" s="60">
        <v>45823</v>
      </c>
      <c r="AA74" s="60">
        <v>45823</v>
      </c>
      <c r="AB74" s="72">
        <v>1858</v>
      </c>
      <c r="AC74" s="59" t="s">
        <v>10</v>
      </c>
      <c r="AD74" s="58">
        <v>1262</v>
      </c>
      <c r="AE74" s="57">
        <v>3.4575342465753423</v>
      </c>
      <c r="AF74" s="56" t="s">
        <v>436</v>
      </c>
      <c r="AG74" s="71" t="s">
        <v>1</v>
      </c>
      <c r="AH74" s="71" t="s">
        <v>1</v>
      </c>
      <c r="AI74" s="70" t="s">
        <v>0</v>
      </c>
      <c r="AJ74" s="11" t="s">
        <v>0</v>
      </c>
      <c r="AK74" s="11" t="s">
        <v>271</v>
      </c>
      <c r="AL74" s="13" t="s">
        <v>418</v>
      </c>
      <c r="AM74" s="11">
        <v>6000</v>
      </c>
      <c r="AO74" s="197" t="s">
        <v>34</v>
      </c>
      <c r="AP74" s="198" t="s">
        <v>543</v>
      </c>
      <c r="AS74" s="212">
        <v>0</v>
      </c>
      <c r="AT74" s="212">
        <v>3343.689482703373</v>
      </c>
      <c r="AU74" s="212">
        <v>668.73789654067468</v>
      </c>
      <c r="AV74" s="212"/>
      <c r="AW74" s="212">
        <v>0</v>
      </c>
      <c r="AX74" s="212">
        <v>0</v>
      </c>
      <c r="BA74" s="212">
        <v>0</v>
      </c>
      <c r="BB74" s="226">
        <v>0</v>
      </c>
      <c r="BC74" s="226"/>
    </row>
    <row r="75" spans="1:55" ht="39.950000000000003" hidden="1" customHeight="1" x14ac:dyDescent="0.2">
      <c r="A75" s="13" t="s">
        <v>414</v>
      </c>
      <c r="B75" s="65" t="s">
        <v>24</v>
      </c>
      <c r="C75" s="66" t="s">
        <v>166</v>
      </c>
      <c r="D75" s="13" t="s">
        <v>542</v>
      </c>
      <c r="E75" s="130" t="s">
        <v>166</v>
      </c>
      <c r="F75" s="14" t="s">
        <v>102</v>
      </c>
      <c r="G75" s="14" t="s">
        <v>102</v>
      </c>
      <c r="H75" s="130" t="s">
        <v>122</v>
      </c>
      <c r="I75" s="66" t="s">
        <v>704</v>
      </c>
      <c r="J75" s="14" t="s">
        <v>220</v>
      </c>
      <c r="K75" s="14" t="s">
        <v>101</v>
      </c>
      <c r="L75" s="65" t="s">
        <v>191</v>
      </c>
      <c r="M75" s="13" t="s">
        <v>59</v>
      </c>
      <c r="N75" s="13" t="s">
        <v>43</v>
      </c>
      <c r="O75" s="13" t="s">
        <v>531</v>
      </c>
      <c r="P75" s="13" t="s">
        <v>534</v>
      </c>
      <c r="Q75" s="64" t="s">
        <v>59</v>
      </c>
      <c r="R75" s="62">
        <v>23644.388398486761</v>
      </c>
      <c r="S75" s="63">
        <v>15000</v>
      </c>
      <c r="T75" s="62">
        <v>23644.388398486761</v>
      </c>
      <c r="U75" s="62">
        <v>83543.505674653221</v>
      </c>
      <c r="V75" s="62">
        <v>910261.66456494329</v>
      </c>
      <c r="W75" s="61" t="s">
        <v>11</v>
      </c>
      <c r="X75" s="181">
        <v>1.2E-2</v>
      </c>
      <c r="Y75" s="60">
        <v>43966</v>
      </c>
      <c r="Z75" s="60">
        <v>46523</v>
      </c>
      <c r="AA75" s="60">
        <v>46523</v>
      </c>
      <c r="AB75" s="58">
        <v>2558</v>
      </c>
      <c r="AC75" s="59" t="s">
        <v>10</v>
      </c>
      <c r="AD75" s="58">
        <v>1962</v>
      </c>
      <c r="AE75" s="57">
        <v>5.375342465753425</v>
      </c>
      <c r="AF75" s="56"/>
      <c r="AG75" s="71" t="s">
        <v>1</v>
      </c>
      <c r="AH75" s="71" t="s">
        <v>1</v>
      </c>
      <c r="AI75" s="70" t="s">
        <v>0</v>
      </c>
      <c r="AJ75" s="11" t="s">
        <v>0</v>
      </c>
      <c r="AK75" s="11" t="s">
        <v>271</v>
      </c>
      <c r="AL75" s="13" t="s">
        <v>415</v>
      </c>
      <c r="AM75" s="11">
        <v>8850</v>
      </c>
      <c r="AO75" s="197" t="s">
        <v>166</v>
      </c>
      <c r="AP75" s="198" t="s">
        <v>102</v>
      </c>
      <c r="AS75" s="212">
        <v>0</v>
      </c>
      <c r="AT75" s="212">
        <v>2837.326607818411</v>
      </c>
      <c r="AU75" s="212" t="b">
        <v>0</v>
      </c>
      <c r="AV75" s="212"/>
      <c r="AW75" s="212">
        <v>0</v>
      </c>
      <c r="AX75" s="212">
        <v>0</v>
      </c>
      <c r="BA75" s="212">
        <v>0</v>
      </c>
      <c r="BB75" s="226">
        <v>0</v>
      </c>
      <c r="BC75" s="226"/>
    </row>
    <row r="76" spans="1:55" ht="39.950000000000003" hidden="1" customHeight="1" x14ac:dyDescent="0.2">
      <c r="A76" s="13" t="s">
        <v>419</v>
      </c>
      <c r="B76" s="65" t="s">
        <v>51</v>
      </c>
      <c r="C76" s="66" t="s">
        <v>166</v>
      </c>
      <c r="D76" s="13" t="s">
        <v>542</v>
      </c>
      <c r="E76" s="130" t="s">
        <v>166</v>
      </c>
      <c r="F76" s="14" t="s">
        <v>102</v>
      </c>
      <c r="G76" s="14" t="s">
        <v>102</v>
      </c>
      <c r="H76" s="130" t="s">
        <v>110</v>
      </c>
      <c r="I76" s="66" t="s">
        <v>145</v>
      </c>
      <c r="J76" s="14" t="s">
        <v>221</v>
      </c>
      <c r="K76" s="14" t="s">
        <v>209</v>
      </c>
      <c r="L76" s="65" t="s">
        <v>191</v>
      </c>
      <c r="M76" s="13" t="s">
        <v>59</v>
      </c>
      <c r="N76" s="13" t="s">
        <v>43</v>
      </c>
      <c r="O76" s="13" t="s">
        <v>538</v>
      </c>
      <c r="P76" s="13" t="s">
        <v>534</v>
      </c>
      <c r="Q76" s="64" t="s">
        <v>59</v>
      </c>
      <c r="R76" s="62">
        <v>31525.851197982349</v>
      </c>
      <c r="S76" s="63">
        <v>20000</v>
      </c>
      <c r="T76" s="62">
        <v>31525.851197982349</v>
      </c>
      <c r="U76" s="62">
        <v>102459.01639344262</v>
      </c>
      <c r="V76" s="62">
        <v>1239857.0302648172</v>
      </c>
      <c r="W76" s="61" t="s">
        <v>551</v>
      </c>
      <c r="X76" s="181">
        <v>2.5000000000000001E-2</v>
      </c>
      <c r="Y76" s="60">
        <v>43971</v>
      </c>
      <c r="Z76" s="60">
        <v>45046</v>
      </c>
      <c r="AA76" s="60">
        <v>45046</v>
      </c>
      <c r="AB76" s="58">
        <v>1076</v>
      </c>
      <c r="AC76" s="59" t="s">
        <v>10</v>
      </c>
      <c r="AD76" s="58">
        <v>485</v>
      </c>
      <c r="AE76" s="57">
        <v>1.3287671232876712</v>
      </c>
      <c r="AF76" s="56" t="s">
        <v>436</v>
      </c>
      <c r="AG76" s="71" t="s">
        <v>1</v>
      </c>
      <c r="AH76" s="71" t="s">
        <v>1</v>
      </c>
      <c r="AI76" s="70" t="s">
        <v>0</v>
      </c>
      <c r="AJ76" s="11" t="s">
        <v>0</v>
      </c>
      <c r="AK76" s="11" t="s">
        <v>271</v>
      </c>
      <c r="AL76" s="13" t="s">
        <v>420</v>
      </c>
      <c r="AM76" s="11">
        <v>3367.5</v>
      </c>
      <c r="AO76" s="197" t="s">
        <v>166</v>
      </c>
      <c r="AP76" s="198" t="s">
        <v>102</v>
      </c>
      <c r="AS76" s="212">
        <v>0</v>
      </c>
      <c r="AT76" s="212">
        <v>3783.1021437578815</v>
      </c>
      <c r="AU76" s="212">
        <v>756.62042875157636</v>
      </c>
      <c r="AV76" s="212"/>
      <c r="AW76" s="212">
        <v>0</v>
      </c>
      <c r="AX76" s="212">
        <v>0</v>
      </c>
      <c r="BA76" s="212">
        <v>0</v>
      </c>
      <c r="BB76" s="226">
        <v>0</v>
      </c>
      <c r="BC76" s="226"/>
    </row>
    <row r="77" spans="1:55" ht="39.950000000000003" hidden="1" customHeight="1" x14ac:dyDescent="0.2">
      <c r="A77" s="13" t="s">
        <v>421</v>
      </c>
      <c r="B77" s="69" t="s">
        <v>51</v>
      </c>
      <c r="C77" s="66" t="s">
        <v>127</v>
      </c>
      <c r="D77" s="13" t="s">
        <v>499</v>
      </c>
      <c r="E77" s="130" t="s">
        <v>162</v>
      </c>
      <c r="F77" s="14" t="s">
        <v>475</v>
      </c>
      <c r="G77" s="14" t="s">
        <v>227</v>
      </c>
      <c r="H77" s="130" t="s">
        <v>422</v>
      </c>
      <c r="I77" s="14" t="s">
        <v>158</v>
      </c>
      <c r="J77" s="14" t="s">
        <v>220</v>
      </c>
      <c r="K77" s="14" t="s">
        <v>209</v>
      </c>
      <c r="L77" s="65" t="s">
        <v>191</v>
      </c>
      <c r="M77" s="13" t="s">
        <v>59</v>
      </c>
      <c r="N77" s="13" t="s">
        <v>43</v>
      </c>
      <c r="O77" s="13" t="s">
        <v>533</v>
      </c>
      <c r="P77" s="13" t="s">
        <v>534</v>
      </c>
      <c r="Q77" s="64" t="s">
        <v>9</v>
      </c>
      <c r="R77" s="62">
        <v>27864.079022528109</v>
      </c>
      <c r="S77" s="63">
        <v>20000</v>
      </c>
      <c r="T77" s="62">
        <v>27864.079022528109</v>
      </c>
      <c r="U77" s="62">
        <v>487621.38289424189</v>
      </c>
      <c r="V77" s="62">
        <v>1209160.970784513</v>
      </c>
      <c r="W77" s="61" t="s">
        <v>11</v>
      </c>
      <c r="X77" s="181">
        <v>1.7500000000000002E-2</v>
      </c>
      <c r="Y77" s="60">
        <v>44530</v>
      </c>
      <c r="Z77" s="60">
        <v>46386</v>
      </c>
      <c r="AA77" s="60">
        <v>46386</v>
      </c>
      <c r="AB77" s="72">
        <v>1857</v>
      </c>
      <c r="AC77" s="59" t="s">
        <v>10</v>
      </c>
      <c r="AD77" s="58">
        <v>1825</v>
      </c>
      <c r="AE77" s="57">
        <v>5</v>
      </c>
      <c r="AF77" s="56" t="s">
        <v>436</v>
      </c>
      <c r="AG77" s="71" t="s">
        <v>1</v>
      </c>
      <c r="AH77" s="71" t="s">
        <v>1</v>
      </c>
      <c r="AI77" s="70" t="s">
        <v>731</v>
      </c>
      <c r="AJ77" s="11" t="s">
        <v>0</v>
      </c>
      <c r="AK77" s="11" t="s">
        <v>271</v>
      </c>
      <c r="AL77" s="13" t="s">
        <v>423</v>
      </c>
      <c r="AM77" s="11">
        <v>8500</v>
      </c>
      <c r="AO77" s="197" t="s">
        <v>162</v>
      </c>
      <c r="AP77" s="198" t="s">
        <v>475</v>
      </c>
      <c r="AS77" s="212">
        <v>0</v>
      </c>
      <c r="AT77" s="212">
        <v>3343.689482703373</v>
      </c>
      <c r="AU77" s="212">
        <v>668.73789654067468</v>
      </c>
      <c r="AV77" s="212"/>
      <c r="AW77" s="212">
        <v>0</v>
      </c>
      <c r="AX77" s="212">
        <v>0</v>
      </c>
      <c r="BA77" s="212">
        <v>0</v>
      </c>
      <c r="BB77" s="226">
        <v>0</v>
      </c>
      <c r="BC77" s="226"/>
    </row>
    <row r="78" spans="1:55" s="21" customFormat="1" ht="39.950000000000003" customHeight="1" x14ac:dyDescent="0.2">
      <c r="A78" s="13" t="s">
        <v>424</v>
      </c>
      <c r="B78" s="74" t="s">
        <v>67</v>
      </c>
      <c r="C78" s="66" t="s">
        <v>87</v>
      </c>
      <c r="D78" s="13" t="s">
        <v>541</v>
      </c>
      <c r="E78" s="130" t="s">
        <v>425</v>
      </c>
      <c r="F78" s="14" t="s">
        <v>439</v>
      </c>
      <c r="G78" s="14" t="s">
        <v>445</v>
      </c>
      <c r="H78" s="68" t="s">
        <v>463</v>
      </c>
      <c r="I78" s="66" t="s">
        <v>298</v>
      </c>
      <c r="J78" s="66" t="s">
        <v>218</v>
      </c>
      <c r="K78" s="65" t="s">
        <v>45</v>
      </c>
      <c r="L78" s="65" t="s">
        <v>191</v>
      </c>
      <c r="M78" s="65" t="s">
        <v>59</v>
      </c>
      <c r="N78" s="13" t="s">
        <v>43</v>
      </c>
      <c r="O78" s="13" t="s">
        <v>538</v>
      </c>
      <c r="P78" s="13" t="s">
        <v>534</v>
      </c>
      <c r="Q78" s="64" t="s">
        <v>9</v>
      </c>
      <c r="R78" s="62">
        <v>13932.039511264054</v>
      </c>
      <c r="S78" s="73">
        <v>10000</v>
      </c>
      <c r="T78" s="62">
        <v>13932.039511264054</v>
      </c>
      <c r="U78" s="62">
        <v>80805.82916533151</v>
      </c>
      <c r="V78" s="62">
        <v>615636.45736099302</v>
      </c>
      <c r="W78" s="61" t="s">
        <v>11</v>
      </c>
      <c r="X78" s="181">
        <v>2.2499999999999999E-2</v>
      </c>
      <c r="Y78" s="60">
        <v>44006</v>
      </c>
      <c r="Z78" s="60">
        <v>47634</v>
      </c>
      <c r="AA78" s="60">
        <v>47634</v>
      </c>
      <c r="AB78" s="72">
        <v>3629</v>
      </c>
      <c r="AC78" s="59" t="s">
        <v>10</v>
      </c>
      <c r="AD78" s="58">
        <v>3073</v>
      </c>
      <c r="AE78" s="57">
        <v>8.419178082191781</v>
      </c>
      <c r="AF78" s="56"/>
      <c r="AG78" s="71" t="s">
        <v>1</v>
      </c>
      <c r="AH78" s="71" t="s">
        <v>1</v>
      </c>
      <c r="AI78" s="70" t="s">
        <v>527</v>
      </c>
      <c r="AJ78" s="11" t="s">
        <v>0</v>
      </c>
      <c r="AK78" s="11" t="s">
        <v>271</v>
      </c>
      <c r="AL78" s="13" t="s">
        <v>426</v>
      </c>
      <c r="AM78" s="11">
        <v>8075</v>
      </c>
      <c r="AN78" s="11"/>
      <c r="AO78" s="197" t="s">
        <v>425</v>
      </c>
      <c r="AP78" s="198" t="s">
        <v>439</v>
      </c>
      <c r="AQ78" s="11">
        <v>1</v>
      </c>
      <c r="AR78" s="214">
        <v>7.4999999999999997E-2</v>
      </c>
      <c r="AS78" s="212">
        <v>1044.902963344804</v>
      </c>
      <c r="AT78" s="212">
        <v>1671.8447413516865</v>
      </c>
      <c r="AU78" s="212" t="b">
        <v>0</v>
      </c>
      <c r="AV78" s="212"/>
      <c r="AW78" s="212">
        <v>1044.902963344804</v>
      </c>
      <c r="AX78" s="212">
        <v>1671.8447413516865</v>
      </c>
      <c r="AY78" s="12" t="s">
        <v>740</v>
      </c>
      <c r="BA78" s="212">
        <v>1044.902963344804</v>
      </c>
      <c r="BB78" s="228">
        <v>1671.8447413516865</v>
      </c>
      <c r="BC78" s="228">
        <v>692.13732004429676</v>
      </c>
    </row>
    <row r="79" spans="1:55" ht="39.950000000000003" hidden="1" customHeight="1" x14ac:dyDescent="0.2">
      <c r="A79" s="13" t="s">
        <v>465</v>
      </c>
      <c r="B79" s="74" t="s">
        <v>24</v>
      </c>
      <c r="C79" s="66" t="s">
        <v>34</v>
      </c>
      <c r="D79" s="13" t="s">
        <v>34</v>
      </c>
      <c r="E79" s="130" t="s">
        <v>34</v>
      </c>
      <c r="F79" s="14" t="s">
        <v>233</v>
      </c>
      <c r="G79" s="131" t="s">
        <v>233</v>
      </c>
      <c r="H79" s="131" t="s">
        <v>443</v>
      </c>
      <c r="I79" s="133" t="s">
        <v>706</v>
      </c>
      <c r="J79" s="66" t="s">
        <v>220</v>
      </c>
      <c r="K79" s="65" t="s">
        <v>29</v>
      </c>
      <c r="L79" s="65" t="s">
        <v>191</v>
      </c>
      <c r="M79" s="65" t="s">
        <v>323</v>
      </c>
      <c r="N79" s="13" t="s">
        <v>43</v>
      </c>
      <c r="O79" s="13" t="s">
        <v>538</v>
      </c>
      <c r="P79" s="13" t="s">
        <v>534</v>
      </c>
      <c r="Q79" s="64" t="s">
        <v>8</v>
      </c>
      <c r="R79" s="62">
        <v>15000</v>
      </c>
      <c r="S79" s="73">
        <v>15000</v>
      </c>
      <c r="T79" s="62">
        <v>15000</v>
      </c>
      <c r="U79" s="62">
        <v>95000</v>
      </c>
      <c r="V79" s="62">
        <v>426028.14</v>
      </c>
      <c r="W79" s="61" t="s">
        <v>11</v>
      </c>
      <c r="X79" s="181">
        <v>1.2500000000000001E-2</v>
      </c>
      <c r="Y79" s="60">
        <v>44014</v>
      </c>
      <c r="Z79" s="60">
        <v>45478</v>
      </c>
      <c r="AA79" s="60">
        <v>45478</v>
      </c>
      <c r="AB79" s="72">
        <v>1465</v>
      </c>
      <c r="AC79" s="59" t="s">
        <v>10</v>
      </c>
      <c r="AD79" s="58">
        <v>917</v>
      </c>
      <c r="AE79" s="57">
        <v>2.5123287671232877</v>
      </c>
      <c r="AF79" s="56"/>
      <c r="AG79" s="152" t="s">
        <v>1</v>
      </c>
      <c r="AH79" s="152" t="s">
        <v>1</v>
      </c>
      <c r="AI79" s="153" t="s">
        <v>0</v>
      </c>
      <c r="AJ79" s="11" t="s">
        <v>0</v>
      </c>
      <c r="AK79" s="154" t="s">
        <v>271</v>
      </c>
      <c r="AL79" s="13" t="s">
        <v>466</v>
      </c>
      <c r="AM79" s="11">
        <v>8000</v>
      </c>
      <c r="AO79" s="197" t="s">
        <v>34</v>
      </c>
      <c r="AP79" s="198" t="s">
        <v>233</v>
      </c>
      <c r="AS79" s="212">
        <v>0</v>
      </c>
      <c r="AT79" s="212">
        <v>1800</v>
      </c>
      <c r="AU79" s="212" t="b">
        <v>0</v>
      </c>
      <c r="AV79" s="212"/>
      <c r="AW79" s="212">
        <v>0</v>
      </c>
      <c r="AX79" s="212">
        <v>0</v>
      </c>
      <c r="BA79" s="212">
        <v>0</v>
      </c>
      <c r="BB79" s="226">
        <v>0</v>
      </c>
      <c r="BC79" s="226"/>
    </row>
    <row r="80" spans="1:55" ht="39.950000000000003" hidden="1" customHeight="1" x14ac:dyDescent="0.2">
      <c r="A80" s="132" t="s">
        <v>520</v>
      </c>
      <c r="B80" s="132" t="s">
        <v>243</v>
      </c>
      <c r="C80" s="66" t="s">
        <v>87</v>
      </c>
      <c r="D80" s="131" t="s">
        <v>469</v>
      </c>
      <c r="E80" s="130" t="s">
        <v>413</v>
      </c>
      <c r="F80" s="66" t="s">
        <v>48</v>
      </c>
      <c r="G80" s="131" t="s">
        <v>95</v>
      </c>
      <c r="H80" s="130" t="s">
        <v>521</v>
      </c>
      <c r="I80" s="161" t="s">
        <v>522</v>
      </c>
      <c r="J80" s="133" t="s">
        <v>219</v>
      </c>
      <c r="K80" s="66" t="s">
        <v>45</v>
      </c>
      <c r="L80" s="134" t="s">
        <v>191</v>
      </c>
      <c r="M80" s="134" t="s">
        <v>59</v>
      </c>
      <c r="N80" s="132" t="s">
        <v>43</v>
      </c>
      <c r="O80" s="132" t="s">
        <v>538</v>
      </c>
      <c r="P80" s="132" t="s">
        <v>534</v>
      </c>
      <c r="Q80" s="135" t="s">
        <v>9</v>
      </c>
      <c r="R80" s="136">
        <v>13932.039511264054</v>
      </c>
      <c r="S80" s="73">
        <v>10000</v>
      </c>
      <c r="T80" s="136">
        <v>13932.039511264054</v>
      </c>
      <c r="U80" s="136">
        <v>139320.39511264054</v>
      </c>
      <c r="V80" s="136">
        <v>1394802</v>
      </c>
      <c r="W80" s="147" t="s">
        <v>11</v>
      </c>
      <c r="X80" s="181">
        <v>3.7499999999999999E-2</v>
      </c>
      <c r="Y80" s="137">
        <v>44039</v>
      </c>
      <c r="Z80" s="137">
        <v>47238</v>
      </c>
      <c r="AA80" s="137">
        <v>47238</v>
      </c>
      <c r="AB80" s="138">
        <v>3200</v>
      </c>
      <c r="AC80" s="139" t="s">
        <v>10</v>
      </c>
      <c r="AD80" s="138">
        <v>2677</v>
      </c>
      <c r="AE80" s="140">
        <v>7.3342465753424655</v>
      </c>
      <c r="AF80" s="56"/>
      <c r="AG80" s="141" t="s">
        <v>1</v>
      </c>
      <c r="AH80" s="141" t="s">
        <v>1</v>
      </c>
      <c r="AI80" s="142" t="s">
        <v>523</v>
      </c>
      <c r="AJ80" s="11" t="s">
        <v>0</v>
      </c>
      <c r="AK80" s="154" t="s">
        <v>271</v>
      </c>
      <c r="AL80" s="132" t="s">
        <v>519</v>
      </c>
      <c r="AN80" s="52"/>
      <c r="AO80" s="197" t="s">
        <v>413</v>
      </c>
      <c r="AP80" s="198" t="s">
        <v>48</v>
      </c>
      <c r="AQ80" s="201"/>
      <c r="AS80" s="212">
        <v>0</v>
      </c>
      <c r="AT80" s="212">
        <v>1671.8447413516865</v>
      </c>
      <c r="AU80" s="212" t="b">
        <v>0</v>
      </c>
      <c r="AV80" s="212"/>
      <c r="AW80" s="212">
        <v>0</v>
      </c>
      <c r="AX80" s="212">
        <v>0</v>
      </c>
      <c r="BA80" s="212">
        <v>0</v>
      </c>
      <c r="BB80" s="226">
        <v>0</v>
      </c>
      <c r="BC80" s="226"/>
    </row>
    <row r="81" spans="1:55" ht="39.950000000000003" hidden="1" customHeight="1" x14ac:dyDescent="0.2">
      <c r="A81" s="13" t="s">
        <v>492</v>
      </c>
      <c r="B81" s="74" t="s">
        <v>24</v>
      </c>
      <c r="C81" s="66" t="s">
        <v>34</v>
      </c>
      <c r="D81" s="13" t="s">
        <v>34</v>
      </c>
      <c r="E81" s="130" t="s">
        <v>34</v>
      </c>
      <c r="F81" s="14" t="s">
        <v>102</v>
      </c>
      <c r="G81" s="14" t="s">
        <v>102</v>
      </c>
      <c r="H81" s="130" t="s">
        <v>122</v>
      </c>
      <c r="I81" s="66" t="s">
        <v>70</v>
      </c>
      <c r="J81" s="66" t="s">
        <v>218</v>
      </c>
      <c r="K81" s="65" t="s">
        <v>101</v>
      </c>
      <c r="L81" s="65" t="s">
        <v>191</v>
      </c>
      <c r="M81" s="65" t="s">
        <v>323</v>
      </c>
      <c r="N81" s="13" t="s">
        <v>43</v>
      </c>
      <c r="O81" s="13" t="s">
        <v>531</v>
      </c>
      <c r="P81" s="13" t="s">
        <v>534</v>
      </c>
      <c r="Q81" s="64" t="s">
        <v>8</v>
      </c>
      <c r="R81" s="62">
        <v>25000</v>
      </c>
      <c r="S81" s="73">
        <v>25000</v>
      </c>
      <c r="T81" s="62">
        <v>25000</v>
      </c>
      <c r="U81" s="62">
        <v>50000</v>
      </c>
      <c r="V81" s="62">
        <v>1166537.21</v>
      </c>
      <c r="W81" s="61" t="s">
        <v>11</v>
      </c>
      <c r="X81" s="181">
        <v>1.7999999999999999E-2</v>
      </c>
      <c r="Y81" s="60">
        <v>44064</v>
      </c>
      <c r="Z81" s="60">
        <v>45674</v>
      </c>
      <c r="AA81" s="60">
        <v>45674</v>
      </c>
      <c r="AB81" s="72">
        <v>1611</v>
      </c>
      <c r="AC81" s="59" t="s">
        <v>10</v>
      </c>
      <c r="AD81" s="58">
        <v>1113</v>
      </c>
      <c r="AE81" s="57">
        <v>3.0493150684931507</v>
      </c>
      <c r="AF81" s="56" t="s">
        <v>436</v>
      </c>
      <c r="AG81" s="71" t="s">
        <v>1</v>
      </c>
      <c r="AH81" s="71" t="s">
        <v>1</v>
      </c>
      <c r="AI81" s="70" t="s">
        <v>0</v>
      </c>
      <c r="AJ81" s="11" t="s">
        <v>0</v>
      </c>
      <c r="AK81" s="11" t="s">
        <v>271</v>
      </c>
      <c r="AL81" s="13" t="s">
        <v>478</v>
      </c>
      <c r="AM81" s="11">
        <v>8815</v>
      </c>
      <c r="AN81" s="52">
        <v>125000</v>
      </c>
      <c r="AO81" s="197" t="s">
        <v>34</v>
      </c>
      <c r="AP81" s="198" t="s">
        <v>102</v>
      </c>
      <c r="AQ81" s="201"/>
      <c r="AS81" s="212">
        <v>0</v>
      </c>
      <c r="AT81" s="212">
        <v>3000</v>
      </c>
      <c r="AU81" s="212">
        <v>600</v>
      </c>
      <c r="AV81" s="212"/>
      <c r="AW81" s="212">
        <v>0</v>
      </c>
      <c r="AX81" s="212">
        <v>0</v>
      </c>
      <c r="BA81" s="212">
        <v>0</v>
      </c>
      <c r="BB81" s="226">
        <v>0</v>
      </c>
      <c r="BC81" s="226"/>
    </row>
    <row r="82" spans="1:55" ht="39.950000000000003" hidden="1" customHeight="1" x14ac:dyDescent="0.2">
      <c r="A82" s="14" t="s">
        <v>501</v>
      </c>
      <c r="B82" s="13" t="s">
        <v>51</v>
      </c>
      <c r="C82" s="66" t="s">
        <v>38</v>
      </c>
      <c r="D82" s="13" t="s">
        <v>541</v>
      </c>
      <c r="E82" s="66" t="s">
        <v>38</v>
      </c>
      <c r="F82" s="14" t="s">
        <v>547</v>
      </c>
      <c r="G82" s="14" t="s">
        <v>124</v>
      </c>
      <c r="H82" s="130" t="s">
        <v>123</v>
      </c>
      <c r="I82" s="66" t="s">
        <v>502</v>
      </c>
      <c r="J82" s="66" t="s">
        <v>219</v>
      </c>
      <c r="K82" s="65" t="s">
        <v>29</v>
      </c>
      <c r="L82" s="65" t="s">
        <v>191</v>
      </c>
      <c r="M82" s="66" t="s">
        <v>323</v>
      </c>
      <c r="N82" s="14" t="s">
        <v>43</v>
      </c>
      <c r="O82" s="14" t="s">
        <v>533</v>
      </c>
      <c r="P82" s="14" t="s">
        <v>532</v>
      </c>
      <c r="Q82" s="64" t="s">
        <v>9</v>
      </c>
      <c r="R82" s="62">
        <v>19086.894130431752</v>
      </c>
      <c r="S82" s="73">
        <v>13700</v>
      </c>
      <c r="T82" s="62">
        <v>19086.894130431752</v>
      </c>
      <c r="U82" s="62">
        <v>118422.33584574446</v>
      </c>
      <c r="V82" s="62">
        <v>243614.68158323696</v>
      </c>
      <c r="W82" s="61" t="s">
        <v>11</v>
      </c>
      <c r="X82" s="181">
        <v>1.0999999999999999E-2</v>
      </c>
      <c r="Y82" s="60">
        <v>44084</v>
      </c>
      <c r="Z82" s="60">
        <v>45208</v>
      </c>
      <c r="AA82" s="60">
        <v>45208</v>
      </c>
      <c r="AB82" s="72">
        <v>1125</v>
      </c>
      <c r="AC82" s="59" t="s">
        <v>10</v>
      </c>
      <c r="AD82" s="58">
        <v>647</v>
      </c>
      <c r="AE82" s="57">
        <v>1.7726027397260273</v>
      </c>
      <c r="AF82" s="56"/>
      <c r="AG82" s="152" t="s">
        <v>1</v>
      </c>
      <c r="AH82" s="152" t="s">
        <v>182</v>
      </c>
      <c r="AI82" s="153" t="s">
        <v>503</v>
      </c>
      <c r="AJ82" s="11" t="s">
        <v>0</v>
      </c>
      <c r="AK82" s="154" t="s">
        <v>271</v>
      </c>
      <c r="AL82" s="13" t="s">
        <v>504</v>
      </c>
      <c r="AN82" s="52">
        <v>20898.059266896082</v>
      </c>
      <c r="AO82" s="197" t="s">
        <v>38</v>
      </c>
      <c r="AP82" s="198" t="s">
        <v>547</v>
      </c>
      <c r="AQ82" s="201"/>
      <c r="AS82" s="212">
        <v>0</v>
      </c>
      <c r="AT82" s="212">
        <v>2290.4272956518103</v>
      </c>
      <c r="AU82" s="212" t="b">
        <v>0</v>
      </c>
      <c r="AV82" s="212"/>
      <c r="AW82" s="212">
        <v>0</v>
      </c>
      <c r="AX82" s="212">
        <v>0</v>
      </c>
      <c r="BA82" s="212">
        <v>0</v>
      </c>
      <c r="BB82" s="226">
        <v>0</v>
      </c>
      <c r="BC82" s="226"/>
    </row>
    <row r="83" spans="1:55" ht="39.950000000000003" hidden="1" customHeight="1" x14ac:dyDescent="0.2">
      <c r="A83" s="13" t="s">
        <v>491</v>
      </c>
      <c r="B83" s="74" t="s">
        <v>67</v>
      </c>
      <c r="C83" s="66" t="s">
        <v>87</v>
      </c>
      <c r="D83" s="13" t="s">
        <v>499</v>
      </c>
      <c r="E83" s="130" t="s">
        <v>162</v>
      </c>
      <c r="F83" s="14" t="s">
        <v>546</v>
      </c>
      <c r="G83" s="131" t="s">
        <v>114</v>
      </c>
      <c r="H83" s="130" t="s">
        <v>167</v>
      </c>
      <c r="I83" s="66" t="s">
        <v>298</v>
      </c>
      <c r="J83" s="14" t="s">
        <v>218</v>
      </c>
      <c r="K83" s="65" t="s">
        <v>209</v>
      </c>
      <c r="L83" s="65" t="s">
        <v>191</v>
      </c>
      <c r="M83" s="65" t="s">
        <v>59</v>
      </c>
      <c r="N83" s="13" t="s">
        <v>43</v>
      </c>
      <c r="O83" s="13" t="s">
        <v>538</v>
      </c>
      <c r="P83" s="13" t="s">
        <v>534</v>
      </c>
      <c r="Q83" s="64" t="s">
        <v>9</v>
      </c>
      <c r="R83" s="62">
        <v>27864.079022528109</v>
      </c>
      <c r="S83" s="73">
        <v>20000</v>
      </c>
      <c r="T83" s="62">
        <v>27864.079022528109</v>
      </c>
      <c r="U83" s="62">
        <v>104490.2963344804</v>
      </c>
      <c r="V83" s="62">
        <v>1159411.7892918345</v>
      </c>
      <c r="W83" s="61" t="s">
        <v>11</v>
      </c>
      <c r="X83" s="181">
        <v>3.5000000000000003E-2</v>
      </c>
      <c r="Y83" s="60">
        <v>44088</v>
      </c>
      <c r="Z83" s="60">
        <v>45151</v>
      </c>
      <c r="AA83" s="60">
        <v>45151</v>
      </c>
      <c r="AB83" s="72">
        <v>1064</v>
      </c>
      <c r="AC83" s="59" t="s">
        <v>10</v>
      </c>
      <c r="AD83" s="58">
        <v>590</v>
      </c>
      <c r="AE83" s="57">
        <v>1.6164383561643836</v>
      </c>
      <c r="AF83" s="56" t="s">
        <v>436</v>
      </c>
      <c r="AG83" s="71" t="s">
        <v>1</v>
      </c>
      <c r="AH83" s="71" t="s">
        <v>1</v>
      </c>
      <c r="AI83" s="70" t="s">
        <v>0</v>
      </c>
      <c r="AJ83" s="11" t="s">
        <v>0</v>
      </c>
      <c r="AK83" s="11" t="s">
        <v>271</v>
      </c>
      <c r="AL83" s="13" t="s">
        <v>484</v>
      </c>
      <c r="AM83" s="11">
        <v>9855</v>
      </c>
      <c r="AN83" s="52">
        <v>100000</v>
      </c>
      <c r="AO83" s="197" t="s">
        <v>162</v>
      </c>
      <c r="AP83" s="198" t="s">
        <v>546</v>
      </c>
      <c r="AQ83" s="201"/>
      <c r="AS83" s="212">
        <v>0</v>
      </c>
      <c r="AT83" s="212">
        <v>3343.689482703373</v>
      </c>
      <c r="AU83" s="212">
        <v>668.73789654067468</v>
      </c>
      <c r="AV83" s="212"/>
      <c r="AW83" s="212">
        <v>0</v>
      </c>
      <c r="AX83" s="212">
        <v>0</v>
      </c>
      <c r="BA83" s="212">
        <v>0</v>
      </c>
      <c r="BB83" s="226">
        <v>0</v>
      </c>
      <c r="BC83" s="226"/>
    </row>
    <row r="84" spans="1:55" ht="39.950000000000003" hidden="1" customHeight="1" x14ac:dyDescent="0.2">
      <c r="A84" s="13" t="s">
        <v>493</v>
      </c>
      <c r="B84" s="69" t="s">
        <v>243</v>
      </c>
      <c r="C84" s="66" t="s">
        <v>87</v>
      </c>
      <c r="D84" s="13" t="s">
        <v>542</v>
      </c>
      <c r="E84" s="130" t="s">
        <v>308</v>
      </c>
      <c r="F84" s="14" t="s">
        <v>102</v>
      </c>
      <c r="G84" s="14" t="s">
        <v>102</v>
      </c>
      <c r="H84" s="67" t="s">
        <v>473</v>
      </c>
      <c r="I84" s="66" t="s">
        <v>298</v>
      </c>
      <c r="J84" s="66" t="s">
        <v>218</v>
      </c>
      <c r="K84" s="128" t="s">
        <v>101</v>
      </c>
      <c r="L84" s="65" t="s">
        <v>191</v>
      </c>
      <c r="M84" s="65" t="s">
        <v>59</v>
      </c>
      <c r="N84" s="13" t="s">
        <v>43</v>
      </c>
      <c r="O84" s="13" t="s">
        <v>533</v>
      </c>
      <c r="P84" s="13" t="s">
        <v>534</v>
      </c>
      <c r="Q84" s="64" t="s">
        <v>487</v>
      </c>
      <c r="R84" s="62">
        <v>25186.319920872585</v>
      </c>
      <c r="S84" s="63">
        <v>160500</v>
      </c>
      <c r="T84" s="62">
        <v>25186.319920872585</v>
      </c>
      <c r="U84" s="62">
        <v>155354.87053996176</v>
      </c>
      <c r="V84" s="62">
        <v>1492071.1738723866</v>
      </c>
      <c r="W84" s="61" t="s">
        <v>11</v>
      </c>
      <c r="X84" s="181">
        <v>2.5000000000000001E-2</v>
      </c>
      <c r="Y84" s="60">
        <v>44091</v>
      </c>
      <c r="Z84" s="60">
        <v>45595</v>
      </c>
      <c r="AA84" s="60">
        <v>45595</v>
      </c>
      <c r="AB84" s="58">
        <v>1505</v>
      </c>
      <c r="AC84" s="59" t="s">
        <v>10</v>
      </c>
      <c r="AD84" s="58">
        <v>1034</v>
      </c>
      <c r="AE84" s="57">
        <v>2.8328767123287673</v>
      </c>
      <c r="AF84" s="56" t="s">
        <v>436</v>
      </c>
      <c r="AG84" s="55" t="s">
        <v>1</v>
      </c>
      <c r="AH84" s="55" t="s">
        <v>1</v>
      </c>
      <c r="AI84" s="54" t="s">
        <v>0</v>
      </c>
      <c r="AJ84" s="11" t="s">
        <v>0</v>
      </c>
      <c r="AK84" s="53" t="s">
        <v>271</v>
      </c>
      <c r="AL84" s="13" t="s">
        <v>483</v>
      </c>
      <c r="AM84" s="11">
        <v>900</v>
      </c>
      <c r="AN84" s="52"/>
      <c r="AO84" s="197" t="s">
        <v>308</v>
      </c>
      <c r="AP84" s="198" t="s">
        <v>102</v>
      </c>
      <c r="AQ84" s="201"/>
      <c r="AS84" s="212">
        <v>0</v>
      </c>
      <c r="AT84" s="212">
        <v>3022.3583905047103</v>
      </c>
      <c r="AU84" s="212">
        <v>604.47167810094209</v>
      </c>
      <c r="AV84" s="212"/>
      <c r="AW84" s="212">
        <v>0</v>
      </c>
      <c r="AX84" s="212">
        <v>0</v>
      </c>
      <c r="BA84" s="212">
        <v>0</v>
      </c>
      <c r="BB84" s="226">
        <v>0</v>
      </c>
      <c r="BC84" s="226"/>
    </row>
    <row r="85" spans="1:55" ht="39.950000000000003" customHeight="1" x14ac:dyDescent="0.2">
      <c r="A85" s="13" t="s">
        <v>497</v>
      </c>
      <c r="B85" s="69" t="s">
        <v>24</v>
      </c>
      <c r="C85" s="66" t="s">
        <v>34</v>
      </c>
      <c r="D85" s="13" t="s">
        <v>34</v>
      </c>
      <c r="E85" s="14" t="s">
        <v>34</v>
      </c>
      <c r="F85" s="14" t="s">
        <v>92</v>
      </c>
      <c r="G85" s="66" t="s">
        <v>100</v>
      </c>
      <c r="H85" s="14" t="s">
        <v>100</v>
      </c>
      <c r="I85" s="66" t="s">
        <v>232</v>
      </c>
      <c r="J85" s="66" t="s">
        <v>21</v>
      </c>
      <c r="K85" s="65" t="s">
        <v>44</v>
      </c>
      <c r="L85" s="65" t="s">
        <v>191</v>
      </c>
      <c r="M85" s="65" t="s">
        <v>323</v>
      </c>
      <c r="N85" s="13" t="s">
        <v>43</v>
      </c>
      <c r="O85" s="13" t="s">
        <v>531</v>
      </c>
      <c r="P85" s="13" t="s">
        <v>534</v>
      </c>
      <c r="Q85" s="64" t="s">
        <v>8</v>
      </c>
      <c r="R85" s="62">
        <v>25000</v>
      </c>
      <c r="S85" s="63">
        <v>25000</v>
      </c>
      <c r="T85" s="62">
        <v>25000</v>
      </c>
      <c r="U85" s="62">
        <v>93608.577000000005</v>
      </c>
      <c r="V85" s="62">
        <v>1139545</v>
      </c>
      <c r="W85" s="61" t="s">
        <v>551</v>
      </c>
      <c r="X85" s="181">
        <v>3.5000000000000003E-2</v>
      </c>
      <c r="Y85" s="60">
        <v>44097</v>
      </c>
      <c r="Z85" s="60">
        <v>45277</v>
      </c>
      <c r="AA85" s="60">
        <v>45277</v>
      </c>
      <c r="AB85" s="58">
        <v>1181</v>
      </c>
      <c r="AC85" s="59" t="s">
        <v>10</v>
      </c>
      <c r="AD85" s="58">
        <v>716</v>
      </c>
      <c r="AE85" s="57">
        <v>1.9616438356164383</v>
      </c>
      <c r="AF85" s="56"/>
      <c r="AG85" s="55" t="s">
        <v>1</v>
      </c>
      <c r="AH85" s="55" t="s">
        <v>1</v>
      </c>
      <c r="AI85" s="54" t="s">
        <v>0</v>
      </c>
      <c r="AJ85" s="11" t="s">
        <v>0</v>
      </c>
      <c r="AK85" s="53" t="s">
        <v>271</v>
      </c>
      <c r="AL85" s="13" t="s">
        <v>486</v>
      </c>
      <c r="AM85" s="11">
        <v>17910</v>
      </c>
      <c r="AN85" s="52">
        <v>35000</v>
      </c>
      <c r="AO85" s="197" t="s">
        <v>34</v>
      </c>
      <c r="AP85" s="198" t="s">
        <v>92</v>
      </c>
      <c r="AQ85" s="199">
        <v>1</v>
      </c>
      <c r="AR85" s="214">
        <v>0.05</v>
      </c>
      <c r="AS85" s="212">
        <v>1250</v>
      </c>
      <c r="AT85" s="212">
        <v>3000</v>
      </c>
      <c r="AU85" s="212" t="b">
        <v>0</v>
      </c>
      <c r="AV85" s="212"/>
      <c r="AW85" s="212">
        <v>1250</v>
      </c>
      <c r="AX85" s="212">
        <v>1250</v>
      </c>
      <c r="AY85" s="12"/>
      <c r="BA85" s="212">
        <v>1250</v>
      </c>
      <c r="BB85" s="226">
        <v>1250</v>
      </c>
      <c r="BC85" s="226">
        <v>1250</v>
      </c>
    </row>
    <row r="86" spans="1:55" ht="39.950000000000003" hidden="1" customHeight="1" x14ac:dyDescent="0.2">
      <c r="A86" s="13" t="s">
        <v>494</v>
      </c>
      <c r="B86" s="69" t="s">
        <v>243</v>
      </c>
      <c r="C86" s="66" t="s">
        <v>87</v>
      </c>
      <c r="D86" s="13" t="s">
        <v>541</v>
      </c>
      <c r="E86" s="130" t="s">
        <v>152</v>
      </c>
      <c r="F86" s="14" t="s">
        <v>439</v>
      </c>
      <c r="G86" s="66" t="s">
        <v>445</v>
      </c>
      <c r="H86" s="14" t="s">
        <v>463</v>
      </c>
      <c r="I86" s="14" t="s">
        <v>298</v>
      </c>
      <c r="J86" s="66" t="s">
        <v>218</v>
      </c>
      <c r="K86" s="65" t="s">
        <v>209</v>
      </c>
      <c r="L86" s="65" t="s">
        <v>191</v>
      </c>
      <c r="M86" s="13" t="s">
        <v>59</v>
      </c>
      <c r="N86" s="65" t="s">
        <v>43</v>
      </c>
      <c r="O86" s="65" t="s">
        <v>531</v>
      </c>
      <c r="P86" s="65" t="s">
        <v>534</v>
      </c>
      <c r="Q86" s="64" t="s">
        <v>488</v>
      </c>
      <c r="R86" s="62">
        <v>22170.38156794172</v>
      </c>
      <c r="S86" s="63">
        <v>1843650</v>
      </c>
      <c r="T86" s="62">
        <v>22170.38156794172</v>
      </c>
      <c r="U86" s="62">
        <v>166910.69138015949</v>
      </c>
      <c r="V86" s="62">
        <v>430377.60633810406</v>
      </c>
      <c r="W86" s="61" t="s">
        <v>11</v>
      </c>
      <c r="X86" s="181">
        <v>0.02</v>
      </c>
      <c r="Y86" s="60">
        <v>44099</v>
      </c>
      <c r="Z86" s="60">
        <v>45539</v>
      </c>
      <c r="AA86" s="60">
        <v>45539</v>
      </c>
      <c r="AB86" s="58">
        <v>1441</v>
      </c>
      <c r="AC86" s="59" t="s">
        <v>10</v>
      </c>
      <c r="AD86" s="58">
        <v>978</v>
      </c>
      <c r="AE86" s="57">
        <v>2.6794520547945204</v>
      </c>
      <c r="AF86" s="56" t="s">
        <v>436</v>
      </c>
      <c r="AG86" s="55" t="s">
        <v>1</v>
      </c>
      <c r="AH86" s="55" t="s">
        <v>1</v>
      </c>
      <c r="AI86" s="54" t="s">
        <v>0</v>
      </c>
      <c r="AJ86" s="11" t="s">
        <v>0</v>
      </c>
      <c r="AK86" s="53" t="s">
        <v>271</v>
      </c>
      <c r="AL86" s="13" t="s">
        <v>485</v>
      </c>
      <c r="AN86" s="52"/>
      <c r="AO86" s="197" t="s">
        <v>152</v>
      </c>
      <c r="AP86" s="198" t="s">
        <v>439</v>
      </c>
      <c r="AQ86" s="201"/>
      <c r="AS86" s="212">
        <v>0</v>
      </c>
      <c r="AT86" s="212">
        <v>2660.4457881530066</v>
      </c>
      <c r="AU86" s="212">
        <v>532.08915763060133</v>
      </c>
      <c r="AV86" s="212"/>
      <c r="AW86" s="212">
        <v>0</v>
      </c>
      <c r="AX86" s="212">
        <v>0</v>
      </c>
      <c r="BA86" s="212">
        <v>0</v>
      </c>
      <c r="BB86" s="226">
        <v>0</v>
      </c>
      <c r="BC86" s="226"/>
    </row>
    <row r="87" spans="1:55" ht="39.950000000000003" hidden="1" customHeight="1" x14ac:dyDescent="0.2">
      <c r="A87" s="131" t="s">
        <v>505</v>
      </c>
      <c r="B87" s="132" t="s">
        <v>24</v>
      </c>
      <c r="C87" s="66" t="s">
        <v>162</v>
      </c>
      <c r="D87" s="13" t="s">
        <v>499</v>
      </c>
      <c r="E87" s="130" t="s">
        <v>162</v>
      </c>
      <c r="F87" s="14" t="s">
        <v>48</v>
      </c>
      <c r="G87" s="131" t="s">
        <v>95</v>
      </c>
      <c r="H87" s="130" t="s">
        <v>447</v>
      </c>
      <c r="I87" s="131" t="s">
        <v>506</v>
      </c>
      <c r="J87" s="131" t="s">
        <v>221</v>
      </c>
      <c r="K87" s="171" t="s">
        <v>209</v>
      </c>
      <c r="L87" s="134" t="s">
        <v>191</v>
      </c>
      <c r="M87" s="134" t="s">
        <v>59</v>
      </c>
      <c r="N87" s="132" t="s">
        <v>43</v>
      </c>
      <c r="O87" s="132" t="s">
        <v>538</v>
      </c>
      <c r="P87" s="132" t="s">
        <v>534</v>
      </c>
      <c r="Q87" s="135" t="s">
        <v>9</v>
      </c>
      <c r="R87" s="136">
        <v>13932.039511264054</v>
      </c>
      <c r="S87" s="73">
        <v>10000</v>
      </c>
      <c r="T87" s="136">
        <v>13932.039511264054</v>
      </c>
      <c r="U87" s="136">
        <v>129985.92864009363</v>
      </c>
      <c r="V87" s="136">
        <v>321832.89911810186</v>
      </c>
      <c r="W87" s="61" t="s">
        <v>11</v>
      </c>
      <c r="X87" s="181">
        <v>2.5000000000000001E-2</v>
      </c>
      <c r="Y87" s="137">
        <v>44136</v>
      </c>
      <c r="Z87" s="137">
        <v>45504</v>
      </c>
      <c r="AA87" s="137">
        <v>45504</v>
      </c>
      <c r="AB87" s="58">
        <v>1369</v>
      </c>
      <c r="AC87" s="59" t="s">
        <v>10</v>
      </c>
      <c r="AD87" s="138">
        <v>943</v>
      </c>
      <c r="AE87" s="140">
        <v>2.5835616438356164</v>
      </c>
      <c r="AF87" s="56"/>
      <c r="AG87" s="141" t="s">
        <v>1</v>
      </c>
      <c r="AH87" s="141" t="s">
        <v>1</v>
      </c>
      <c r="AI87" s="142" t="s">
        <v>0</v>
      </c>
      <c r="AJ87" s="11" t="s">
        <v>0</v>
      </c>
      <c r="AK87" s="144" t="s">
        <v>271</v>
      </c>
      <c r="AL87" s="132" t="s">
        <v>507</v>
      </c>
      <c r="AN87" s="52"/>
      <c r="AO87" s="197" t="s">
        <v>162</v>
      </c>
      <c r="AP87" s="198" t="s">
        <v>48</v>
      </c>
      <c r="AQ87" s="201"/>
      <c r="AS87" s="212">
        <v>0</v>
      </c>
      <c r="AT87" s="212">
        <v>1671.8447413516865</v>
      </c>
      <c r="AU87" s="212" t="b">
        <v>0</v>
      </c>
      <c r="AV87" s="212"/>
      <c r="AW87" s="212">
        <v>0</v>
      </c>
      <c r="AX87" s="212">
        <v>0</v>
      </c>
      <c r="BA87" s="212">
        <v>0</v>
      </c>
      <c r="BB87" s="226">
        <v>0</v>
      </c>
      <c r="BC87" s="226"/>
    </row>
    <row r="88" spans="1:55" ht="39.950000000000003" hidden="1" customHeight="1" x14ac:dyDescent="0.2">
      <c r="A88" s="131" t="s">
        <v>511</v>
      </c>
      <c r="B88" s="132" t="s">
        <v>67</v>
      </c>
      <c r="C88" s="133" t="s">
        <v>127</v>
      </c>
      <c r="D88" s="13" t="s">
        <v>542</v>
      </c>
      <c r="E88" s="161" t="s">
        <v>127</v>
      </c>
      <c r="F88" s="14" t="s">
        <v>546</v>
      </c>
      <c r="G88" s="131" t="s">
        <v>259</v>
      </c>
      <c r="H88" s="66" t="s">
        <v>460</v>
      </c>
      <c r="I88" s="66" t="s">
        <v>158</v>
      </c>
      <c r="J88" s="66" t="s">
        <v>220</v>
      </c>
      <c r="K88" s="13" t="s">
        <v>45</v>
      </c>
      <c r="L88" s="65" t="s">
        <v>191</v>
      </c>
      <c r="M88" s="134" t="s">
        <v>59</v>
      </c>
      <c r="N88" s="132" t="s">
        <v>43</v>
      </c>
      <c r="O88" s="132" t="s">
        <v>533</v>
      </c>
      <c r="P88" s="13" t="s">
        <v>548</v>
      </c>
      <c r="Q88" s="135" t="s">
        <v>59</v>
      </c>
      <c r="R88" s="136">
        <v>23644.388398486761</v>
      </c>
      <c r="S88" s="73">
        <v>15000</v>
      </c>
      <c r="T88" s="136">
        <v>23644.388398486761</v>
      </c>
      <c r="U88" s="136">
        <v>334174.02269861288</v>
      </c>
      <c r="V88" s="136">
        <v>918195.41298865085</v>
      </c>
      <c r="W88" s="61" t="s">
        <v>11</v>
      </c>
      <c r="X88" s="181">
        <v>1.17E-2</v>
      </c>
      <c r="Y88" s="137">
        <v>44146</v>
      </c>
      <c r="Z88" s="137">
        <v>46275</v>
      </c>
      <c r="AA88" s="137">
        <v>46275</v>
      </c>
      <c r="AB88" s="138">
        <v>2130</v>
      </c>
      <c r="AC88" s="59" t="s">
        <v>10</v>
      </c>
      <c r="AD88" s="138">
        <v>1714</v>
      </c>
      <c r="AE88" s="140">
        <v>4.6958904109589037</v>
      </c>
      <c r="AF88" s="56"/>
      <c r="AG88" s="141" t="s">
        <v>1</v>
      </c>
      <c r="AH88" s="141" t="s">
        <v>1</v>
      </c>
      <c r="AI88" s="142" t="s">
        <v>0</v>
      </c>
      <c r="AJ88" s="11" t="s">
        <v>0</v>
      </c>
      <c r="AK88" s="144" t="s">
        <v>271</v>
      </c>
      <c r="AL88" s="132" t="s">
        <v>512</v>
      </c>
      <c r="AN88" s="52"/>
      <c r="AO88" s="197" t="s">
        <v>127</v>
      </c>
      <c r="AP88" s="198" t="s">
        <v>546</v>
      </c>
      <c r="AQ88" s="201"/>
      <c r="AS88" s="212">
        <v>0</v>
      </c>
      <c r="AT88" s="212">
        <v>2837.326607818411</v>
      </c>
      <c r="AU88" s="212" t="b">
        <v>0</v>
      </c>
      <c r="AV88" s="212"/>
      <c r="AW88" s="212">
        <v>0</v>
      </c>
      <c r="AX88" s="212">
        <v>0</v>
      </c>
      <c r="BA88" s="212">
        <v>0</v>
      </c>
      <c r="BB88" s="226">
        <v>0</v>
      </c>
      <c r="BC88" s="226"/>
    </row>
    <row r="89" spans="1:55" ht="39.950000000000003" hidden="1" customHeight="1" x14ac:dyDescent="0.2">
      <c r="A89" s="131" t="s">
        <v>508</v>
      </c>
      <c r="B89" s="132" t="s">
        <v>243</v>
      </c>
      <c r="C89" s="66" t="s">
        <v>162</v>
      </c>
      <c r="D89" s="13" t="s">
        <v>499</v>
      </c>
      <c r="E89" s="130" t="s">
        <v>162</v>
      </c>
      <c r="F89" s="14" t="s">
        <v>102</v>
      </c>
      <c r="G89" s="131" t="s">
        <v>102</v>
      </c>
      <c r="H89" s="130" t="s">
        <v>103</v>
      </c>
      <c r="I89" s="131" t="s">
        <v>509</v>
      </c>
      <c r="J89" s="133" t="s">
        <v>222</v>
      </c>
      <c r="K89" s="65" t="s">
        <v>101</v>
      </c>
      <c r="L89" s="134" t="s">
        <v>191</v>
      </c>
      <c r="M89" s="134" t="s">
        <v>59</v>
      </c>
      <c r="N89" s="132" t="s">
        <v>43</v>
      </c>
      <c r="O89" s="132" t="s">
        <v>531</v>
      </c>
      <c r="P89" s="132" t="s">
        <v>534</v>
      </c>
      <c r="Q89" s="135" t="s">
        <v>9</v>
      </c>
      <c r="R89" s="136">
        <v>27864.079022528109</v>
      </c>
      <c r="S89" s="73">
        <v>20000</v>
      </c>
      <c r="T89" s="136">
        <v>27864.079022528109</v>
      </c>
      <c r="U89" s="136">
        <v>104490.2963344804</v>
      </c>
      <c r="V89" s="136">
        <v>764347</v>
      </c>
      <c r="W89" s="61" t="s">
        <v>11</v>
      </c>
      <c r="X89" s="181">
        <v>1.6E-2</v>
      </c>
      <c r="Y89" s="137">
        <v>44148</v>
      </c>
      <c r="Z89" s="137">
        <v>45734</v>
      </c>
      <c r="AA89" s="137">
        <v>45734</v>
      </c>
      <c r="AB89" s="58">
        <v>1587</v>
      </c>
      <c r="AC89" s="59" t="s">
        <v>10</v>
      </c>
      <c r="AD89" s="138">
        <v>1173</v>
      </c>
      <c r="AE89" s="140">
        <v>3.2136986301369861</v>
      </c>
      <c r="AF89" s="56" t="s">
        <v>436</v>
      </c>
      <c r="AG89" s="141" t="s">
        <v>1</v>
      </c>
      <c r="AH89" s="141" t="s">
        <v>1</v>
      </c>
      <c r="AI89" s="142" t="s">
        <v>0</v>
      </c>
      <c r="AJ89" s="11" t="s">
        <v>0</v>
      </c>
      <c r="AK89" s="144" t="s">
        <v>271</v>
      </c>
      <c r="AL89" s="132" t="s">
        <v>510</v>
      </c>
      <c r="AN89" s="52"/>
      <c r="AO89" s="197" t="s">
        <v>162</v>
      </c>
      <c r="AP89" s="198" t="s">
        <v>102</v>
      </c>
      <c r="AQ89" s="201"/>
      <c r="AS89" s="212">
        <v>0</v>
      </c>
      <c r="AT89" s="212">
        <v>3343.689482703373</v>
      </c>
      <c r="AU89" s="212">
        <v>668.73789654067468</v>
      </c>
      <c r="AV89" s="212"/>
      <c r="AW89" s="212">
        <v>0</v>
      </c>
      <c r="AX89" s="212">
        <v>0</v>
      </c>
      <c r="BA89" s="212">
        <v>0</v>
      </c>
      <c r="BB89" s="226">
        <v>0</v>
      </c>
      <c r="BC89" s="226"/>
    </row>
    <row r="90" spans="1:55" ht="39.950000000000003" hidden="1" customHeight="1" x14ac:dyDescent="0.2">
      <c r="A90" s="132" t="s">
        <v>513</v>
      </c>
      <c r="B90" s="132" t="s">
        <v>51</v>
      </c>
      <c r="C90" s="133" t="s">
        <v>88</v>
      </c>
      <c r="D90" s="13" t="s">
        <v>542</v>
      </c>
      <c r="E90" s="145" t="s">
        <v>88</v>
      </c>
      <c r="F90" s="66" t="s">
        <v>106</v>
      </c>
      <c r="G90" s="131" t="s">
        <v>106</v>
      </c>
      <c r="H90" s="66" t="s">
        <v>107</v>
      </c>
      <c r="I90" s="133" t="s">
        <v>61</v>
      </c>
      <c r="J90" s="133" t="s">
        <v>220</v>
      </c>
      <c r="K90" s="14" t="s">
        <v>101</v>
      </c>
      <c r="L90" s="134" t="s">
        <v>191</v>
      </c>
      <c r="M90" s="134" t="s">
        <v>59</v>
      </c>
      <c r="N90" s="132" t="s">
        <v>43</v>
      </c>
      <c r="O90" s="132" t="s">
        <v>533</v>
      </c>
      <c r="P90" s="13" t="s">
        <v>548</v>
      </c>
      <c r="Q90" s="135" t="s">
        <v>59</v>
      </c>
      <c r="R90" s="136">
        <v>4728.8776796973525</v>
      </c>
      <c r="S90" s="73">
        <v>3000</v>
      </c>
      <c r="T90" s="136">
        <v>4728.8776796973525</v>
      </c>
      <c r="U90" s="136">
        <v>31525.851197982349</v>
      </c>
      <c r="V90" s="136">
        <v>115993</v>
      </c>
      <c r="W90" s="61" t="s">
        <v>11</v>
      </c>
      <c r="X90" s="181">
        <v>0.01</v>
      </c>
      <c r="Y90" s="137">
        <v>44159</v>
      </c>
      <c r="Z90" s="137">
        <v>45792</v>
      </c>
      <c r="AA90" s="137">
        <v>45792</v>
      </c>
      <c r="AB90" s="138">
        <v>1634</v>
      </c>
      <c r="AC90" s="139" t="s">
        <v>10</v>
      </c>
      <c r="AD90" s="138">
        <v>1231</v>
      </c>
      <c r="AE90" s="140">
        <v>3.3726027397260272</v>
      </c>
      <c r="AF90" s="56"/>
      <c r="AG90" s="141" t="s">
        <v>1</v>
      </c>
      <c r="AH90" s="141" t="s">
        <v>1</v>
      </c>
      <c r="AI90" s="187" t="s">
        <v>0</v>
      </c>
      <c r="AJ90" s="11" t="s">
        <v>0</v>
      </c>
      <c r="AK90" s="144" t="s">
        <v>271</v>
      </c>
      <c r="AL90" s="132" t="s">
        <v>514</v>
      </c>
      <c r="AN90" s="52"/>
      <c r="AO90" s="197" t="s">
        <v>88</v>
      </c>
      <c r="AP90" s="198" t="s">
        <v>106</v>
      </c>
      <c r="AQ90" s="201"/>
      <c r="AS90" s="212">
        <v>0</v>
      </c>
      <c r="AT90" s="212">
        <v>567.46532156368232</v>
      </c>
      <c r="AU90" s="212" t="b">
        <v>0</v>
      </c>
      <c r="AV90" s="212"/>
      <c r="AW90" s="212">
        <v>0</v>
      </c>
      <c r="AX90" s="212">
        <v>0</v>
      </c>
      <c r="BA90" s="212">
        <v>0</v>
      </c>
      <c r="BB90" s="226">
        <v>0</v>
      </c>
      <c r="BC90" s="226"/>
    </row>
    <row r="91" spans="1:55" ht="39.950000000000003" hidden="1" customHeight="1" x14ac:dyDescent="0.2">
      <c r="A91" s="132" t="s">
        <v>524</v>
      </c>
      <c r="B91" s="132" t="s">
        <v>24</v>
      </c>
      <c r="C91" s="133" t="s">
        <v>37</v>
      </c>
      <c r="D91" s="13" t="s">
        <v>541</v>
      </c>
      <c r="E91" s="145" t="s">
        <v>152</v>
      </c>
      <c r="F91" s="14" t="s">
        <v>102</v>
      </c>
      <c r="G91" s="14" t="s">
        <v>102</v>
      </c>
      <c r="H91" s="130" t="s">
        <v>473</v>
      </c>
      <c r="I91" s="146" t="s">
        <v>526</v>
      </c>
      <c r="J91" s="133" t="s">
        <v>221</v>
      </c>
      <c r="K91" s="14" t="s">
        <v>101</v>
      </c>
      <c r="L91" s="134" t="s">
        <v>191</v>
      </c>
      <c r="M91" s="134" t="s">
        <v>323</v>
      </c>
      <c r="N91" s="132" t="s">
        <v>43</v>
      </c>
      <c r="O91" s="132" t="s">
        <v>533</v>
      </c>
      <c r="P91" s="132" t="s">
        <v>534</v>
      </c>
      <c r="Q91" s="135" t="s">
        <v>488</v>
      </c>
      <c r="R91" s="136">
        <v>31265.691468905959</v>
      </c>
      <c r="S91" s="73">
        <v>2600000</v>
      </c>
      <c r="T91" s="136">
        <v>31265.691468905959</v>
      </c>
      <c r="U91" s="136">
        <v>84176.861647054509</v>
      </c>
      <c r="V91" s="136">
        <v>661526.57095549058</v>
      </c>
      <c r="W91" s="147" t="s">
        <v>11</v>
      </c>
      <c r="X91" s="181">
        <v>0.01</v>
      </c>
      <c r="Y91" s="137">
        <v>44166</v>
      </c>
      <c r="Z91" s="137">
        <v>45504</v>
      </c>
      <c r="AA91" s="137">
        <v>45504</v>
      </c>
      <c r="AB91" s="138">
        <v>1339</v>
      </c>
      <c r="AC91" s="139" t="s">
        <v>10</v>
      </c>
      <c r="AD91" s="138">
        <v>943</v>
      </c>
      <c r="AE91" s="140">
        <v>2.5835616438356164</v>
      </c>
      <c r="AF91" s="56" t="s">
        <v>436</v>
      </c>
      <c r="AG91" s="141" t="s">
        <v>1</v>
      </c>
      <c r="AH91" s="141" t="s">
        <v>1</v>
      </c>
      <c r="AI91" s="187" t="s">
        <v>0</v>
      </c>
      <c r="AJ91" s="11" t="s">
        <v>0</v>
      </c>
      <c r="AK91" s="164" t="s">
        <v>271</v>
      </c>
      <c r="AL91" s="132" t="s">
        <v>525</v>
      </c>
      <c r="AN91" s="52"/>
      <c r="AO91" s="197" t="s">
        <v>152</v>
      </c>
      <c r="AP91" s="198" t="s">
        <v>102</v>
      </c>
      <c r="AQ91" s="201"/>
      <c r="AS91" s="212">
        <v>0</v>
      </c>
      <c r="AT91" s="212">
        <v>3751.8829762687151</v>
      </c>
      <c r="AU91" s="212">
        <v>750.37659525374306</v>
      </c>
      <c r="AV91" s="212"/>
      <c r="AW91" s="212">
        <v>0</v>
      </c>
      <c r="AX91" s="212">
        <v>0</v>
      </c>
      <c r="BA91" s="212">
        <v>0</v>
      </c>
      <c r="BB91" s="226">
        <v>0</v>
      </c>
      <c r="BC91" s="226"/>
    </row>
    <row r="92" spans="1:55" ht="39.950000000000003" hidden="1" customHeight="1" x14ac:dyDescent="0.2">
      <c r="A92" s="131" t="s">
        <v>155</v>
      </c>
      <c r="B92" s="132" t="s">
        <v>51</v>
      </c>
      <c r="C92" s="133" t="s">
        <v>87</v>
      </c>
      <c r="D92" s="13" t="s">
        <v>542</v>
      </c>
      <c r="E92" s="145" t="s">
        <v>87</v>
      </c>
      <c r="F92" s="14" t="s">
        <v>102</v>
      </c>
      <c r="G92" s="131" t="s">
        <v>102</v>
      </c>
      <c r="H92" s="130" t="s">
        <v>122</v>
      </c>
      <c r="I92" s="133" t="s">
        <v>705</v>
      </c>
      <c r="J92" s="133" t="s">
        <v>220</v>
      </c>
      <c r="K92" s="66" t="s">
        <v>101</v>
      </c>
      <c r="L92" s="134" t="s">
        <v>191</v>
      </c>
      <c r="M92" s="134" t="s">
        <v>59</v>
      </c>
      <c r="N92" s="132" t="s">
        <v>43</v>
      </c>
      <c r="O92" s="132" t="s">
        <v>533</v>
      </c>
      <c r="P92" s="132" t="s">
        <v>534</v>
      </c>
      <c r="Q92" s="135" t="s">
        <v>156</v>
      </c>
      <c r="R92" s="136">
        <v>9425.603709917621</v>
      </c>
      <c r="S92" s="73">
        <v>5000</v>
      </c>
      <c r="T92" s="136">
        <v>9425.603709917621</v>
      </c>
      <c r="U92" s="136">
        <v>67864.346711406863</v>
      </c>
      <c r="V92" s="136">
        <v>449356.23126661259</v>
      </c>
      <c r="W92" s="147" t="s">
        <v>11</v>
      </c>
      <c r="X92" s="181">
        <v>1.7999999999999999E-2</v>
      </c>
      <c r="Y92" s="137">
        <v>44211</v>
      </c>
      <c r="Z92" s="137">
        <v>46029</v>
      </c>
      <c r="AA92" s="137">
        <v>46029</v>
      </c>
      <c r="AB92" s="138">
        <v>1819</v>
      </c>
      <c r="AC92" s="172" t="s">
        <v>10</v>
      </c>
      <c r="AD92" s="138">
        <v>1468</v>
      </c>
      <c r="AE92" s="140">
        <v>4.021917808219178</v>
      </c>
      <c r="AF92" s="56"/>
      <c r="AG92" s="162" t="s">
        <v>1</v>
      </c>
      <c r="AH92" s="162" t="s">
        <v>1</v>
      </c>
      <c r="AI92" s="187" t="s">
        <v>0</v>
      </c>
      <c r="AJ92" s="11" t="s">
        <v>0</v>
      </c>
      <c r="AK92" s="164" t="s">
        <v>271</v>
      </c>
      <c r="AL92" s="131" t="s">
        <v>348</v>
      </c>
      <c r="AM92" s="11">
        <v>6807.5</v>
      </c>
      <c r="AO92" s="197" t="s">
        <v>87</v>
      </c>
      <c r="AP92" s="198" t="s">
        <v>102</v>
      </c>
      <c r="AS92" s="212">
        <v>0</v>
      </c>
      <c r="AT92" s="212">
        <v>1131.0724451901144</v>
      </c>
      <c r="AU92" s="212" t="b">
        <v>0</v>
      </c>
      <c r="AV92" s="212"/>
      <c r="AW92" s="212">
        <v>0</v>
      </c>
      <c r="AX92" s="212">
        <v>0</v>
      </c>
      <c r="BA92" s="212">
        <v>0</v>
      </c>
      <c r="BB92" s="226">
        <v>0</v>
      </c>
      <c r="BC92" s="226"/>
    </row>
    <row r="93" spans="1:55" ht="39.950000000000003" hidden="1" customHeight="1" x14ac:dyDescent="0.2">
      <c r="A93" s="132" t="s">
        <v>528</v>
      </c>
      <c r="B93" s="132" t="s">
        <v>24</v>
      </c>
      <c r="C93" s="133" t="s">
        <v>34</v>
      </c>
      <c r="D93" s="131" t="s">
        <v>34</v>
      </c>
      <c r="E93" s="161" t="s">
        <v>34</v>
      </c>
      <c r="F93" s="14" t="s">
        <v>102</v>
      </c>
      <c r="G93" s="14" t="s">
        <v>102</v>
      </c>
      <c r="H93" s="66" t="s">
        <v>103</v>
      </c>
      <c r="I93" s="66" t="s">
        <v>70</v>
      </c>
      <c r="J93" s="66" t="s">
        <v>218</v>
      </c>
      <c r="K93" s="13" t="s">
        <v>101</v>
      </c>
      <c r="L93" s="65" t="s">
        <v>191</v>
      </c>
      <c r="M93" s="65" t="s">
        <v>323</v>
      </c>
      <c r="N93" s="13" t="s">
        <v>43</v>
      </c>
      <c r="O93" s="13" t="s">
        <v>533</v>
      </c>
      <c r="P93" s="13" t="s">
        <v>534</v>
      </c>
      <c r="Q93" s="64" t="s">
        <v>8</v>
      </c>
      <c r="R93" s="136">
        <v>30000</v>
      </c>
      <c r="S93" s="73">
        <v>30000</v>
      </c>
      <c r="T93" s="136">
        <v>30000</v>
      </c>
      <c r="U93" s="136">
        <v>319000</v>
      </c>
      <c r="V93" s="136">
        <v>1021098</v>
      </c>
      <c r="W93" s="61" t="s">
        <v>11</v>
      </c>
      <c r="X93" s="181">
        <v>3.15E-2</v>
      </c>
      <c r="Y93" s="137">
        <v>44218</v>
      </c>
      <c r="Z93" s="137">
        <v>44962</v>
      </c>
      <c r="AA93" s="137">
        <v>44962</v>
      </c>
      <c r="AB93" s="58">
        <v>745</v>
      </c>
      <c r="AC93" s="59" t="s">
        <v>10</v>
      </c>
      <c r="AD93" s="138">
        <v>401</v>
      </c>
      <c r="AE93" s="140">
        <v>1.0986301369863014</v>
      </c>
      <c r="AF93" s="56" t="s">
        <v>436</v>
      </c>
      <c r="AG93" s="141" t="s">
        <v>1</v>
      </c>
      <c r="AH93" s="141" t="s">
        <v>1</v>
      </c>
      <c r="AI93" s="142" t="s">
        <v>530</v>
      </c>
      <c r="AJ93" s="11" t="s">
        <v>0</v>
      </c>
      <c r="AK93" s="164" t="s">
        <v>271</v>
      </c>
      <c r="AL93" s="132" t="s">
        <v>529</v>
      </c>
      <c r="AN93" s="52"/>
      <c r="AO93" s="197" t="s">
        <v>34</v>
      </c>
      <c r="AP93" s="198" t="s">
        <v>102</v>
      </c>
      <c r="AQ93" s="201"/>
      <c r="AS93" s="212">
        <v>0</v>
      </c>
      <c r="AT93" s="212">
        <v>3600</v>
      </c>
      <c r="AU93" s="212">
        <v>720</v>
      </c>
      <c r="AV93" s="212"/>
      <c r="AW93" s="212">
        <v>0</v>
      </c>
      <c r="AX93" s="212">
        <v>0</v>
      </c>
      <c r="BA93" s="212">
        <v>0</v>
      </c>
      <c r="BB93" s="226">
        <v>0</v>
      </c>
      <c r="BC93" s="226"/>
    </row>
    <row r="94" spans="1:55" ht="39.950000000000003" hidden="1" customHeight="1" x14ac:dyDescent="0.2">
      <c r="A94" s="131" t="s">
        <v>554</v>
      </c>
      <c r="B94" s="132" t="s">
        <v>51</v>
      </c>
      <c r="C94" s="133" t="s">
        <v>88</v>
      </c>
      <c r="D94" s="13" t="s">
        <v>542</v>
      </c>
      <c r="E94" s="133" t="s">
        <v>88</v>
      </c>
      <c r="F94" s="14" t="s">
        <v>102</v>
      </c>
      <c r="G94" s="131" t="s">
        <v>102</v>
      </c>
      <c r="H94" s="66" t="s">
        <v>474</v>
      </c>
      <c r="I94" s="133" t="s">
        <v>555</v>
      </c>
      <c r="J94" s="133" t="s">
        <v>220</v>
      </c>
      <c r="K94" s="14" t="s">
        <v>101</v>
      </c>
      <c r="L94" s="134" t="s">
        <v>191</v>
      </c>
      <c r="M94" s="134" t="s">
        <v>59</v>
      </c>
      <c r="N94" s="132" t="s">
        <v>43</v>
      </c>
      <c r="O94" s="132" t="s">
        <v>533</v>
      </c>
      <c r="P94" s="167" t="s">
        <v>548</v>
      </c>
      <c r="Q94" s="135" t="s">
        <v>59</v>
      </c>
      <c r="R94" s="136">
        <v>15762.925598991174</v>
      </c>
      <c r="S94" s="73">
        <v>10000</v>
      </c>
      <c r="T94" s="136">
        <v>15762.925598991174</v>
      </c>
      <c r="U94" s="136">
        <v>25000</v>
      </c>
      <c r="V94" s="136">
        <v>417185.52963430015</v>
      </c>
      <c r="W94" s="147" t="s">
        <v>11</v>
      </c>
      <c r="X94" s="181">
        <v>1.35E-2</v>
      </c>
      <c r="Y94" s="137">
        <v>44225</v>
      </c>
      <c r="Z94" s="137">
        <v>45337</v>
      </c>
      <c r="AA94" s="137">
        <v>45337</v>
      </c>
      <c r="AB94" s="138">
        <v>1113</v>
      </c>
      <c r="AC94" s="139" t="s">
        <v>10</v>
      </c>
      <c r="AD94" s="138">
        <v>776</v>
      </c>
      <c r="AE94" s="140">
        <v>2.1260273972602741</v>
      </c>
      <c r="AF94" s="56"/>
      <c r="AG94" s="162" t="s">
        <v>1</v>
      </c>
      <c r="AH94" s="162" t="s">
        <v>1</v>
      </c>
      <c r="AI94" s="187" t="s">
        <v>0</v>
      </c>
      <c r="AJ94" s="11" t="s">
        <v>0</v>
      </c>
      <c r="AK94" s="164" t="s">
        <v>271</v>
      </c>
      <c r="AL94" s="131" t="s">
        <v>556</v>
      </c>
      <c r="AO94" s="197" t="s">
        <v>88</v>
      </c>
      <c r="AP94" s="198" t="s">
        <v>102</v>
      </c>
      <c r="AS94" s="212">
        <v>0</v>
      </c>
      <c r="AT94" s="212">
        <v>1891.5510718789408</v>
      </c>
      <c r="AU94" s="212" t="b">
        <v>0</v>
      </c>
      <c r="AV94" s="212"/>
      <c r="AW94" s="212">
        <v>0</v>
      </c>
      <c r="AX94" s="212">
        <v>0</v>
      </c>
      <c r="BA94" s="212">
        <v>0</v>
      </c>
      <c r="BB94" s="226">
        <v>0</v>
      </c>
      <c r="BC94" s="226"/>
    </row>
    <row r="95" spans="1:55" ht="39.950000000000003" hidden="1" customHeight="1" x14ac:dyDescent="0.2">
      <c r="A95" s="131" t="s">
        <v>557</v>
      </c>
      <c r="B95" s="132" t="s">
        <v>51</v>
      </c>
      <c r="C95" s="133" t="s">
        <v>89</v>
      </c>
      <c r="D95" s="13" t="s">
        <v>542</v>
      </c>
      <c r="E95" s="161" t="s">
        <v>89</v>
      </c>
      <c r="F95" s="131" t="s">
        <v>547</v>
      </c>
      <c r="G95" s="131" t="s">
        <v>124</v>
      </c>
      <c r="H95" s="130" t="s">
        <v>123</v>
      </c>
      <c r="I95" s="133" t="s">
        <v>220</v>
      </c>
      <c r="J95" s="133" t="s">
        <v>220</v>
      </c>
      <c r="K95" s="14" t="s">
        <v>29</v>
      </c>
      <c r="L95" s="134" t="s">
        <v>191</v>
      </c>
      <c r="M95" s="134" t="s">
        <v>59</v>
      </c>
      <c r="N95" s="132" t="s">
        <v>43</v>
      </c>
      <c r="O95" s="167" t="s">
        <v>538</v>
      </c>
      <c r="P95" s="167" t="s">
        <v>534</v>
      </c>
      <c r="Q95" s="135" t="s">
        <v>59</v>
      </c>
      <c r="R95" s="136">
        <v>15762.925598991174</v>
      </c>
      <c r="S95" s="73">
        <v>7070</v>
      </c>
      <c r="T95" s="136">
        <v>11144.388398486759</v>
      </c>
      <c r="U95" s="136">
        <v>87799.495586380843</v>
      </c>
      <c r="V95" s="136">
        <v>286885.24590163934</v>
      </c>
      <c r="W95" s="147" t="s">
        <v>11</v>
      </c>
      <c r="X95" s="181">
        <v>1.2999999999999999E-2</v>
      </c>
      <c r="Y95" s="137">
        <v>44236</v>
      </c>
      <c r="Z95" s="137">
        <v>45657</v>
      </c>
      <c r="AA95" s="137">
        <v>45657</v>
      </c>
      <c r="AB95" s="138">
        <v>1422</v>
      </c>
      <c r="AC95" s="139" t="s">
        <v>10</v>
      </c>
      <c r="AD95" s="138">
        <v>1096</v>
      </c>
      <c r="AE95" s="140">
        <v>3.0027397260273974</v>
      </c>
      <c r="AF95" s="56"/>
      <c r="AG95" s="162" t="s">
        <v>1</v>
      </c>
      <c r="AH95" s="162" t="s">
        <v>1</v>
      </c>
      <c r="AI95" s="187" t="s">
        <v>0</v>
      </c>
      <c r="AJ95" s="11" t="s">
        <v>0</v>
      </c>
      <c r="AK95" s="164" t="s">
        <v>271</v>
      </c>
      <c r="AL95" s="131" t="s">
        <v>558</v>
      </c>
      <c r="AO95" s="197" t="s">
        <v>89</v>
      </c>
      <c r="AP95" s="198" t="s">
        <v>547</v>
      </c>
      <c r="AS95" s="212">
        <v>0</v>
      </c>
      <c r="AT95" s="212">
        <v>1337.326607818411</v>
      </c>
      <c r="AU95" s="212" t="b">
        <v>0</v>
      </c>
      <c r="AV95" s="212"/>
      <c r="AW95" s="212">
        <v>0</v>
      </c>
      <c r="AX95" s="212">
        <v>0</v>
      </c>
      <c r="BA95" s="212">
        <v>0</v>
      </c>
      <c r="BB95" s="226">
        <v>0</v>
      </c>
      <c r="BC95" s="226"/>
    </row>
    <row r="96" spans="1:55" ht="39.950000000000003" hidden="1" customHeight="1" x14ac:dyDescent="0.2">
      <c r="A96" s="131" t="s">
        <v>559</v>
      </c>
      <c r="B96" s="132" t="s">
        <v>243</v>
      </c>
      <c r="C96" s="133" t="s">
        <v>560</v>
      </c>
      <c r="D96" s="131" t="s">
        <v>499</v>
      </c>
      <c r="E96" s="161" t="s">
        <v>162</v>
      </c>
      <c r="F96" s="131" t="s">
        <v>48</v>
      </c>
      <c r="G96" s="131" t="s">
        <v>120</v>
      </c>
      <c r="H96" s="66" t="s">
        <v>121</v>
      </c>
      <c r="I96" s="133" t="s">
        <v>561</v>
      </c>
      <c r="J96" s="133" t="s">
        <v>220</v>
      </c>
      <c r="K96" s="14" t="s">
        <v>29</v>
      </c>
      <c r="L96" s="134" t="s">
        <v>191</v>
      </c>
      <c r="M96" s="134" t="s">
        <v>59</v>
      </c>
      <c r="N96" s="132" t="s">
        <v>43</v>
      </c>
      <c r="O96" s="167" t="s">
        <v>533</v>
      </c>
      <c r="P96" s="167" t="s">
        <v>534</v>
      </c>
      <c r="Q96" s="135" t="s">
        <v>9</v>
      </c>
      <c r="R96" s="136">
        <v>13932.039511264054</v>
      </c>
      <c r="S96" s="73">
        <v>9625</v>
      </c>
      <c r="T96" s="136">
        <v>13409.588029591652</v>
      </c>
      <c r="U96" s="136">
        <v>84985.441018710728</v>
      </c>
      <c r="V96" s="136">
        <v>1471054.9061677139</v>
      </c>
      <c r="W96" s="147" t="s">
        <v>11</v>
      </c>
      <c r="X96" s="181">
        <v>3.8100000000000002E-2</v>
      </c>
      <c r="Y96" s="137">
        <v>44246</v>
      </c>
      <c r="Z96" s="137">
        <v>46079</v>
      </c>
      <c r="AA96" s="137">
        <v>46079</v>
      </c>
      <c r="AB96" s="138">
        <v>1834</v>
      </c>
      <c r="AC96" s="139" t="s">
        <v>10</v>
      </c>
      <c r="AD96" s="138">
        <v>1518</v>
      </c>
      <c r="AE96" s="140">
        <v>4.1589041095890407</v>
      </c>
      <c r="AF96" s="56"/>
      <c r="AG96" s="162" t="s">
        <v>1</v>
      </c>
      <c r="AH96" s="162" t="s">
        <v>1</v>
      </c>
      <c r="AI96" s="163" t="s">
        <v>736</v>
      </c>
      <c r="AJ96" s="11" t="s">
        <v>0</v>
      </c>
      <c r="AK96" s="164" t="s">
        <v>271</v>
      </c>
      <c r="AL96" s="131" t="s">
        <v>562</v>
      </c>
      <c r="AO96" s="197" t="s">
        <v>162</v>
      </c>
      <c r="AP96" s="198" t="s">
        <v>48</v>
      </c>
      <c r="AS96" s="212">
        <v>0</v>
      </c>
      <c r="AT96" s="212">
        <v>1609.1505635509982</v>
      </c>
      <c r="AU96" s="212" t="b">
        <v>0</v>
      </c>
      <c r="AV96" s="212"/>
      <c r="AW96" s="212">
        <v>0</v>
      </c>
      <c r="AX96" s="212">
        <v>0</v>
      </c>
      <c r="BA96" s="212">
        <v>0</v>
      </c>
      <c r="BB96" s="226">
        <v>0</v>
      </c>
      <c r="BC96" s="226"/>
    </row>
    <row r="97" spans="1:55" ht="39.950000000000003" hidden="1" customHeight="1" x14ac:dyDescent="0.2">
      <c r="A97" s="131" t="s">
        <v>564</v>
      </c>
      <c r="B97" s="132" t="s">
        <v>23</v>
      </c>
      <c r="C97" s="133" t="s">
        <v>88</v>
      </c>
      <c r="D97" s="131" t="s">
        <v>542</v>
      </c>
      <c r="E97" s="161" t="s">
        <v>193</v>
      </c>
      <c r="F97" s="131" t="s">
        <v>92</v>
      </c>
      <c r="G97" s="131" t="s">
        <v>134</v>
      </c>
      <c r="H97" s="66" t="s">
        <v>134</v>
      </c>
      <c r="I97" s="133" t="s">
        <v>61</v>
      </c>
      <c r="J97" s="133" t="s">
        <v>220</v>
      </c>
      <c r="K97" s="14" t="s">
        <v>68</v>
      </c>
      <c r="L97" s="134" t="s">
        <v>191</v>
      </c>
      <c r="M97" s="134" t="s">
        <v>59</v>
      </c>
      <c r="N97" s="132" t="s">
        <v>43</v>
      </c>
      <c r="O97" s="167" t="s">
        <v>538</v>
      </c>
      <c r="P97" s="167" t="s">
        <v>534</v>
      </c>
      <c r="Q97" s="135" t="s">
        <v>9</v>
      </c>
      <c r="R97" s="136">
        <v>13932.039511264054</v>
      </c>
      <c r="S97" s="73">
        <v>10000</v>
      </c>
      <c r="T97" s="136">
        <v>13932.039511264054</v>
      </c>
      <c r="U97" s="136">
        <v>69660.197556320272</v>
      </c>
      <c r="V97" s="136">
        <v>540795.92348523904</v>
      </c>
      <c r="W97" s="147" t="s">
        <v>11</v>
      </c>
      <c r="X97" s="181">
        <v>4.4999999999999998E-2</v>
      </c>
      <c r="Y97" s="137">
        <v>44264</v>
      </c>
      <c r="Z97" s="137">
        <v>45213</v>
      </c>
      <c r="AA97" s="137">
        <v>45213</v>
      </c>
      <c r="AB97" s="138">
        <v>950</v>
      </c>
      <c r="AC97" s="139" t="s">
        <v>10</v>
      </c>
      <c r="AD97" s="138">
        <v>652</v>
      </c>
      <c r="AE97" s="140">
        <v>1.7863013698630137</v>
      </c>
      <c r="AF97" s="56"/>
      <c r="AG97" s="162" t="s">
        <v>1</v>
      </c>
      <c r="AH97" s="162" t="s">
        <v>1</v>
      </c>
      <c r="AI97" s="187" t="s">
        <v>0</v>
      </c>
      <c r="AJ97" s="11" t="s">
        <v>0</v>
      </c>
      <c r="AK97" s="164" t="s">
        <v>271</v>
      </c>
      <c r="AL97" s="131" t="s">
        <v>565</v>
      </c>
      <c r="AO97" s="197" t="s">
        <v>193</v>
      </c>
      <c r="AP97" s="198" t="s">
        <v>92</v>
      </c>
      <c r="AS97" s="212">
        <v>0</v>
      </c>
      <c r="AT97" s="212">
        <v>1671.8447413516865</v>
      </c>
      <c r="AU97" s="212" t="b">
        <v>0</v>
      </c>
      <c r="AV97" s="212"/>
      <c r="AW97" s="212">
        <v>0</v>
      </c>
      <c r="AX97" s="212">
        <v>0</v>
      </c>
      <c r="BA97" s="212">
        <v>0</v>
      </c>
      <c r="BB97" s="226">
        <v>0</v>
      </c>
      <c r="BC97" s="226"/>
    </row>
    <row r="98" spans="1:55" ht="39.950000000000003" hidden="1" customHeight="1" x14ac:dyDescent="0.2">
      <c r="A98" s="131" t="s">
        <v>566</v>
      </c>
      <c r="B98" s="132" t="s">
        <v>23</v>
      </c>
      <c r="C98" s="133" t="s">
        <v>88</v>
      </c>
      <c r="D98" s="131" t="s">
        <v>542</v>
      </c>
      <c r="E98" s="161" t="s">
        <v>166</v>
      </c>
      <c r="F98" s="131" t="s">
        <v>92</v>
      </c>
      <c r="G98" s="131" t="s">
        <v>134</v>
      </c>
      <c r="H98" s="66" t="s">
        <v>134</v>
      </c>
      <c r="I98" s="133" t="s">
        <v>61</v>
      </c>
      <c r="J98" s="133" t="s">
        <v>220</v>
      </c>
      <c r="K98" s="14" t="s">
        <v>68</v>
      </c>
      <c r="L98" s="134" t="s">
        <v>191</v>
      </c>
      <c r="M98" s="134" t="s">
        <v>59</v>
      </c>
      <c r="N98" s="132" t="s">
        <v>43</v>
      </c>
      <c r="O98" s="167" t="s">
        <v>538</v>
      </c>
      <c r="P98" s="167" t="s">
        <v>548</v>
      </c>
      <c r="Q98" s="135" t="s">
        <v>9</v>
      </c>
      <c r="R98" s="136">
        <v>6966.0197556320272</v>
      </c>
      <c r="S98" s="73">
        <v>5000</v>
      </c>
      <c r="T98" s="136">
        <v>6966.0197556320272</v>
      </c>
      <c r="U98" s="136">
        <v>132354.37535700851</v>
      </c>
      <c r="V98" s="136">
        <v>231692.6313443025</v>
      </c>
      <c r="W98" s="147" t="s">
        <v>11</v>
      </c>
      <c r="X98" s="181">
        <v>3.4000000000000002E-2</v>
      </c>
      <c r="Y98" s="137">
        <v>44274</v>
      </c>
      <c r="Z98" s="137">
        <v>45545</v>
      </c>
      <c r="AA98" s="137">
        <v>45545</v>
      </c>
      <c r="AB98" s="175">
        <v>1272</v>
      </c>
      <c r="AC98" s="176" t="s">
        <v>10</v>
      </c>
      <c r="AD98" s="175">
        <v>984</v>
      </c>
      <c r="AE98" s="177">
        <v>2.6958904109589041</v>
      </c>
      <c r="AF98" s="173"/>
      <c r="AG98" s="178" t="s">
        <v>1</v>
      </c>
      <c r="AH98" s="178" t="s">
        <v>1</v>
      </c>
      <c r="AI98" s="187" t="s">
        <v>0</v>
      </c>
      <c r="AJ98" s="11" t="s">
        <v>0</v>
      </c>
      <c r="AK98" s="164" t="s">
        <v>271</v>
      </c>
      <c r="AL98" s="168" t="s">
        <v>567</v>
      </c>
      <c r="AM98" s="11">
        <v>6000</v>
      </c>
      <c r="AO98" s="197" t="s">
        <v>166</v>
      </c>
      <c r="AP98" s="198" t="s">
        <v>92</v>
      </c>
      <c r="AS98" s="212">
        <v>0</v>
      </c>
      <c r="AT98" s="212">
        <v>835.92237067584324</v>
      </c>
      <c r="AU98" s="212" t="b">
        <v>0</v>
      </c>
      <c r="AV98" s="212"/>
      <c r="AW98" s="212">
        <v>0</v>
      </c>
      <c r="AX98" s="212">
        <v>0</v>
      </c>
      <c r="BA98" s="212">
        <v>0</v>
      </c>
      <c r="BB98" s="226">
        <v>0</v>
      </c>
      <c r="BC98" s="226"/>
    </row>
    <row r="99" spans="1:55" ht="39.950000000000003" hidden="1" customHeight="1" x14ac:dyDescent="0.2">
      <c r="A99" s="131" t="s">
        <v>575</v>
      </c>
      <c r="B99" s="132" t="s">
        <v>23</v>
      </c>
      <c r="C99" s="133" t="s">
        <v>37</v>
      </c>
      <c r="D99" s="13" t="s">
        <v>540</v>
      </c>
      <c r="E99" s="161" t="s">
        <v>36</v>
      </c>
      <c r="F99" s="131" t="s">
        <v>104</v>
      </c>
      <c r="G99" s="131" t="s">
        <v>111</v>
      </c>
      <c r="H99" s="66" t="s">
        <v>449</v>
      </c>
      <c r="I99" s="133" t="s">
        <v>77</v>
      </c>
      <c r="J99" s="133" t="s">
        <v>220</v>
      </c>
      <c r="K99" s="14" t="s">
        <v>29</v>
      </c>
      <c r="L99" s="134" t="s">
        <v>191</v>
      </c>
      <c r="M99" s="134" t="s">
        <v>323</v>
      </c>
      <c r="N99" s="132" t="s">
        <v>43</v>
      </c>
      <c r="O99" s="167" t="s">
        <v>531</v>
      </c>
      <c r="P99" s="167" t="s">
        <v>548</v>
      </c>
      <c r="Q99" s="135" t="s">
        <v>9</v>
      </c>
      <c r="R99" s="136">
        <v>15325.243462390459</v>
      </c>
      <c r="S99" s="73">
        <v>9000</v>
      </c>
      <c r="T99" s="136">
        <v>12538.835560137648</v>
      </c>
      <c r="U99" s="136">
        <v>69660.197556320272</v>
      </c>
      <c r="V99" s="136">
        <v>940276.13302311325</v>
      </c>
      <c r="W99" s="147" t="s">
        <v>11</v>
      </c>
      <c r="X99" s="181">
        <v>3.7999999999999999E-2</v>
      </c>
      <c r="Y99" s="137">
        <v>44285</v>
      </c>
      <c r="Z99" s="137">
        <v>45413</v>
      </c>
      <c r="AA99" s="174">
        <v>45413</v>
      </c>
      <c r="AB99" s="175">
        <v>1129</v>
      </c>
      <c r="AC99" s="176" t="s">
        <v>10</v>
      </c>
      <c r="AD99" s="175">
        <v>852</v>
      </c>
      <c r="AE99" s="177">
        <v>2.3342465753424659</v>
      </c>
      <c r="AF99" s="173"/>
      <c r="AG99" s="178" t="s">
        <v>1</v>
      </c>
      <c r="AH99" s="178" t="s">
        <v>1</v>
      </c>
      <c r="AI99" s="179" t="s">
        <v>568</v>
      </c>
      <c r="AJ99" s="11" t="s">
        <v>0</v>
      </c>
      <c r="AK99" s="164" t="s">
        <v>271</v>
      </c>
      <c r="AL99" s="168" t="s">
        <v>576</v>
      </c>
      <c r="AM99" s="11">
        <v>12225</v>
      </c>
      <c r="AO99" s="197" t="s">
        <v>36</v>
      </c>
      <c r="AP99" s="198" t="s">
        <v>104</v>
      </c>
      <c r="AS99" s="212">
        <v>0</v>
      </c>
      <c r="AT99" s="212">
        <v>1504.6602672165177</v>
      </c>
      <c r="AU99" s="212" t="b">
        <v>0</v>
      </c>
      <c r="AV99" s="212"/>
      <c r="AW99" s="212">
        <v>0</v>
      </c>
      <c r="AX99" s="212">
        <v>0</v>
      </c>
      <c r="BA99" s="212">
        <v>0</v>
      </c>
      <c r="BB99" s="226">
        <v>0</v>
      </c>
      <c r="BC99" s="226"/>
    </row>
    <row r="100" spans="1:55" ht="39.950000000000003" hidden="1" customHeight="1" x14ac:dyDescent="0.2">
      <c r="A100" s="131" t="s">
        <v>578</v>
      </c>
      <c r="B100" s="132" t="s">
        <v>23</v>
      </c>
      <c r="C100" s="133" t="s">
        <v>149</v>
      </c>
      <c r="D100" s="131" t="s">
        <v>496</v>
      </c>
      <c r="E100" s="161" t="s">
        <v>125</v>
      </c>
      <c r="F100" s="131" t="s">
        <v>104</v>
      </c>
      <c r="G100" s="131" t="s">
        <v>111</v>
      </c>
      <c r="H100" s="66" t="s">
        <v>450</v>
      </c>
      <c r="I100" s="133" t="s">
        <v>283</v>
      </c>
      <c r="J100" s="133" t="s">
        <v>148</v>
      </c>
      <c r="K100" s="14" t="s">
        <v>209</v>
      </c>
      <c r="L100" s="134" t="s">
        <v>191</v>
      </c>
      <c r="M100" s="134" t="s">
        <v>59</v>
      </c>
      <c r="N100" s="132" t="s">
        <v>43</v>
      </c>
      <c r="O100" s="167" t="s">
        <v>531</v>
      </c>
      <c r="P100" s="167" t="s">
        <v>548</v>
      </c>
      <c r="Q100" s="135" t="s">
        <v>9</v>
      </c>
      <c r="R100" s="136">
        <v>20898.059266896082</v>
      </c>
      <c r="S100" s="73">
        <v>15000</v>
      </c>
      <c r="T100" s="136">
        <v>20898.059266896082</v>
      </c>
      <c r="U100" s="136">
        <v>111456.31609011244</v>
      </c>
      <c r="V100" s="136">
        <v>1097481.3101689958</v>
      </c>
      <c r="W100" s="147" t="s">
        <v>11</v>
      </c>
      <c r="X100" s="185">
        <v>0.03</v>
      </c>
      <c r="Y100" s="137">
        <v>44328</v>
      </c>
      <c r="Z100" s="137">
        <v>46505</v>
      </c>
      <c r="AA100" s="137">
        <v>46505</v>
      </c>
      <c r="AB100" s="175">
        <v>2178</v>
      </c>
      <c r="AC100" s="176" t="s">
        <v>10</v>
      </c>
      <c r="AD100" s="138">
        <v>1944</v>
      </c>
      <c r="AE100" s="140">
        <v>5.3260273972602743</v>
      </c>
      <c r="AF100" s="184"/>
      <c r="AG100" s="186" t="s">
        <v>1</v>
      </c>
      <c r="AH100" s="186" t="s">
        <v>1</v>
      </c>
      <c r="AI100" s="187" t="s">
        <v>0</v>
      </c>
      <c r="AJ100" s="11" t="s">
        <v>0</v>
      </c>
      <c r="AK100" s="164" t="s">
        <v>271</v>
      </c>
      <c r="AL100" s="188" t="s">
        <v>579</v>
      </c>
      <c r="AO100" s="197" t="s">
        <v>125</v>
      </c>
      <c r="AP100" s="198" t="s">
        <v>104</v>
      </c>
      <c r="AS100" s="212">
        <v>0</v>
      </c>
      <c r="AT100" s="212">
        <v>2507.7671120275295</v>
      </c>
      <c r="AU100" s="212" t="b">
        <v>0</v>
      </c>
      <c r="AV100" s="212"/>
      <c r="AW100" s="212">
        <v>0</v>
      </c>
      <c r="AX100" s="212">
        <v>0</v>
      </c>
      <c r="BA100" s="212">
        <v>0</v>
      </c>
      <c r="BB100" s="226">
        <v>0</v>
      </c>
      <c r="BC100" s="226"/>
    </row>
    <row r="101" spans="1:55" ht="39.950000000000003" hidden="1" customHeight="1" x14ac:dyDescent="0.2">
      <c r="A101" s="131" t="s">
        <v>586</v>
      </c>
      <c r="B101" s="132" t="s">
        <v>67</v>
      </c>
      <c r="C101" s="133" t="s">
        <v>38</v>
      </c>
      <c r="D101" s="13" t="s">
        <v>540</v>
      </c>
      <c r="E101" s="161" t="s">
        <v>229</v>
      </c>
      <c r="F101" s="14" t="s">
        <v>102</v>
      </c>
      <c r="G101" s="131" t="s">
        <v>102</v>
      </c>
      <c r="H101" s="66" t="s">
        <v>474</v>
      </c>
      <c r="I101" s="133" t="s">
        <v>142</v>
      </c>
      <c r="J101" s="66" t="s">
        <v>218</v>
      </c>
      <c r="K101" s="14" t="s">
        <v>209</v>
      </c>
      <c r="L101" s="134" t="s">
        <v>191</v>
      </c>
      <c r="M101" s="134" t="s">
        <v>323</v>
      </c>
      <c r="N101" s="132" t="s">
        <v>43</v>
      </c>
      <c r="O101" s="167" t="s">
        <v>531</v>
      </c>
      <c r="P101" s="13" t="s">
        <v>534</v>
      </c>
      <c r="Q101" s="135" t="s">
        <v>9</v>
      </c>
      <c r="R101" s="136">
        <v>10449.029633448041</v>
      </c>
      <c r="S101" s="73">
        <v>7500</v>
      </c>
      <c r="T101" s="136">
        <v>10449.029633448041</v>
      </c>
      <c r="U101" s="136">
        <v>13061.28704181005</v>
      </c>
      <c r="V101" s="136">
        <v>966404.62822352559</v>
      </c>
      <c r="W101" s="147" t="s">
        <v>11</v>
      </c>
      <c r="X101" s="185">
        <v>0.06</v>
      </c>
      <c r="Y101" s="137">
        <v>44349</v>
      </c>
      <c r="Z101" s="137">
        <v>45419</v>
      </c>
      <c r="AA101" s="137">
        <v>45419</v>
      </c>
      <c r="AB101" s="175">
        <v>1071</v>
      </c>
      <c r="AC101" s="176" t="s">
        <v>10</v>
      </c>
      <c r="AD101" s="138">
        <v>858</v>
      </c>
      <c r="AE101" s="140">
        <v>2.3506849315068492</v>
      </c>
      <c r="AF101" s="184"/>
      <c r="AG101" s="186" t="s">
        <v>1</v>
      </c>
      <c r="AH101" s="186" t="s">
        <v>1</v>
      </c>
      <c r="AI101" s="187" t="s">
        <v>0</v>
      </c>
      <c r="AJ101" s="11" t="s">
        <v>0</v>
      </c>
      <c r="AK101" s="164" t="s">
        <v>271</v>
      </c>
      <c r="AL101" s="188" t="s">
        <v>580</v>
      </c>
      <c r="AO101" s="197" t="s">
        <v>229</v>
      </c>
      <c r="AP101" s="198" t="s">
        <v>102</v>
      </c>
      <c r="AS101" s="212">
        <v>0</v>
      </c>
      <c r="AT101" s="212">
        <v>1253.8835560137647</v>
      </c>
      <c r="AU101" s="212" t="b">
        <v>0</v>
      </c>
      <c r="AV101" s="212"/>
      <c r="AW101" s="212">
        <v>0</v>
      </c>
      <c r="AX101" s="212">
        <v>0</v>
      </c>
      <c r="BA101" s="212">
        <v>0</v>
      </c>
      <c r="BB101" s="226">
        <v>0</v>
      </c>
      <c r="BC101" s="226"/>
    </row>
    <row r="102" spans="1:55" ht="39.950000000000003" hidden="1" customHeight="1" x14ac:dyDescent="0.2">
      <c r="A102" s="131" t="s">
        <v>587</v>
      </c>
      <c r="B102" s="132" t="s">
        <v>67</v>
      </c>
      <c r="C102" s="133" t="s">
        <v>588</v>
      </c>
      <c r="D102" s="131" t="s">
        <v>499</v>
      </c>
      <c r="E102" s="161" t="s">
        <v>162</v>
      </c>
      <c r="F102" s="131" t="s">
        <v>233</v>
      </c>
      <c r="G102" s="131" t="s">
        <v>233</v>
      </c>
      <c r="H102" s="131" t="s">
        <v>443</v>
      </c>
      <c r="I102" s="133" t="s">
        <v>589</v>
      </c>
      <c r="J102" s="66" t="s">
        <v>218</v>
      </c>
      <c r="K102" s="14" t="s">
        <v>209</v>
      </c>
      <c r="L102" s="134" t="s">
        <v>191</v>
      </c>
      <c r="M102" s="134" t="s">
        <v>59</v>
      </c>
      <c r="N102" s="132" t="s">
        <v>43</v>
      </c>
      <c r="O102" s="167" t="s">
        <v>531</v>
      </c>
      <c r="P102" s="13" t="s">
        <v>534</v>
      </c>
      <c r="Q102" s="135" t="s">
        <v>9</v>
      </c>
      <c r="R102" s="136">
        <v>20898.059266896082</v>
      </c>
      <c r="S102" s="73">
        <v>15000</v>
      </c>
      <c r="T102" s="136">
        <v>20898.059266896082</v>
      </c>
      <c r="U102" s="136">
        <v>41796.118533792163</v>
      </c>
      <c r="V102" s="136">
        <v>2243581.5233292002</v>
      </c>
      <c r="W102" s="147" t="s">
        <v>11</v>
      </c>
      <c r="X102" s="185">
        <v>5.7500000000000002E-2</v>
      </c>
      <c r="Y102" s="137">
        <v>44365</v>
      </c>
      <c r="Z102" s="137">
        <v>46107</v>
      </c>
      <c r="AA102" s="137">
        <v>46107</v>
      </c>
      <c r="AB102" s="175">
        <v>1743</v>
      </c>
      <c r="AC102" s="176" t="s">
        <v>10</v>
      </c>
      <c r="AD102" s="138">
        <v>1546</v>
      </c>
      <c r="AE102" s="140">
        <v>4.2356164383561641</v>
      </c>
      <c r="AF102" s="184"/>
      <c r="AG102" s="186" t="s">
        <v>1</v>
      </c>
      <c r="AH102" s="186" t="s">
        <v>1</v>
      </c>
      <c r="AI102" s="187" t="s">
        <v>0</v>
      </c>
      <c r="AJ102" s="11" t="s">
        <v>0</v>
      </c>
      <c r="AK102" s="164" t="s">
        <v>271</v>
      </c>
      <c r="AL102" s="188" t="s">
        <v>581</v>
      </c>
      <c r="AO102" s="197" t="s">
        <v>162</v>
      </c>
      <c r="AP102" s="198" t="s">
        <v>233</v>
      </c>
      <c r="AS102" s="212">
        <v>0</v>
      </c>
      <c r="AT102" s="212">
        <v>2507.7671120275295</v>
      </c>
      <c r="AU102" s="212" t="b">
        <v>0</v>
      </c>
      <c r="AV102" s="212"/>
      <c r="AW102" s="212">
        <v>0</v>
      </c>
      <c r="AX102" s="212">
        <v>0</v>
      </c>
      <c r="BA102" s="212">
        <v>0</v>
      </c>
      <c r="BB102" s="226">
        <v>0</v>
      </c>
      <c r="BC102" s="226"/>
    </row>
    <row r="103" spans="1:55" ht="39.950000000000003" hidden="1" customHeight="1" x14ac:dyDescent="0.2">
      <c r="A103" s="131" t="s">
        <v>590</v>
      </c>
      <c r="B103" s="132" t="s">
        <v>24</v>
      </c>
      <c r="C103" s="192" t="s">
        <v>38</v>
      </c>
      <c r="D103" s="13" t="s">
        <v>540</v>
      </c>
      <c r="E103" s="161" t="s">
        <v>35</v>
      </c>
      <c r="F103" s="131" t="s">
        <v>104</v>
      </c>
      <c r="G103" s="131" t="s">
        <v>111</v>
      </c>
      <c r="H103" s="66" t="s">
        <v>450</v>
      </c>
      <c r="I103" s="133" t="s">
        <v>591</v>
      </c>
      <c r="J103" s="133" t="s">
        <v>218</v>
      </c>
      <c r="K103" s="168" t="s">
        <v>209</v>
      </c>
      <c r="L103" s="194" t="s">
        <v>191</v>
      </c>
      <c r="M103" s="134" t="s">
        <v>323</v>
      </c>
      <c r="N103" s="167" t="s">
        <v>43</v>
      </c>
      <c r="O103" s="167" t="s">
        <v>538</v>
      </c>
      <c r="P103" s="167" t="s">
        <v>534</v>
      </c>
      <c r="Q103" s="135" t="s">
        <v>66</v>
      </c>
      <c r="R103" s="136">
        <v>20825.852480197744</v>
      </c>
      <c r="S103" s="73">
        <v>1112163</v>
      </c>
      <c r="T103" s="136">
        <v>20825.852480197744</v>
      </c>
      <c r="U103" s="136">
        <v>63048.91110986274</v>
      </c>
      <c r="V103" s="136">
        <v>1282501.6420425819</v>
      </c>
      <c r="W103" s="147" t="s">
        <v>11</v>
      </c>
      <c r="X103" s="185">
        <v>0.05</v>
      </c>
      <c r="Y103" s="137">
        <v>44369</v>
      </c>
      <c r="Z103" s="137">
        <v>45415</v>
      </c>
      <c r="AA103" s="137">
        <v>45415</v>
      </c>
      <c r="AB103" s="138">
        <v>1047</v>
      </c>
      <c r="AC103" s="139" t="s">
        <v>10</v>
      </c>
      <c r="AD103" s="138">
        <v>854</v>
      </c>
      <c r="AE103" s="140">
        <v>2.3397260273972602</v>
      </c>
      <c r="AF103" s="184" t="s">
        <v>436</v>
      </c>
      <c r="AG103" s="186" t="s">
        <v>1</v>
      </c>
      <c r="AH103" s="186" t="s">
        <v>1</v>
      </c>
      <c r="AI103" s="187" t="s">
        <v>0</v>
      </c>
      <c r="AJ103" s="11" t="s">
        <v>0</v>
      </c>
      <c r="AK103" s="164" t="s">
        <v>271</v>
      </c>
      <c r="AL103" s="188" t="s">
        <v>592</v>
      </c>
      <c r="AO103" s="197" t="s">
        <v>35</v>
      </c>
      <c r="AP103" s="198" t="s">
        <v>104</v>
      </c>
      <c r="AS103" s="212">
        <v>0</v>
      </c>
      <c r="AT103" s="212">
        <v>2499.1022976237291</v>
      </c>
      <c r="AU103" s="212">
        <v>499.82045952474584</v>
      </c>
      <c r="AV103" s="212"/>
      <c r="AW103" s="212">
        <v>0</v>
      </c>
      <c r="AX103" s="212">
        <v>0</v>
      </c>
      <c r="BA103" s="212">
        <v>0</v>
      </c>
      <c r="BB103" s="226">
        <v>0</v>
      </c>
      <c r="BC103" s="226"/>
    </row>
    <row r="104" spans="1:55" ht="39.950000000000003" hidden="1" customHeight="1" x14ac:dyDescent="0.2">
      <c r="A104" s="131" t="s">
        <v>593</v>
      </c>
      <c r="B104" s="132" t="s">
        <v>67</v>
      </c>
      <c r="C104" s="133" t="s">
        <v>588</v>
      </c>
      <c r="D104" s="188" t="s">
        <v>542</v>
      </c>
      <c r="E104" s="161" t="s">
        <v>127</v>
      </c>
      <c r="F104" s="14" t="s">
        <v>546</v>
      </c>
      <c r="G104" s="131" t="s">
        <v>114</v>
      </c>
      <c r="H104" s="131" t="s">
        <v>167</v>
      </c>
      <c r="I104" s="133" t="s">
        <v>589</v>
      </c>
      <c r="J104" s="133" t="s">
        <v>218</v>
      </c>
      <c r="K104" s="14" t="s">
        <v>140</v>
      </c>
      <c r="L104" s="194" t="s">
        <v>191</v>
      </c>
      <c r="M104" s="134" t="s">
        <v>59</v>
      </c>
      <c r="N104" s="167" t="s">
        <v>43</v>
      </c>
      <c r="O104" s="167" t="s">
        <v>538</v>
      </c>
      <c r="P104" s="167" t="s">
        <v>534</v>
      </c>
      <c r="Q104" s="135" t="s">
        <v>59</v>
      </c>
      <c r="R104" s="136">
        <v>23644.388398486761</v>
      </c>
      <c r="S104" s="73">
        <v>15000</v>
      </c>
      <c r="T104" s="136">
        <v>23644.388398486761</v>
      </c>
      <c r="U104" s="136">
        <v>157629.25598991173</v>
      </c>
      <c r="V104" s="136">
        <v>1598439.2023959646</v>
      </c>
      <c r="W104" s="147" t="s">
        <v>11</v>
      </c>
      <c r="X104" s="185">
        <v>2.8500000000000001E-2</v>
      </c>
      <c r="Y104" s="137">
        <v>44372</v>
      </c>
      <c r="Z104" s="137">
        <v>46475</v>
      </c>
      <c r="AA104" s="137">
        <v>46475</v>
      </c>
      <c r="AB104" s="138">
        <v>2104</v>
      </c>
      <c r="AC104" s="139" t="s">
        <v>10</v>
      </c>
      <c r="AD104" s="138">
        <v>1914</v>
      </c>
      <c r="AE104" s="140">
        <v>5.2438356164383562</v>
      </c>
      <c r="AF104" s="184"/>
      <c r="AG104" s="186" t="s">
        <v>1</v>
      </c>
      <c r="AH104" s="186" t="s">
        <v>1</v>
      </c>
      <c r="AI104" s="187" t="s">
        <v>0</v>
      </c>
      <c r="AJ104" s="11" t="s">
        <v>0</v>
      </c>
      <c r="AK104" s="164" t="s">
        <v>271</v>
      </c>
      <c r="AL104" s="188" t="s">
        <v>582</v>
      </c>
      <c r="AO104" s="197" t="s">
        <v>127</v>
      </c>
      <c r="AP104" s="198" t="s">
        <v>546</v>
      </c>
      <c r="AS104" s="212">
        <v>0</v>
      </c>
      <c r="AT104" s="212">
        <v>2837.326607818411</v>
      </c>
      <c r="AU104" s="212" t="b">
        <v>0</v>
      </c>
      <c r="AV104" s="212"/>
      <c r="AW104" s="212">
        <v>0</v>
      </c>
      <c r="AX104" s="212">
        <v>0</v>
      </c>
      <c r="BA104" s="212">
        <v>0</v>
      </c>
      <c r="BB104" s="226">
        <v>0</v>
      </c>
      <c r="BC104" s="226"/>
    </row>
    <row r="105" spans="1:55" ht="39.950000000000003" hidden="1" customHeight="1" x14ac:dyDescent="0.2">
      <c r="A105" s="131" t="s">
        <v>594</v>
      </c>
      <c r="B105" s="132" t="s">
        <v>67</v>
      </c>
      <c r="C105" s="133" t="s">
        <v>588</v>
      </c>
      <c r="D105" s="188" t="s">
        <v>499</v>
      </c>
      <c r="E105" s="193" t="s">
        <v>162</v>
      </c>
      <c r="F105" s="188" t="s">
        <v>233</v>
      </c>
      <c r="G105" s="131" t="s">
        <v>233</v>
      </c>
      <c r="H105" s="131" t="s">
        <v>443</v>
      </c>
      <c r="I105" s="133" t="s">
        <v>589</v>
      </c>
      <c r="J105" s="133" t="s">
        <v>218</v>
      </c>
      <c r="K105" s="168" t="s">
        <v>209</v>
      </c>
      <c r="L105" s="194" t="s">
        <v>191</v>
      </c>
      <c r="M105" s="134" t="s">
        <v>59</v>
      </c>
      <c r="N105" s="167" t="s">
        <v>43</v>
      </c>
      <c r="O105" s="167" t="s">
        <v>538</v>
      </c>
      <c r="P105" s="167" t="s">
        <v>534</v>
      </c>
      <c r="Q105" s="135" t="s">
        <v>9</v>
      </c>
      <c r="R105" s="136">
        <v>20898.059266896082</v>
      </c>
      <c r="S105" s="73">
        <v>15000</v>
      </c>
      <c r="T105" s="136">
        <v>20898.059266896082</v>
      </c>
      <c r="U105" s="136">
        <v>97245.635788623098</v>
      </c>
      <c r="V105" s="136">
        <v>1771273.7367123172</v>
      </c>
      <c r="W105" s="147" t="s">
        <v>11</v>
      </c>
      <c r="X105" s="185">
        <v>4.4999999999999998E-2</v>
      </c>
      <c r="Y105" s="137">
        <v>44372</v>
      </c>
      <c r="Z105" s="137">
        <v>46112</v>
      </c>
      <c r="AA105" s="137">
        <v>46112</v>
      </c>
      <c r="AB105" s="138">
        <v>1741</v>
      </c>
      <c r="AC105" s="139" t="s">
        <v>10</v>
      </c>
      <c r="AD105" s="138">
        <v>1551</v>
      </c>
      <c r="AE105" s="140">
        <v>4.2493150684931509</v>
      </c>
      <c r="AF105" s="184"/>
      <c r="AG105" s="186" t="s">
        <v>1</v>
      </c>
      <c r="AH105" s="186" t="s">
        <v>1</v>
      </c>
      <c r="AI105" s="187" t="s">
        <v>0</v>
      </c>
      <c r="AJ105" s="11" t="s">
        <v>0</v>
      </c>
      <c r="AK105" s="164" t="s">
        <v>271</v>
      </c>
      <c r="AL105" s="188" t="s">
        <v>583</v>
      </c>
      <c r="AO105" s="197" t="s">
        <v>162</v>
      </c>
      <c r="AP105" s="198" t="s">
        <v>233</v>
      </c>
      <c r="AS105" s="212">
        <v>0</v>
      </c>
      <c r="AT105" s="212">
        <v>2507.7671120275295</v>
      </c>
      <c r="AU105" s="212" t="b">
        <v>0</v>
      </c>
      <c r="AV105" s="212"/>
      <c r="AW105" s="212">
        <v>0</v>
      </c>
      <c r="AX105" s="212">
        <v>0</v>
      </c>
      <c r="BA105" s="212">
        <v>0</v>
      </c>
      <c r="BB105" s="226">
        <v>0</v>
      </c>
      <c r="BC105" s="226"/>
    </row>
    <row r="106" spans="1:55" ht="39.950000000000003" hidden="1" customHeight="1" x14ac:dyDescent="0.2">
      <c r="A106" s="131" t="s">
        <v>595</v>
      </c>
      <c r="B106" s="132" t="s">
        <v>51</v>
      </c>
      <c r="C106" s="192" t="s">
        <v>38</v>
      </c>
      <c r="D106" s="13" t="s">
        <v>540</v>
      </c>
      <c r="E106" s="161" t="s">
        <v>36</v>
      </c>
      <c r="F106" s="188" t="s">
        <v>102</v>
      </c>
      <c r="G106" s="188" t="s">
        <v>102</v>
      </c>
      <c r="H106" s="190" t="s">
        <v>474</v>
      </c>
      <c r="I106" s="133" t="s">
        <v>142</v>
      </c>
      <c r="J106" s="133" t="s">
        <v>218</v>
      </c>
      <c r="K106" s="168" t="s">
        <v>209</v>
      </c>
      <c r="L106" s="194" t="s">
        <v>191</v>
      </c>
      <c r="M106" s="134" t="s">
        <v>323</v>
      </c>
      <c r="N106" s="167" t="s">
        <v>43</v>
      </c>
      <c r="O106" s="167" t="s">
        <v>538</v>
      </c>
      <c r="P106" s="167" t="s">
        <v>534</v>
      </c>
      <c r="Q106" s="135" t="s">
        <v>9</v>
      </c>
      <c r="R106" s="136">
        <v>20898.059266896082</v>
      </c>
      <c r="S106" s="73">
        <v>15000</v>
      </c>
      <c r="T106" s="136">
        <v>20898.059266896082</v>
      </c>
      <c r="U106" s="136">
        <v>41796.118533792163</v>
      </c>
      <c r="V106" s="136">
        <v>2546660.7409058609</v>
      </c>
      <c r="W106" s="147" t="s">
        <v>11</v>
      </c>
      <c r="X106" s="185">
        <v>7.85E-2</v>
      </c>
      <c r="Y106" s="137">
        <v>44377</v>
      </c>
      <c r="Z106" s="137">
        <v>45460</v>
      </c>
      <c r="AA106" s="137">
        <v>45460</v>
      </c>
      <c r="AB106" s="138">
        <v>1084</v>
      </c>
      <c r="AC106" s="139" t="s">
        <v>10</v>
      </c>
      <c r="AD106" s="138">
        <v>899</v>
      </c>
      <c r="AE106" s="140">
        <v>2.463013698630137</v>
      </c>
      <c r="AF106" s="184"/>
      <c r="AG106" s="186" t="s">
        <v>1</v>
      </c>
      <c r="AH106" s="186" t="s">
        <v>1</v>
      </c>
      <c r="AI106" s="187" t="s">
        <v>0</v>
      </c>
      <c r="AJ106" s="11" t="s">
        <v>0</v>
      </c>
      <c r="AK106" s="164" t="s">
        <v>271</v>
      </c>
      <c r="AL106" s="188" t="s">
        <v>584</v>
      </c>
      <c r="AO106" s="197" t="s">
        <v>36</v>
      </c>
      <c r="AP106" s="198" t="s">
        <v>102</v>
      </c>
      <c r="AS106" s="212">
        <v>0</v>
      </c>
      <c r="AT106" s="212">
        <v>2507.7671120275295</v>
      </c>
      <c r="AU106" s="212" t="b">
        <v>0</v>
      </c>
      <c r="AV106" s="212"/>
      <c r="AW106" s="212">
        <v>0</v>
      </c>
      <c r="AX106" s="212">
        <v>0</v>
      </c>
      <c r="BA106" s="212">
        <v>0</v>
      </c>
      <c r="BB106" s="226">
        <v>0</v>
      </c>
      <c r="BC106" s="226"/>
    </row>
    <row r="107" spans="1:55" ht="39.950000000000003" hidden="1" customHeight="1" x14ac:dyDescent="0.2">
      <c r="A107" s="131" t="s">
        <v>596</v>
      </c>
      <c r="B107" s="132" t="s">
        <v>24</v>
      </c>
      <c r="C107" s="133" t="s">
        <v>166</v>
      </c>
      <c r="D107" s="188" t="s">
        <v>542</v>
      </c>
      <c r="E107" s="161" t="s">
        <v>166</v>
      </c>
      <c r="F107" s="188" t="s">
        <v>102</v>
      </c>
      <c r="G107" s="188" t="s">
        <v>102</v>
      </c>
      <c r="H107" s="66" t="s">
        <v>103</v>
      </c>
      <c r="I107" s="133" t="s">
        <v>597</v>
      </c>
      <c r="J107" s="192" t="s">
        <v>220</v>
      </c>
      <c r="K107" s="168" t="s">
        <v>209</v>
      </c>
      <c r="L107" s="194" t="s">
        <v>191</v>
      </c>
      <c r="M107" s="134" t="s">
        <v>59</v>
      </c>
      <c r="N107" s="167" t="s">
        <v>43</v>
      </c>
      <c r="O107" s="167" t="s">
        <v>538</v>
      </c>
      <c r="P107" s="167" t="s">
        <v>534</v>
      </c>
      <c r="Q107" s="135" t="s">
        <v>59</v>
      </c>
      <c r="R107" s="136">
        <v>34678.436317780579</v>
      </c>
      <c r="S107" s="73">
        <v>22000</v>
      </c>
      <c r="T107" s="136">
        <v>34678.436317780579</v>
      </c>
      <c r="U107" s="136">
        <v>292559.89911727619</v>
      </c>
      <c r="V107" s="136">
        <v>1714562.0901639345</v>
      </c>
      <c r="W107" s="147" t="s">
        <v>11</v>
      </c>
      <c r="X107" s="185">
        <v>1.4500000000000001E-2</v>
      </c>
      <c r="Y107" s="137">
        <v>44376</v>
      </c>
      <c r="Z107" s="137">
        <v>46565</v>
      </c>
      <c r="AA107" s="137">
        <v>46565</v>
      </c>
      <c r="AB107" s="138">
        <v>2190</v>
      </c>
      <c r="AC107" s="139" t="s">
        <v>10</v>
      </c>
      <c r="AD107" s="138">
        <v>2004</v>
      </c>
      <c r="AE107" s="140">
        <v>5.4904109589041097</v>
      </c>
      <c r="AF107" s="184" t="s">
        <v>436</v>
      </c>
      <c r="AG107" s="186" t="s">
        <v>1</v>
      </c>
      <c r="AH107" s="186" t="s">
        <v>1</v>
      </c>
      <c r="AI107" s="187" t="s">
        <v>0</v>
      </c>
      <c r="AJ107" s="11" t="s">
        <v>0</v>
      </c>
      <c r="AK107" s="164" t="s">
        <v>271</v>
      </c>
      <c r="AL107" s="188" t="s">
        <v>585</v>
      </c>
      <c r="AO107" s="197" t="s">
        <v>166</v>
      </c>
      <c r="AP107" s="198" t="s">
        <v>102</v>
      </c>
      <c r="AS107" s="212">
        <v>0</v>
      </c>
      <c r="AT107" s="212">
        <v>4161.4123581336689</v>
      </c>
      <c r="AU107" s="212">
        <v>832.28247162673381</v>
      </c>
      <c r="AV107" s="212"/>
      <c r="AW107" s="212">
        <v>0</v>
      </c>
      <c r="AX107" s="212">
        <v>0</v>
      </c>
      <c r="BA107" s="212">
        <v>0</v>
      </c>
      <c r="BB107" s="226">
        <v>0</v>
      </c>
      <c r="BC107" s="226"/>
    </row>
    <row r="108" spans="1:55" ht="39.950000000000003" hidden="1" customHeight="1" x14ac:dyDescent="0.2">
      <c r="A108" s="131" t="s">
        <v>625</v>
      </c>
      <c r="B108" s="132" t="s">
        <v>67</v>
      </c>
      <c r="C108" s="133" t="s">
        <v>127</v>
      </c>
      <c r="D108" s="188" t="s">
        <v>542</v>
      </c>
      <c r="E108" s="161" t="s">
        <v>88</v>
      </c>
      <c r="F108" s="131" t="s">
        <v>233</v>
      </c>
      <c r="G108" s="131" t="s">
        <v>233</v>
      </c>
      <c r="H108" s="131" t="s">
        <v>443</v>
      </c>
      <c r="I108" s="133" t="s">
        <v>165</v>
      </c>
      <c r="J108" s="192" t="s">
        <v>220</v>
      </c>
      <c r="K108" s="168" t="s">
        <v>140</v>
      </c>
      <c r="L108" s="194" t="s">
        <v>191</v>
      </c>
      <c r="M108" s="134" t="s">
        <v>59</v>
      </c>
      <c r="N108" s="167" t="s">
        <v>43</v>
      </c>
      <c r="O108" s="167" t="s">
        <v>538</v>
      </c>
      <c r="P108" s="167" t="s">
        <v>534</v>
      </c>
      <c r="Q108" s="135" t="s">
        <v>59</v>
      </c>
      <c r="R108" s="136">
        <v>15762.925598991174</v>
      </c>
      <c r="S108" s="73">
        <v>10000</v>
      </c>
      <c r="T108" s="136">
        <v>15762.925598991174</v>
      </c>
      <c r="U108" s="136">
        <v>78814.627994955867</v>
      </c>
      <c r="V108" s="136">
        <v>1496465.3688524591</v>
      </c>
      <c r="W108" s="147" t="s">
        <v>11</v>
      </c>
      <c r="X108" s="185">
        <v>2.5000000000000001E-2</v>
      </c>
      <c r="Y108" s="137">
        <v>44341</v>
      </c>
      <c r="Z108" s="137">
        <v>46837</v>
      </c>
      <c r="AA108" s="137">
        <v>46853</v>
      </c>
      <c r="AB108" s="138">
        <v>2513</v>
      </c>
      <c r="AC108" s="139" t="s">
        <v>10</v>
      </c>
      <c r="AD108" s="138">
        <v>2292</v>
      </c>
      <c r="AE108" s="140">
        <v>6.279452054794521</v>
      </c>
      <c r="AF108" s="184"/>
      <c r="AG108" s="186" t="s">
        <v>1</v>
      </c>
      <c r="AH108" s="186" t="s">
        <v>1</v>
      </c>
      <c r="AI108" s="187" t="s">
        <v>0</v>
      </c>
      <c r="AJ108" s="11" t="s">
        <v>0</v>
      </c>
      <c r="AK108" s="164" t="s">
        <v>271</v>
      </c>
      <c r="AL108" s="188" t="s">
        <v>626</v>
      </c>
      <c r="AO108" s="197" t="s">
        <v>88</v>
      </c>
      <c r="AP108" s="198" t="s">
        <v>233</v>
      </c>
      <c r="AS108" s="212">
        <v>0</v>
      </c>
      <c r="AT108" s="212">
        <v>1891.5510718789408</v>
      </c>
      <c r="AU108" s="212" t="b">
        <v>0</v>
      </c>
      <c r="AV108" s="212"/>
      <c r="AW108" s="212">
        <v>0</v>
      </c>
      <c r="AX108" s="212">
        <v>0</v>
      </c>
      <c r="BA108" s="212">
        <v>0</v>
      </c>
      <c r="BB108" s="226">
        <v>0</v>
      </c>
      <c r="BC108" s="226"/>
    </row>
    <row r="109" spans="1:55" ht="39.950000000000003" hidden="1" customHeight="1" x14ac:dyDescent="0.2">
      <c r="A109" s="131" t="s">
        <v>629</v>
      </c>
      <c r="B109" s="132" t="s">
        <v>24</v>
      </c>
      <c r="C109" s="192" t="s">
        <v>38</v>
      </c>
      <c r="D109" s="13" t="s">
        <v>540</v>
      </c>
      <c r="E109" s="161" t="s">
        <v>36</v>
      </c>
      <c r="F109" s="188" t="s">
        <v>102</v>
      </c>
      <c r="G109" s="188" t="s">
        <v>102</v>
      </c>
      <c r="H109" s="190" t="s">
        <v>474</v>
      </c>
      <c r="I109" s="133" t="s">
        <v>142</v>
      </c>
      <c r="J109" s="133" t="s">
        <v>218</v>
      </c>
      <c r="K109" s="168" t="s">
        <v>209</v>
      </c>
      <c r="L109" s="194" t="s">
        <v>191</v>
      </c>
      <c r="M109" s="134" t="s">
        <v>323</v>
      </c>
      <c r="N109" s="167" t="s">
        <v>43</v>
      </c>
      <c r="O109" s="167" t="s">
        <v>538</v>
      </c>
      <c r="P109" s="167" t="s">
        <v>534</v>
      </c>
      <c r="Q109" s="135" t="s">
        <v>9</v>
      </c>
      <c r="R109" s="136">
        <v>27864.079022528109</v>
      </c>
      <c r="S109" s="73">
        <v>20000</v>
      </c>
      <c r="T109" s="136">
        <v>27864.079022528109</v>
      </c>
      <c r="U109" s="136">
        <v>125388.35560137648</v>
      </c>
      <c r="V109" s="136">
        <v>967889.76970338682</v>
      </c>
      <c r="W109" s="147" t="s">
        <v>11</v>
      </c>
      <c r="X109" s="185">
        <v>7.4999999999999997E-2</v>
      </c>
      <c r="Y109" s="137">
        <v>44404</v>
      </c>
      <c r="Z109" s="137">
        <v>44722</v>
      </c>
      <c r="AA109" s="137">
        <v>44722</v>
      </c>
      <c r="AB109" s="138">
        <v>319</v>
      </c>
      <c r="AC109" s="139" t="s">
        <v>10</v>
      </c>
      <c r="AD109" s="138">
        <v>161</v>
      </c>
      <c r="AE109" s="140">
        <v>0.44109589041095892</v>
      </c>
      <c r="AF109" s="184" t="s">
        <v>436</v>
      </c>
      <c r="AG109" s="186" t="s">
        <v>1</v>
      </c>
      <c r="AH109" s="186" t="s">
        <v>1</v>
      </c>
      <c r="AI109" s="187" t="s">
        <v>0</v>
      </c>
      <c r="AJ109" s="11" t="s">
        <v>0</v>
      </c>
      <c r="AK109" s="164" t="s">
        <v>271</v>
      </c>
      <c r="AL109" s="188" t="s">
        <v>627</v>
      </c>
      <c r="AO109" s="197" t="s">
        <v>36</v>
      </c>
      <c r="AP109" s="198" t="s">
        <v>102</v>
      </c>
      <c r="AS109" s="212">
        <v>0</v>
      </c>
      <c r="AT109" s="212">
        <v>3343.689482703373</v>
      </c>
      <c r="AU109" s="212">
        <v>668.73789654067468</v>
      </c>
      <c r="AV109" s="212"/>
      <c r="AW109" s="212">
        <v>0</v>
      </c>
      <c r="AX109" s="212">
        <v>0</v>
      </c>
      <c r="BA109" s="212">
        <v>0</v>
      </c>
      <c r="BB109" s="226">
        <v>0</v>
      </c>
      <c r="BC109" s="226"/>
    </row>
    <row r="110" spans="1:55" ht="39.950000000000003" hidden="1" customHeight="1" x14ac:dyDescent="0.2">
      <c r="A110" s="131" t="s">
        <v>630</v>
      </c>
      <c r="B110" s="132" t="s">
        <v>23</v>
      </c>
      <c r="C110" s="133" t="s">
        <v>89</v>
      </c>
      <c r="D110" s="188" t="s">
        <v>542</v>
      </c>
      <c r="E110" s="161" t="s">
        <v>87</v>
      </c>
      <c r="F110" s="188" t="s">
        <v>92</v>
      </c>
      <c r="G110" s="188" t="s">
        <v>134</v>
      </c>
      <c r="H110" s="66" t="s">
        <v>134</v>
      </c>
      <c r="I110" s="133" t="s">
        <v>631</v>
      </c>
      <c r="J110" s="192" t="s">
        <v>256</v>
      </c>
      <c r="K110" s="168" t="s">
        <v>140</v>
      </c>
      <c r="L110" s="194" t="s">
        <v>191</v>
      </c>
      <c r="M110" s="134" t="s">
        <v>59</v>
      </c>
      <c r="N110" s="167" t="s">
        <v>43</v>
      </c>
      <c r="O110" s="167" t="s">
        <v>533</v>
      </c>
      <c r="P110" s="167" t="s">
        <v>534</v>
      </c>
      <c r="Q110" s="135" t="s">
        <v>9</v>
      </c>
      <c r="R110" s="136">
        <v>20898.059266896082</v>
      </c>
      <c r="S110" s="73">
        <v>15000</v>
      </c>
      <c r="T110" s="136">
        <v>20898.059266896082</v>
      </c>
      <c r="U110" s="136">
        <v>174150.49389080066</v>
      </c>
      <c r="V110" s="136">
        <v>813721.6378505649</v>
      </c>
      <c r="W110" s="147" t="s">
        <v>11</v>
      </c>
      <c r="X110" s="185">
        <v>1.9E-2</v>
      </c>
      <c r="Y110" s="137">
        <v>44385</v>
      </c>
      <c r="Z110" s="137">
        <v>46386</v>
      </c>
      <c r="AA110" s="137">
        <v>46386</v>
      </c>
      <c r="AB110" s="138">
        <v>2002</v>
      </c>
      <c r="AC110" s="139" t="s">
        <v>10</v>
      </c>
      <c r="AD110" s="138">
        <v>1825</v>
      </c>
      <c r="AE110" s="140">
        <v>5</v>
      </c>
      <c r="AF110" s="184"/>
      <c r="AG110" s="186" t="s">
        <v>1</v>
      </c>
      <c r="AH110" s="186" t="s">
        <v>1</v>
      </c>
      <c r="AI110" s="187" t="s">
        <v>0</v>
      </c>
      <c r="AJ110" s="11" t="s">
        <v>0</v>
      </c>
      <c r="AK110" s="164" t="s">
        <v>271</v>
      </c>
      <c r="AL110" s="188" t="s">
        <v>628</v>
      </c>
      <c r="AO110" s="197" t="s">
        <v>87</v>
      </c>
      <c r="AP110" s="198" t="s">
        <v>92</v>
      </c>
      <c r="AS110" s="212">
        <v>0</v>
      </c>
      <c r="AT110" s="212">
        <v>2507.7671120275295</v>
      </c>
      <c r="AU110" s="212" t="b">
        <v>0</v>
      </c>
      <c r="AV110" s="212"/>
      <c r="AW110" s="212">
        <v>0</v>
      </c>
      <c r="AX110" s="212">
        <v>0</v>
      </c>
      <c r="BA110" s="212">
        <v>0</v>
      </c>
      <c r="BB110" s="226">
        <v>0</v>
      </c>
      <c r="BC110" s="226"/>
    </row>
    <row r="111" spans="1:55" ht="39.950000000000003" hidden="1" customHeight="1" x14ac:dyDescent="0.2">
      <c r="A111" s="131" t="s">
        <v>636</v>
      </c>
      <c r="B111" s="132" t="s">
        <v>243</v>
      </c>
      <c r="C111" s="133" t="s">
        <v>37</v>
      </c>
      <c r="D111" s="188" t="s">
        <v>541</v>
      </c>
      <c r="E111" s="161" t="s">
        <v>152</v>
      </c>
      <c r="F111" s="188" t="s">
        <v>439</v>
      </c>
      <c r="G111" s="188" t="s">
        <v>445</v>
      </c>
      <c r="H111" s="66" t="s">
        <v>463</v>
      </c>
      <c r="I111" s="133" t="s">
        <v>526</v>
      </c>
      <c r="J111" s="192" t="s">
        <v>221</v>
      </c>
      <c r="K111" s="168" t="s">
        <v>140</v>
      </c>
      <c r="L111" s="194" t="s">
        <v>191</v>
      </c>
      <c r="M111" s="134" t="s">
        <v>323</v>
      </c>
      <c r="N111" s="167" t="s">
        <v>43</v>
      </c>
      <c r="O111" s="167" t="s">
        <v>538</v>
      </c>
      <c r="P111" s="167" t="s">
        <v>534</v>
      </c>
      <c r="Q111" s="135" t="s">
        <v>488</v>
      </c>
      <c r="R111" s="136">
        <v>11867.038765994144</v>
      </c>
      <c r="S111" s="136">
        <v>986842.10525999998</v>
      </c>
      <c r="T111" s="136">
        <v>11867.038765994144</v>
      </c>
      <c r="U111" s="136">
        <v>2659628.4548769454</v>
      </c>
      <c r="V111" s="136">
        <v>252892.98412794768</v>
      </c>
      <c r="W111" s="147" t="s">
        <v>11</v>
      </c>
      <c r="X111" s="185">
        <v>2.2499999999999999E-2</v>
      </c>
      <c r="Y111" s="137">
        <v>44418</v>
      </c>
      <c r="Z111" s="137">
        <v>45290</v>
      </c>
      <c r="AA111" s="137">
        <v>45290</v>
      </c>
      <c r="AB111" s="138">
        <v>873</v>
      </c>
      <c r="AC111" s="139" t="s">
        <v>10</v>
      </c>
      <c r="AD111" s="138">
        <v>729</v>
      </c>
      <c r="AE111" s="140">
        <v>1.9972602739726026</v>
      </c>
      <c r="AF111" s="184"/>
      <c r="AG111" s="186" t="s">
        <v>1</v>
      </c>
      <c r="AH111" s="186" t="s">
        <v>1</v>
      </c>
      <c r="AI111" s="187" t="s">
        <v>0</v>
      </c>
      <c r="AJ111" s="11" t="s">
        <v>0</v>
      </c>
      <c r="AK111" s="164" t="s">
        <v>271</v>
      </c>
      <c r="AL111" s="188" t="s">
        <v>632</v>
      </c>
      <c r="AO111" s="197" t="s">
        <v>152</v>
      </c>
      <c r="AP111" s="198" t="s">
        <v>439</v>
      </c>
      <c r="AS111" s="212">
        <v>0</v>
      </c>
      <c r="AT111" s="212">
        <v>1424.0446519192972</v>
      </c>
      <c r="AU111" s="212" t="b">
        <v>0</v>
      </c>
      <c r="AV111" s="212"/>
      <c r="AW111" s="212">
        <v>0</v>
      </c>
      <c r="AX111" s="212">
        <v>0</v>
      </c>
      <c r="BA111" s="212">
        <v>0</v>
      </c>
      <c r="BB111" s="226">
        <v>0</v>
      </c>
      <c r="BC111" s="226"/>
    </row>
    <row r="112" spans="1:55" ht="39.950000000000003" hidden="1" customHeight="1" x14ac:dyDescent="0.2">
      <c r="A112" s="131" t="s">
        <v>637</v>
      </c>
      <c r="B112" s="132" t="s">
        <v>67</v>
      </c>
      <c r="C112" s="133" t="s">
        <v>38</v>
      </c>
      <c r="D112" s="13" t="s">
        <v>540</v>
      </c>
      <c r="E112" s="161" t="s">
        <v>35</v>
      </c>
      <c r="F112" s="14" t="s">
        <v>546</v>
      </c>
      <c r="G112" s="14" t="s">
        <v>159</v>
      </c>
      <c r="H112" s="188" t="s">
        <v>259</v>
      </c>
      <c r="I112" s="133" t="s">
        <v>638</v>
      </c>
      <c r="J112" s="192" t="s">
        <v>687</v>
      </c>
      <c r="K112" s="168" t="s">
        <v>209</v>
      </c>
      <c r="L112" s="194" t="s">
        <v>191</v>
      </c>
      <c r="M112" s="134" t="s">
        <v>323</v>
      </c>
      <c r="N112" s="167" t="s">
        <v>43</v>
      </c>
      <c r="O112" s="167" t="s">
        <v>538</v>
      </c>
      <c r="P112" s="167" t="s">
        <v>534</v>
      </c>
      <c r="Q112" s="135" t="s">
        <v>9</v>
      </c>
      <c r="R112" s="136">
        <v>13932.039511264054</v>
      </c>
      <c r="S112" s="73">
        <v>10000</v>
      </c>
      <c r="T112" s="136">
        <v>13932.039511264054</v>
      </c>
      <c r="U112" s="136">
        <v>27864.079022528109</v>
      </c>
      <c r="V112" s="136">
        <v>787720.10532621865</v>
      </c>
      <c r="W112" s="147" t="s">
        <v>11</v>
      </c>
      <c r="X112" s="185">
        <v>0.04</v>
      </c>
      <c r="Y112" s="137">
        <v>44425</v>
      </c>
      <c r="Z112" s="137">
        <v>46233</v>
      </c>
      <c r="AA112" s="137">
        <v>46233</v>
      </c>
      <c r="AB112" s="138">
        <v>1809</v>
      </c>
      <c r="AC112" s="139" t="s">
        <v>10</v>
      </c>
      <c r="AD112" s="138">
        <v>1672</v>
      </c>
      <c r="AE112" s="140">
        <v>4.580821917808219</v>
      </c>
      <c r="AF112" s="184"/>
      <c r="AG112" s="186" t="s">
        <v>1</v>
      </c>
      <c r="AH112" s="186" t="s">
        <v>1</v>
      </c>
      <c r="AI112" s="187" t="s">
        <v>0</v>
      </c>
      <c r="AJ112" s="11" t="s">
        <v>0</v>
      </c>
      <c r="AK112" s="164" t="s">
        <v>271</v>
      </c>
      <c r="AL112" s="188" t="s">
        <v>633</v>
      </c>
      <c r="AO112" s="197" t="s">
        <v>35</v>
      </c>
      <c r="AP112" s="198" t="s">
        <v>546</v>
      </c>
      <c r="AS112" s="212">
        <v>0</v>
      </c>
      <c r="AT112" s="212">
        <v>1671.8447413516865</v>
      </c>
      <c r="AU112" s="212" t="b">
        <v>0</v>
      </c>
      <c r="AV112" s="212"/>
      <c r="AW112" s="212">
        <v>0</v>
      </c>
      <c r="AX112" s="212">
        <v>0</v>
      </c>
      <c r="BA112" s="212">
        <v>0</v>
      </c>
      <c r="BB112" s="226">
        <v>0</v>
      </c>
      <c r="BC112" s="226"/>
    </row>
    <row r="113" spans="1:55" ht="39.950000000000003" hidden="1" customHeight="1" x14ac:dyDescent="0.2">
      <c r="A113" s="131" t="s">
        <v>639</v>
      </c>
      <c r="B113" s="132" t="s">
        <v>24</v>
      </c>
      <c r="C113" s="133" t="s">
        <v>38</v>
      </c>
      <c r="D113" s="13" t="s">
        <v>540</v>
      </c>
      <c r="E113" s="161" t="s">
        <v>35</v>
      </c>
      <c r="F113" s="14" t="s">
        <v>546</v>
      </c>
      <c r="G113" s="14" t="s">
        <v>159</v>
      </c>
      <c r="H113" s="188" t="s">
        <v>259</v>
      </c>
      <c r="I113" s="133" t="s">
        <v>638</v>
      </c>
      <c r="J113" s="192" t="s">
        <v>687</v>
      </c>
      <c r="K113" s="168" t="s">
        <v>139</v>
      </c>
      <c r="L113" s="194" t="s">
        <v>191</v>
      </c>
      <c r="M113" s="134" t="s">
        <v>323</v>
      </c>
      <c r="N113" s="167" t="s">
        <v>43</v>
      </c>
      <c r="O113" s="167" t="s">
        <v>538</v>
      </c>
      <c r="P113" s="167" t="s">
        <v>534</v>
      </c>
      <c r="Q113" s="135" t="s">
        <v>9</v>
      </c>
      <c r="R113" s="136">
        <v>27864.079022528109</v>
      </c>
      <c r="S113" s="73">
        <v>15000.000000000002</v>
      </c>
      <c r="T113" s="136">
        <v>20898.059266896082</v>
      </c>
      <c r="U113" s="136">
        <v>55728.158045056218</v>
      </c>
      <c r="V113" s="136">
        <v>1949364.2810371008</v>
      </c>
      <c r="W113" s="147" t="s">
        <v>11</v>
      </c>
      <c r="X113" s="185">
        <v>3.3300000000000003E-2</v>
      </c>
      <c r="Y113" s="137">
        <v>44425</v>
      </c>
      <c r="Z113" s="137">
        <v>46240</v>
      </c>
      <c r="AA113" s="137">
        <v>46270</v>
      </c>
      <c r="AB113" s="138">
        <v>1846</v>
      </c>
      <c r="AC113" s="139" t="s">
        <v>10</v>
      </c>
      <c r="AD113" s="138">
        <v>1709</v>
      </c>
      <c r="AE113" s="140">
        <v>4.6821917808219178</v>
      </c>
      <c r="AF113" s="184" t="s">
        <v>436</v>
      </c>
      <c r="AG113" s="186" t="s">
        <v>1</v>
      </c>
      <c r="AH113" s="186" t="s">
        <v>1</v>
      </c>
      <c r="AI113" s="187" t="s">
        <v>0</v>
      </c>
      <c r="AJ113" s="11" t="s">
        <v>0</v>
      </c>
      <c r="AK113" s="164" t="s">
        <v>271</v>
      </c>
      <c r="AL113" s="188" t="s">
        <v>640</v>
      </c>
      <c r="AO113" s="197" t="s">
        <v>35</v>
      </c>
      <c r="AP113" s="198" t="s">
        <v>546</v>
      </c>
      <c r="AS113" s="212">
        <v>0</v>
      </c>
      <c r="AT113" s="212">
        <v>2507.7671120275295</v>
      </c>
      <c r="AU113" s="212">
        <v>501.5534224055059</v>
      </c>
      <c r="AV113" s="212"/>
      <c r="AW113" s="212">
        <v>0</v>
      </c>
      <c r="AX113" s="212">
        <v>0</v>
      </c>
      <c r="BA113" s="212">
        <v>0</v>
      </c>
      <c r="BB113" s="226">
        <v>0</v>
      </c>
      <c r="BC113" s="226"/>
    </row>
    <row r="114" spans="1:55" ht="39.950000000000003" hidden="1" customHeight="1" x14ac:dyDescent="0.2">
      <c r="A114" s="131" t="s">
        <v>641</v>
      </c>
      <c r="B114" s="132" t="s">
        <v>51</v>
      </c>
      <c r="C114" s="133" t="s">
        <v>38</v>
      </c>
      <c r="D114" s="13" t="s">
        <v>540</v>
      </c>
      <c r="E114" s="161" t="s">
        <v>35</v>
      </c>
      <c r="F114" s="188" t="s">
        <v>475</v>
      </c>
      <c r="G114" s="188" t="s">
        <v>138</v>
      </c>
      <c r="H114" s="66" t="s">
        <v>138</v>
      </c>
      <c r="I114" s="133" t="s">
        <v>638</v>
      </c>
      <c r="J114" s="192" t="s">
        <v>687</v>
      </c>
      <c r="K114" s="168" t="s">
        <v>209</v>
      </c>
      <c r="L114" s="194" t="s">
        <v>191</v>
      </c>
      <c r="M114" s="134" t="s">
        <v>323</v>
      </c>
      <c r="N114" s="167" t="s">
        <v>43</v>
      </c>
      <c r="O114" s="167" t="s">
        <v>538</v>
      </c>
      <c r="P114" s="167" t="s">
        <v>534</v>
      </c>
      <c r="Q114" s="135" t="s">
        <v>9</v>
      </c>
      <c r="R114" s="136">
        <v>10449.029633448041</v>
      </c>
      <c r="S114" s="73">
        <v>7500</v>
      </c>
      <c r="T114" s="136">
        <v>10449.029633448041</v>
      </c>
      <c r="U114" s="136">
        <v>20898.059266896082</v>
      </c>
      <c r="V114" s="136">
        <v>1509797.0101843209</v>
      </c>
      <c r="W114" s="147" t="s">
        <v>11</v>
      </c>
      <c r="X114" s="185">
        <v>6.7500000000000004E-2</v>
      </c>
      <c r="Y114" s="137">
        <v>44434</v>
      </c>
      <c r="Z114" s="137">
        <v>45791</v>
      </c>
      <c r="AA114" s="137">
        <v>45821</v>
      </c>
      <c r="AB114" s="138">
        <v>1388</v>
      </c>
      <c r="AC114" s="139" t="s">
        <v>10</v>
      </c>
      <c r="AD114" s="138">
        <v>1260</v>
      </c>
      <c r="AE114" s="140">
        <v>3.452054794520548</v>
      </c>
      <c r="AF114" s="184"/>
      <c r="AG114" s="186" t="s">
        <v>1</v>
      </c>
      <c r="AH114" s="186" t="s">
        <v>1</v>
      </c>
      <c r="AI114" s="187" t="s">
        <v>0</v>
      </c>
      <c r="AJ114" s="11" t="s">
        <v>0</v>
      </c>
      <c r="AK114" s="164" t="s">
        <v>271</v>
      </c>
      <c r="AL114" s="188" t="s">
        <v>634</v>
      </c>
      <c r="AO114" s="197" t="s">
        <v>35</v>
      </c>
      <c r="AP114" s="198" t="s">
        <v>475</v>
      </c>
      <c r="AS114" s="212">
        <v>0</v>
      </c>
      <c r="AT114" s="212">
        <v>1253.8835560137647</v>
      </c>
      <c r="AU114" s="212" t="b">
        <v>0</v>
      </c>
      <c r="AV114" s="212"/>
      <c r="AW114" s="212">
        <v>0</v>
      </c>
      <c r="AX114" s="212">
        <v>0</v>
      </c>
      <c r="BA114" s="212">
        <v>0</v>
      </c>
      <c r="BB114" s="226">
        <v>0</v>
      </c>
      <c r="BC114" s="226"/>
    </row>
    <row r="115" spans="1:55" ht="39.950000000000003" hidden="1" customHeight="1" x14ac:dyDescent="0.2">
      <c r="A115" s="131" t="s">
        <v>642</v>
      </c>
      <c r="B115" s="132" t="s">
        <v>67</v>
      </c>
      <c r="C115" s="133" t="s">
        <v>588</v>
      </c>
      <c r="D115" s="188" t="s">
        <v>499</v>
      </c>
      <c r="E115" s="161" t="s">
        <v>643</v>
      </c>
      <c r="F115" s="14" t="s">
        <v>546</v>
      </c>
      <c r="G115" s="131" t="s">
        <v>114</v>
      </c>
      <c r="H115" s="66" t="s">
        <v>167</v>
      </c>
      <c r="I115" s="133" t="s">
        <v>589</v>
      </c>
      <c r="J115" s="192" t="s">
        <v>218</v>
      </c>
      <c r="K115" s="168" t="s">
        <v>209</v>
      </c>
      <c r="L115" s="194" t="s">
        <v>191</v>
      </c>
      <c r="M115" s="134" t="s">
        <v>59</v>
      </c>
      <c r="N115" s="167" t="s">
        <v>43</v>
      </c>
      <c r="O115" s="167" t="s">
        <v>538</v>
      </c>
      <c r="P115" s="167" t="s">
        <v>534</v>
      </c>
      <c r="Q115" s="135" t="s">
        <v>644</v>
      </c>
      <c r="R115" s="136">
        <v>16341.241731740214</v>
      </c>
      <c r="S115" s="73">
        <v>15000</v>
      </c>
      <c r="T115" s="136">
        <v>16341.241731740214</v>
      </c>
      <c r="U115" s="136">
        <v>32682.483463480428</v>
      </c>
      <c r="V115" s="136">
        <v>2190953.3469532137</v>
      </c>
      <c r="W115" s="147" t="s">
        <v>11</v>
      </c>
      <c r="X115" s="185">
        <v>5.7500000000000002E-2</v>
      </c>
      <c r="Y115" s="137">
        <v>44433</v>
      </c>
      <c r="Z115" s="137">
        <v>46142</v>
      </c>
      <c r="AA115" s="137">
        <v>46163</v>
      </c>
      <c r="AB115" s="138">
        <v>1731</v>
      </c>
      <c r="AC115" s="139" t="s">
        <v>10</v>
      </c>
      <c r="AD115" s="138">
        <v>1602</v>
      </c>
      <c r="AE115" s="140">
        <v>4.3890410958904109</v>
      </c>
      <c r="AF115" s="184"/>
      <c r="AG115" s="186" t="s">
        <v>1</v>
      </c>
      <c r="AH115" s="186" t="s">
        <v>1</v>
      </c>
      <c r="AI115" s="187" t="s">
        <v>0</v>
      </c>
      <c r="AJ115" s="11" t="s">
        <v>0</v>
      </c>
      <c r="AK115" s="164" t="s">
        <v>271</v>
      </c>
      <c r="AL115" s="188" t="s">
        <v>635</v>
      </c>
      <c r="AO115" s="197" t="s">
        <v>643</v>
      </c>
      <c r="AP115" s="198" t="s">
        <v>546</v>
      </c>
      <c r="AS115" s="212">
        <v>0</v>
      </c>
      <c r="AT115" s="212">
        <v>1960.9490078088256</v>
      </c>
      <c r="AU115" s="212" t="b">
        <v>0</v>
      </c>
      <c r="AV115" s="212"/>
      <c r="AW115" s="212">
        <v>0</v>
      </c>
      <c r="AX115" s="212">
        <v>0</v>
      </c>
      <c r="BA115" s="212">
        <v>0</v>
      </c>
      <c r="BB115" s="226">
        <v>0</v>
      </c>
      <c r="BC115" s="226"/>
    </row>
    <row r="116" spans="1:55" ht="39.950000000000003" hidden="1" customHeight="1" x14ac:dyDescent="0.2">
      <c r="A116" s="131" t="s">
        <v>646</v>
      </c>
      <c r="B116" s="132" t="s">
        <v>67</v>
      </c>
      <c r="C116" s="133" t="s">
        <v>38</v>
      </c>
      <c r="D116" s="13" t="s">
        <v>540</v>
      </c>
      <c r="E116" s="161" t="s">
        <v>35</v>
      </c>
      <c r="F116" s="14" t="s">
        <v>546</v>
      </c>
      <c r="G116" s="14" t="s">
        <v>159</v>
      </c>
      <c r="H116" s="188" t="s">
        <v>259</v>
      </c>
      <c r="I116" s="133" t="s">
        <v>142</v>
      </c>
      <c r="J116" s="192" t="s">
        <v>218</v>
      </c>
      <c r="K116" s="168" t="s">
        <v>209</v>
      </c>
      <c r="L116" s="194" t="s">
        <v>191</v>
      </c>
      <c r="M116" s="134" t="s">
        <v>323</v>
      </c>
      <c r="N116" s="167" t="s">
        <v>43</v>
      </c>
      <c r="O116" s="167" t="s">
        <v>538</v>
      </c>
      <c r="P116" s="167" t="s">
        <v>534</v>
      </c>
      <c r="Q116" s="135" t="s">
        <v>9</v>
      </c>
      <c r="R116" s="136">
        <v>9613.1072627721969</v>
      </c>
      <c r="S116" s="73">
        <v>6900</v>
      </c>
      <c r="T116" s="136">
        <v>9613.1072627721969</v>
      </c>
      <c r="U116" s="136">
        <v>19226.214525544394</v>
      </c>
      <c r="V116" s="136">
        <v>941550.46881312958</v>
      </c>
      <c r="W116" s="147" t="s">
        <v>11</v>
      </c>
      <c r="X116" s="185">
        <v>0.04</v>
      </c>
      <c r="Y116" s="137">
        <v>44441</v>
      </c>
      <c r="Z116" s="137">
        <v>46217</v>
      </c>
      <c r="AA116" s="137">
        <v>46217</v>
      </c>
      <c r="AB116" s="138">
        <v>1777</v>
      </c>
      <c r="AC116" s="139" t="s">
        <v>10</v>
      </c>
      <c r="AD116" s="138">
        <v>1656</v>
      </c>
      <c r="AE116" s="140">
        <v>4.536986301369863</v>
      </c>
      <c r="AF116" s="184"/>
      <c r="AG116" s="186" t="s">
        <v>1</v>
      </c>
      <c r="AH116" s="186" t="s">
        <v>1</v>
      </c>
      <c r="AI116" s="187" t="s">
        <v>0</v>
      </c>
      <c r="AJ116" s="11" t="s">
        <v>0</v>
      </c>
      <c r="AK116" s="164" t="s">
        <v>271</v>
      </c>
      <c r="AL116" s="188" t="s">
        <v>645</v>
      </c>
      <c r="AO116" s="197" t="s">
        <v>35</v>
      </c>
      <c r="AP116" s="198" t="s">
        <v>546</v>
      </c>
      <c r="AS116" s="212">
        <v>0</v>
      </c>
      <c r="AT116" s="212">
        <v>1153.5728715326636</v>
      </c>
      <c r="AU116" s="212" t="b">
        <v>0</v>
      </c>
      <c r="AV116" s="212"/>
      <c r="AW116" s="212">
        <v>0</v>
      </c>
      <c r="AX116" s="212">
        <v>0</v>
      </c>
      <c r="BA116" s="212">
        <v>0</v>
      </c>
      <c r="BB116" s="226">
        <v>0</v>
      </c>
      <c r="BC116" s="226"/>
    </row>
    <row r="117" spans="1:55" ht="39.950000000000003" hidden="1" customHeight="1" x14ac:dyDescent="0.2">
      <c r="A117" s="131" t="s">
        <v>647</v>
      </c>
      <c r="B117" s="132" t="s">
        <v>243</v>
      </c>
      <c r="C117" s="133" t="s">
        <v>38</v>
      </c>
      <c r="D117" s="13" t="s">
        <v>540</v>
      </c>
      <c r="E117" s="161" t="s">
        <v>36</v>
      </c>
      <c r="F117" s="188" t="s">
        <v>102</v>
      </c>
      <c r="G117" s="188" t="s">
        <v>102</v>
      </c>
      <c r="H117" s="66" t="s">
        <v>473</v>
      </c>
      <c r="I117" s="133" t="s">
        <v>142</v>
      </c>
      <c r="J117" s="192" t="s">
        <v>218</v>
      </c>
      <c r="K117" s="168" t="s">
        <v>101</v>
      </c>
      <c r="L117" s="194" t="s">
        <v>191</v>
      </c>
      <c r="M117" s="134" t="s">
        <v>323</v>
      </c>
      <c r="N117" s="167" t="s">
        <v>43</v>
      </c>
      <c r="O117" s="167" t="s">
        <v>538</v>
      </c>
      <c r="P117" s="167" t="s">
        <v>534</v>
      </c>
      <c r="Q117" s="135" t="s">
        <v>9</v>
      </c>
      <c r="R117" s="136">
        <v>20898.059266896082</v>
      </c>
      <c r="S117" s="73">
        <v>15000</v>
      </c>
      <c r="T117" s="136">
        <v>20898.059266896082</v>
      </c>
      <c r="U117" s="136">
        <v>143500.00696601975</v>
      </c>
      <c r="V117" s="136">
        <v>769890.29912088835</v>
      </c>
      <c r="W117" s="147" t="s">
        <v>11</v>
      </c>
      <c r="X117" s="185">
        <v>2.5000000000000001E-2</v>
      </c>
      <c r="Y117" s="137">
        <v>44441</v>
      </c>
      <c r="Z117" s="137">
        <v>45516</v>
      </c>
      <c r="AA117" s="137">
        <v>45516</v>
      </c>
      <c r="AB117" s="138">
        <v>1076</v>
      </c>
      <c r="AC117" s="139" t="s">
        <v>10</v>
      </c>
      <c r="AD117" s="138">
        <v>955</v>
      </c>
      <c r="AE117" s="140">
        <v>2.6164383561643834</v>
      </c>
      <c r="AF117" s="184"/>
      <c r="AG117" s="186" t="s">
        <v>1</v>
      </c>
      <c r="AH117" s="186" t="s">
        <v>1</v>
      </c>
      <c r="AI117" s="187" t="s">
        <v>0</v>
      </c>
      <c r="AJ117" s="11" t="s">
        <v>0</v>
      </c>
      <c r="AK117" s="164" t="s">
        <v>271</v>
      </c>
      <c r="AL117" s="188" t="s">
        <v>648</v>
      </c>
      <c r="AO117" s="197" t="s">
        <v>36</v>
      </c>
      <c r="AP117" s="198" t="s">
        <v>102</v>
      </c>
      <c r="AS117" s="212">
        <v>0</v>
      </c>
      <c r="AT117" s="212">
        <v>2507.7671120275295</v>
      </c>
      <c r="AU117" s="212" t="b">
        <v>0</v>
      </c>
      <c r="AV117" s="212"/>
      <c r="AW117" s="212">
        <v>0</v>
      </c>
      <c r="AX117" s="212">
        <v>0</v>
      </c>
      <c r="BA117" s="212">
        <v>0</v>
      </c>
      <c r="BB117" s="226">
        <v>0</v>
      </c>
      <c r="BC117" s="226"/>
    </row>
    <row r="118" spans="1:55" ht="39.950000000000003" hidden="1" customHeight="1" x14ac:dyDescent="0.2">
      <c r="A118" s="131" t="s">
        <v>652</v>
      </c>
      <c r="B118" s="132" t="s">
        <v>51</v>
      </c>
      <c r="C118" s="133" t="s">
        <v>38</v>
      </c>
      <c r="D118" s="188" t="s">
        <v>541</v>
      </c>
      <c r="E118" s="161" t="s">
        <v>37</v>
      </c>
      <c r="F118" s="188" t="s">
        <v>544</v>
      </c>
      <c r="G118" s="188" t="s">
        <v>117</v>
      </c>
      <c r="H118" s="66" t="s">
        <v>654</v>
      </c>
      <c r="I118" s="133" t="s">
        <v>142</v>
      </c>
      <c r="J118" s="192" t="s">
        <v>218</v>
      </c>
      <c r="K118" s="168" t="s">
        <v>29</v>
      </c>
      <c r="L118" s="194" t="s">
        <v>191</v>
      </c>
      <c r="M118" s="134" t="s">
        <v>323</v>
      </c>
      <c r="N118" s="167" t="s">
        <v>43</v>
      </c>
      <c r="O118" s="167" t="s">
        <v>538</v>
      </c>
      <c r="P118" s="167" t="s">
        <v>534</v>
      </c>
      <c r="Q118" s="135" t="s">
        <v>9</v>
      </c>
      <c r="R118" s="136">
        <v>10449.029633448041</v>
      </c>
      <c r="S118" s="73">
        <v>7500</v>
      </c>
      <c r="T118" s="136">
        <v>10449.029633448041</v>
      </c>
      <c r="U118" s="136">
        <v>20898.059266896082</v>
      </c>
      <c r="V118" s="136">
        <v>195164.66277498362</v>
      </c>
      <c r="W118" s="147" t="s">
        <v>11</v>
      </c>
      <c r="X118" s="185">
        <v>4.4999999999999998E-2</v>
      </c>
      <c r="Y118" s="137">
        <v>44470</v>
      </c>
      <c r="Z118" s="137">
        <v>44828</v>
      </c>
      <c r="AA118" s="137">
        <v>44828</v>
      </c>
      <c r="AB118" s="138">
        <v>359</v>
      </c>
      <c r="AC118" s="139" t="s">
        <v>10</v>
      </c>
      <c r="AD118" s="138">
        <v>267</v>
      </c>
      <c r="AE118" s="140">
        <v>0.73150684931506849</v>
      </c>
      <c r="AF118" s="184"/>
      <c r="AG118" s="186" t="s">
        <v>1</v>
      </c>
      <c r="AH118" s="186" t="s">
        <v>1</v>
      </c>
      <c r="AI118" s="187" t="s">
        <v>0</v>
      </c>
      <c r="AJ118" s="143" t="s">
        <v>0</v>
      </c>
      <c r="AK118" s="164" t="s">
        <v>271</v>
      </c>
      <c r="AL118" s="188" t="s">
        <v>649</v>
      </c>
      <c r="AO118" s="197" t="s">
        <v>37</v>
      </c>
      <c r="AP118" s="198" t="s">
        <v>544</v>
      </c>
      <c r="AS118" s="212">
        <v>0</v>
      </c>
      <c r="AT118" s="212">
        <v>1253.8835560137647</v>
      </c>
      <c r="AU118" s="212" t="b">
        <v>0</v>
      </c>
      <c r="AV118" s="212"/>
      <c r="AW118" s="212">
        <v>0</v>
      </c>
      <c r="AX118" s="212">
        <v>0</v>
      </c>
      <c r="BA118" s="212">
        <v>0</v>
      </c>
      <c r="BB118" s="226">
        <v>0</v>
      </c>
      <c r="BC118" s="226"/>
    </row>
    <row r="119" spans="1:55" ht="39.950000000000003" hidden="1" customHeight="1" x14ac:dyDescent="0.2">
      <c r="A119" s="131" t="s">
        <v>655</v>
      </c>
      <c r="B119" s="132" t="s">
        <v>23</v>
      </c>
      <c r="C119" s="133" t="s">
        <v>34</v>
      </c>
      <c r="D119" s="188" t="s">
        <v>34</v>
      </c>
      <c r="E119" s="161" t="s">
        <v>34</v>
      </c>
      <c r="F119" s="188" t="s">
        <v>475</v>
      </c>
      <c r="G119" s="188" t="s">
        <v>227</v>
      </c>
      <c r="H119" s="14" t="s">
        <v>228</v>
      </c>
      <c r="I119" s="133" t="s">
        <v>656</v>
      </c>
      <c r="J119" s="192" t="s">
        <v>656</v>
      </c>
      <c r="K119" s="168" t="s">
        <v>209</v>
      </c>
      <c r="L119" s="194" t="s">
        <v>191</v>
      </c>
      <c r="M119" s="134" t="s">
        <v>323</v>
      </c>
      <c r="N119" s="167" t="s">
        <v>43</v>
      </c>
      <c r="O119" s="167" t="s">
        <v>531</v>
      </c>
      <c r="P119" s="167" t="s">
        <v>534</v>
      </c>
      <c r="Q119" s="135" t="s">
        <v>8</v>
      </c>
      <c r="R119" s="136">
        <v>15000</v>
      </c>
      <c r="S119" s="73">
        <v>15000</v>
      </c>
      <c r="T119" s="136">
        <v>15000</v>
      </c>
      <c r="U119" s="136">
        <v>64000</v>
      </c>
      <c r="V119" s="136">
        <v>863123.51</v>
      </c>
      <c r="W119" s="147" t="s">
        <v>11</v>
      </c>
      <c r="X119" s="185">
        <v>3.5000000000000003E-2</v>
      </c>
      <c r="Y119" s="137">
        <v>44466</v>
      </c>
      <c r="Z119" s="137">
        <v>45473</v>
      </c>
      <c r="AA119" s="137">
        <v>45473</v>
      </c>
      <c r="AB119" s="138">
        <v>1008</v>
      </c>
      <c r="AC119" s="139" t="s">
        <v>10</v>
      </c>
      <c r="AD119" s="138">
        <v>912</v>
      </c>
      <c r="AE119" s="140">
        <v>2.4986301369863013</v>
      </c>
      <c r="AF119" s="184"/>
      <c r="AG119" s="186" t="s">
        <v>1</v>
      </c>
      <c r="AH119" s="186" t="s">
        <v>1</v>
      </c>
      <c r="AI119" s="187" t="s">
        <v>0</v>
      </c>
      <c r="AJ119" s="143" t="s">
        <v>0</v>
      </c>
      <c r="AK119" s="164" t="s">
        <v>271</v>
      </c>
      <c r="AL119" s="188" t="s">
        <v>650</v>
      </c>
      <c r="AO119" s="197" t="s">
        <v>34</v>
      </c>
      <c r="AP119" s="198" t="s">
        <v>475</v>
      </c>
      <c r="AS119" s="212">
        <v>0</v>
      </c>
      <c r="AT119" s="212">
        <v>1800</v>
      </c>
      <c r="AU119" s="212" t="b">
        <v>0</v>
      </c>
      <c r="AV119" s="212"/>
      <c r="AW119" s="212">
        <v>0</v>
      </c>
      <c r="AX119" s="212">
        <v>0</v>
      </c>
      <c r="BA119" s="212">
        <v>0</v>
      </c>
      <c r="BB119" s="226">
        <v>0</v>
      </c>
      <c r="BC119" s="226"/>
    </row>
    <row r="120" spans="1:55" ht="39.950000000000003" hidden="1" customHeight="1" x14ac:dyDescent="0.2">
      <c r="A120" s="14" t="s">
        <v>76</v>
      </c>
      <c r="B120" s="65" t="s">
        <v>51</v>
      </c>
      <c r="C120" s="66" t="s">
        <v>34</v>
      </c>
      <c r="D120" s="13" t="s">
        <v>34</v>
      </c>
      <c r="E120" s="77" t="s">
        <v>34</v>
      </c>
      <c r="F120" s="14" t="s">
        <v>104</v>
      </c>
      <c r="G120" s="14" t="s">
        <v>111</v>
      </c>
      <c r="H120" s="66" t="s">
        <v>112</v>
      </c>
      <c r="I120" s="66" t="s">
        <v>232</v>
      </c>
      <c r="J120" s="77" t="s">
        <v>21</v>
      </c>
      <c r="K120" s="13" t="s">
        <v>29</v>
      </c>
      <c r="L120" s="65" t="s">
        <v>191</v>
      </c>
      <c r="M120" s="13" t="s">
        <v>323</v>
      </c>
      <c r="N120" s="13" t="s">
        <v>43</v>
      </c>
      <c r="O120" s="167" t="s">
        <v>533</v>
      </c>
      <c r="P120" s="167" t="s">
        <v>548</v>
      </c>
      <c r="Q120" s="135" t="s">
        <v>9</v>
      </c>
      <c r="R120" s="136">
        <v>27864.079022528109</v>
      </c>
      <c r="S120" s="73">
        <v>20000</v>
      </c>
      <c r="T120" s="136">
        <v>27864.079022528109</v>
      </c>
      <c r="U120" s="136">
        <v>103515.05356869192</v>
      </c>
      <c r="V120" s="136">
        <v>1139783.7608147457</v>
      </c>
      <c r="W120" s="147" t="s">
        <v>11</v>
      </c>
      <c r="X120" s="185">
        <v>1.9E-2</v>
      </c>
      <c r="Y120" s="137">
        <v>44470</v>
      </c>
      <c r="Z120" s="137">
        <v>46203</v>
      </c>
      <c r="AA120" s="137">
        <v>46203</v>
      </c>
      <c r="AB120" s="138">
        <v>1734</v>
      </c>
      <c r="AC120" s="139" t="s">
        <v>10</v>
      </c>
      <c r="AD120" s="138">
        <v>1642</v>
      </c>
      <c r="AE120" s="140">
        <v>4.4986301369863018</v>
      </c>
      <c r="AF120" s="184" t="s">
        <v>436</v>
      </c>
      <c r="AG120" s="186" t="s">
        <v>1</v>
      </c>
      <c r="AH120" s="186" t="s">
        <v>1</v>
      </c>
      <c r="AI120" s="187" t="s">
        <v>0</v>
      </c>
      <c r="AJ120" s="143" t="s">
        <v>0</v>
      </c>
      <c r="AK120" s="164" t="s">
        <v>271</v>
      </c>
      <c r="AL120" s="188" t="s">
        <v>651</v>
      </c>
      <c r="AO120" s="197" t="s">
        <v>34</v>
      </c>
      <c r="AP120" s="198" t="s">
        <v>104</v>
      </c>
      <c r="AS120" s="212">
        <v>0</v>
      </c>
      <c r="AT120" s="212">
        <v>3343.689482703373</v>
      </c>
      <c r="AU120" s="212">
        <v>668.73789654067468</v>
      </c>
      <c r="AV120" s="212"/>
      <c r="AW120" s="212">
        <v>0</v>
      </c>
      <c r="AX120" s="212">
        <v>0</v>
      </c>
      <c r="BA120" s="212">
        <v>0</v>
      </c>
      <c r="BB120" s="226">
        <v>0</v>
      </c>
      <c r="BC120" s="226"/>
    </row>
    <row r="121" spans="1:55" ht="39.950000000000003" hidden="1" customHeight="1" x14ac:dyDescent="0.2">
      <c r="A121" s="131" t="s">
        <v>678</v>
      </c>
      <c r="B121" s="132" t="s">
        <v>67</v>
      </c>
      <c r="C121" s="133" t="s">
        <v>127</v>
      </c>
      <c r="D121" s="131" t="s">
        <v>542</v>
      </c>
      <c r="E121" s="161" t="s">
        <v>308</v>
      </c>
      <c r="F121" s="14" t="s">
        <v>546</v>
      </c>
      <c r="G121" s="131" t="s">
        <v>114</v>
      </c>
      <c r="H121" s="66" t="s">
        <v>167</v>
      </c>
      <c r="I121" s="133" t="s">
        <v>677</v>
      </c>
      <c r="J121" s="192" t="s">
        <v>218</v>
      </c>
      <c r="K121" s="168" t="s">
        <v>209</v>
      </c>
      <c r="L121" s="65" t="s">
        <v>191</v>
      </c>
      <c r="M121" s="134" t="s">
        <v>59</v>
      </c>
      <c r="N121" s="13" t="s">
        <v>43</v>
      </c>
      <c r="O121" s="167" t="s">
        <v>538</v>
      </c>
      <c r="P121" s="167" t="s">
        <v>534</v>
      </c>
      <c r="Q121" s="135" t="s">
        <v>487</v>
      </c>
      <c r="R121" s="136">
        <v>31016.316793159232</v>
      </c>
      <c r="S121" s="73">
        <v>198457.14311</v>
      </c>
      <c r="T121" s="136">
        <v>31016.316793159232</v>
      </c>
      <c r="U121" s="136">
        <v>62032.633587931414</v>
      </c>
      <c r="V121" s="136">
        <v>2021768.7146859905</v>
      </c>
      <c r="W121" s="147" t="s">
        <v>11</v>
      </c>
      <c r="X121" s="185">
        <v>0.03</v>
      </c>
      <c r="Y121" s="137">
        <v>44476</v>
      </c>
      <c r="Z121" s="137">
        <v>46251</v>
      </c>
      <c r="AA121" s="137">
        <v>46256</v>
      </c>
      <c r="AB121" s="138">
        <v>1781</v>
      </c>
      <c r="AC121" s="139" t="s">
        <v>10</v>
      </c>
      <c r="AD121" s="138">
        <v>1695</v>
      </c>
      <c r="AE121" s="140">
        <v>4.6438356164383565</v>
      </c>
      <c r="AF121" s="184" t="s">
        <v>436</v>
      </c>
      <c r="AG121" s="186" t="s">
        <v>1</v>
      </c>
      <c r="AH121" s="186" t="s">
        <v>1</v>
      </c>
      <c r="AI121" s="187" t="s">
        <v>0</v>
      </c>
      <c r="AJ121" s="143" t="s">
        <v>0</v>
      </c>
      <c r="AK121" s="164" t="s">
        <v>271</v>
      </c>
      <c r="AL121" s="188" t="s">
        <v>673</v>
      </c>
      <c r="AO121" s="197" t="s">
        <v>308</v>
      </c>
      <c r="AP121" s="198" t="s">
        <v>546</v>
      </c>
      <c r="AS121" s="212">
        <v>0</v>
      </c>
      <c r="AT121" s="212">
        <v>3721.9580151791079</v>
      </c>
      <c r="AU121" s="212">
        <v>744.39160303582162</v>
      </c>
      <c r="AV121" s="212"/>
      <c r="AW121" s="212">
        <v>0</v>
      </c>
      <c r="AX121" s="212">
        <v>0</v>
      </c>
      <c r="BA121" s="212">
        <v>0</v>
      </c>
      <c r="BB121" s="226"/>
      <c r="BC121" s="226"/>
    </row>
    <row r="122" spans="1:55" ht="39.950000000000003" hidden="1" customHeight="1" x14ac:dyDescent="0.2">
      <c r="A122" s="131" t="s">
        <v>679</v>
      </c>
      <c r="B122" s="132" t="s">
        <v>243</v>
      </c>
      <c r="C122" s="133" t="s">
        <v>588</v>
      </c>
      <c r="D122" s="131" t="s">
        <v>542</v>
      </c>
      <c r="E122" s="161" t="s">
        <v>87</v>
      </c>
      <c r="F122" s="131" t="s">
        <v>48</v>
      </c>
      <c r="G122" s="131" t="s">
        <v>95</v>
      </c>
      <c r="H122" s="130" t="s">
        <v>447</v>
      </c>
      <c r="I122" s="133" t="s">
        <v>681</v>
      </c>
      <c r="J122" s="133" t="s">
        <v>680</v>
      </c>
      <c r="K122" s="168" t="s">
        <v>209</v>
      </c>
      <c r="L122" s="65" t="s">
        <v>191</v>
      </c>
      <c r="M122" s="134" t="s">
        <v>59</v>
      </c>
      <c r="N122" s="13" t="s">
        <v>43</v>
      </c>
      <c r="O122" s="167" t="s">
        <v>538</v>
      </c>
      <c r="P122" s="167" t="s">
        <v>534</v>
      </c>
      <c r="Q122" s="135" t="s">
        <v>9</v>
      </c>
      <c r="R122" s="136">
        <v>13932.039511264054</v>
      </c>
      <c r="S122" s="73">
        <v>10000</v>
      </c>
      <c r="T122" s="136">
        <v>13932.039511264054</v>
      </c>
      <c r="U122" s="136">
        <v>397063.1260710255</v>
      </c>
      <c r="V122" s="136">
        <v>643876.1720328239</v>
      </c>
      <c r="W122" s="147" t="s">
        <v>11</v>
      </c>
      <c r="X122" s="185">
        <v>3.2500000000000001E-2</v>
      </c>
      <c r="Y122" s="137">
        <v>44491</v>
      </c>
      <c r="Z122" s="137">
        <v>46714</v>
      </c>
      <c r="AA122" s="137">
        <v>46714</v>
      </c>
      <c r="AB122" s="138">
        <v>2224</v>
      </c>
      <c r="AC122" s="139" t="s">
        <v>10</v>
      </c>
      <c r="AD122" s="138">
        <v>2153</v>
      </c>
      <c r="AE122" s="140">
        <v>5.8986301369863012</v>
      </c>
      <c r="AF122" s="184"/>
      <c r="AG122" s="186" t="s">
        <v>1</v>
      </c>
      <c r="AH122" s="186" t="s">
        <v>1</v>
      </c>
      <c r="AI122" s="187" t="s">
        <v>682</v>
      </c>
      <c r="AJ122" s="143" t="s">
        <v>0</v>
      </c>
      <c r="AK122" s="164" t="s">
        <v>271</v>
      </c>
      <c r="AL122" s="188" t="s">
        <v>674</v>
      </c>
      <c r="AO122" s="197" t="s">
        <v>87</v>
      </c>
      <c r="AP122" s="198" t="s">
        <v>48</v>
      </c>
      <c r="AS122" s="212">
        <v>0</v>
      </c>
      <c r="AT122" s="212">
        <v>1671.8447413516865</v>
      </c>
      <c r="AU122" s="212" t="b">
        <v>0</v>
      </c>
      <c r="AV122" s="212"/>
      <c r="AW122" s="212">
        <v>0</v>
      </c>
      <c r="AX122" s="212">
        <v>0</v>
      </c>
      <c r="BA122" s="212">
        <v>0</v>
      </c>
      <c r="BB122" s="226"/>
      <c r="BC122" s="226"/>
    </row>
    <row r="123" spans="1:55" ht="39.950000000000003" hidden="1" customHeight="1" x14ac:dyDescent="0.2">
      <c r="A123" s="131" t="s">
        <v>683</v>
      </c>
      <c r="B123" s="132" t="s">
        <v>67</v>
      </c>
      <c r="C123" s="133" t="s">
        <v>684</v>
      </c>
      <c r="D123" s="131" t="s">
        <v>542</v>
      </c>
      <c r="E123" s="161" t="s">
        <v>685</v>
      </c>
      <c r="F123" s="14" t="s">
        <v>546</v>
      </c>
      <c r="G123" s="131" t="s">
        <v>114</v>
      </c>
      <c r="H123" s="66" t="s">
        <v>167</v>
      </c>
      <c r="I123" s="133" t="s">
        <v>165</v>
      </c>
      <c r="J123" s="133" t="s">
        <v>220</v>
      </c>
      <c r="K123" s="223" t="s">
        <v>140</v>
      </c>
      <c r="L123" s="65" t="s">
        <v>191</v>
      </c>
      <c r="M123" s="134" t="s">
        <v>59</v>
      </c>
      <c r="N123" s="13" t="s">
        <v>43</v>
      </c>
      <c r="O123" s="167" t="s">
        <v>531</v>
      </c>
      <c r="P123" s="167" t="s">
        <v>534</v>
      </c>
      <c r="Q123" s="135" t="s">
        <v>59</v>
      </c>
      <c r="R123" s="136">
        <v>7881.4627994955872</v>
      </c>
      <c r="S123" s="73">
        <v>5000</v>
      </c>
      <c r="T123" s="136">
        <v>7881.4627994955872</v>
      </c>
      <c r="U123" s="136">
        <v>37704.918032786889</v>
      </c>
      <c r="V123" s="136">
        <v>602254.09836065583</v>
      </c>
      <c r="W123" s="147" t="s">
        <v>11</v>
      </c>
      <c r="X123" s="185">
        <v>2.75E-2</v>
      </c>
      <c r="Y123" s="137">
        <v>44427</v>
      </c>
      <c r="Z123" s="137">
        <v>46982</v>
      </c>
      <c r="AA123" s="137">
        <v>46982</v>
      </c>
      <c r="AB123" s="138">
        <v>2556</v>
      </c>
      <c r="AC123" s="139" t="s">
        <v>10</v>
      </c>
      <c r="AD123" s="138">
        <v>2421</v>
      </c>
      <c r="AE123" s="140">
        <v>6.6328767123287671</v>
      </c>
      <c r="AF123" s="184"/>
      <c r="AG123" s="186" t="s">
        <v>1</v>
      </c>
      <c r="AH123" s="186" t="s">
        <v>1</v>
      </c>
      <c r="AI123" s="187" t="s">
        <v>0</v>
      </c>
      <c r="AJ123" s="143" t="s">
        <v>0</v>
      </c>
      <c r="AK123" s="164" t="s">
        <v>271</v>
      </c>
      <c r="AL123" s="188" t="s">
        <v>686</v>
      </c>
      <c r="AO123" s="197" t="s">
        <v>685</v>
      </c>
      <c r="AP123" s="198" t="s">
        <v>546</v>
      </c>
      <c r="AS123" s="212">
        <v>0</v>
      </c>
      <c r="AT123" s="212">
        <v>945.77553593947039</v>
      </c>
      <c r="AU123" s="212" t="b">
        <v>0</v>
      </c>
      <c r="AV123" s="212"/>
      <c r="AW123" s="212">
        <v>0</v>
      </c>
      <c r="AX123" s="212">
        <v>0</v>
      </c>
      <c r="BA123" s="212">
        <v>0</v>
      </c>
      <c r="BB123" s="226"/>
      <c r="BC123" s="226"/>
    </row>
    <row r="124" spans="1:55" ht="39.950000000000003" hidden="1" customHeight="1" x14ac:dyDescent="0.2">
      <c r="A124" s="131" t="s">
        <v>693</v>
      </c>
      <c r="B124" s="132" t="s">
        <v>24</v>
      </c>
      <c r="C124" s="133" t="s">
        <v>34</v>
      </c>
      <c r="D124" s="131" t="s">
        <v>34</v>
      </c>
      <c r="E124" s="161" t="s">
        <v>34</v>
      </c>
      <c r="F124" s="131" t="s">
        <v>475</v>
      </c>
      <c r="G124" s="131" t="s">
        <v>227</v>
      </c>
      <c r="H124" s="14" t="s">
        <v>228</v>
      </c>
      <c r="I124" s="133" t="s">
        <v>70</v>
      </c>
      <c r="J124" s="192" t="s">
        <v>218</v>
      </c>
      <c r="K124" s="168" t="s">
        <v>209</v>
      </c>
      <c r="L124" s="65" t="s">
        <v>191</v>
      </c>
      <c r="M124" s="134" t="s">
        <v>323</v>
      </c>
      <c r="N124" s="13" t="s">
        <v>43</v>
      </c>
      <c r="O124" s="167" t="s">
        <v>538</v>
      </c>
      <c r="P124" s="167" t="s">
        <v>534</v>
      </c>
      <c r="Q124" s="135" t="s">
        <v>8</v>
      </c>
      <c r="R124" s="136">
        <v>15000</v>
      </c>
      <c r="S124" s="73">
        <v>15000</v>
      </c>
      <c r="T124" s="136">
        <v>15000</v>
      </c>
      <c r="U124" s="136">
        <v>41500</v>
      </c>
      <c r="V124" s="136">
        <v>1397273.98</v>
      </c>
      <c r="W124" s="147" t="s">
        <v>11</v>
      </c>
      <c r="X124" s="185">
        <v>0.04</v>
      </c>
      <c r="Y124" s="137">
        <v>44515</v>
      </c>
      <c r="Z124" s="137">
        <v>46309</v>
      </c>
      <c r="AA124" s="137">
        <v>46320</v>
      </c>
      <c r="AB124" s="138">
        <v>1806</v>
      </c>
      <c r="AC124" s="139" t="s">
        <v>10</v>
      </c>
      <c r="AD124" s="138">
        <v>1759</v>
      </c>
      <c r="AE124" s="140">
        <v>4.8191780821917805</v>
      </c>
      <c r="AF124" s="184"/>
      <c r="AG124" s="186" t="s">
        <v>1</v>
      </c>
      <c r="AH124" s="186" t="s">
        <v>1</v>
      </c>
      <c r="AI124" s="187" t="s">
        <v>0</v>
      </c>
      <c r="AJ124" s="143" t="s">
        <v>0</v>
      </c>
      <c r="AK124" s="164" t="s">
        <v>563</v>
      </c>
      <c r="AL124" s="188" t="s">
        <v>689</v>
      </c>
      <c r="AO124" s="197" t="s">
        <v>34</v>
      </c>
      <c r="AP124" s="198" t="s">
        <v>475</v>
      </c>
      <c r="AS124" s="212">
        <v>0</v>
      </c>
      <c r="AT124" s="212">
        <v>1800</v>
      </c>
      <c r="AU124" s="212" t="b">
        <v>0</v>
      </c>
      <c r="AV124" s="212"/>
      <c r="AW124" s="212">
        <v>0</v>
      </c>
      <c r="AX124" s="212">
        <v>0</v>
      </c>
      <c r="BA124" s="212">
        <v>0</v>
      </c>
      <c r="BB124" s="226"/>
      <c r="BC124" s="226"/>
    </row>
    <row r="125" spans="1:55" ht="39.950000000000003" hidden="1" customHeight="1" x14ac:dyDescent="0.2">
      <c r="A125" s="131" t="s">
        <v>694</v>
      </c>
      <c r="B125" s="132" t="s">
        <v>51</v>
      </c>
      <c r="C125" s="133" t="s">
        <v>38</v>
      </c>
      <c r="D125" s="13" t="s">
        <v>541</v>
      </c>
      <c r="E125" s="161" t="s">
        <v>38</v>
      </c>
      <c r="F125" s="131" t="s">
        <v>546</v>
      </c>
      <c r="G125" s="131" t="s">
        <v>114</v>
      </c>
      <c r="H125" s="66" t="s">
        <v>442</v>
      </c>
      <c r="I125" s="14" t="s">
        <v>50</v>
      </c>
      <c r="J125" s="77" t="s">
        <v>21</v>
      </c>
      <c r="K125" s="168" t="s">
        <v>209</v>
      </c>
      <c r="L125" s="65" t="s">
        <v>191</v>
      </c>
      <c r="M125" s="134" t="s">
        <v>323</v>
      </c>
      <c r="N125" s="13" t="s">
        <v>43</v>
      </c>
      <c r="O125" s="167" t="s">
        <v>531</v>
      </c>
      <c r="P125" s="167" t="s">
        <v>534</v>
      </c>
      <c r="Q125" s="135" t="s">
        <v>9</v>
      </c>
      <c r="R125" s="136">
        <v>6617.7187678504251</v>
      </c>
      <c r="S125" s="73">
        <v>4750</v>
      </c>
      <c r="T125" s="136">
        <v>6617.7187678504251</v>
      </c>
      <c r="U125" s="136">
        <v>13235.43753570085</v>
      </c>
      <c r="V125" s="136">
        <v>549870.78033353307</v>
      </c>
      <c r="W125" s="147" t="s">
        <v>11</v>
      </c>
      <c r="X125" s="185">
        <v>3.2500000000000001E-2</v>
      </c>
      <c r="Y125" s="137">
        <v>44511</v>
      </c>
      <c r="Z125" s="137">
        <v>44511</v>
      </c>
      <c r="AA125" s="137">
        <v>46277</v>
      </c>
      <c r="AB125" s="138">
        <v>1767</v>
      </c>
      <c r="AC125" s="139" t="s">
        <v>10</v>
      </c>
      <c r="AD125" s="138">
        <v>1716</v>
      </c>
      <c r="AE125" s="140">
        <v>4.7013698630136984</v>
      </c>
      <c r="AF125" s="184"/>
      <c r="AG125" s="186" t="s">
        <v>1</v>
      </c>
      <c r="AH125" s="186" t="s">
        <v>1</v>
      </c>
      <c r="AI125" s="187" t="s">
        <v>0</v>
      </c>
      <c r="AJ125" s="143" t="s">
        <v>0</v>
      </c>
      <c r="AK125" s="164" t="s">
        <v>271</v>
      </c>
      <c r="AL125" s="188" t="s">
        <v>690</v>
      </c>
      <c r="AO125" s="197" t="s">
        <v>38</v>
      </c>
      <c r="AP125" s="198" t="s">
        <v>546</v>
      </c>
      <c r="AS125" s="212">
        <v>0</v>
      </c>
      <c r="AT125" s="212">
        <v>794.12625214205104</v>
      </c>
      <c r="AU125" s="212" t="b">
        <v>0</v>
      </c>
      <c r="AV125" s="212"/>
      <c r="AW125" s="212">
        <v>0</v>
      </c>
      <c r="AX125" s="212">
        <v>0</v>
      </c>
      <c r="BA125" s="212">
        <v>0</v>
      </c>
      <c r="BB125" s="226"/>
      <c r="BC125" s="226"/>
    </row>
    <row r="126" spans="1:55" ht="39.950000000000003" hidden="1" customHeight="1" x14ac:dyDescent="0.2">
      <c r="A126" s="131" t="s">
        <v>695</v>
      </c>
      <c r="B126" s="132" t="s">
        <v>23</v>
      </c>
      <c r="C126" s="133" t="s">
        <v>149</v>
      </c>
      <c r="D126" s="131" t="s">
        <v>542</v>
      </c>
      <c r="E126" s="161" t="s">
        <v>166</v>
      </c>
      <c r="F126" s="188" t="s">
        <v>102</v>
      </c>
      <c r="G126" s="188" t="s">
        <v>102</v>
      </c>
      <c r="H126" s="66" t="s">
        <v>103</v>
      </c>
      <c r="I126" s="133" t="s">
        <v>148</v>
      </c>
      <c r="J126" s="133" t="s">
        <v>148</v>
      </c>
      <c r="K126" s="13" t="s">
        <v>29</v>
      </c>
      <c r="L126" s="65" t="s">
        <v>191</v>
      </c>
      <c r="M126" s="134" t="s">
        <v>59</v>
      </c>
      <c r="N126" s="13" t="s">
        <v>43</v>
      </c>
      <c r="O126" s="167" t="s">
        <v>538</v>
      </c>
      <c r="P126" s="167" t="s">
        <v>534</v>
      </c>
      <c r="Q126" s="135" t="s">
        <v>59</v>
      </c>
      <c r="R126" s="136">
        <v>9851.8284993694833</v>
      </c>
      <c r="S126" s="73">
        <v>6250</v>
      </c>
      <c r="T126" s="136">
        <v>9851.8284993694833</v>
      </c>
      <c r="U126" s="136">
        <v>110340.47919293822</v>
      </c>
      <c r="V126" s="136">
        <v>711178.81462799502</v>
      </c>
      <c r="W126" s="147" t="s">
        <v>11</v>
      </c>
      <c r="X126" s="185">
        <v>1.6500000000000001E-2</v>
      </c>
      <c r="Y126" s="137">
        <v>44498</v>
      </c>
      <c r="Z126" s="137">
        <v>46920</v>
      </c>
      <c r="AA126" s="137">
        <v>46920</v>
      </c>
      <c r="AB126" s="138">
        <v>2423</v>
      </c>
      <c r="AC126" s="139" t="s">
        <v>10</v>
      </c>
      <c r="AD126" s="138">
        <v>2359</v>
      </c>
      <c r="AE126" s="140">
        <v>6.463013698630137</v>
      </c>
      <c r="AF126" s="184"/>
      <c r="AG126" s="186" t="s">
        <v>1</v>
      </c>
      <c r="AH126" s="186" t="s">
        <v>188</v>
      </c>
      <c r="AI126" s="187" t="s">
        <v>0</v>
      </c>
      <c r="AJ126" s="143" t="s">
        <v>0</v>
      </c>
      <c r="AK126" s="164" t="s">
        <v>271</v>
      </c>
      <c r="AL126" s="188" t="s">
        <v>691</v>
      </c>
      <c r="AO126" s="197" t="s">
        <v>166</v>
      </c>
      <c r="AP126" s="198" t="s">
        <v>102</v>
      </c>
      <c r="AS126" s="212">
        <v>0</v>
      </c>
      <c r="AT126" s="212">
        <v>1182.2194199243379</v>
      </c>
      <c r="AU126" s="212" t="b">
        <v>0</v>
      </c>
      <c r="AV126" s="212"/>
      <c r="AW126" s="212">
        <v>0</v>
      </c>
      <c r="AX126" s="212">
        <v>0</v>
      </c>
      <c r="BA126" s="212">
        <v>0</v>
      </c>
      <c r="BB126" s="226"/>
      <c r="BC126" s="226"/>
    </row>
    <row r="127" spans="1:55" ht="39.950000000000003" hidden="1" customHeight="1" x14ac:dyDescent="0.2">
      <c r="A127" s="131" t="s">
        <v>696</v>
      </c>
      <c r="B127" s="132" t="s">
        <v>24</v>
      </c>
      <c r="C127" s="133" t="s">
        <v>38</v>
      </c>
      <c r="D127" s="13" t="s">
        <v>540</v>
      </c>
      <c r="E127" s="161" t="s">
        <v>49</v>
      </c>
      <c r="F127" s="131" t="s">
        <v>48</v>
      </c>
      <c r="G127" s="131" t="s">
        <v>95</v>
      </c>
      <c r="H127" s="130" t="s">
        <v>447</v>
      </c>
      <c r="I127" s="133" t="s">
        <v>142</v>
      </c>
      <c r="J127" s="192" t="s">
        <v>218</v>
      </c>
      <c r="K127" s="13" t="s">
        <v>29</v>
      </c>
      <c r="L127" s="65" t="s">
        <v>191</v>
      </c>
      <c r="M127" s="134" t="s">
        <v>323</v>
      </c>
      <c r="N127" s="13" t="s">
        <v>43</v>
      </c>
      <c r="O127" s="167" t="s">
        <v>531</v>
      </c>
      <c r="P127" s="167" t="s">
        <v>534</v>
      </c>
      <c r="Q127" s="135" t="s">
        <v>9</v>
      </c>
      <c r="R127" s="136">
        <v>13932.039511264054</v>
      </c>
      <c r="S127" s="73">
        <v>10000</v>
      </c>
      <c r="T127" s="136">
        <v>13932.039511264054</v>
      </c>
      <c r="U127" s="136">
        <v>21893.20494030121</v>
      </c>
      <c r="V127" s="136">
        <v>1102630.5641082798</v>
      </c>
      <c r="W127" s="147" t="s">
        <v>11</v>
      </c>
      <c r="X127" s="185">
        <v>0.06</v>
      </c>
      <c r="Y127" s="137">
        <v>44519</v>
      </c>
      <c r="Z127" s="137">
        <v>45882</v>
      </c>
      <c r="AA127" s="137">
        <v>45882</v>
      </c>
      <c r="AB127" s="138">
        <v>1364</v>
      </c>
      <c r="AC127" s="139" t="s">
        <v>10</v>
      </c>
      <c r="AD127" s="138">
        <v>1321</v>
      </c>
      <c r="AE127" s="140">
        <v>3.6191780821917807</v>
      </c>
      <c r="AF127" s="184"/>
      <c r="AG127" s="186" t="s">
        <v>1</v>
      </c>
      <c r="AH127" s="186" t="s">
        <v>1</v>
      </c>
      <c r="AI127" s="187" t="s">
        <v>697</v>
      </c>
      <c r="AJ127" s="143" t="s">
        <v>0</v>
      </c>
      <c r="AK127" s="164" t="s">
        <v>271</v>
      </c>
      <c r="AL127" s="188" t="s">
        <v>692</v>
      </c>
      <c r="AO127" s="197" t="s">
        <v>49</v>
      </c>
      <c r="AP127" s="198" t="s">
        <v>48</v>
      </c>
      <c r="AS127" s="212">
        <v>0</v>
      </c>
      <c r="AT127" s="212">
        <v>1671.8447413516865</v>
      </c>
      <c r="AU127" s="212" t="b">
        <v>0</v>
      </c>
      <c r="AV127" s="212"/>
      <c r="AW127" s="212">
        <v>0</v>
      </c>
      <c r="AX127" s="212">
        <v>0</v>
      </c>
      <c r="BA127" s="212">
        <v>0</v>
      </c>
      <c r="BB127" s="226"/>
      <c r="BC127" s="226"/>
    </row>
    <row r="128" spans="1:55" ht="39.950000000000003" hidden="1" customHeight="1" x14ac:dyDescent="0.2">
      <c r="A128" s="131" t="s">
        <v>698</v>
      </c>
      <c r="B128" s="132" t="s">
        <v>23</v>
      </c>
      <c r="C128" s="133" t="s">
        <v>37</v>
      </c>
      <c r="D128" s="13" t="s">
        <v>540</v>
      </c>
      <c r="E128" s="161" t="s">
        <v>36</v>
      </c>
      <c r="F128" s="131" t="s">
        <v>543</v>
      </c>
      <c r="G128" s="14" t="s">
        <v>132</v>
      </c>
      <c r="H128" s="131" t="s">
        <v>133</v>
      </c>
      <c r="I128" s="133" t="s">
        <v>236</v>
      </c>
      <c r="J128" s="192" t="s">
        <v>21</v>
      </c>
      <c r="K128" s="13" t="s">
        <v>29</v>
      </c>
      <c r="L128" s="65" t="s">
        <v>191</v>
      </c>
      <c r="M128" s="134" t="s">
        <v>323</v>
      </c>
      <c r="N128" s="13" t="s">
        <v>43</v>
      </c>
      <c r="O128" s="167" t="s">
        <v>538</v>
      </c>
      <c r="P128" s="167" t="s">
        <v>548</v>
      </c>
      <c r="Q128" s="135" t="s">
        <v>9</v>
      </c>
      <c r="R128" s="136">
        <v>20898.059266896082</v>
      </c>
      <c r="S128" s="73">
        <v>15000</v>
      </c>
      <c r="T128" s="136">
        <v>20898.059266896082</v>
      </c>
      <c r="U128" s="136">
        <v>62694.177800688238</v>
      </c>
      <c r="V128" s="136">
        <v>719018.62713682652</v>
      </c>
      <c r="W128" s="147" t="s">
        <v>11</v>
      </c>
      <c r="X128" s="185">
        <v>1.4E-2</v>
      </c>
      <c r="Y128" s="137">
        <v>44524</v>
      </c>
      <c r="Z128" s="137">
        <v>46493</v>
      </c>
      <c r="AA128" s="137">
        <v>46493</v>
      </c>
      <c r="AB128" s="138">
        <v>1970</v>
      </c>
      <c r="AC128" s="139" t="s">
        <v>10</v>
      </c>
      <c r="AD128" s="138">
        <v>1932</v>
      </c>
      <c r="AE128" s="140">
        <v>5.2931506849315069</v>
      </c>
      <c r="AF128" s="184"/>
      <c r="AG128" s="186" t="s">
        <v>1</v>
      </c>
      <c r="AH128" s="186" t="s">
        <v>1</v>
      </c>
      <c r="AI128" s="187" t="s">
        <v>0</v>
      </c>
      <c r="AJ128" s="143" t="s">
        <v>0</v>
      </c>
      <c r="AK128" s="164" t="s">
        <v>563</v>
      </c>
      <c r="AL128" s="188" t="s">
        <v>699</v>
      </c>
      <c r="AO128" s="197" t="s">
        <v>36</v>
      </c>
      <c r="AP128" s="198" t="s">
        <v>543</v>
      </c>
      <c r="AS128" s="212">
        <v>0</v>
      </c>
      <c r="AT128" s="212">
        <v>2507.7671120275295</v>
      </c>
      <c r="AU128" s="212" t="b">
        <v>0</v>
      </c>
      <c r="AV128" s="212"/>
      <c r="AW128" s="212">
        <v>0</v>
      </c>
      <c r="AX128" s="212">
        <v>0</v>
      </c>
      <c r="BA128" s="212">
        <v>0</v>
      </c>
      <c r="BB128" s="226"/>
      <c r="BC128" s="226"/>
    </row>
    <row r="129" spans="1:55" ht="39.950000000000003" hidden="1" customHeight="1" x14ac:dyDescent="0.2">
      <c r="A129" s="131" t="s">
        <v>701</v>
      </c>
      <c r="B129" s="132" t="s">
        <v>24</v>
      </c>
      <c r="C129" s="133" t="s">
        <v>38</v>
      </c>
      <c r="D129" s="13" t="s">
        <v>540</v>
      </c>
      <c r="E129" s="161" t="s">
        <v>35</v>
      </c>
      <c r="F129" s="14" t="s">
        <v>546</v>
      </c>
      <c r="G129" s="14" t="s">
        <v>159</v>
      </c>
      <c r="H129" s="188" t="s">
        <v>259</v>
      </c>
      <c r="I129" s="133" t="s">
        <v>50</v>
      </c>
      <c r="J129" s="192" t="s">
        <v>21</v>
      </c>
      <c r="K129" s="168" t="s">
        <v>139</v>
      </c>
      <c r="L129" s="194" t="s">
        <v>191</v>
      </c>
      <c r="M129" s="134" t="s">
        <v>323</v>
      </c>
      <c r="N129" s="167" t="s">
        <v>43</v>
      </c>
      <c r="O129" s="167" t="s">
        <v>538</v>
      </c>
      <c r="P129" s="167" t="s">
        <v>534</v>
      </c>
      <c r="Q129" s="135" t="s">
        <v>9</v>
      </c>
      <c r="R129" s="136">
        <v>6966.0197556320272</v>
      </c>
      <c r="S129" s="73">
        <v>5000</v>
      </c>
      <c r="T129" s="136">
        <v>6966.0197556320272</v>
      </c>
      <c r="U129" s="136">
        <v>48762.138289424191</v>
      </c>
      <c r="V129" s="136">
        <v>588340.38758933917</v>
      </c>
      <c r="W129" s="147" t="s">
        <v>11</v>
      </c>
      <c r="X129" s="185">
        <v>3.3300000000000003E-2</v>
      </c>
      <c r="Y129" s="137">
        <v>44526</v>
      </c>
      <c r="Z129" s="137">
        <v>46271</v>
      </c>
      <c r="AA129" s="137">
        <v>46271</v>
      </c>
      <c r="AB129" s="138">
        <v>1746</v>
      </c>
      <c r="AC129" s="139" t="s">
        <v>10</v>
      </c>
      <c r="AD129" s="138">
        <v>1710</v>
      </c>
      <c r="AE129" s="140">
        <v>4.6849315068493151</v>
      </c>
      <c r="AF129" s="184"/>
      <c r="AG129" s="186" t="s">
        <v>1</v>
      </c>
      <c r="AH129" s="186" t="s">
        <v>1</v>
      </c>
      <c r="AI129" s="187" t="s">
        <v>0</v>
      </c>
      <c r="AJ129" s="11" t="s">
        <v>0</v>
      </c>
      <c r="AK129" s="164" t="s">
        <v>563</v>
      </c>
      <c r="AL129" s="188" t="s">
        <v>700</v>
      </c>
      <c r="AO129" s="197" t="s">
        <v>35</v>
      </c>
      <c r="AP129" s="198" t="s">
        <v>546</v>
      </c>
      <c r="AS129" s="212">
        <v>0</v>
      </c>
      <c r="AT129" s="212">
        <v>835.92237067584324</v>
      </c>
      <c r="AU129" s="212" t="b">
        <v>0</v>
      </c>
      <c r="AV129" s="212"/>
      <c r="AW129" s="212">
        <v>0</v>
      </c>
      <c r="AX129" s="212">
        <v>0</v>
      </c>
      <c r="BA129" s="212">
        <v>0</v>
      </c>
      <c r="BB129" s="226"/>
      <c r="BC129" s="226"/>
    </row>
    <row r="130" spans="1:55" ht="39.950000000000003" hidden="1" customHeight="1" x14ac:dyDescent="0.2">
      <c r="A130" s="131" t="s">
        <v>702</v>
      </c>
      <c r="B130" s="132" t="s">
        <v>67</v>
      </c>
      <c r="C130" s="133" t="s">
        <v>38</v>
      </c>
      <c r="D130" s="131" t="s">
        <v>34</v>
      </c>
      <c r="E130" s="161" t="s">
        <v>34</v>
      </c>
      <c r="F130" s="14" t="s">
        <v>546</v>
      </c>
      <c r="G130" s="14" t="s">
        <v>114</v>
      </c>
      <c r="H130" s="130" t="s">
        <v>167</v>
      </c>
      <c r="I130" s="133" t="s">
        <v>706</v>
      </c>
      <c r="J130" s="192" t="s">
        <v>220</v>
      </c>
      <c r="K130" s="168" t="s">
        <v>209</v>
      </c>
      <c r="L130" s="194" t="s">
        <v>191</v>
      </c>
      <c r="M130" s="134" t="s">
        <v>323</v>
      </c>
      <c r="N130" s="167" t="s">
        <v>43</v>
      </c>
      <c r="O130" s="167" t="s">
        <v>538</v>
      </c>
      <c r="P130" s="167" t="s">
        <v>534</v>
      </c>
      <c r="Q130" s="135" t="s">
        <v>8</v>
      </c>
      <c r="R130" s="136">
        <v>20000</v>
      </c>
      <c r="S130" s="73">
        <v>20000</v>
      </c>
      <c r="T130" s="136">
        <v>20000</v>
      </c>
      <c r="U130" s="136">
        <v>155000</v>
      </c>
      <c r="V130" s="136">
        <v>1137586.8400000001</v>
      </c>
      <c r="W130" s="147" t="s">
        <v>11</v>
      </c>
      <c r="X130" s="185">
        <v>1.9E-2</v>
      </c>
      <c r="Y130" s="137">
        <v>44533</v>
      </c>
      <c r="Z130" s="137">
        <v>46359</v>
      </c>
      <c r="AA130" s="137">
        <v>46359</v>
      </c>
      <c r="AB130" s="138">
        <v>1827</v>
      </c>
      <c r="AC130" s="139" t="s">
        <v>10</v>
      </c>
      <c r="AD130" s="138">
        <v>1798</v>
      </c>
      <c r="AE130" s="140">
        <v>4.9260273972602739</v>
      </c>
      <c r="AF130" s="184"/>
      <c r="AG130" s="186" t="s">
        <v>1</v>
      </c>
      <c r="AH130" s="186" t="s">
        <v>1</v>
      </c>
      <c r="AI130" s="187" t="s">
        <v>0</v>
      </c>
      <c r="AJ130" s="143" t="s">
        <v>0</v>
      </c>
      <c r="AK130" s="164" t="s">
        <v>271</v>
      </c>
      <c r="AL130" s="188" t="s">
        <v>703</v>
      </c>
      <c r="AO130" s="197" t="s">
        <v>34</v>
      </c>
      <c r="AP130" s="198" t="s">
        <v>546</v>
      </c>
      <c r="AS130" s="212">
        <v>0</v>
      </c>
      <c r="AT130" s="212">
        <v>2400</v>
      </c>
      <c r="AU130" s="212" t="b">
        <v>0</v>
      </c>
      <c r="AV130" s="212"/>
      <c r="AW130" s="212">
        <v>0</v>
      </c>
      <c r="AX130" s="212">
        <v>0</v>
      </c>
      <c r="BA130" s="212">
        <v>0</v>
      </c>
      <c r="BB130" s="226"/>
      <c r="BC130" s="226"/>
    </row>
    <row r="131" spans="1:55" ht="39.950000000000003" hidden="1" customHeight="1" x14ac:dyDescent="0.2">
      <c r="A131" s="131" t="s">
        <v>713</v>
      </c>
      <c r="B131" s="132" t="s">
        <v>24</v>
      </c>
      <c r="C131" s="133" t="s">
        <v>38</v>
      </c>
      <c r="D131" s="131" t="s">
        <v>34</v>
      </c>
      <c r="E131" s="161" t="s">
        <v>295</v>
      </c>
      <c r="F131" s="131" t="s">
        <v>544</v>
      </c>
      <c r="G131" s="131" t="s">
        <v>176</v>
      </c>
      <c r="H131" s="130" t="s">
        <v>201</v>
      </c>
      <c r="I131" s="133" t="s">
        <v>638</v>
      </c>
      <c r="J131" s="192" t="s">
        <v>687</v>
      </c>
      <c r="K131" s="168" t="s">
        <v>209</v>
      </c>
      <c r="L131" s="194" t="s">
        <v>191</v>
      </c>
      <c r="M131" s="134" t="s">
        <v>323</v>
      </c>
      <c r="N131" s="167" t="s">
        <v>43</v>
      </c>
      <c r="O131" s="167" t="s">
        <v>538</v>
      </c>
      <c r="P131" s="167" t="s">
        <v>534</v>
      </c>
      <c r="Q131" s="135" t="s">
        <v>297</v>
      </c>
      <c r="R131" s="136">
        <v>12083.1486</v>
      </c>
      <c r="S131" s="73">
        <v>12083.1486</v>
      </c>
      <c r="T131" s="136">
        <v>12083.1486</v>
      </c>
      <c r="U131" s="136">
        <v>24166.296999999999</v>
      </c>
      <c r="V131" s="136">
        <v>1652428.53</v>
      </c>
      <c r="W131" s="147" t="s">
        <v>11</v>
      </c>
      <c r="X131" s="185">
        <v>4.2500000000000003E-2</v>
      </c>
      <c r="Y131" s="137">
        <v>44540</v>
      </c>
      <c r="Z131" s="137">
        <v>46691</v>
      </c>
      <c r="AA131" s="137">
        <v>46691</v>
      </c>
      <c r="AB131" s="138">
        <v>2152</v>
      </c>
      <c r="AC131" s="139" t="s">
        <v>10</v>
      </c>
      <c r="AD131" s="138">
        <v>2130</v>
      </c>
      <c r="AE131" s="140">
        <v>5.8356164383561646</v>
      </c>
      <c r="AF131" s="184"/>
      <c r="AG131" s="186" t="s">
        <v>1</v>
      </c>
      <c r="AH131" s="186" t="s">
        <v>1</v>
      </c>
      <c r="AI131" s="187" t="s">
        <v>0</v>
      </c>
      <c r="AJ131" s="143" t="s">
        <v>0</v>
      </c>
      <c r="AK131" s="164" t="s">
        <v>563</v>
      </c>
      <c r="AL131" s="188" t="s">
        <v>707</v>
      </c>
      <c r="AO131" s="197" t="s">
        <v>295</v>
      </c>
      <c r="AP131" s="198" t="s">
        <v>544</v>
      </c>
      <c r="AS131" s="212">
        <v>0</v>
      </c>
      <c r="AT131" s="212">
        <v>1449.977832</v>
      </c>
      <c r="AU131" s="212" t="b">
        <v>0</v>
      </c>
      <c r="AV131" s="212"/>
      <c r="AW131" s="212">
        <v>0</v>
      </c>
      <c r="AX131" s="212">
        <v>0</v>
      </c>
      <c r="BA131" s="212">
        <v>0</v>
      </c>
      <c r="BB131" s="226"/>
      <c r="BC131" s="226"/>
    </row>
    <row r="132" spans="1:55" ht="39.950000000000003" hidden="1" customHeight="1" x14ac:dyDescent="0.2">
      <c r="A132" s="131" t="s">
        <v>718</v>
      </c>
      <c r="B132" s="132" t="s">
        <v>23</v>
      </c>
      <c r="C132" s="133" t="s">
        <v>88</v>
      </c>
      <c r="D132" s="131" t="s">
        <v>499</v>
      </c>
      <c r="E132" s="161" t="s">
        <v>162</v>
      </c>
      <c r="F132" s="131" t="s">
        <v>92</v>
      </c>
      <c r="G132" s="131" t="s">
        <v>134</v>
      </c>
      <c r="H132" s="130" t="s">
        <v>134</v>
      </c>
      <c r="I132" s="133" t="s">
        <v>61</v>
      </c>
      <c r="J132" s="192" t="s">
        <v>220</v>
      </c>
      <c r="K132" s="13" t="s">
        <v>68</v>
      </c>
      <c r="L132" s="194" t="s">
        <v>191</v>
      </c>
      <c r="M132" s="134" t="s">
        <v>59</v>
      </c>
      <c r="N132" s="167" t="s">
        <v>43</v>
      </c>
      <c r="O132" s="167" t="s">
        <v>533</v>
      </c>
      <c r="P132" s="167" t="s">
        <v>548</v>
      </c>
      <c r="Q132" s="135" t="s">
        <v>9</v>
      </c>
      <c r="R132" s="136">
        <v>10449.029633448041</v>
      </c>
      <c r="S132" s="73">
        <v>7500</v>
      </c>
      <c r="T132" s="136">
        <v>10449.029633448041</v>
      </c>
      <c r="U132" s="136">
        <v>208980.5926689608</v>
      </c>
      <c r="V132" s="136">
        <v>321371.77647435805</v>
      </c>
      <c r="W132" s="147" t="s">
        <v>11</v>
      </c>
      <c r="X132" s="185">
        <v>1.375E-2</v>
      </c>
      <c r="Y132" s="137">
        <v>44550</v>
      </c>
      <c r="Z132" s="137">
        <v>46200</v>
      </c>
      <c r="AA132" s="137">
        <v>46200</v>
      </c>
      <c r="AB132" s="138">
        <v>1651</v>
      </c>
      <c r="AC132" s="139" t="s">
        <v>10</v>
      </c>
      <c r="AD132" s="138">
        <v>1639</v>
      </c>
      <c r="AE132" s="140">
        <v>4.4904109589041097</v>
      </c>
      <c r="AF132" s="184"/>
      <c r="AG132" s="186" t="s">
        <v>1</v>
      </c>
      <c r="AH132" s="186" t="s">
        <v>1</v>
      </c>
      <c r="AI132" s="187" t="s">
        <v>719</v>
      </c>
      <c r="AJ132" s="143" t="s">
        <v>0</v>
      </c>
      <c r="AK132" s="164" t="s">
        <v>563</v>
      </c>
      <c r="AL132" s="188" t="s">
        <v>708</v>
      </c>
      <c r="AO132" s="197" t="s">
        <v>162</v>
      </c>
      <c r="AP132" s="198" t="s">
        <v>92</v>
      </c>
      <c r="AS132" s="212">
        <v>0</v>
      </c>
      <c r="AT132" s="212">
        <v>1253.8835560137647</v>
      </c>
      <c r="AU132" s="212" t="b">
        <v>0</v>
      </c>
      <c r="AV132" s="212"/>
      <c r="AW132" s="212">
        <v>0</v>
      </c>
      <c r="AX132" s="212">
        <v>0</v>
      </c>
      <c r="BA132" s="212">
        <v>0</v>
      </c>
      <c r="BB132" s="226"/>
      <c r="BC132" s="226"/>
    </row>
    <row r="133" spans="1:55" ht="39.950000000000003" hidden="1" customHeight="1" x14ac:dyDescent="0.2">
      <c r="A133" s="131" t="s">
        <v>720</v>
      </c>
      <c r="B133" s="132" t="s">
        <v>67</v>
      </c>
      <c r="C133" s="133" t="s">
        <v>127</v>
      </c>
      <c r="D133" s="131" t="s">
        <v>499</v>
      </c>
      <c r="E133" s="161" t="s">
        <v>162</v>
      </c>
      <c r="F133" s="131" t="s">
        <v>233</v>
      </c>
      <c r="G133" s="131" t="s">
        <v>233</v>
      </c>
      <c r="H133" s="131" t="s">
        <v>443</v>
      </c>
      <c r="I133" s="133" t="s">
        <v>218</v>
      </c>
      <c r="J133" s="192" t="s">
        <v>218</v>
      </c>
      <c r="K133" s="168" t="s">
        <v>209</v>
      </c>
      <c r="L133" s="194" t="s">
        <v>191</v>
      </c>
      <c r="M133" s="134" t="s">
        <v>59</v>
      </c>
      <c r="N133" s="167" t="s">
        <v>43</v>
      </c>
      <c r="O133" s="167" t="s">
        <v>538</v>
      </c>
      <c r="P133" s="167" t="s">
        <v>534</v>
      </c>
      <c r="Q133" s="135" t="s">
        <v>59</v>
      </c>
      <c r="R133" s="136">
        <v>31525.851197982349</v>
      </c>
      <c r="S133" s="73">
        <v>20000</v>
      </c>
      <c r="T133" s="136">
        <v>31525.851197982349</v>
      </c>
      <c r="U133" s="136">
        <v>55596.727883537322</v>
      </c>
      <c r="V133" s="136">
        <v>1445712.1374527114</v>
      </c>
      <c r="W133" s="147" t="s">
        <v>11</v>
      </c>
      <c r="X133" s="185">
        <v>0.03</v>
      </c>
      <c r="Y133" s="137">
        <v>44547</v>
      </c>
      <c r="Z133" s="137">
        <v>46280</v>
      </c>
      <c r="AA133" s="137">
        <v>46285</v>
      </c>
      <c r="AB133" s="138">
        <v>1739</v>
      </c>
      <c r="AC133" s="139" t="s">
        <v>10</v>
      </c>
      <c r="AD133" s="138">
        <v>1724</v>
      </c>
      <c r="AE133" s="140">
        <v>4.7232876712328764</v>
      </c>
      <c r="AF133" s="184"/>
      <c r="AG133" s="186" t="s">
        <v>1</v>
      </c>
      <c r="AH133" s="186" t="s">
        <v>1</v>
      </c>
      <c r="AI133" s="187" t="s">
        <v>0</v>
      </c>
      <c r="AJ133" s="143" t="s">
        <v>0</v>
      </c>
      <c r="AK133" s="164" t="s">
        <v>271</v>
      </c>
      <c r="AL133" s="188" t="s">
        <v>709</v>
      </c>
      <c r="AO133" s="197" t="s">
        <v>162</v>
      </c>
      <c r="AP133" s="198" t="s">
        <v>233</v>
      </c>
      <c r="AS133" s="212">
        <v>0</v>
      </c>
      <c r="AT133" s="212">
        <v>3783.1021437578815</v>
      </c>
      <c r="AU133" s="212" t="b">
        <v>0</v>
      </c>
      <c r="AV133" s="212"/>
      <c r="AW133" s="212">
        <v>0</v>
      </c>
      <c r="AX133" s="212">
        <v>0</v>
      </c>
      <c r="BA133" s="212">
        <v>0</v>
      </c>
      <c r="BB133" s="226"/>
      <c r="BC133" s="226"/>
    </row>
    <row r="134" spans="1:55" ht="39.950000000000003" hidden="1" customHeight="1" x14ac:dyDescent="0.2">
      <c r="A134" s="131" t="s">
        <v>721</v>
      </c>
      <c r="B134" s="132" t="s">
        <v>24</v>
      </c>
      <c r="C134" s="133" t="s">
        <v>38</v>
      </c>
      <c r="D134" s="13" t="s">
        <v>541</v>
      </c>
      <c r="E134" s="161" t="s">
        <v>37</v>
      </c>
      <c r="F134" s="131" t="s">
        <v>233</v>
      </c>
      <c r="G134" s="131" t="s">
        <v>233</v>
      </c>
      <c r="H134" s="131" t="s">
        <v>443</v>
      </c>
      <c r="I134" s="133" t="s">
        <v>142</v>
      </c>
      <c r="J134" s="192" t="s">
        <v>218</v>
      </c>
      <c r="K134" s="168" t="s">
        <v>209</v>
      </c>
      <c r="L134" s="194" t="s">
        <v>191</v>
      </c>
      <c r="M134" s="134" t="s">
        <v>323</v>
      </c>
      <c r="N134" s="167" t="s">
        <v>43</v>
      </c>
      <c r="O134" s="167" t="s">
        <v>538</v>
      </c>
      <c r="P134" s="167" t="s">
        <v>534</v>
      </c>
      <c r="Q134" s="135" t="s">
        <v>54</v>
      </c>
      <c r="R134" s="136">
        <v>21439.674116953422</v>
      </c>
      <c r="S134" s="73">
        <v>120000</v>
      </c>
      <c r="T134" s="136">
        <v>21439.674116953422</v>
      </c>
      <c r="U134" s="136">
        <v>30628.105804791765</v>
      </c>
      <c r="V134" s="136">
        <v>1148392.3263833057</v>
      </c>
      <c r="W134" s="147" t="s">
        <v>11</v>
      </c>
      <c r="X134" s="185">
        <v>2.1999999999999999E-2</v>
      </c>
      <c r="Y134" s="137">
        <v>44550</v>
      </c>
      <c r="Z134" s="137">
        <v>46316</v>
      </c>
      <c r="AA134" s="137">
        <v>46316</v>
      </c>
      <c r="AB134" s="138">
        <v>1767</v>
      </c>
      <c r="AC134" s="139" t="s">
        <v>10</v>
      </c>
      <c r="AD134" s="138">
        <v>1755</v>
      </c>
      <c r="AE134" s="140">
        <v>4.8082191780821919</v>
      </c>
      <c r="AF134" s="184"/>
      <c r="AG134" s="186" t="s">
        <v>1</v>
      </c>
      <c r="AH134" s="186" t="s">
        <v>1</v>
      </c>
      <c r="AI134" s="187" t="s">
        <v>0</v>
      </c>
      <c r="AJ134" s="143" t="s">
        <v>0</v>
      </c>
      <c r="AK134" s="164" t="s">
        <v>563</v>
      </c>
      <c r="AL134" s="188" t="s">
        <v>722</v>
      </c>
      <c r="AO134" s="197" t="s">
        <v>37</v>
      </c>
      <c r="AP134" s="198" t="s">
        <v>233</v>
      </c>
      <c r="AS134" s="212">
        <v>0</v>
      </c>
      <c r="AT134" s="212">
        <v>2572.7608940344103</v>
      </c>
      <c r="AU134" s="212" t="b">
        <v>0</v>
      </c>
      <c r="AV134" s="212"/>
      <c r="AW134" s="212">
        <v>0</v>
      </c>
      <c r="AX134" s="212">
        <v>0</v>
      </c>
      <c r="BA134" s="212">
        <v>0</v>
      </c>
      <c r="BB134" s="226"/>
      <c r="BC134" s="226"/>
    </row>
    <row r="135" spans="1:55" ht="39.950000000000003" hidden="1" customHeight="1" x14ac:dyDescent="0.2">
      <c r="A135" s="131" t="s">
        <v>723</v>
      </c>
      <c r="B135" s="132" t="s">
        <v>23</v>
      </c>
      <c r="C135" s="133" t="s">
        <v>127</v>
      </c>
      <c r="D135" s="131" t="s">
        <v>542</v>
      </c>
      <c r="E135" s="161" t="s">
        <v>91</v>
      </c>
      <c r="F135" s="131" t="s">
        <v>233</v>
      </c>
      <c r="G135" s="131" t="s">
        <v>233</v>
      </c>
      <c r="H135" s="131" t="s">
        <v>443</v>
      </c>
      <c r="I135" s="133" t="s">
        <v>165</v>
      </c>
      <c r="J135" s="192" t="s">
        <v>220</v>
      </c>
      <c r="K135" s="223" t="s">
        <v>140</v>
      </c>
      <c r="L135" s="194" t="s">
        <v>191</v>
      </c>
      <c r="M135" s="134" t="s">
        <v>59</v>
      </c>
      <c r="N135" s="167" t="s">
        <v>43</v>
      </c>
      <c r="O135" s="167" t="s">
        <v>538</v>
      </c>
      <c r="P135" s="167" t="s">
        <v>534</v>
      </c>
      <c r="Q135" s="135" t="s">
        <v>59</v>
      </c>
      <c r="R135" s="136">
        <v>11822.19419924338</v>
      </c>
      <c r="S135" s="73">
        <v>7500</v>
      </c>
      <c r="T135" s="136">
        <v>11822.19419924338</v>
      </c>
      <c r="U135" s="136">
        <v>135561.16015132409</v>
      </c>
      <c r="V135" s="136">
        <v>1260386.5057163229</v>
      </c>
      <c r="W135" s="147" t="s">
        <v>11</v>
      </c>
      <c r="X135" s="185">
        <v>2.75E-2</v>
      </c>
      <c r="Y135" s="137">
        <v>44545</v>
      </c>
      <c r="Z135" s="137">
        <v>46951</v>
      </c>
      <c r="AA135" s="137">
        <v>46951</v>
      </c>
      <c r="AB135" s="138">
        <v>2407</v>
      </c>
      <c r="AC135" s="139" t="s">
        <v>10</v>
      </c>
      <c r="AD135" s="138">
        <v>2390</v>
      </c>
      <c r="AE135" s="140">
        <v>6.5479452054794525</v>
      </c>
      <c r="AF135" s="184"/>
      <c r="AG135" s="186" t="s">
        <v>1</v>
      </c>
      <c r="AH135" s="186" t="s">
        <v>1</v>
      </c>
      <c r="AI135" s="187" t="s">
        <v>0</v>
      </c>
      <c r="AJ135" s="143" t="s">
        <v>0</v>
      </c>
      <c r="AK135" s="164" t="s">
        <v>563</v>
      </c>
      <c r="AL135" s="188" t="s">
        <v>710</v>
      </c>
      <c r="AO135" s="197" t="s">
        <v>91</v>
      </c>
      <c r="AP135" s="198" t="s">
        <v>233</v>
      </c>
      <c r="AS135" s="212">
        <v>0</v>
      </c>
      <c r="AT135" s="212">
        <v>1418.6633039092055</v>
      </c>
      <c r="AU135" s="212" t="b">
        <v>0</v>
      </c>
      <c r="AV135" s="212"/>
      <c r="AW135" s="212">
        <v>0</v>
      </c>
      <c r="AX135" s="212">
        <v>0</v>
      </c>
      <c r="BA135" s="212">
        <v>0</v>
      </c>
      <c r="BB135" s="226"/>
      <c r="BC135" s="226"/>
    </row>
    <row r="136" spans="1:55" ht="39.950000000000003" hidden="1" customHeight="1" x14ac:dyDescent="0.2">
      <c r="A136" s="14" t="s">
        <v>725</v>
      </c>
      <c r="B136" s="65" t="s">
        <v>23</v>
      </c>
      <c r="C136" s="66" t="s">
        <v>37</v>
      </c>
      <c r="D136" s="131" t="s">
        <v>542</v>
      </c>
      <c r="E136" s="77" t="s">
        <v>87</v>
      </c>
      <c r="F136" s="14" t="s">
        <v>102</v>
      </c>
      <c r="G136" s="66" t="s">
        <v>102</v>
      </c>
      <c r="H136" s="14" t="s">
        <v>474</v>
      </c>
      <c r="I136" s="14" t="s">
        <v>79</v>
      </c>
      <c r="J136" s="14" t="s">
        <v>222</v>
      </c>
      <c r="K136" s="168" t="s">
        <v>209</v>
      </c>
      <c r="L136" s="65" t="s">
        <v>191</v>
      </c>
      <c r="M136" s="13" t="s">
        <v>323</v>
      </c>
      <c r="N136" s="13" t="s">
        <v>43</v>
      </c>
      <c r="O136" s="13" t="s">
        <v>531</v>
      </c>
      <c r="P136" s="13" t="s">
        <v>548</v>
      </c>
      <c r="Q136" s="64" t="s">
        <v>9</v>
      </c>
      <c r="R136" s="62">
        <v>27864.079022528109</v>
      </c>
      <c r="S136" s="63">
        <v>20000</v>
      </c>
      <c r="T136" s="62">
        <v>27864.079022528109</v>
      </c>
      <c r="U136" s="62">
        <v>208980.5926689608</v>
      </c>
      <c r="V136" s="62">
        <v>1627386.0568148568</v>
      </c>
      <c r="W136" s="61" t="s">
        <v>11</v>
      </c>
      <c r="X136" s="181">
        <v>2.0799999999999999E-2</v>
      </c>
      <c r="Y136" s="60">
        <v>44560</v>
      </c>
      <c r="Z136" s="60">
        <v>46350</v>
      </c>
      <c r="AA136" s="60">
        <v>46350</v>
      </c>
      <c r="AB136" s="58">
        <v>1791</v>
      </c>
      <c r="AC136" s="59" t="s">
        <v>10</v>
      </c>
      <c r="AD136" s="58">
        <v>1789</v>
      </c>
      <c r="AE136" s="57">
        <v>4.9013698630136986</v>
      </c>
      <c r="AF136" s="56" t="s">
        <v>436</v>
      </c>
      <c r="AG136" s="71" t="s">
        <v>1</v>
      </c>
      <c r="AH136" s="71" t="s">
        <v>1</v>
      </c>
      <c r="AI136" s="70" t="s">
        <v>0</v>
      </c>
      <c r="AJ136" s="11" t="s">
        <v>0</v>
      </c>
      <c r="AK136" s="164" t="s">
        <v>563</v>
      </c>
      <c r="AL136" s="14" t="s">
        <v>724</v>
      </c>
      <c r="AM136" s="11">
        <v>5000</v>
      </c>
      <c r="AN136" s="11">
        <v>75000</v>
      </c>
      <c r="AO136" s="197" t="s">
        <v>87</v>
      </c>
      <c r="AP136" s="198" t="s">
        <v>102</v>
      </c>
      <c r="AS136" s="212">
        <v>0</v>
      </c>
      <c r="AT136" s="212">
        <v>3343.689482703373</v>
      </c>
      <c r="AU136" s="212">
        <v>668.73789654067468</v>
      </c>
      <c r="AV136" s="212"/>
      <c r="AW136" s="212">
        <v>0</v>
      </c>
      <c r="AX136" s="212">
        <v>0</v>
      </c>
      <c r="BA136" s="212">
        <v>0</v>
      </c>
      <c r="BB136" s="226">
        <v>0</v>
      </c>
      <c r="BC136" s="226"/>
    </row>
    <row r="137" spans="1:55" ht="39.950000000000003" hidden="1" customHeight="1" x14ac:dyDescent="0.2">
      <c r="A137" s="131" t="s">
        <v>726</v>
      </c>
      <c r="B137" s="132" t="s">
        <v>243</v>
      </c>
      <c r="C137" s="133" t="s">
        <v>38</v>
      </c>
      <c r="D137" s="131" t="s">
        <v>542</v>
      </c>
      <c r="E137" s="161" t="s">
        <v>89</v>
      </c>
      <c r="F137" s="131" t="s">
        <v>546</v>
      </c>
      <c r="G137" s="131" t="s">
        <v>159</v>
      </c>
      <c r="H137" s="130" t="s">
        <v>259</v>
      </c>
      <c r="I137" s="133" t="s">
        <v>142</v>
      </c>
      <c r="J137" s="192" t="s">
        <v>218</v>
      </c>
      <c r="K137" s="168" t="s">
        <v>209</v>
      </c>
      <c r="L137" s="194" t="s">
        <v>191</v>
      </c>
      <c r="M137" s="134" t="s">
        <v>323</v>
      </c>
      <c r="N137" s="167" t="s">
        <v>43</v>
      </c>
      <c r="O137" s="167" t="s">
        <v>538</v>
      </c>
      <c r="P137" s="167" t="s">
        <v>534</v>
      </c>
      <c r="Q137" s="135" t="s">
        <v>9</v>
      </c>
      <c r="R137" s="136">
        <v>13932.039511264054</v>
      </c>
      <c r="S137" s="73">
        <v>10000</v>
      </c>
      <c r="T137" s="136">
        <v>13932.039511264054</v>
      </c>
      <c r="U137" s="136">
        <v>23220.064923304122</v>
      </c>
      <c r="V137" s="136">
        <v>1349000.682669936</v>
      </c>
      <c r="W137" s="147" t="s">
        <v>11</v>
      </c>
      <c r="X137" s="185">
        <v>0.04</v>
      </c>
      <c r="Y137" s="137">
        <v>44559</v>
      </c>
      <c r="Z137" s="137">
        <v>46385</v>
      </c>
      <c r="AA137" s="137">
        <v>46385</v>
      </c>
      <c r="AB137" s="138">
        <v>1827</v>
      </c>
      <c r="AC137" s="139" t="s">
        <v>10</v>
      </c>
      <c r="AD137" s="138">
        <v>1824</v>
      </c>
      <c r="AE137" s="140">
        <v>4.9972602739726026</v>
      </c>
      <c r="AF137" s="184"/>
      <c r="AG137" s="186" t="s">
        <v>1</v>
      </c>
      <c r="AH137" s="186" t="s">
        <v>1</v>
      </c>
      <c r="AI137" s="187" t="s">
        <v>727</v>
      </c>
      <c r="AJ137" s="143" t="s">
        <v>0</v>
      </c>
      <c r="AK137" s="164" t="s">
        <v>563</v>
      </c>
      <c r="AL137" s="188" t="s">
        <v>711</v>
      </c>
      <c r="AO137" s="197" t="s">
        <v>89</v>
      </c>
      <c r="AP137" s="198" t="s">
        <v>546</v>
      </c>
      <c r="AS137" s="212">
        <v>0</v>
      </c>
      <c r="AT137" s="212">
        <v>1671.8447413516865</v>
      </c>
      <c r="AU137" s="212" t="b">
        <v>0</v>
      </c>
      <c r="AV137" s="212"/>
      <c r="AW137" s="212">
        <v>0</v>
      </c>
      <c r="AX137" s="212">
        <v>0</v>
      </c>
      <c r="BA137" s="212">
        <v>0</v>
      </c>
      <c r="BB137" s="226"/>
      <c r="BC137" s="226"/>
    </row>
    <row r="138" spans="1:55" ht="39.950000000000003" customHeight="1" x14ac:dyDescent="0.2">
      <c r="A138" s="13" t="s">
        <v>729</v>
      </c>
      <c r="B138" s="65" t="s">
        <v>23</v>
      </c>
      <c r="C138" s="66" t="s">
        <v>37</v>
      </c>
      <c r="D138" s="13" t="s">
        <v>540</v>
      </c>
      <c r="E138" s="161" t="s">
        <v>36</v>
      </c>
      <c r="F138" s="66" t="s">
        <v>106</v>
      </c>
      <c r="G138" s="66" t="s">
        <v>106</v>
      </c>
      <c r="H138" s="66" t="s">
        <v>107</v>
      </c>
      <c r="I138" s="14" t="s">
        <v>72</v>
      </c>
      <c r="J138" s="66" t="s">
        <v>219</v>
      </c>
      <c r="K138" s="13" t="s">
        <v>29</v>
      </c>
      <c r="L138" s="65" t="s">
        <v>191</v>
      </c>
      <c r="M138" s="13" t="s">
        <v>323</v>
      </c>
      <c r="N138" s="13" t="s">
        <v>43</v>
      </c>
      <c r="O138" s="167" t="s">
        <v>538</v>
      </c>
      <c r="P138" s="13" t="s">
        <v>548</v>
      </c>
      <c r="Q138" s="64" t="s">
        <v>9</v>
      </c>
      <c r="R138" s="62">
        <v>20898.059266896082</v>
      </c>
      <c r="S138" s="63">
        <v>15000</v>
      </c>
      <c r="T138" s="150">
        <v>20898.059266896082</v>
      </c>
      <c r="U138" s="62">
        <v>167184.47413516865</v>
      </c>
      <c r="V138" s="150">
        <v>1042798.6402329436</v>
      </c>
      <c r="W138" s="61" t="s">
        <v>11</v>
      </c>
      <c r="X138" s="181">
        <v>2.5000000000000001E-2</v>
      </c>
      <c r="Y138" s="60">
        <v>44554</v>
      </c>
      <c r="Z138" s="60">
        <v>45799</v>
      </c>
      <c r="AA138" s="60">
        <v>45799</v>
      </c>
      <c r="AB138" s="58">
        <v>1246</v>
      </c>
      <c r="AC138" s="59" t="s">
        <v>10</v>
      </c>
      <c r="AD138" s="58">
        <v>1238</v>
      </c>
      <c r="AE138" s="57">
        <v>3.3917808219178083</v>
      </c>
      <c r="AF138" s="56"/>
      <c r="AG138" s="71" t="s">
        <v>1</v>
      </c>
      <c r="AH138" s="71" t="s">
        <v>1</v>
      </c>
      <c r="AI138" s="70" t="s">
        <v>730</v>
      </c>
      <c r="AJ138" s="11" t="s">
        <v>0</v>
      </c>
      <c r="AK138" s="164" t="s">
        <v>563</v>
      </c>
      <c r="AL138" s="13" t="s">
        <v>728</v>
      </c>
      <c r="AM138" s="11">
        <v>8921</v>
      </c>
      <c r="AO138" s="197" t="s">
        <v>36</v>
      </c>
      <c r="AP138" s="198" t="s">
        <v>106</v>
      </c>
      <c r="AQ138" s="11">
        <v>1</v>
      </c>
      <c r="AR138" s="214">
        <v>7.4999999999999997E-2</v>
      </c>
      <c r="AS138" s="212">
        <v>1567.354445017206</v>
      </c>
      <c r="AT138" s="212">
        <v>2507.7671120275295</v>
      </c>
      <c r="AU138" s="212" t="b">
        <v>0</v>
      </c>
      <c r="AV138" s="212"/>
      <c r="AW138" s="212">
        <v>1567.354445017206</v>
      </c>
      <c r="AX138" s="212">
        <v>1044.9029633448042</v>
      </c>
      <c r="AY138" s="12" t="s">
        <v>741</v>
      </c>
      <c r="BA138" s="212">
        <v>1567.354445017206</v>
      </c>
      <c r="BB138" s="226">
        <v>1044.9029633448042</v>
      </c>
      <c r="BC138" s="226">
        <v>0</v>
      </c>
    </row>
    <row r="139" spans="1:55" ht="39.950000000000003" hidden="1" customHeight="1" x14ac:dyDescent="0.2">
      <c r="A139" s="131" t="s">
        <v>732</v>
      </c>
      <c r="B139" s="132" t="s">
        <v>67</v>
      </c>
      <c r="C139" s="133" t="s">
        <v>89</v>
      </c>
      <c r="D139" s="131" t="s">
        <v>542</v>
      </c>
      <c r="E139" s="161" t="s">
        <v>211</v>
      </c>
      <c r="F139" s="131" t="s">
        <v>233</v>
      </c>
      <c r="G139" s="131" t="s">
        <v>233</v>
      </c>
      <c r="H139" s="131" t="s">
        <v>443</v>
      </c>
      <c r="I139" s="133" t="s">
        <v>60</v>
      </c>
      <c r="J139" s="192" t="s">
        <v>220</v>
      </c>
      <c r="K139" s="168" t="s">
        <v>209</v>
      </c>
      <c r="L139" s="194" t="s">
        <v>191</v>
      </c>
      <c r="M139" s="134" t="s">
        <v>59</v>
      </c>
      <c r="N139" s="167" t="s">
        <v>43</v>
      </c>
      <c r="O139" s="167" t="s">
        <v>538</v>
      </c>
      <c r="P139" s="167" t="s">
        <v>534</v>
      </c>
      <c r="Q139" s="135" t="s">
        <v>59</v>
      </c>
      <c r="R139" s="136">
        <v>15762.925598991174</v>
      </c>
      <c r="S139" s="73">
        <v>10000</v>
      </c>
      <c r="T139" s="136">
        <v>15762.925598991174</v>
      </c>
      <c r="U139" s="136">
        <v>63051.702395964698</v>
      </c>
      <c r="V139" s="136">
        <v>1810379.0037831021</v>
      </c>
      <c r="W139" s="147" t="s">
        <v>11</v>
      </c>
      <c r="X139" s="185">
        <v>3.2500000000000001E-2</v>
      </c>
      <c r="Y139" s="137">
        <v>44487</v>
      </c>
      <c r="Z139" s="137">
        <v>46929</v>
      </c>
      <c r="AA139" s="137">
        <v>46929</v>
      </c>
      <c r="AB139" s="138">
        <v>2443</v>
      </c>
      <c r="AC139" s="139" t="s">
        <v>10</v>
      </c>
      <c r="AD139" s="138">
        <v>2368</v>
      </c>
      <c r="AE139" s="140">
        <v>6.4876712328767123</v>
      </c>
      <c r="AF139" s="184"/>
      <c r="AG139" s="186" t="s">
        <v>1</v>
      </c>
      <c r="AH139" s="186" t="s">
        <v>1</v>
      </c>
      <c r="AI139" s="187" t="s">
        <v>0</v>
      </c>
      <c r="AJ139" s="143" t="s">
        <v>0</v>
      </c>
      <c r="AK139" s="164" t="s">
        <v>271</v>
      </c>
      <c r="AL139" s="188" t="s">
        <v>712</v>
      </c>
      <c r="AO139" s="197" t="s">
        <v>211</v>
      </c>
      <c r="AP139" s="198" t="s">
        <v>233</v>
      </c>
      <c r="AS139" s="212">
        <v>0</v>
      </c>
      <c r="AT139" s="212">
        <v>1891.5510718789408</v>
      </c>
      <c r="AU139" s="212" t="b">
        <v>0</v>
      </c>
      <c r="AV139" s="212"/>
      <c r="AW139" s="212">
        <v>0</v>
      </c>
      <c r="AX139" s="212">
        <v>0</v>
      </c>
      <c r="BA139" s="212">
        <v>0</v>
      </c>
      <c r="BB139" s="226"/>
    </row>
    <row r="140" spans="1:55" x14ac:dyDescent="0.2">
      <c r="A140" s="129"/>
      <c r="B140" s="129"/>
      <c r="C140" s="129"/>
      <c r="D140" s="129"/>
      <c r="E140" s="129"/>
      <c r="F140" s="129"/>
      <c r="G140" s="129"/>
      <c r="H140" s="129"/>
      <c r="I140" s="129"/>
      <c r="J140" s="129"/>
      <c r="K140" s="129"/>
      <c r="L140" s="129"/>
      <c r="M140" s="129"/>
      <c r="N140" s="127"/>
      <c r="O140" s="127"/>
      <c r="P140" s="127"/>
      <c r="Q140" s="51" t="s">
        <v>428</v>
      </c>
      <c r="R140" s="50">
        <v>2598877.7969217757</v>
      </c>
      <c r="S140" s="50"/>
      <c r="T140" s="50">
        <v>2474120.2802311988</v>
      </c>
      <c r="U140" s="50">
        <v>16941217.148798253</v>
      </c>
      <c r="V140" s="50">
        <v>147155188.43818185</v>
      </c>
      <c r="W140" s="49"/>
      <c r="X140" s="183">
        <v>2.6581496273064945E-2</v>
      </c>
      <c r="Y140" s="48"/>
      <c r="Z140" s="48"/>
      <c r="AA140" s="48" t="s">
        <v>495</v>
      </c>
      <c r="AB140" s="189">
        <v>1799.0966286316905</v>
      </c>
      <c r="AC140" s="47">
        <v>4.9290318592649056</v>
      </c>
      <c r="AD140" s="189">
        <v>1144.6104677131623</v>
      </c>
      <c r="AE140" s="46">
        <v>3.1359190896251024</v>
      </c>
      <c r="AF140" s="45"/>
      <c r="AG140" s="28"/>
      <c r="AH140" s="28"/>
      <c r="AI140" s="44"/>
      <c r="AJ140" s="28"/>
      <c r="AK140" s="28"/>
      <c r="AL140" s="43"/>
      <c r="AO140" s="202"/>
      <c r="AP140" s="202"/>
      <c r="AQ140" s="203">
        <v>10</v>
      </c>
      <c r="AS140" s="204"/>
      <c r="AT140" s="204"/>
      <c r="AU140" s="204"/>
      <c r="AW140" s="205">
        <v>11092.177860270171</v>
      </c>
      <c r="AX140" s="205">
        <v>10786.569252757969</v>
      </c>
      <c r="AY140" s="203"/>
      <c r="BA140" s="226">
        <v>11092.177860270169</v>
      </c>
      <c r="BB140" s="226">
        <v>10786.569252757969</v>
      </c>
      <c r="BC140" s="226">
        <v>8683.7572418259933</v>
      </c>
    </row>
    <row r="141" spans="1:55" s="27" customFormat="1" x14ac:dyDescent="0.2">
      <c r="A141" s="37"/>
      <c r="B141" s="37"/>
      <c r="C141" s="35"/>
      <c r="D141" s="35"/>
      <c r="E141" s="35"/>
      <c r="F141" s="28"/>
      <c r="G141" s="28"/>
      <c r="H141" s="28"/>
      <c r="I141" s="36"/>
      <c r="J141" s="28"/>
      <c r="K141" s="28"/>
      <c r="L141" s="28"/>
      <c r="M141" s="35"/>
      <c r="N141" s="28"/>
      <c r="O141" s="28"/>
      <c r="P141" s="28"/>
      <c r="Q141" s="42" t="s">
        <v>429</v>
      </c>
      <c r="R141" s="41">
        <v>577.64099999999996</v>
      </c>
      <c r="S141" s="41"/>
      <c r="T141" s="41">
        <v>577.64099999999996</v>
      </c>
      <c r="U141" s="41">
        <v>577.64099999999996</v>
      </c>
      <c r="V141" s="41">
        <v>14441.029999999999</v>
      </c>
      <c r="W141" s="30"/>
      <c r="X141" s="30"/>
      <c r="Y141" s="30"/>
      <c r="Z141" s="28"/>
      <c r="AA141" s="40" t="s">
        <v>242</v>
      </c>
      <c r="AB141" s="38">
        <v>1591.8451963509649</v>
      </c>
      <c r="AC141" s="39"/>
      <c r="AD141" s="38">
        <v>983.27475368788566</v>
      </c>
      <c r="AE141" s="38">
        <v>2.6939034347613307</v>
      </c>
      <c r="AF141" s="29"/>
      <c r="AG141" s="28"/>
      <c r="AH141" s="28"/>
      <c r="AI141" s="28"/>
      <c r="AJ141" s="28"/>
      <c r="AK141" s="28"/>
      <c r="AL141" s="28"/>
      <c r="AO141" s="206"/>
      <c r="AP141" s="207"/>
      <c r="AQ141" s="204"/>
      <c r="AR141" s="204"/>
      <c r="AS141" s="204"/>
      <c r="AT141" s="204"/>
      <c r="AU141" s="204"/>
      <c r="AV141" s="204"/>
      <c r="AW141" s="204"/>
      <c r="AX141" s="204"/>
      <c r="AY141" s="204"/>
    </row>
    <row r="142" spans="1:55" s="27" customFormat="1" x14ac:dyDescent="0.2">
      <c r="A142" s="37"/>
      <c r="B142" s="37"/>
      <c r="C142" s="35"/>
      <c r="D142" s="35"/>
      <c r="E142" s="35"/>
      <c r="F142" s="28"/>
      <c r="G142" s="28"/>
      <c r="H142" s="28"/>
      <c r="I142" s="36"/>
      <c r="J142" s="28"/>
      <c r="K142" s="28"/>
      <c r="L142" s="28"/>
      <c r="M142" s="35"/>
      <c r="N142" s="28"/>
      <c r="O142" s="28"/>
      <c r="P142" s="28"/>
      <c r="Q142" s="34" t="s">
        <v>6</v>
      </c>
      <c r="R142" s="33">
        <v>2599455.4379217755</v>
      </c>
      <c r="S142" s="33"/>
      <c r="T142" s="32">
        <v>2474697.9212311986</v>
      </c>
      <c r="U142" s="31">
        <v>16941794.789798252</v>
      </c>
      <c r="V142" s="31">
        <v>147169629.46818185</v>
      </c>
      <c r="W142" s="30"/>
      <c r="X142" s="30"/>
      <c r="Y142" s="30"/>
      <c r="Z142" s="28"/>
      <c r="AA142" s="28"/>
      <c r="AB142" s="28"/>
      <c r="AC142" s="29"/>
      <c r="AD142" s="28"/>
      <c r="AE142" s="28"/>
      <c r="AF142" s="29"/>
      <c r="AG142" s="28"/>
      <c r="AH142" s="28"/>
      <c r="AI142" s="28"/>
      <c r="AJ142" s="28"/>
      <c r="AK142" s="28"/>
      <c r="AL142" s="28"/>
      <c r="AO142" s="206"/>
      <c r="AP142" s="207"/>
      <c r="AQ142" s="204"/>
      <c r="AR142" s="204"/>
      <c r="AS142" s="204"/>
      <c r="AT142" s="204"/>
      <c r="AU142" s="204"/>
      <c r="AV142" s="204"/>
      <c r="AW142" s="204"/>
      <c r="AX142" s="204"/>
      <c r="AY142" s="204"/>
    </row>
    <row r="143" spans="1:55" x14ac:dyDescent="0.2">
      <c r="Q143" s="160"/>
      <c r="R143" s="24"/>
      <c r="S143" s="24"/>
      <c r="T143" s="26"/>
      <c r="W143" s="23"/>
      <c r="X143" s="23"/>
      <c r="Y143" s="23"/>
      <c r="Z143" s="11"/>
      <c r="AA143" s="11" t="s">
        <v>437</v>
      </c>
      <c r="AB143" s="22">
        <v>1037868.6626063626</v>
      </c>
    </row>
    <row r="144" spans="1:55" x14ac:dyDescent="0.2">
      <c r="E144" s="11">
        <v>137</v>
      </c>
      <c r="I144" s="11"/>
      <c r="Q144" s="25"/>
      <c r="U144" s="24"/>
      <c r="V144" s="24"/>
      <c r="W144" s="23"/>
      <c r="X144" s="23"/>
      <c r="Y144" s="23"/>
      <c r="Z144" s="11"/>
      <c r="AG144" s="22"/>
      <c r="AO144" s="11">
        <v>124</v>
      </c>
    </row>
    <row r="145" spans="4:24" x14ac:dyDescent="0.2">
      <c r="D145" s="11" t="s">
        <v>495</v>
      </c>
      <c r="I145" s="11"/>
      <c r="Q145" s="160"/>
      <c r="R145" s="19"/>
      <c r="S145" s="19"/>
      <c r="T145" s="19"/>
      <c r="U145" s="19"/>
      <c r="V145" s="19"/>
      <c r="W145" s="19"/>
      <c r="X145" s="19"/>
    </row>
    <row r="146" spans="4:24" x14ac:dyDescent="0.2">
      <c r="I146" s="11"/>
      <c r="Q146" s="25"/>
      <c r="T146" s="19"/>
    </row>
    <row r="147" spans="4:24" x14ac:dyDescent="0.2">
      <c r="I147" s="11"/>
      <c r="Q147" s="160"/>
      <c r="T147" s="224">
        <v>0.18856909393303073</v>
      </c>
    </row>
    <row r="148" spans="4:24" x14ac:dyDescent="0.2">
      <c r="I148" s="11"/>
      <c r="Q148" s="25"/>
      <c r="T148" s="19"/>
    </row>
    <row r="149" spans="4:24" x14ac:dyDescent="0.2">
      <c r="I149" s="11"/>
      <c r="Q149" s="160"/>
      <c r="T149" s="19"/>
    </row>
    <row r="150" spans="4:24" x14ac:dyDescent="0.2">
      <c r="I150" s="11"/>
      <c r="Q150" s="25"/>
      <c r="T150" s="19"/>
    </row>
    <row r="151" spans="4:24" x14ac:dyDescent="0.2">
      <c r="I151" s="11"/>
      <c r="Q151" s="160"/>
      <c r="T151" s="19"/>
    </row>
    <row r="152" spans="4:24" x14ac:dyDescent="0.2">
      <c r="I152" s="11"/>
      <c r="Q152" s="25"/>
      <c r="T152" s="19"/>
    </row>
    <row r="153" spans="4:24" x14ac:dyDescent="0.2">
      <c r="I153" s="11"/>
      <c r="Q153" s="160"/>
      <c r="T153" s="19"/>
    </row>
    <row r="154" spans="4:24" x14ac:dyDescent="0.2">
      <c r="I154" s="11"/>
      <c r="Q154" s="25"/>
      <c r="T154" s="19"/>
    </row>
    <row r="155" spans="4:24" x14ac:dyDescent="0.2">
      <c r="I155" s="11"/>
      <c r="Q155" s="160"/>
    </row>
    <row r="156" spans="4:24" x14ac:dyDescent="0.2">
      <c r="I156" s="11"/>
      <c r="Q156" s="25"/>
    </row>
    <row r="157" spans="4:24" x14ac:dyDescent="0.2">
      <c r="I157" s="11"/>
      <c r="Q157" s="160"/>
    </row>
    <row r="158" spans="4:24" x14ac:dyDescent="0.2">
      <c r="I158" s="11"/>
    </row>
    <row r="159" spans="4:24" x14ac:dyDescent="0.2">
      <c r="I159" s="11"/>
    </row>
    <row r="160" spans="4:24" x14ac:dyDescent="0.2">
      <c r="I160" s="11"/>
    </row>
    <row r="161" spans="9:9" x14ac:dyDescent="0.2">
      <c r="I161" s="11"/>
    </row>
    <row r="162" spans="9:9" x14ac:dyDescent="0.2">
      <c r="I162" s="11"/>
    </row>
    <row r="163" spans="9:9" x14ac:dyDescent="0.2">
      <c r="I163" s="11"/>
    </row>
    <row r="164" spans="9:9" x14ac:dyDescent="0.2">
      <c r="I164" s="11"/>
    </row>
  </sheetData>
  <conditionalFormatting sqref="AJ27:AJ128 AJ130:AJ139 AJ3:AJ24">
    <cfRule type="containsText" dxfId="498" priority="23" operator="containsText" text="SEND NOTICE">
      <formula>NOT(ISERROR(SEARCH("SEND NOTICE",AJ3)))</formula>
    </cfRule>
  </conditionalFormatting>
  <conditionalFormatting sqref="D86:E86 N84:W84 A84:C84 C85:C86 L85 N85:P85 R87:V87 R92:V92 G84:L84 Y84:AE84 Y85:AB86 Q86:V86 A85:A87 W85:W87 R88:W91 AB87:AB91 AD85:AE92 Y87:AA92">
    <cfRule type="cellIs" dxfId="497" priority="22" operator="equal">
      <formula>#REF!</formula>
    </cfRule>
  </conditionalFormatting>
  <conditionalFormatting sqref="Q85:V85">
    <cfRule type="cellIs" dxfId="496" priority="21" operator="equal">
      <formula>#REF!</formula>
    </cfRule>
  </conditionalFormatting>
  <conditionalFormatting sqref="E84">
    <cfRule type="cellIs" dxfId="495" priority="20" operator="equal">
      <formula>#REF!</formula>
    </cfRule>
  </conditionalFormatting>
  <conditionalFormatting sqref="D84 J86 Q91">
    <cfRule type="cellIs" dxfId="494" priority="19" operator="equal">
      <formula>#REF!</formula>
    </cfRule>
  </conditionalFormatting>
  <conditionalFormatting sqref="J85">
    <cfRule type="cellIs" dxfId="493" priority="18" operator="equal">
      <formula>#REF!</formula>
    </cfRule>
  </conditionalFormatting>
  <conditionalFormatting sqref="L86">
    <cfRule type="cellIs" dxfId="492" priority="17" operator="equal">
      <formula>#REF!</formula>
    </cfRule>
  </conditionalFormatting>
  <conditionalFormatting sqref="AK26">
    <cfRule type="containsText" dxfId="491" priority="16" operator="containsText" text="SEND NOTICE">
      <formula>NOT(ISERROR(SEARCH("SEND NOTICE",AK26)))</formula>
    </cfRule>
  </conditionalFormatting>
  <conditionalFormatting sqref="AJ118:AJ119">
    <cfRule type="containsText" dxfId="490" priority="15" operator="containsText" text="SEND NOTICE">
      <formula>NOT(ISERROR(SEARCH("SEND NOTICE",AJ118)))</formula>
    </cfRule>
  </conditionalFormatting>
  <conditionalFormatting sqref="AJ120">
    <cfRule type="containsText" dxfId="489" priority="14" operator="containsText" text="SEND NOTICE">
      <formula>NOT(ISERROR(SEARCH("SEND NOTICE",AJ120)))</formula>
    </cfRule>
  </conditionalFormatting>
  <conditionalFormatting sqref="AJ121:AJ123">
    <cfRule type="containsText" dxfId="488" priority="13" operator="containsText" text="SEND NOTICE">
      <formula>NOT(ISERROR(SEARCH("SEND NOTICE",AJ121)))</formula>
    </cfRule>
  </conditionalFormatting>
  <conditionalFormatting sqref="AJ121:AJ123">
    <cfRule type="containsText" dxfId="487" priority="12" operator="containsText" text="SEND NOTICE">
      <formula>NOT(ISERROR(SEARCH("SEND NOTICE",AJ121)))</formula>
    </cfRule>
  </conditionalFormatting>
  <conditionalFormatting sqref="AJ124:AJ127">
    <cfRule type="containsText" dxfId="486" priority="11" operator="containsText" text="SEND NOTICE">
      <formula>NOT(ISERROR(SEARCH("SEND NOTICE",AJ124)))</formula>
    </cfRule>
  </conditionalFormatting>
  <conditionalFormatting sqref="AJ124:AJ127">
    <cfRule type="containsText" dxfId="485" priority="10" operator="containsText" text="SEND NOTICE">
      <formula>NOT(ISERROR(SEARCH("SEND NOTICE",AJ124)))</formula>
    </cfRule>
  </conditionalFormatting>
  <conditionalFormatting sqref="AJ124:AJ127">
    <cfRule type="containsText" dxfId="484" priority="9" operator="containsText" text="SEND NOTICE">
      <formula>NOT(ISERROR(SEARCH("SEND NOTICE",AJ124)))</formula>
    </cfRule>
  </conditionalFormatting>
  <conditionalFormatting sqref="AJ128">
    <cfRule type="containsText" dxfId="483" priority="8" operator="containsText" text="SEND NOTICE">
      <formula>NOT(ISERROR(SEARCH("SEND NOTICE",AJ128)))</formula>
    </cfRule>
  </conditionalFormatting>
  <conditionalFormatting sqref="AJ128">
    <cfRule type="containsText" dxfId="482" priority="7" operator="containsText" text="SEND NOTICE">
      <formula>NOT(ISERROR(SEARCH("SEND NOTICE",AJ128)))</formula>
    </cfRule>
  </conditionalFormatting>
  <conditionalFormatting sqref="AJ128">
    <cfRule type="containsText" dxfId="481" priority="6" operator="containsText" text="SEND NOTICE">
      <formula>NOT(ISERROR(SEARCH("SEND NOTICE",AJ128)))</formula>
    </cfRule>
  </conditionalFormatting>
  <conditionalFormatting sqref="AJ128">
    <cfRule type="containsText" dxfId="480" priority="5" operator="containsText" text="SEND NOTICE">
      <formula>NOT(ISERROR(SEARCH("SEND NOTICE",AJ128)))</formula>
    </cfRule>
  </conditionalFormatting>
  <conditionalFormatting sqref="AJ129">
    <cfRule type="containsText" dxfId="479" priority="4" operator="containsText" text="SEND NOTICE">
      <formula>NOT(ISERROR(SEARCH("SEND NOTICE",AJ129)))</formula>
    </cfRule>
  </conditionalFormatting>
  <conditionalFormatting sqref="AJ26">
    <cfRule type="containsText" dxfId="478" priority="3" operator="containsText" text="SEND NOTICE">
      <formula>NOT(ISERROR(SEARCH("SEND NOTICE",AJ26)))</formula>
    </cfRule>
  </conditionalFormatting>
  <conditionalFormatting sqref="AK25">
    <cfRule type="containsText" dxfId="477" priority="2" operator="containsText" text="SEND NOTICE">
      <formula>NOT(ISERROR(SEARCH("SEND NOTICE",AK25)))</formula>
    </cfRule>
  </conditionalFormatting>
  <conditionalFormatting sqref="AJ25">
    <cfRule type="containsText" dxfId="476" priority="1" operator="containsText" text="SEND NOTICE">
      <formula>NOT(ISERROR(SEARCH("SEND NOTICE",AJ25)))</formula>
    </cfRule>
  </conditionalFormatting>
  <pageMargins left="0.25" right="0.25" top="0.75" bottom="0.75" header="0.3" footer="0.3"/>
  <pageSetup paperSize="9" scale="18" orientation="landscape"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7A934-C5D9-41F0-890B-0FB0FC441E21}">
  <sheetPr codeName="Sheet26">
    <tabColor theme="9" tint="0.79998168889431442"/>
    <pageSetUpPr fitToPage="1"/>
  </sheetPr>
  <dimension ref="A1:BD169"/>
  <sheetViews>
    <sheetView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1"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11" customWidth="1"/>
    <col min="20" max="20" width="14" style="11" customWidth="1"/>
    <col min="21" max="21" width="14.42578125" style="11" customWidth="1"/>
    <col min="22" max="22" width="17" style="11" customWidth="1"/>
    <col min="23" max="24" width="11.28515625" style="11" customWidth="1"/>
    <col min="25" max="25" width="10.85546875" style="11" customWidth="1"/>
    <col min="26" max="26" width="11.7109375" style="20" customWidth="1"/>
    <col min="27" max="27" width="10.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ustomWidth="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6" width="9.140625" style="11" customWidth="1"/>
    <col min="57" max="16384" width="9.140625" style="11"/>
  </cols>
  <sheetData>
    <row r="1" spans="1:56" x14ac:dyDescent="0.2">
      <c r="A1" s="126" t="e">
        <f>#REF!</f>
        <v>#REF!</v>
      </c>
      <c r="B1" s="125"/>
      <c r="C1" s="124"/>
      <c r="D1" s="124"/>
      <c r="E1" s="124"/>
      <c r="M1" s="124"/>
      <c r="AO1" s="195"/>
      <c r="AP1" s="196"/>
      <c r="AQ1" s="196"/>
      <c r="AR1" s="196"/>
      <c r="AS1" s="196"/>
      <c r="AT1" s="196"/>
      <c r="AU1" s="196"/>
      <c r="AV1" s="196"/>
      <c r="AW1" s="196"/>
      <c r="AX1" s="196"/>
      <c r="AY1" s="196"/>
    </row>
    <row r="2" spans="1:56" s="112" customFormat="1" ht="51" x14ac:dyDescent="0.2">
      <c r="A2" s="123" t="s">
        <v>14</v>
      </c>
      <c r="B2" s="122" t="s">
        <v>63</v>
      </c>
      <c r="C2" s="121" t="s">
        <v>84</v>
      </c>
      <c r="D2" s="121" t="s">
        <v>468</v>
      </c>
      <c r="E2" s="121" t="s">
        <v>467</v>
      </c>
      <c r="F2" s="121" t="s">
        <v>81</v>
      </c>
      <c r="G2" s="121" t="s">
        <v>82</v>
      </c>
      <c r="H2" s="121" t="s">
        <v>83</v>
      </c>
      <c r="I2" s="122" t="s">
        <v>2</v>
      </c>
      <c r="J2" s="121" t="s">
        <v>217</v>
      </c>
      <c r="K2" s="121" t="s">
        <v>39</v>
      </c>
      <c r="L2" s="120" t="s">
        <v>5</v>
      </c>
      <c r="M2" s="118" t="s">
        <v>427</v>
      </c>
      <c r="N2" s="119" t="s">
        <v>41</v>
      </c>
      <c r="O2" s="119" t="s">
        <v>535</v>
      </c>
      <c r="P2" s="119" t="s">
        <v>536</v>
      </c>
      <c r="Q2" s="114" t="s">
        <v>403</v>
      </c>
      <c r="R2" s="117" t="s">
        <v>479</v>
      </c>
      <c r="S2" s="118" t="s">
        <v>430</v>
      </c>
      <c r="T2" s="117" t="s">
        <v>431</v>
      </c>
      <c r="U2" s="117" t="s">
        <v>432</v>
      </c>
      <c r="V2" s="117" t="s">
        <v>754</v>
      </c>
      <c r="W2" s="117" t="s">
        <v>12</v>
      </c>
      <c r="X2" s="117" t="s">
        <v>573</v>
      </c>
      <c r="Y2" s="117" t="s">
        <v>471</v>
      </c>
      <c r="Z2" s="117" t="s">
        <v>433</v>
      </c>
      <c r="AA2" s="117" t="s">
        <v>15</v>
      </c>
      <c r="AB2" s="116" t="s">
        <v>17</v>
      </c>
      <c r="AC2" s="116" t="s">
        <v>18</v>
      </c>
      <c r="AD2" s="116" t="s">
        <v>434</v>
      </c>
      <c r="AE2" s="116" t="s">
        <v>435</v>
      </c>
      <c r="AF2" s="116" t="s">
        <v>436</v>
      </c>
      <c r="AG2" s="115" t="s">
        <v>46</v>
      </c>
      <c r="AH2" s="115" t="s">
        <v>19</v>
      </c>
      <c r="AI2" s="115" t="s">
        <v>20</v>
      </c>
      <c r="AJ2" s="115" t="s">
        <v>170</v>
      </c>
      <c r="AK2" s="115" t="s">
        <v>241</v>
      </c>
      <c r="AL2" s="114" t="s">
        <v>324</v>
      </c>
      <c r="AM2" s="113" t="s">
        <v>482</v>
      </c>
      <c r="AN2" s="113" t="s">
        <v>481</v>
      </c>
      <c r="AO2" s="118" t="s">
        <v>612</v>
      </c>
      <c r="AP2" s="118" t="s">
        <v>613</v>
      </c>
      <c r="AQ2" s="113" t="s">
        <v>614</v>
      </c>
      <c r="AR2" s="113" t="s">
        <v>615</v>
      </c>
      <c r="AS2" s="113" t="s">
        <v>616</v>
      </c>
      <c r="AT2" s="113" t="s">
        <v>617</v>
      </c>
      <c r="AU2" s="113" t="s">
        <v>618</v>
      </c>
      <c r="AV2" s="113" t="s">
        <v>619</v>
      </c>
      <c r="AW2" s="113" t="s">
        <v>620</v>
      </c>
      <c r="AX2" s="113" t="s">
        <v>768</v>
      </c>
      <c r="AY2" s="113" t="s">
        <v>623</v>
      </c>
      <c r="BA2" s="225">
        <v>44621</v>
      </c>
      <c r="BB2" s="225">
        <v>44531</v>
      </c>
      <c r="BC2" s="225">
        <v>44440</v>
      </c>
      <c r="BD2" s="225">
        <v>44348</v>
      </c>
    </row>
    <row r="3" spans="1:56" ht="39.950000000000003" hidden="1" customHeight="1" x14ac:dyDescent="0.2">
      <c r="A3" s="111" t="s">
        <v>25</v>
      </c>
      <c r="B3" s="65" t="s">
        <v>24</v>
      </c>
      <c r="C3" s="110" t="s">
        <v>34</v>
      </c>
      <c r="D3" s="16" t="s">
        <v>34</v>
      </c>
      <c r="E3" s="130" t="s">
        <v>34</v>
      </c>
      <c r="F3" s="14" t="s">
        <v>543</v>
      </c>
      <c r="G3" s="14" t="s">
        <v>97</v>
      </c>
      <c r="H3" s="14" t="s">
        <v>186</v>
      </c>
      <c r="I3" s="66" t="s">
        <v>26</v>
      </c>
      <c r="J3" s="66" t="s">
        <v>26</v>
      </c>
      <c r="K3" s="13" t="s">
        <v>45</v>
      </c>
      <c r="L3" s="65" t="s">
        <v>191</v>
      </c>
      <c r="M3" s="65" t="s">
        <v>323</v>
      </c>
      <c r="N3" s="65" t="s">
        <v>43</v>
      </c>
      <c r="O3" s="65" t="s">
        <v>531</v>
      </c>
      <c r="P3" s="65" t="s">
        <v>534</v>
      </c>
      <c r="Q3" s="64" t="s">
        <v>8</v>
      </c>
      <c r="R3" s="62">
        <v>10000</v>
      </c>
      <c r="S3" s="62">
        <v>6527.9960000000001</v>
      </c>
      <c r="T3" s="62">
        <v>6527.9960000000001</v>
      </c>
      <c r="U3" s="62">
        <v>32395.415789999999</v>
      </c>
      <c r="V3" s="62">
        <v>782554.47</v>
      </c>
      <c r="W3" s="61" t="s">
        <v>11</v>
      </c>
      <c r="X3" s="181">
        <v>1.6666666666666666E-2</v>
      </c>
      <c r="Y3" s="105">
        <v>41884</v>
      </c>
      <c r="Z3" s="60">
        <v>44806</v>
      </c>
      <c r="AA3" s="60">
        <v>45173</v>
      </c>
      <c r="AB3" s="58">
        <v>3290</v>
      </c>
      <c r="AC3" s="59" t="s">
        <v>10</v>
      </c>
      <c r="AD3" s="58">
        <v>522</v>
      </c>
      <c r="AE3" s="57">
        <v>1.4301369863013698</v>
      </c>
      <c r="AF3" s="56"/>
      <c r="AG3" s="71" t="s">
        <v>1</v>
      </c>
      <c r="AH3" s="71" t="s">
        <v>1</v>
      </c>
      <c r="AI3" s="71" t="s">
        <v>250</v>
      </c>
      <c r="AJ3" s="11" t="s">
        <v>0</v>
      </c>
      <c r="AK3" s="11" t="s">
        <v>271</v>
      </c>
      <c r="AL3" s="14" t="s">
        <v>327</v>
      </c>
      <c r="AM3" s="11">
        <v>25104.400000000001</v>
      </c>
      <c r="AN3" s="11">
        <v>45000</v>
      </c>
      <c r="AO3" s="197" t="s">
        <v>34</v>
      </c>
      <c r="AP3" s="198" t="s">
        <v>543</v>
      </c>
      <c r="AS3" s="212">
        <v>0</v>
      </c>
      <c r="AT3" s="212">
        <v>783.35951999999997</v>
      </c>
      <c r="AU3" s="212" t="b">
        <v>0</v>
      </c>
      <c r="AV3" s="212"/>
      <c r="AW3" s="212">
        <v>0</v>
      </c>
      <c r="AX3" s="212">
        <v>0</v>
      </c>
      <c r="BA3" s="212">
        <v>0</v>
      </c>
      <c r="BC3" s="11">
        <v>0</v>
      </c>
    </row>
    <row r="4" spans="1:56" ht="39.950000000000003" customHeight="1" x14ac:dyDescent="0.2">
      <c r="A4" s="13" t="s">
        <v>30</v>
      </c>
      <c r="B4" s="65" t="s">
        <v>24</v>
      </c>
      <c r="C4" s="66" t="s">
        <v>34</v>
      </c>
      <c r="D4" s="13" t="s">
        <v>34</v>
      </c>
      <c r="E4" s="130" t="s">
        <v>34</v>
      </c>
      <c r="F4" s="66" t="s">
        <v>545</v>
      </c>
      <c r="G4" s="66" t="s">
        <v>85</v>
      </c>
      <c r="H4" s="66" t="s">
        <v>99</v>
      </c>
      <c r="I4" s="66" t="s">
        <v>232</v>
      </c>
      <c r="J4" s="66" t="s">
        <v>21</v>
      </c>
      <c r="K4" s="13" t="s">
        <v>139</v>
      </c>
      <c r="L4" s="65" t="s">
        <v>191</v>
      </c>
      <c r="M4" s="65" t="s">
        <v>323</v>
      </c>
      <c r="N4" s="65" t="s">
        <v>43</v>
      </c>
      <c r="O4" s="65" t="s">
        <v>538</v>
      </c>
      <c r="P4" s="65" t="s">
        <v>534</v>
      </c>
      <c r="Q4" s="64" t="s">
        <v>8</v>
      </c>
      <c r="R4" s="62">
        <v>25000</v>
      </c>
      <c r="S4" s="150">
        <v>19100</v>
      </c>
      <c r="T4" s="62">
        <v>19100</v>
      </c>
      <c r="U4" s="62">
        <v>50000</v>
      </c>
      <c r="V4" s="62">
        <v>3042895.94</v>
      </c>
      <c r="W4" s="61" t="s">
        <v>551</v>
      </c>
      <c r="X4" s="181">
        <v>2.7500000000000004E-2</v>
      </c>
      <c r="Y4" s="105">
        <v>42152</v>
      </c>
      <c r="Z4" s="105">
        <v>45441</v>
      </c>
      <c r="AA4" s="60">
        <v>45441</v>
      </c>
      <c r="AB4" s="58">
        <v>3290</v>
      </c>
      <c r="AC4" s="59" t="s">
        <v>10</v>
      </c>
      <c r="AD4" s="58">
        <v>790</v>
      </c>
      <c r="AE4" s="57">
        <v>2.1643835616438358</v>
      </c>
      <c r="AF4" s="56" t="s">
        <v>436</v>
      </c>
      <c r="AG4" s="71" t="s">
        <v>1</v>
      </c>
      <c r="AH4" s="71" t="s">
        <v>1</v>
      </c>
      <c r="AI4" s="71" t="s">
        <v>0</v>
      </c>
      <c r="AJ4" s="11" t="s">
        <v>0</v>
      </c>
      <c r="AK4" s="11" t="s">
        <v>271</v>
      </c>
      <c r="AL4" s="13" t="s">
        <v>328</v>
      </c>
      <c r="AM4" s="11">
        <v>15700</v>
      </c>
      <c r="AN4" s="213">
        <v>50000</v>
      </c>
      <c r="AO4" s="197" t="s">
        <v>34</v>
      </c>
      <c r="AP4" s="198" t="s">
        <v>545</v>
      </c>
      <c r="AQ4" s="199">
        <v>1</v>
      </c>
      <c r="AR4" s="214">
        <v>2.5000000000000001E-2</v>
      </c>
      <c r="AS4" s="212">
        <v>477.5</v>
      </c>
      <c r="AT4" s="212">
        <v>2292</v>
      </c>
      <c r="AU4" s="212">
        <v>458.40000000000003</v>
      </c>
      <c r="AV4" s="212"/>
      <c r="AW4" s="212">
        <v>477.5</v>
      </c>
      <c r="AX4" s="212">
        <v>1134.7452000000001</v>
      </c>
      <c r="AY4" s="12" t="s">
        <v>769</v>
      </c>
      <c r="BA4" s="212">
        <v>477.5</v>
      </c>
      <c r="BB4" s="212">
        <v>1134.7452000000001</v>
      </c>
      <c r="BC4" s="226">
        <v>1134.7452000000001</v>
      </c>
      <c r="BD4" s="226">
        <v>1134.7452000000001</v>
      </c>
    </row>
    <row r="5" spans="1:56" ht="39.950000000000003" hidden="1" customHeight="1" x14ac:dyDescent="0.2">
      <c r="A5" s="14" t="s">
        <v>31</v>
      </c>
      <c r="B5" s="65" t="s">
        <v>23</v>
      </c>
      <c r="C5" s="66" t="s">
        <v>34</v>
      </c>
      <c r="D5" s="13" t="s">
        <v>34</v>
      </c>
      <c r="E5" s="130" t="s">
        <v>34</v>
      </c>
      <c r="F5" s="66" t="s">
        <v>106</v>
      </c>
      <c r="G5" s="66" t="s">
        <v>106</v>
      </c>
      <c r="H5" s="66" t="s">
        <v>129</v>
      </c>
      <c r="I5" s="66" t="s">
        <v>3</v>
      </c>
      <c r="J5" s="66" t="s">
        <v>3</v>
      </c>
      <c r="K5" s="13" t="s">
        <v>13</v>
      </c>
      <c r="L5" s="65" t="s">
        <v>191</v>
      </c>
      <c r="M5" s="65" t="s">
        <v>323</v>
      </c>
      <c r="N5" s="13" t="s">
        <v>42</v>
      </c>
      <c r="O5" s="13" t="s">
        <v>538</v>
      </c>
      <c r="P5" s="13" t="s">
        <v>532</v>
      </c>
      <c r="Q5" s="64" t="s">
        <v>8</v>
      </c>
      <c r="R5" s="62">
        <v>18000</v>
      </c>
      <c r="S5" s="76">
        <v>406.8</v>
      </c>
      <c r="T5" s="150">
        <v>406.8</v>
      </c>
      <c r="U5" s="62">
        <v>406.8</v>
      </c>
      <c r="V5" s="150">
        <v>2716834.5552336448</v>
      </c>
      <c r="W5" s="61" t="s">
        <v>11</v>
      </c>
      <c r="X5" s="181">
        <v>2.75E-2</v>
      </c>
      <c r="Y5" s="60">
        <v>42339</v>
      </c>
      <c r="Z5" s="105">
        <v>43465</v>
      </c>
      <c r="AA5" s="105">
        <v>44790</v>
      </c>
      <c r="AB5" s="58">
        <v>2452</v>
      </c>
      <c r="AC5" s="59" t="s">
        <v>10</v>
      </c>
      <c r="AD5" s="58">
        <v>139</v>
      </c>
      <c r="AE5" s="57">
        <v>0.38082191780821917</v>
      </c>
      <c r="AF5" s="56"/>
      <c r="AG5" s="152" t="s">
        <v>1</v>
      </c>
      <c r="AH5" s="152" t="s">
        <v>1</v>
      </c>
      <c r="AI5" s="152" t="s">
        <v>762</v>
      </c>
      <c r="AJ5" s="11" t="s">
        <v>0</v>
      </c>
      <c r="AK5" s="11" t="s">
        <v>271</v>
      </c>
      <c r="AL5" s="14" t="s">
        <v>329</v>
      </c>
      <c r="AM5" s="11">
        <v>13812.1</v>
      </c>
      <c r="AO5" s="197" t="s">
        <v>34</v>
      </c>
      <c r="AP5" s="198" t="s">
        <v>106</v>
      </c>
      <c r="AS5" s="212">
        <v>0</v>
      </c>
      <c r="AT5" s="212">
        <v>48.816000000000003</v>
      </c>
      <c r="AU5" s="212" t="b">
        <v>0</v>
      </c>
      <c r="AV5" s="212"/>
      <c r="AW5" s="212">
        <v>0</v>
      </c>
      <c r="AX5" s="212">
        <v>0</v>
      </c>
      <c r="BA5" s="212">
        <v>0</v>
      </c>
      <c r="BB5" s="212">
        <v>0</v>
      </c>
      <c r="BC5" s="226">
        <v>0</v>
      </c>
      <c r="BD5" s="226"/>
    </row>
    <row r="6" spans="1:56" ht="39.950000000000003" hidden="1" customHeight="1" x14ac:dyDescent="0.2">
      <c r="A6" s="13" t="s">
        <v>57</v>
      </c>
      <c r="B6" s="65" t="s">
        <v>24</v>
      </c>
      <c r="C6" s="66" t="s">
        <v>89</v>
      </c>
      <c r="D6" s="13" t="s">
        <v>542</v>
      </c>
      <c r="E6" s="77" t="s">
        <v>89</v>
      </c>
      <c r="F6" s="14" t="s">
        <v>92</v>
      </c>
      <c r="G6" s="14" t="s">
        <v>108</v>
      </c>
      <c r="H6" s="66" t="s">
        <v>109</v>
      </c>
      <c r="I6" s="66" t="s">
        <v>58</v>
      </c>
      <c r="J6" s="66" t="s">
        <v>220</v>
      </c>
      <c r="K6" s="13" t="s">
        <v>29</v>
      </c>
      <c r="L6" s="65" t="s">
        <v>191</v>
      </c>
      <c r="M6" s="13" t="s">
        <v>59</v>
      </c>
      <c r="N6" s="65" t="s">
        <v>43</v>
      </c>
      <c r="O6" s="65" t="s">
        <v>539</v>
      </c>
      <c r="P6" s="65" t="s">
        <v>534</v>
      </c>
      <c r="Q6" s="64" t="s">
        <v>59</v>
      </c>
      <c r="R6" s="62">
        <v>21474.536295606089</v>
      </c>
      <c r="S6" s="63">
        <v>7541.8959999999997</v>
      </c>
      <c r="T6" s="150">
        <v>10980.252162012637</v>
      </c>
      <c r="U6" s="62">
        <v>56546.437574676609</v>
      </c>
      <c r="V6" s="150">
        <v>750192.1789010861</v>
      </c>
      <c r="W6" s="61" t="s">
        <v>11</v>
      </c>
      <c r="X6" s="181">
        <v>1.6666666666666666E-2</v>
      </c>
      <c r="Y6" s="60">
        <v>42877</v>
      </c>
      <c r="Z6" s="60">
        <v>43242</v>
      </c>
      <c r="AA6" s="60">
        <v>44703</v>
      </c>
      <c r="AB6" s="58">
        <v>1827</v>
      </c>
      <c r="AC6" s="59" t="s">
        <v>1</v>
      </c>
      <c r="AD6" s="58">
        <v>52</v>
      </c>
      <c r="AE6" s="57">
        <v>0.14246575342465753</v>
      </c>
      <c r="AF6" s="56"/>
      <c r="AG6" s="71" t="s">
        <v>1</v>
      </c>
      <c r="AH6" s="71" t="s">
        <v>1</v>
      </c>
      <c r="AI6" s="71" t="s">
        <v>766</v>
      </c>
      <c r="AJ6" s="11" t="s">
        <v>672</v>
      </c>
      <c r="AK6" s="11" t="s">
        <v>271</v>
      </c>
      <c r="AL6" s="13" t="s">
        <v>330</v>
      </c>
      <c r="AM6" s="11">
        <v>29400</v>
      </c>
      <c r="AN6" s="11">
        <v>60000</v>
      </c>
      <c r="AO6" s="197" t="s">
        <v>89</v>
      </c>
      <c r="AP6" s="198" t="s">
        <v>92</v>
      </c>
      <c r="AS6" s="212">
        <v>0</v>
      </c>
      <c r="AT6" s="212">
        <v>1317.6302594415165</v>
      </c>
      <c r="AU6" s="212" t="b">
        <v>0</v>
      </c>
      <c r="AV6" s="212"/>
      <c r="AW6" s="212">
        <v>0</v>
      </c>
      <c r="AX6" s="212">
        <v>0</v>
      </c>
      <c r="BA6" s="212">
        <v>0</v>
      </c>
      <c r="BB6" s="212">
        <v>0</v>
      </c>
      <c r="BC6" s="226">
        <v>0</v>
      </c>
      <c r="BD6" s="226"/>
    </row>
    <row r="7" spans="1:56" ht="39.950000000000003" hidden="1" customHeight="1" x14ac:dyDescent="0.2">
      <c r="A7" s="13" t="s">
        <v>62</v>
      </c>
      <c r="B7" s="65" t="s">
        <v>24</v>
      </c>
      <c r="C7" s="66" t="s">
        <v>37</v>
      </c>
      <c r="D7" s="13" t="s">
        <v>540</v>
      </c>
      <c r="E7" s="77" t="s">
        <v>90</v>
      </c>
      <c r="F7" s="14" t="s">
        <v>102</v>
      </c>
      <c r="G7" s="14" t="s">
        <v>102</v>
      </c>
      <c r="H7" s="66" t="s">
        <v>110</v>
      </c>
      <c r="I7" s="66" t="s">
        <v>55</v>
      </c>
      <c r="J7" s="66" t="s">
        <v>218</v>
      </c>
      <c r="K7" s="13" t="s">
        <v>101</v>
      </c>
      <c r="L7" s="65" t="s">
        <v>191</v>
      </c>
      <c r="M7" s="13" t="s">
        <v>323</v>
      </c>
      <c r="N7" s="13" t="s">
        <v>43</v>
      </c>
      <c r="O7" s="13" t="s">
        <v>531</v>
      </c>
      <c r="P7" s="13" t="s">
        <v>534</v>
      </c>
      <c r="Q7" s="64" t="s">
        <v>59</v>
      </c>
      <c r="R7" s="62">
        <v>29118.015316076056</v>
      </c>
      <c r="S7" s="63">
        <v>16680</v>
      </c>
      <c r="T7" s="62">
        <v>24284.424773607429</v>
      </c>
      <c r="U7" s="62">
        <v>121422.12386803715</v>
      </c>
      <c r="V7" s="62">
        <v>2049819.4683050402</v>
      </c>
      <c r="W7" s="61" t="s">
        <v>11</v>
      </c>
      <c r="X7" s="181">
        <v>2.2166666666666668E-2</v>
      </c>
      <c r="Y7" s="60">
        <v>42879</v>
      </c>
      <c r="Z7" s="105">
        <v>45084</v>
      </c>
      <c r="AA7" s="105">
        <v>45084</v>
      </c>
      <c r="AB7" s="58">
        <v>2206</v>
      </c>
      <c r="AC7" s="59" t="s">
        <v>10</v>
      </c>
      <c r="AD7" s="58">
        <v>433</v>
      </c>
      <c r="AE7" s="57">
        <v>1.1863013698630136</v>
      </c>
      <c r="AF7" s="56"/>
      <c r="AG7" s="71" t="s">
        <v>1</v>
      </c>
      <c r="AH7" s="71" t="s">
        <v>1</v>
      </c>
      <c r="AI7" s="71" t="s">
        <v>0</v>
      </c>
      <c r="AJ7" s="11" t="s">
        <v>0</v>
      </c>
      <c r="AK7" s="11" t="s">
        <v>271</v>
      </c>
      <c r="AL7" s="13" t="s">
        <v>331</v>
      </c>
      <c r="AM7" s="11">
        <v>10000</v>
      </c>
      <c r="AN7" s="11">
        <v>120000</v>
      </c>
      <c r="AO7" s="197" t="s">
        <v>90</v>
      </c>
      <c r="AP7" s="198" t="s">
        <v>102</v>
      </c>
      <c r="AS7" s="212">
        <v>0</v>
      </c>
      <c r="AT7" s="212">
        <v>2914.1309728328915</v>
      </c>
      <c r="AU7" s="212" t="b">
        <v>0</v>
      </c>
      <c r="AV7" s="212"/>
      <c r="AW7" s="212">
        <v>0</v>
      </c>
      <c r="AX7" s="212">
        <v>0</v>
      </c>
      <c r="BA7" s="212">
        <v>0</v>
      </c>
      <c r="BB7" s="212">
        <v>0</v>
      </c>
      <c r="BC7" s="226">
        <v>0</v>
      </c>
      <c r="BD7" s="226"/>
    </row>
    <row r="8" spans="1:56" ht="39.950000000000003" hidden="1" customHeight="1" x14ac:dyDescent="0.2">
      <c r="A8" s="13" t="s">
        <v>64</v>
      </c>
      <c r="B8" s="65" t="s">
        <v>24</v>
      </c>
      <c r="C8" s="66" t="s">
        <v>37</v>
      </c>
      <c r="D8" s="13" t="s">
        <v>34</v>
      </c>
      <c r="E8" s="77" t="s">
        <v>34</v>
      </c>
      <c r="F8" s="14" t="s">
        <v>104</v>
      </c>
      <c r="G8" s="14" t="s">
        <v>111</v>
      </c>
      <c r="H8" s="14" t="s">
        <v>113</v>
      </c>
      <c r="I8" s="146" t="s">
        <v>526</v>
      </c>
      <c r="J8" s="66" t="s">
        <v>221</v>
      </c>
      <c r="K8" s="13" t="s">
        <v>140</v>
      </c>
      <c r="L8" s="65" t="s">
        <v>191</v>
      </c>
      <c r="M8" s="13" t="s">
        <v>323</v>
      </c>
      <c r="N8" s="13" t="s">
        <v>43</v>
      </c>
      <c r="O8" s="13" t="s">
        <v>531</v>
      </c>
      <c r="P8" s="165" t="s">
        <v>534</v>
      </c>
      <c r="Q8" s="156" t="s">
        <v>9</v>
      </c>
      <c r="R8" s="73">
        <v>13445.5589318848</v>
      </c>
      <c r="S8" s="63">
        <v>22499.977999999999</v>
      </c>
      <c r="T8" s="62">
        <v>30252.478016511148</v>
      </c>
      <c r="U8" s="62">
        <v>201683.383978272</v>
      </c>
      <c r="V8" s="62">
        <v>1244391.9245973057</v>
      </c>
      <c r="W8" s="106" t="s">
        <v>11</v>
      </c>
      <c r="X8" s="181">
        <v>1.6E-2</v>
      </c>
      <c r="Y8" s="60">
        <v>42909</v>
      </c>
      <c r="Z8" s="60">
        <v>45100</v>
      </c>
      <c r="AA8" s="157">
        <v>45152</v>
      </c>
      <c r="AB8" s="58">
        <v>2243</v>
      </c>
      <c r="AC8" s="59" t="s">
        <v>10</v>
      </c>
      <c r="AD8" s="58">
        <v>501</v>
      </c>
      <c r="AE8" s="57">
        <v>1.3726027397260274</v>
      </c>
      <c r="AF8" s="56"/>
      <c r="AG8" s="71" t="s">
        <v>1</v>
      </c>
      <c r="AH8" s="71" t="s">
        <v>1</v>
      </c>
      <c r="AI8" s="70" t="s">
        <v>251</v>
      </c>
      <c r="AJ8" s="11" t="s">
        <v>0</v>
      </c>
      <c r="AK8" s="11" t="s">
        <v>271</v>
      </c>
      <c r="AL8" s="13" t="s">
        <v>332</v>
      </c>
      <c r="AM8" s="11">
        <v>12500</v>
      </c>
      <c r="AN8" s="11">
        <v>90000</v>
      </c>
      <c r="AO8" s="197" t="s">
        <v>34</v>
      </c>
      <c r="AP8" s="198" t="s">
        <v>104</v>
      </c>
      <c r="AS8" s="212">
        <v>0</v>
      </c>
      <c r="AT8" s="212">
        <v>3630.2973619813374</v>
      </c>
      <c r="AU8" s="212" t="b">
        <v>0</v>
      </c>
      <c r="AV8" s="212"/>
      <c r="AW8" s="212">
        <v>0</v>
      </c>
      <c r="AX8" s="212">
        <v>0</v>
      </c>
      <c r="BA8" s="212">
        <v>0</v>
      </c>
      <c r="BB8" s="212">
        <v>0</v>
      </c>
      <c r="BC8" s="226">
        <v>0</v>
      </c>
      <c r="BD8" s="226"/>
    </row>
    <row r="9" spans="1:56" ht="39.950000000000003" customHeight="1" x14ac:dyDescent="0.2">
      <c r="A9" s="13" t="s">
        <v>65</v>
      </c>
      <c r="B9" s="65" t="s">
        <v>24</v>
      </c>
      <c r="C9" s="66" t="s">
        <v>38</v>
      </c>
      <c r="D9" s="13" t="s">
        <v>540</v>
      </c>
      <c r="E9" s="130" t="s">
        <v>35</v>
      </c>
      <c r="F9" s="14" t="s">
        <v>106</v>
      </c>
      <c r="G9" s="14" t="s">
        <v>106</v>
      </c>
      <c r="H9" s="66" t="s">
        <v>107</v>
      </c>
      <c r="I9" s="14" t="s">
        <v>300</v>
      </c>
      <c r="J9" s="66" t="s">
        <v>218</v>
      </c>
      <c r="K9" s="13" t="s">
        <v>101</v>
      </c>
      <c r="L9" s="65" t="s">
        <v>191</v>
      </c>
      <c r="M9" s="13" t="s">
        <v>323</v>
      </c>
      <c r="N9" s="65" t="s">
        <v>43</v>
      </c>
      <c r="O9" s="65" t="s">
        <v>531</v>
      </c>
      <c r="P9" s="65" t="s">
        <v>534</v>
      </c>
      <c r="Q9" s="64" t="s">
        <v>66</v>
      </c>
      <c r="R9" s="73">
        <v>17637.617510626664</v>
      </c>
      <c r="S9" s="63">
        <v>525000</v>
      </c>
      <c r="T9" s="150">
        <v>9259.7491930789984</v>
      </c>
      <c r="U9" s="62">
        <v>103112.2254467405</v>
      </c>
      <c r="V9" s="150">
        <v>2463851.4912605602</v>
      </c>
      <c r="W9" s="106" t="s">
        <v>551</v>
      </c>
      <c r="X9" s="181">
        <v>5.9166666666666666E-2</v>
      </c>
      <c r="Y9" s="105">
        <v>43013</v>
      </c>
      <c r="Z9" s="60">
        <v>44839</v>
      </c>
      <c r="AA9" s="60">
        <v>44846</v>
      </c>
      <c r="AB9" s="58">
        <v>1833</v>
      </c>
      <c r="AC9" s="59" t="s">
        <v>10</v>
      </c>
      <c r="AD9" s="58">
        <v>195</v>
      </c>
      <c r="AE9" s="57">
        <v>0.53424657534246578</v>
      </c>
      <c r="AF9" s="56"/>
      <c r="AG9" s="71" t="s">
        <v>1</v>
      </c>
      <c r="AH9" s="71" t="s">
        <v>1</v>
      </c>
      <c r="AI9" s="70" t="s">
        <v>600</v>
      </c>
      <c r="AJ9" s="11" t="s">
        <v>0</v>
      </c>
      <c r="AK9" s="11" t="s">
        <v>271</v>
      </c>
      <c r="AL9" s="13" t="s">
        <v>333</v>
      </c>
      <c r="AM9" s="11">
        <v>50222.729999999996</v>
      </c>
      <c r="AO9" s="197" t="s">
        <v>35</v>
      </c>
      <c r="AP9" s="198" t="s">
        <v>106</v>
      </c>
      <c r="AQ9" s="11">
        <v>1</v>
      </c>
      <c r="AR9" s="214">
        <v>0.12</v>
      </c>
      <c r="AS9" s="212">
        <v>2116.5141012751997</v>
      </c>
      <c r="AT9" s="212">
        <v>2116.5141012751997</v>
      </c>
      <c r="AU9" s="212" t="b">
        <v>0</v>
      </c>
      <c r="AV9" s="212"/>
      <c r="AW9" s="212">
        <v>2116.5141012751997</v>
      </c>
      <c r="AX9" s="212">
        <v>1404.4154822762766</v>
      </c>
      <c r="AY9" s="12" t="s">
        <v>770</v>
      </c>
      <c r="BA9" s="212">
        <v>2116.5141012751997</v>
      </c>
      <c r="BB9" s="212">
        <v>1404.4154822762766</v>
      </c>
      <c r="BC9" s="226">
        <v>983.09083759339376</v>
      </c>
      <c r="BD9" s="226">
        <v>605.7781919850886</v>
      </c>
    </row>
    <row r="10" spans="1:56" ht="39.950000000000003" hidden="1" customHeight="1" x14ac:dyDescent="0.2">
      <c r="A10" s="14" t="s">
        <v>207</v>
      </c>
      <c r="B10" s="65" t="s">
        <v>51</v>
      </c>
      <c r="C10" s="66" t="s">
        <v>127</v>
      </c>
      <c r="D10" s="13" t="s">
        <v>542</v>
      </c>
      <c r="E10" s="130" t="s">
        <v>127</v>
      </c>
      <c r="F10" s="66" t="s">
        <v>102</v>
      </c>
      <c r="G10" s="66" t="s">
        <v>102</v>
      </c>
      <c r="H10" s="66" t="s">
        <v>122</v>
      </c>
      <c r="I10" s="14" t="s">
        <v>158</v>
      </c>
      <c r="J10" s="66" t="s">
        <v>220</v>
      </c>
      <c r="K10" s="13" t="s">
        <v>101</v>
      </c>
      <c r="L10" s="65" t="s">
        <v>191</v>
      </c>
      <c r="M10" s="65" t="s">
        <v>59</v>
      </c>
      <c r="N10" s="65" t="s">
        <v>43</v>
      </c>
      <c r="O10" s="65" t="s">
        <v>533</v>
      </c>
      <c r="P10" s="65" t="s">
        <v>534</v>
      </c>
      <c r="Q10" s="64" t="s">
        <v>59</v>
      </c>
      <c r="R10" s="62">
        <v>29118.015316076056</v>
      </c>
      <c r="S10" s="63">
        <v>20000</v>
      </c>
      <c r="T10" s="62">
        <v>29118.015316076056</v>
      </c>
      <c r="U10" s="62">
        <v>254782.63401566548</v>
      </c>
      <c r="V10" s="62">
        <v>2220733.4828058118</v>
      </c>
      <c r="W10" s="61" t="s">
        <v>551</v>
      </c>
      <c r="X10" s="181">
        <v>0.01</v>
      </c>
      <c r="Y10" s="105">
        <v>43070</v>
      </c>
      <c r="Z10" s="60">
        <v>46689</v>
      </c>
      <c r="AA10" s="60">
        <v>46689</v>
      </c>
      <c r="AB10" s="58">
        <v>3620</v>
      </c>
      <c r="AC10" s="59" t="s">
        <v>10</v>
      </c>
      <c r="AD10" s="58">
        <v>2038</v>
      </c>
      <c r="AE10" s="57">
        <v>5.5835616438356164</v>
      </c>
      <c r="AF10" s="56"/>
      <c r="AG10" s="71" t="s">
        <v>1</v>
      </c>
      <c r="AH10" s="71" t="s">
        <v>1</v>
      </c>
      <c r="AI10" s="71" t="s">
        <v>0</v>
      </c>
      <c r="AJ10" s="11" t="s">
        <v>0</v>
      </c>
      <c r="AK10" s="11" t="s">
        <v>271</v>
      </c>
      <c r="AL10" s="14" t="s">
        <v>334</v>
      </c>
      <c r="AM10" s="11">
        <v>16300</v>
      </c>
      <c r="AO10" s="197" t="s">
        <v>127</v>
      </c>
      <c r="AP10" s="198" t="s">
        <v>102</v>
      </c>
      <c r="AS10" s="212">
        <v>0</v>
      </c>
      <c r="AT10" s="212">
        <v>3494.1618379291267</v>
      </c>
      <c r="AU10" s="212" t="b">
        <v>0</v>
      </c>
      <c r="AV10" s="212"/>
      <c r="AW10" s="212">
        <v>0</v>
      </c>
      <c r="AX10" s="212">
        <v>0</v>
      </c>
      <c r="BA10" s="212">
        <v>0</v>
      </c>
      <c r="BB10" s="212">
        <v>0</v>
      </c>
      <c r="BC10" s="226">
        <v>0</v>
      </c>
      <c r="BD10" s="226"/>
    </row>
    <row r="11" spans="1:56" ht="39.950000000000003" hidden="1" customHeight="1" x14ac:dyDescent="0.2">
      <c r="A11" s="14" t="s">
        <v>69</v>
      </c>
      <c r="B11" s="65" t="s">
        <v>23</v>
      </c>
      <c r="C11" s="66" t="s">
        <v>47</v>
      </c>
      <c r="D11" s="13" t="s">
        <v>469</v>
      </c>
      <c r="E11" s="77" t="s">
        <v>128</v>
      </c>
      <c r="F11" s="14" t="s">
        <v>48</v>
      </c>
      <c r="G11" s="14" t="s">
        <v>95</v>
      </c>
      <c r="H11" s="130" t="s">
        <v>447</v>
      </c>
      <c r="I11" s="14" t="s">
        <v>32</v>
      </c>
      <c r="J11" s="14" t="s">
        <v>33</v>
      </c>
      <c r="K11" s="13" t="s">
        <v>140</v>
      </c>
      <c r="L11" s="65" t="s">
        <v>191</v>
      </c>
      <c r="M11" s="13" t="s">
        <v>323</v>
      </c>
      <c r="N11" s="13" t="s">
        <v>43</v>
      </c>
      <c r="O11" s="13" t="s">
        <v>533</v>
      </c>
      <c r="P11" s="13" t="s">
        <v>534</v>
      </c>
      <c r="Q11" s="64" t="s">
        <v>9</v>
      </c>
      <c r="R11" s="62">
        <v>26891.117863769599</v>
      </c>
      <c r="S11" s="63">
        <v>14289.456</v>
      </c>
      <c r="T11" s="150">
        <v>19212.972275257485</v>
      </c>
      <c r="U11" s="62">
        <v>177145.23892758222</v>
      </c>
      <c r="V11" s="150">
        <v>1663128.6471078605</v>
      </c>
      <c r="W11" s="61" t="s">
        <v>11</v>
      </c>
      <c r="X11" s="181">
        <v>1.9833333333333331E-2</v>
      </c>
      <c r="Y11" s="60">
        <v>43076</v>
      </c>
      <c r="Z11" s="60">
        <v>46751</v>
      </c>
      <c r="AA11" s="60">
        <v>46751</v>
      </c>
      <c r="AB11" s="58">
        <v>3676</v>
      </c>
      <c r="AC11" s="59" t="s">
        <v>10</v>
      </c>
      <c r="AD11" s="58">
        <v>2100</v>
      </c>
      <c r="AE11" s="57">
        <v>5.7534246575342465</v>
      </c>
      <c r="AF11" s="56"/>
      <c r="AG11" s="71" t="s">
        <v>1</v>
      </c>
      <c r="AH11" s="71" t="s">
        <v>1</v>
      </c>
      <c r="AI11" s="70" t="s">
        <v>569</v>
      </c>
      <c r="AJ11" s="11" t="s">
        <v>0</v>
      </c>
      <c r="AK11" s="11" t="s">
        <v>271</v>
      </c>
      <c r="AL11" s="14" t="s">
        <v>326</v>
      </c>
      <c r="AM11" s="11">
        <v>8817.5</v>
      </c>
      <c r="AO11" s="197" t="s">
        <v>128</v>
      </c>
      <c r="AP11" s="198" t="s">
        <v>48</v>
      </c>
      <c r="AS11" s="212">
        <v>0</v>
      </c>
      <c r="AT11" s="212">
        <v>2305.5566730308983</v>
      </c>
      <c r="AU11" s="212" t="b">
        <v>0</v>
      </c>
      <c r="AV11" s="212"/>
      <c r="AW11" s="212">
        <v>0</v>
      </c>
      <c r="AX11" s="212">
        <v>0</v>
      </c>
      <c r="BA11" s="212">
        <v>0</v>
      </c>
      <c r="BB11" s="212">
        <v>0</v>
      </c>
      <c r="BC11" s="226">
        <v>0</v>
      </c>
      <c r="BD11" s="226"/>
    </row>
    <row r="12" spans="1:56" ht="39.950000000000003" hidden="1" customHeight="1" x14ac:dyDescent="0.2">
      <c r="A12" s="14" t="s">
        <v>438</v>
      </c>
      <c r="B12" s="65" t="s">
        <v>67</v>
      </c>
      <c r="C12" s="66" t="s">
        <v>87</v>
      </c>
      <c r="D12" s="13" t="s">
        <v>542</v>
      </c>
      <c r="E12" s="77" t="s">
        <v>87</v>
      </c>
      <c r="F12" s="14" t="s">
        <v>102</v>
      </c>
      <c r="G12" s="14" t="s">
        <v>102</v>
      </c>
      <c r="H12" s="66" t="s">
        <v>122</v>
      </c>
      <c r="I12" s="14" t="s">
        <v>78</v>
      </c>
      <c r="J12" s="14" t="s">
        <v>219</v>
      </c>
      <c r="K12" s="13" t="s">
        <v>101</v>
      </c>
      <c r="L12" s="65" t="s">
        <v>191</v>
      </c>
      <c r="M12" s="13" t="s">
        <v>59</v>
      </c>
      <c r="N12" s="13" t="s">
        <v>43</v>
      </c>
      <c r="O12" s="13" t="s">
        <v>538</v>
      </c>
      <c r="P12" s="13" t="s">
        <v>534</v>
      </c>
      <c r="Q12" s="64" t="s">
        <v>156</v>
      </c>
      <c r="R12" s="62">
        <v>26211.403708039914</v>
      </c>
      <c r="S12" s="63">
        <v>15000</v>
      </c>
      <c r="T12" s="79">
        <v>26211.403708039914</v>
      </c>
      <c r="U12" s="62">
        <v>59412.515071557136</v>
      </c>
      <c r="V12" s="76">
        <v>1573172.0516539398</v>
      </c>
      <c r="W12" s="61" t="s">
        <v>11</v>
      </c>
      <c r="X12" s="181">
        <v>1.8499999999999999E-2</v>
      </c>
      <c r="Y12" s="60">
        <v>43228</v>
      </c>
      <c r="Z12" s="60">
        <v>45054</v>
      </c>
      <c r="AA12" s="60">
        <v>45054</v>
      </c>
      <c r="AB12" s="58">
        <v>1827</v>
      </c>
      <c r="AC12" s="84" t="s">
        <v>10</v>
      </c>
      <c r="AD12" s="58">
        <v>403</v>
      </c>
      <c r="AE12" s="57">
        <v>1.1041095890410959</v>
      </c>
      <c r="AF12" s="56"/>
      <c r="AG12" s="71" t="s">
        <v>1</v>
      </c>
      <c r="AH12" s="71" t="s">
        <v>1</v>
      </c>
      <c r="AI12" s="71" t="s">
        <v>0</v>
      </c>
      <c r="AJ12" s="11" t="s">
        <v>0</v>
      </c>
      <c r="AK12" s="11" t="s">
        <v>271</v>
      </c>
      <c r="AL12" s="14" t="s">
        <v>340</v>
      </c>
      <c r="AM12" s="11">
        <v>6427.5</v>
      </c>
      <c r="AO12" s="197" t="s">
        <v>87</v>
      </c>
      <c r="AP12" s="198" t="s">
        <v>102</v>
      </c>
      <c r="AS12" s="212">
        <v>0</v>
      </c>
      <c r="AT12" s="212">
        <v>3145.3684449647894</v>
      </c>
      <c r="AU12" s="212" t="b">
        <v>0</v>
      </c>
      <c r="AV12" s="212"/>
      <c r="AW12" s="212">
        <v>0</v>
      </c>
      <c r="AX12" s="212">
        <v>0</v>
      </c>
      <c r="BA12" s="212">
        <v>0</v>
      </c>
      <c r="BB12" s="212">
        <v>0</v>
      </c>
      <c r="BC12" s="226">
        <v>0</v>
      </c>
      <c r="BD12" s="226"/>
    </row>
    <row r="13" spans="1:56" ht="39.950000000000003" hidden="1" customHeight="1" x14ac:dyDescent="0.2">
      <c r="A13" s="14" t="s">
        <v>80</v>
      </c>
      <c r="B13" s="65" t="s">
        <v>23</v>
      </c>
      <c r="C13" s="66" t="s">
        <v>37</v>
      </c>
      <c r="D13" s="13" t="s">
        <v>540</v>
      </c>
      <c r="E13" s="161" t="s">
        <v>36</v>
      </c>
      <c r="F13" s="14" t="s">
        <v>104</v>
      </c>
      <c r="G13" s="14" t="s">
        <v>105</v>
      </c>
      <c r="H13" s="66" t="s">
        <v>131</v>
      </c>
      <c r="I13" s="14" t="s">
        <v>79</v>
      </c>
      <c r="J13" s="14" t="s">
        <v>222</v>
      </c>
      <c r="K13" s="14" t="s">
        <v>209</v>
      </c>
      <c r="L13" s="65" t="s">
        <v>191</v>
      </c>
      <c r="M13" s="13" t="s">
        <v>323</v>
      </c>
      <c r="N13" s="13" t="s">
        <v>43</v>
      </c>
      <c r="O13" s="13" t="s">
        <v>533</v>
      </c>
      <c r="P13" s="13" t="s">
        <v>534</v>
      </c>
      <c r="Q13" s="64" t="s">
        <v>9</v>
      </c>
      <c r="R13" s="62">
        <v>33613.897329711996</v>
      </c>
      <c r="S13" s="63">
        <v>25000</v>
      </c>
      <c r="T13" s="150">
        <v>33613.897329711996</v>
      </c>
      <c r="U13" s="62">
        <v>353618.19990857021</v>
      </c>
      <c r="V13" s="76">
        <v>891495.872213408</v>
      </c>
      <c r="W13" s="61" t="s">
        <v>11</v>
      </c>
      <c r="X13" s="181">
        <v>1.7100000000000001E-2</v>
      </c>
      <c r="Y13" s="60">
        <v>43234</v>
      </c>
      <c r="Z13" s="60">
        <v>43234</v>
      </c>
      <c r="AA13" s="60">
        <v>45050</v>
      </c>
      <c r="AB13" s="58">
        <v>1817</v>
      </c>
      <c r="AC13" s="84" t="s">
        <v>10</v>
      </c>
      <c r="AD13" s="58">
        <v>399</v>
      </c>
      <c r="AE13" s="57">
        <v>1.0931506849315069</v>
      </c>
      <c r="AF13" s="56"/>
      <c r="AG13" s="71" t="s">
        <v>1</v>
      </c>
      <c r="AH13" s="71" t="s">
        <v>1</v>
      </c>
      <c r="AI13" s="71" t="s">
        <v>0</v>
      </c>
      <c r="AJ13" s="11" t="s">
        <v>0</v>
      </c>
      <c r="AK13" s="11" t="s">
        <v>271</v>
      </c>
      <c r="AL13" s="14" t="s">
        <v>341</v>
      </c>
      <c r="AM13" s="11">
        <v>11639</v>
      </c>
      <c r="AO13" s="197" t="s">
        <v>36</v>
      </c>
      <c r="AP13" s="198" t="s">
        <v>104</v>
      </c>
      <c r="AS13" s="212">
        <v>0</v>
      </c>
      <c r="AT13" s="212">
        <v>4033.6676795654394</v>
      </c>
      <c r="AU13" s="212" t="b">
        <v>0</v>
      </c>
      <c r="AV13" s="212"/>
      <c r="AW13" s="212">
        <v>0</v>
      </c>
      <c r="AX13" s="212">
        <v>0</v>
      </c>
      <c r="BA13" s="212">
        <v>0</v>
      </c>
      <c r="BB13" s="212">
        <v>0</v>
      </c>
      <c r="BC13" s="226">
        <v>0</v>
      </c>
      <c r="BD13" s="226"/>
    </row>
    <row r="14" spans="1:56" ht="39.950000000000003" hidden="1" customHeight="1" x14ac:dyDescent="0.2">
      <c r="A14" s="13" t="s">
        <v>137</v>
      </c>
      <c r="B14" s="65" t="s">
        <v>24</v>
      </c>
      <c r="C14" s="66" t="s">
        <v>34</v>
      </c>
      <c r="D14" s="13" t="s">
        <v>34</v>
      </c>
      <c r="E14" s="77" t="s">
        <v>34</v>
      </c>
      <c r="F14" s="14" t="s">
        <v>475</v>
      </c>
      <c r="G14" s="14" t="s">
        <v>138</v>
      </c>
      <c r="H14" s="14" t="s">
        <v>138</v>
      </c>
      <c r="I14" s="14" t="s">
        <v>70</v>
      </c>
      <c r="J14" s="66" t="s">
        <v>218</v>
      </c>
      <c r="K14" s="14" t="s">
        <v>209</v>
      </c>
      <c r="L14" s="65" t="s">
        <v>191</v>
      </c>
      <c r="M14" s="13" t="s">
        <v>323</v>
      </c>
      <c r="N14" s="13" t="s">
        <v>43</v>
      </c>
      <c r="O14" s="13" t="s">
        <v>531</v>
      </c>
      <c r="P14" s="13" t="s">
        <v>534</v>
      </c>
      <c r="Q14" s="64" t="s">
        <v>8</v>
      </c>
      <c r="R14" s="62">
        <v>20000</v>
      </c>
      <c r="S14" s="63">
        <v>20000</v>
      </c>
      <c r="T14" s="150">
        <v>20000</v>
      </c>
      <c r="U14" s="62">
        <v>40000</v>
      </c>
      <c r="V14" s="150">
        <v>2636444</v>
      </c>
      <c r="W14" s="61" t="s">
        <v>11</v>
      </c>
      <c r="X14" s="181">
        <v>5.3499999999999999E-2</v>
      </c>
      <c r="Y14" s="60">
        <v>43273</v>
      </c>
      <c r="Z14" s="60">
        <v>45210</v>
      </c>
      <c r="AA14" s="60">
        <v>45210</v>
      </c>
      <c r="AB14" s="58">
        <v>1938</v>
      </c>
      <c r="AC14" s="84" t="s">
        <v>10</v>
      </c>
      <c r="AD14" s="58">
        <v>559</v>
      </c>
      <c r="AE14" s="57">
        <v>1.5315068493150685</v>
      </c>
      <c r="AF14" s="56"/>
      <c r="AG14" s="71" t="s">
        <v>1</v>
      </c>
      <c r="AH14" s="71" t="s">
        <v>1</v>
      </c>
      <c r="AI14" s="71" t="s">
        <v>0</v>
      </c>
      <c r="AJ14" s="11" t="s">
        <v>0</v>
      </c>
      <c r="AK14" s="11" t="s">
        <v>271</v>
      </c>
      <c r="AL14" s="13" t="s">
        <v>342</v>
      </c>
      <c r="AM14" s="11">
        <v>12137</v>
      </c>
      <c r="AO14" s="197" t="s">
        <v>34</v>
      </c>
      <c r="AP14" s="198" t="s">
        <v>475</v>
      </c>
      <c r="AS14" s="212">
        <v>0</v>
      </c>
      <c r="AT14" s="212">
        <v>2400</v>
      </c>
      <c r="AU14" s="212" t="b">
        <v>0</v>
      </c>
      <c r="AV14" s="212"/>
      <c r="AW14" s="212">
        <v>0</v>
      </c>
      <c r="AX14" s="212">
        <v>0</v>
      </c>
      <c r="BA14" s="212">
        <v>0</v>
      </c>
      <c r="BB14" s="212">
        <v>0</v>
      </c>
      <c r="BC14" s="226">
        <v>0</v>
      </c>
      <c r="BD14" s="226"/>
    </row>
    <row r="15" spans="1:56" ht="39.950000000000003" customHeight="1" x14ac:dyDescent="0.2">
      <c r="A15" s="13" t="s">
        <v>144</v>
      </c>
      <c r="B15" s="65" t="s">
        <v>23</v>
      </c>
      <c r="C15" s="66" t="s">
        <v>166</v>
      </c>
      <c r="D15" s="13" t="s">
        <v>540</v>
      </c>
      <c r="E15" s="161" t="s">
        <v>36</v>
      </c>
      <c r="F15" s="14" t="s">
        <v>92</v>
      </c>
      <c r="G15" s="14" t="s">
        <v>100</v>
      </c>
      <c r="H15" s="66" t="s">
        <v>100</v>
      </c>
      <c r="I15" s="14" t="s">
        <v>145</v>
      </c>
      <c r="J15" s="66" t="s">
        <v>221</v>
      </c>
      <c r="K15" s="14" t="s">
        <v>44</v>
      </c>
      <c r="L15" s="65" t="s">
        <v>191</v>
      </c>
      <c r="M15" s="13" t="s">
        <v>59</v>
      </c>
      <c r="N15" s="13" t="s">
        <v>43</v>
      </c>
      <c r="O15" s="13" t="s">
        <v>533</v>
      </c>
      <c r="P15" s="13" t="s">
        <v>534</v>
      </c>
      <c r="Q15" s="64" t="s">
        <v>9</v>
      </c>
      <c r="R15" s="62">
        <v>13445.5589318848</v>
      </c>
      <c r="S15" s="63">
        <v>8500</v>
      </c>
      <c r="T15" s="150">
        <v>11428.725092102079</v>
      </c>
      <c r="U15" s="62">
        <v>161346.7071826176</v>
      </c>
      <c r="V15" s="150">
        <v>598407.25253448787</v>
      </c>
      <c r="W15" s="61" t="s">
        <v>551</v>
      </c>
      <c r="X15" s="181">
        <v>2.1000000000000001E-2</v>
      </c>
      <c r="Y15" s="60">
        <v>43279</v>
      </c>
      <c r="Z15" s="60">
        <v>45503</v>
      </c>
      <c r="AA15" s="60">
        <v>45503</v>
      </c>
      <c r="AB15" s="58">
        <v>2225</v>
      </c>
      <c r="AC15" s="59" t="s">
        <v>10</v>
      </c>
      <c r="AD15" s="58">
        <v>852</v>
      </c>
      <c r="AE15" s="57">
        <v>2.3342465753424659</v>
      </c>
      <c r="AF15" s="56"/>
      <c r="AG15" s="71" t="s">
        <v>1</v>
      </c>
      <c r="AH15" s="71" t="s">
        <v>1</v>
      </c>
      <c r="AI15" s="71" t="s">
        <v>0</v>
      </c>
      <c r="AJ15" s="11" t="s">
        <v>0</v>
      </c>
      <c r="AK15" s="11" t="s">
        <v>271</v>
      </c>
      <c r="AL15" s="13" t="s">
        <v>345</v>
      </c>
      <c r="AO15" s="197" t="s">
        <v>36</v>
      </c>
      <c r="AP15" s="198" t="s">
        <v>92</v>
      </c>
      <c r="AQ15" s="11">
        <v>1</v>
      </c>
      <c r="AR15" s="214">
        <v>0.05</v>
      </c>
      <c r="AS15" s="212">
        <v>571.43625460510395</v>
      </c>
      <c r="AT15" s="212">
        <v>1371.4470110522493</v>
      </c>
      <c r="AU15" s="212" t="b">
        <v>0</v>
      </c>
      <c r="AV15" s="212"/>
      <c r="AW15" s="212">
        <v>571.43625460510395</v>
      </c>
      <c r="AX15" s="212">
        <v>592.11167922872232</v>
      </c>
      <c r="AY15" s="12"/>
      <c r="BA15" s="212">
        <v>571.43625460510395</v>
      </c>
      <c r="BB15" s="212">
        <v>592.11167922872232</v>
      </c>
      <c r="BC15" s="226">
        <v>592.11167922872232</v>
      </c>
      <c r="BD15" s="226">
        <v>592.11167922872232</v>
      </c>
    </row>
    <row r="16" spans="1:56" ht="39.950000000000003" hidden="1" customHeight="1" x14ac:dyDescent="0.2">
      <c r="A16" s="13" t="s">
        <v>147</v>
      </c>
      <c r="B16" s="65" t="s">
        <v>51</v>
      </c>
      <c r="C16" s="66" t="s">
        <v>88</v>
      </c>
      <c r="D16" s="13" t="s">
        <v>542</v>
      </c>
      <c r="E16" s="77" t="s">
        <v>88</v>
      </c>
      <c r="F16" s="14" t="s">
        <v>106</v>
      </c>
      <c r="G16" s="14" t="s">
        <v>106</v>
      </c>
      <c r="H16" s="66" t="s">
        <v>107</v>
      </c>
      <c r="I16" s="14" t="s">
        <v>61</v>
      </c>
      <c r="J16" s="66" t="s">
        <v>220</v>
      </c>
      <c r="K16" s="14" t="s">
        <v>101</v>
      </c>
      <c r="L16" s="65" t="s">
        <v>191</v>
      </c>
      <c r="M16" s="13" t="s">
        <v>59</v>
      </c>
      <c r="N16" s="13" t="s">
        <v>43</v>
      </c>
      <c r="O16" s="13" t="s">
        <v>533</v>
      </c>
      <c r="P16" s="13" t="s">
        <v>548</v>
      </c>
      <c r="Q16" s="64" t="s">
        <v>59</v>
      </c>
      <c r="R16" s="62">
        <v>21838.51148705704</v>
      </c>
      <c r="S16" s="63">
        <v>14999.999999999998</v>
      </c>
      <c r="T16" s="150">
        <v>21838.51148705704</v>
      </c>
      <c r="U16" s="62">
        <v>72795.038290190132</v>
      </c>
      <c r="V16" s="150">
        <v>591549.95195527468</v>
      </c>
      <c r="W16" s="61" t="s">
        <v>11</v>
      </c>
      <c r="X16" s="181">
        <v>1.2E-2</v>
      </c>
      <c r="Y16" s="60">
        <v>43282</v>
      </c>
      <c r="Z16" s="60">
        <v>44834</v>
      </c>
      <c r="AA16" s="60">
        <v>44834</v>
      </c>
      <c r="AB16" s="58">
        <v>1553</v>
      </c>
      <c r="AC16" s="59" t="s">
        <v>10</v>
      </c>
      <c r="AD16" s="58">
        <v>183</v>
      </c>
      <c r="AE16" s="57">
        <v>0.50136986301369868</v>
      </c>
      <c r="AF16" s="56"/>
      <c r="AG16" s="71" t="s">
        <v>1</v>
      </c>
      <c r="AH16" s="71" t="s">
        <v>1</v>
      </c>
      <c r="AI16" s="71" t="s">
        <v>0</v>
      </c>
      <c r="AJ16" s="11" t="s">
        <v>0</v>
      </c>
      <c r="AK16" s="11" t="s">
        <v>271</v>
      </c>
      <c r="AL16" s="13" t="s">
        <v>336</v>
      </c>
      <c r="AM16" s="11">
        <v>5540</v>
      </c>
      <c r="AO16" s="197" t="s">
        <v>88</v>
      </c>
      <c r="AP16" s="198" t="s">
        <v>106</v>
      </c>
      <c r="AS16" s="212">
        <v>0</v>
      </c>
      <c r="AT16" s="212">
        <v>2620.6213784468446</v>
      </c>
      <c r="AU16" s="212" t="b">
        <v>0</v>
      </c>
      <c r="AV16" s="212"/>
      <c r="AW16" s="212">
        <v>0</v>
      </c>
      <c r="AX16" s="212">
        <v>0</v>
      </c>
      <c r="BA16" s="212">
        <v>0</v>
      </c>
      <c r="BB16" s="212">
        <v>0</v>
      </c>
      <c r="BC16" s="226">
        <v>0</v>
      </c>
      <c r="BD16" s="226"/>
    </row>
    <row r="17" spans="1:56" ht="39.950000000000003" hidden="1" customHeight="1" x14ac:dyDescent="0.2">
      <c r="A17" s="13" t="s">
        <v>143</v>
      </c>
      <c r="B17" s="65" t="s">
        <v>67</v>
      </c>
      <c r="C17" s="66" t="s">
        <v>34</v>
      </c>
      <c r="D17" s="13" t="s">
        <v>34</v>
      </c>
      <c r="E17" s="77" t="s">
        <v>34</v>
      </c>
      <c r="F17" s="14" t="s">
        <v>104</v>
      </c>
      <c r="G17" s="14" t="s">
        <v>111</v>
      </c>
      <c r="H17" s="14" t="s">
        <v>112</v>
      </c>
      <c r="I17" s="66" t="s">
        <v>70</v>
      </c>
      <c r="J17" s="66" t="s">
        <v>218</v>
      </c>
      <c r="K17" s="14" t="s">
        <v>139</v>
      </c>
      <c r="L17" s="65" t="s">
        <v>191</v>
      </c>
      <c r="M17" s="13" t="s">
        <v>323</v>
      </c>
      <c r="N17" s="13" t="s">
        <v>43</v>
      </c>
      <c r="O17" s="13" t="s">
        <v>538</v>
      </c>
      <c r="P17" s="13" t="s">
        <v>534</v>
      </c>
      <c r="Q17" s="64" t="s">
        <v>8</v>
      </c>
      <c r="R17" s="62">
        <v>20000</v>
      </c>
      <c r="S17" s="63">
        <v>20000</v>
      </c>
      <c r="T17" s="62">
        <v>20000</v>
      </c>
      <c r="U17" s="62">
        <v>50000</v>
      </c>
      <c r="V17" s="76">
        <v>1526431.89</v>
      </c>
      <c r="W17" s="61" t="s">
        <v>11</v>
      </c>
      <c r="X17" s="181">
        <v>0.05</v>
      </c>
      <c r="Y17" s="60">
        <v>43308</v>
      </c>
      <c r="Z17" s="60">
        <v>44671</v>
      </c>
      <c r="AA17" s="60">
        <v>44671</v>
      </c>
      <c r="AB17" s="58">
        <v>1364</v>
      </c>
      <c r="AC17" s="59" t="s">
        <v>1</v>
      </c>
      <c r="AD17" s="58">
        <v>20</v>
      </c>
      <c r="AE17" s="57">
        <v>5.4794520547945202E-2</v>
      </c>
      <c r="AF17" s="56"/>
      <c r="AG17" s="71" t="s">
        <v>1</v>
      </c>
      <c r="AH17" s="71" t="s">
        <v>1</v>
      </c>
      <c r="AI17" s="71" t="s">
        <v>0</v>
      </c>
      <c r="AJ17" s="11" t="s">
        <v>672</v>
      </c>
      <c r="AK17" s="11" t="s">
        <v>271</v>
      </c>
      <c r="AL17" s="13" t="s">
        <v>344</v>
      </c>
      <c r="AM17" s="11">
        <v>24062.5</v>
      </c>
      <c r="AO17" s="197" t="s">
        <v>34</v>
      </c>
      <c r="AP17" s="198" t="s">
        <v>104</v>
      </c>
      <c r="AS17" s="212">
        <v>0</v>
      </c>
      <c r="AT17" s="212">
        <v>2400</v>
      </c>
      <c r="AU17" s="212" t="b">
        <v>0</v>
      </c>
      <c r="AV17" s="212"/>
      <c r="AW17" s="212">
        <v>0</v>
      </c>
      <c r="AX17" s="212">
        <v>0</v>
      </c>
      <c r="BA17" s="212">
        <v>0</v>
      </c>
      <c r="BB17" s="212">
        <v>0</v>
      </c>
      <c r="BC17" s="226">
        <v>0</v>
      </c>
      <c r="BD17" s="226"/>
    </row>
    <row r="18" spans="1:56" ht="39.950000000000003" customHeight="1" x14ac:dyDescent="0.2">
      <c r="A18" s="14" t="s">
        <v>146</v>
      </c>
      <c r="B18" s="65" t="s">
        <v>24</v>
      </c>
      <c r="C18" s="66" t="s">
        <v>38</v>
      </c>
      <c r="D18" s="13" t="s">
        <v>34</v>
      </c>
      <c r="E18" s="77" t="s">
        <v>34</v>
      </c>
      <c r="F18" s="14" t="s">
        <v>106</v>
      </c>
      <c r="G18" s="14" t="s">
        <v>106</v>
      </c>
      <c r="H18" s="66" t="s">
        <v>107</v>
      </c>
      <c r="I18" s="133" t="s">
        <v>638</v>
      </c>
      <c r="J18" s="14" t="s">
        <v>687</v>
      </c>
      <c r="K18" s="14" t="s">
        <v>101</v>
      </c>
      <c r="L18" s="65" t="s">
        <v>191</v>
      </c>
      <c r="M18" s="13" t="s">
        <v>323</v>
      </c>
      <c r="N18" s="13" t="s">
        <v>43</v>
      </c>
      <c r="O18" s="13" t="s">
        <v>539</v>
      </c>
      <c r="P18" s="13" t="s">
        <v>534</v>
      </c>
      <c r="Q18" s="64" t="s">
        <v>8</v>
      </c>
      <c r="R18" s="62">
        <v>22500</v>
      </c>
      <c r="S18" s="63">
        <v>22500</v>
      </c>
      <c r="T18" s="62">
        <v>22500</v>
      </c>
      <c r="U18" s="62">
        <v>55000</v>
      </c>
      <c r="V18" s="76">
        <v>2014904.53</v>
      </c>
      <c r="W18" s="61" t="s">
        <v>11</v>
      </c>
      <c r="X18" s="181">
        <v>0.06</v>
      </c>
      <c r="Y18" s="60">
        <v>43320</v>
      </c>
      <c r="Z18" s="60">
        <v>44627</v>
      </c>
      <c r="AA18" s="60">
        <v>44627</v>
      </c>
      <c r="AB18" s="58">
        <v>1308</v>
      </c>
      <c r="AC18" s="59" t="s">
        <v>1</v>
      </c>
      <c r="AD18" s="58">
        <v>-24</v>
      </c>
      <c r="AE18" s="57">
        <v>-6.575342465753424E-2</v>
      </c>
      <c r="AF18" s="56"/>
      <c r="AG18" s="71" t="s">
        <v>1</v>
      </c>
      <c r="AH18" s="71" t="s">
        <v>1</v>
      </c>
      <c r="AI18" s="71" t="s">
        <v>0</v>
      </c>
      <c r="AJ18" s="11" t="s">
        <v>672</v>
      </c>
      <c r="AK18" s="11" t="s">
        <v>271</v>
      </c>
      <c r="AL18" s="14" t="s">
        <v>346</v>
      </c>
      <c r="AM18" s="11">
        <v>19560</v>
      </c>
      <c r="AO18" s="197" t="s">
        <v>34</v>
      </c>
      <c r="AP18" s="198" t="s">
        <v>106</v>
      </c>
      <c r="AQ18" s="11">
        <v>1</v>
      </c>
      <c r="AR18" s="214">
        <v>2.5000000000000001E-2</v>
      </c>
      <c r="AS18" s="212">
        <v>562.5</v>
      </c>
      <c r="AT18" s="212">
        <v>2700</v>
      </c>
      <c r="AU18" s="212" t="b">
        <v>0</v>
      </c>
      <c r="AV18" s="212"/>
      <c r="AW18" s="212">
        <v>562.5</v>
      </c>
      <c r="AX18" s="212">
        <v>0</v>
      </c>
      <c r="AY18" s="12" t="s">
        <v>771</v>
      </c>
      <c r="BA18" s="212">
        <v>562.5</v>
      </c>
      <c r="BB18" s="212">
        <v>0</v>
      </c>
      <c r="BC18" s="226">
        <v>0</v>
      </c>
      <c r="BD18" s="226"/>
    </row>
    <row r="19" spans="1:56" ht="39.950000000000003" hidden="1" customHeight="1" x14ac:dyDescent="0.2">
      <c r="A19" s="13" t="s">
        <v>153</v>
      </c>
      <c r="B19" s="65" t="s">
        <v>23</v>
      </c>
      <c r="C19" s="66" t="s">
        <v>89</v>
      </c>
      <c r="D19" s="13" t="s">
        <v>542</v>
      </c>
      <c r="E19" s="77" t="s">
        <v>127</v>
      </c>
      <c r="F19" s="14" t="s">
        <v>92</v>
      </c>
      <c r="G19" s="14" t="s">
        <v>108</v>
      </c>
      <c r="H19" s="66" t="s">
        <v>109</v>
      </c>
      <c r="I19" s="14" t="s">
        <v>220</v>
      </c>
      <c r="J19" s="14" t="s">
        <v>220</v>
      </c>
      <c r="K19" s="14" t="s">
        <v>22</v>
      </c>
      <c r="L19" s="65" t="s">
        <v>191</v>
      </c>
      <c r="M19" s="13" t="s">
        <v>59</v>
      </c>
      <c r="N19" s="13" t="s">
        <v>43</v>
      </c>
      <c r="O19" s="13" t="s">
        <v>531</v>
      </c>
      <c r="P19" s="13" t="s">
        <v>534</v>
      </c>
      <c r="Q19" s="64" t="s">
        <v>9</v>
      </c>
      <c r="R19" s="62">
        <v>3897.7182886492596</v>
      </c>
      <c r="S19" s="63">
        <v>1162.67687</v>
      </c>
      <c r="T19" s="150">
        <v>1563.2840374324362</v>
      </c>
      <c r="U19" s="62">
        <v>18238.311792721546</v>
      </c>
      <c r="V19" s="76">
        <v>200969.42479898891</v>
      </c>
      <c r="W19" s="61" t="s">
        <v>11</v>
      </c>
      <c r="X19" s="181">
        <v>2.2499999999999999E-2</v>
      </c>
      <c r="Y19" s="60">
        <v>43350</v>
      </c>
      <c r="Z19" s="60">
        <v>45894</v>
      </c>
      <c r="AA19" s="60">
        <v>45894</v>
      </c>
      <c r="AB19" s="58">
        <v>2545</v>
      </c>
      <c r="AC19" s="59" t="s">
        <v>10</v>
      </c>
      <c r="AD19" s="58">
        <v>1243</v>
      </c>
      <c r="AE19" s="57">
        <v>3.4054794520547946</v>
      </c>
      <c r="AF19" s="56"/>
      <c r="AG19" s="71" t="s">
        <v>1</v>
      </c>
      <c r="AH19" s="71" t="s">
        <v>1</v>
      </c>
      <c r="AI19" s="70" t="s">
        <v>251</v>
      </c>
      <c r="AJ19" s="11" t="s">
        <v>0</v>
      </c>
      <c r="AK19" s="11" t="s">
        <v>271</v>
      </c>
      <c r="AL19" s="13" t="s">
        <v>347</v>
      </c>
      <c r="AM19" s="11">
        <v>12110</v>
      </c>
      <c r="AO19" s="197" t="s">
        <v>127</v>
      </c>
      <c r="AP19" s="198" t="s">
        <v>92</v>
      </c>
      <c r="AS19" s="212">
        <v>0</v>
      </c>
      <c r="AT19" s="212">
        <v>187.59408449189235</v>
      </c>
      <c r="AU19" s="212" t="b">
        <v>0</v>
      </c>
      <c r="AV19" s="212"/>
      <c r="AW19" s="212">
        <v>0</v>
      </c>
      <c r="AX19" s="212">
        <v>0</v>
      </c>
      <c r="BA19" s="212">
        <v>0</v>
      </c>
      <c r="BB19" s="212">
        <v>0</v>
      </c>
      <c r="BC19" s="226">
        <v>0</v>
      </c>
      <c r="BD19" s="226"/>
    </row>
    <row r="20" spans="1:56" ht="39.950000000000003" hidden="1" customHeight="1" x14ac:dyDescent="0.2">
      <c r="A20" s="13" t="s">
        <v>150</v>
      </c>
      <c r="B20" s="65" t="s">
        <v>67</v>
      </c>
      <c r="C20" s="66" t="s">
        <v>149</v>
      </c>
      <c r="D20" s="13" t="s">
        <v>34</v>
      </c>
      <c r="E20" s="77" t="s">
        <v>34</v>
      </c>
      <c r="F20" s="14" t="s">
        <v>48</v>
      </c>
      <c r="G20" s="14" t="s">
        <v>95</v>
      </c>
      <c r="H20" s="66" t="s">
        <v>130</v>
      </c>
      <c r="I20" s="14" t="s">
        <v>148</v>
      </c>
      <c r="J20" s="66" t="s">
        <v>148</v>
      </c>
      <c r="K20" s="14" t="s">
        <v>209</v>
      </c>
      <c r="L20" s="65" t="s">
        <v>191</v>
      </c>
      <c r="M20" s="13" t="s">
        <v>59</v>
      </c>
      <c r="N20" s="13" t="s">
        <v>43</v>
      </c>
      <c r="O20" s="13" t="s">
        <v>531</v>
      </c>
      <c r="P20" s="13" t="s">
        <v>534</v>
      </c>
      <c r="Q20" s="64" t="s">
        <v>9</v>
      </c>
      <c r="R20" s="62">
        <v>13445.5589318848</v>
      </c>
      <c r="S20" s="73">
        <v>8467</v>
      </c>
      <c r="T20" s="76">
        <v>11384.35474762686</v>
      </c>
      <c r="U20" s="62">
        <v>85382.66060720144</v>
      </c>
      <c r="V20" s="76">
        <v>1031751.284050878</v>
      </c>
      <c r="W20" s="61" t="s">
        <v>11</v>
      </c>
      <c r="X20" s="181">
        <v>3.7499999999999999E-2</v>
      </c>
      <c r="Y20" s="60">
        <v>43353</v>
      </c>
      <c r="Z20" s="60">
        <v>45199</v>
      </c>
      <c r="AA20" s="60">
        <v>45199</v>
      </c>
      <c r="AB20" s="58">
        <v>1847</v>
      </c>
      <c r="AC20" s="59" t="s">
        <v>10</v>
      </c>
      <c r="AD20" s="58">
        <v>548</v>
      </c>
      <c r="AE20" s="57">
        <v>1.5013698630136987</v>
      </c>
      <c r="AF20" s="56"/>
      <c r="AG20" s="71" t="s">
        <v>1</v>
      </c>
      <c r="AH20" s="71" t="s">
        <v>1</v>
      </c>
      <c r="AI20" s="70" t="s">
        <v>598</v>
      </c>
      <c r="AJ20" s="11" t="s">
        <v>0</v>
      </c>
      <c r="AK20" s="11" t="s">
        <v>271</v>
      </c>
      <c r="AL20" s="13" t="s">
        <v>553</v>
      </c>
      <c r="AM20" s="11">
        <v>16582.5</v>
      </c>
      <c r="AO20" s="197" t="s">
        <v>34</v>
      </c>
      <c r="AP20" s="198" t="s">
        <v>48</v>
      </c>
      <c r="AQ20" s="11">
        <v>0</v>
      </c>
      <c r="AR20" s="214">
        <v>0</v>
      </c>
      <c r="AS20" s="212">
        <v>0</v>
      </c>
      <c r="AT20" s="212">
        <v>1366.1225697152231</v>
      </c>
      <c r="AU20" s="212" t="b">
        <v>0</v>
      </c>
      <c r="AV20" s="212"/>
      <c r="AW20" s="212">
        <v>0</v>
      </c>
      <c r="AX20" s="212">
        <v>0</v>
      </c>
      <c r="AY20" s="12"/>
      <c r="BA20" s="212">
        <v>0</v>
      </c>
      <c r="BB20" s="212">
        <v>0</v>
      </c>
      <c r="BC20" s="226">
        <v>0</v>
      </c>
      <c r="BD20" s="226">
        <v>1172.0653377630122</v>
      </c>
    </row>
    <row r="21" spans="1:56" ht="39.950000000000003" hidden="1" customHeight="1" x14ac:dyDescent="0.2">
      <c r="A21" s="13" t="s">
        <v>202</v>
      </c>
      <c r="B21" s="65" t="s">
        <v>23</v>
      </c>
      <c r="C21" s="66" t="s">
        <v>89</v>
      </c>
      <c r="D21" s="13" t="s">
        <v>542</v>
      </c>
      <c r="E21" s="77" t="s">
        <v>127</v>
      </c>
      <c r="F21" s="14" t="s">
        <v>92</v>
      </c>
      <c r="G21" s="14" t="s">
        <v>108</v>
      </c>
      <c r="H21" s="66" t="s">
        <v>109</v>
      </c>
      <c r="I21" s="14" t="s">
        <v>220</v>
      </c>
      <c r="J21" s="66" t="s">
        <v>220</v>
      </c>
      <c r="K21" s="14" t="s">
        <v>22</v>
      </c>
      <c r="L21" s="65" t="s">
        <v>191</v>
      </c>
      <c r="M21" s="13" t="s">
        <v>59</v>
      </c>
      <c r="N21" s="13" t="s">
        <v>43</v>
      </c>
      <c r="O21" s="13" t="s">
        <v>531</v>
      </c>
      <c r="P21" s="13" t="s">
        <v>534</v>
      </c>
      <c r="Q21" s="64" t="s">
        <v>9</v>
      </c>
      <c r="R21" s="62">
        <v>3279.3718234867024</v>
      </c>
      <c r="S21" s="73">
        <v>1364.5840000000001</v>
      </c>
      <c r="T21" s="150">
        <v>1834.7594589507087</v>
      </c>
      <c r="U21" s="62">
        <v>21405.527021091602</v>
      </c>
      <c r="V21" s="76">
        <v>174586.54906284454</v>
      </c>
      <c r="W21" s="61" t="s">
        <v>11</v>
      </c>
      <c r="X21" s="181">
        <v>2.2499999999999999E-2</v>
      </c>
      <c r="Y21" s="60">
        <v>43368</v>
      </c>
      <c r="Z21" s="60">
        <v>45955</v>
      </c>
      <c r="AA21" s="60">
        <v>45955</v>
      </c>
      <c r="AB21" s="58">
        <v>2588</v>
      </c>
      <c r="AC21" s="59" t="s">
        <v>10</v>
      </c>
      <c r="AD21" s="58">
        <v>1304</v>
      </c>
      <c r="AE21" s="57">
        <v>3.5726027397260274</v>
      </c>
      <c r="AF21" s="56"/>
      <c r="AG21" s="71" t="s">
        <v>1</v>
      </c>
      <c r="AH21" s="71" t="s">
        <v>1</v>
      </c>
      <c r="AI21" s="70" t="s">
        <v>658</v>
      </c>
      <c r="AJ21" s="11" t="s">
        <v>0</v>
      </c>
      <c r="AK21" s="11" t="s">
        <v>271</v>
      </c>
      <c r="AL21" s="13" t="s">
        <v>349</v>
      </c>
      <c r="AM21" s="11">
        <v>2242.5</v>
      </c>
      <c r="AO21" s="197" t="s">
        <v>127</v>
      </c>
      <c r="AP21" s="198" t="s">
        <v>92</v>
      </c>
      <c r="AS21" s="212">
        <v>0</v>
      </c>
      <c r="AT21" s="212">
        <v>220.17113507408504</v>
      </c>
      <c r="AU21" s="212" t="b">
        <v>0</v>
      </c>
      <c r="AV21" s="212"/>
      <c r="AW21" s="212">
        <v>0</v>
      </c>
      <c r="AX21" s="212">
        <v>0</v>
      </c>
      <c r="BA21" s="212">
        <v>0</v>
      </c>
      <c r="BB21" s="212">
        <v>0</v>
      </c>
      <c r="BC21" s="226">
        <v>0</v>
      </c>
      <c r="BD21" s="226"/>
    </row>
    <row r="22" spans="1:56" ht="39.950000000000003" hidden="1" customHeight="1" x14ac:dyDescent="0.2">
      <c r="A22" s="14" t="s">
        <v>157</v>
      </c>
      <c r="B22" s="65" t="s">
        <v>24</v>
      </c>
      <c r="C22" s="66" t="s">
        <v>127</v>
      </c>
      <c r="D22" s="13" t="s">
        <v>542</v>
      </c>
      <c r="E22" s="77" t="s">
        <v>127</v>
      </c>
      <c r="F22" s="14" t="s">
        <v>546</v>
      </c>
      <c r="G22" s="14" t="s">
        <v>160</v>
      </c>
      <c r="H22" s="66" t="s">
        <v>160</v>
      </c>
      <c r="I22" s="14" t="s">
        <v>158</v>
      </c>
      <c r="J22" s="66" t="s">
        <v>220</v>
      </c>
      <c r="K22" s="14" t="s">
        <v>139</v>
      </c>
      <c r="L22" s="65" t="s">
        <v>191</v>
      </c>
      <c r="M22" s="13" t="s">
        <v>59</v>
      </c>
      <c r="N22" s="13" t="s">
        <v>43</v>
      </c>
      <c r="O22" s="13" t="s">
        <v>538</v>
      </c>
      <c r="P22" s="13" t="s">
        <v>548</v>
      </c>
      <c r="Q22" s="64" t="s">
        <v>59</v>
      </c>
      <c r="R22" s="62">
        <v>14559.007658038028</v>
      </c>
      <c r="S22" s="73">
        <v>3333</v>
      </c>
      <c r="T22" s="150">
        <v>4852.5172524240743</v>
      </c>
      <c r="U22" s="62">
        <v>65515.534461171126</v>
      </c>
      <c r="V22" s="76">
        <v>513231.26983664796</v>
      </c>
      <c r="W22" s="61" t="s">
        <v>11</v>
      </c>
      <c r="X22" s="181">
        <v>1.15E-2</v>
      </c>
      <c r="Y22" s="60">
        <v>43390</v>
      </c>
      <c r="Z22" s="60">
        <v>45155</v>
      </c>
      <c r="AA22" s="60">
        <v>45155</v>
      </c>
      <c r="AB22" s="58">
        <v>1766</v>
      </c>
      <c r="AC22" s="59" t="s">
        <v>10</v>
      </c>
      <c r="AD22" s="58">
        <v>504</v>
      </c>
      <c r="AE22" s="57">
        <v>1.3808219178082193</v>
      </c>
      <c r="AF22" s="56"/>
      <c r="AG22" s="71" t="s">
        <v>1</v>
      </c>
      <c r="AH22" s="71" t="s">
        <v>1</v>
      </c>
      <c r="AI22" s="70" t="s">
        <v>0</v>
      </c>
      <c r="AJ22" s="11" t="s">
        <v>0</v>
      </c>
      <c r="AK22" s="11" t="s">
        <v>271</v>
      </c>
      <c r="AL22" s="14" t="s">
        <v>157</v>
      </c>
      <c r="AM22" s="11">
        <v>6640</v>
      </c>
      <c r="AO22" s="197" t="s">
        <v>127</v>
      </c>
      <c r="AP22" s="198" t="s">
        <v>546</v>
      </c>
      <c r="AS22" s="212">
        <v>0</v>
      </c>
      <c r="AT22" s="212">
        <v>582.30207029088888</v>
      </c>
      <c r="AU22" s="212" t="b">
        <v>0</v>
      </c>
      <c r="AV22" s="212"/>
      <c r="AW22" s="212">
        <v>0</v>
      </c>
      <c r="AX22" s="212">
        <v>0</v>
      </c>
      <c r="BA22" s="212">
        <v>0</v>
      </c>
      <c r="BB22" s="212">
        <v>0</v>
      </c>
      <c r="BC22" s="226">
        <v>0</v>
      </c>
      <c r="BD22" s="226"/>
    </row>
    <row r="23" spans="1:56" ht="39.950000000000003" hidden="1" customHeight="1" x14ac:dyDescent="0.2">
      <c r="A23" s="14" t="s">
        <v>164</v>
      </c>
      <c r="B23" s="65" t="s">
        <v>23</v>
      </c>
      <c r="C23" s="66" t="s">
        <v>127</v>
      </c>
      <c r="D23" s="13" t="s">
        <v>542</v>
      </c>
      <c r="E23" s="77" t="s">
        <v>89</v>
      </c>
      <c r="F23" s="14" t="s">
        <v>102</v>
      </c>
      <c r="G23" s="14" t="s">
        <v>102</v>
      </c>
      <c r="H23" s="66" t="s">
        <v>122</v>
      </c>
      <c r="I23" s="14" t="s">
        <v>158</v>
      </c>
      <c r="J23" s="66" t="s">
        <v>220</v>
      </c>
      <c r="K23" s="14" t="s">
        <v>101</v>
      </c>
      <c r="L23" s="65" t="s">
        <v>191</v>
      </c>
      <c r="M23" s="13" t="s">
        <v>59</v>
      </c>
      <c r="N23" s="13" t="s">
        <v>43</v>
      </c>
      <c r="O23" s="13" t="s">
        <v>538</v>
      </c>
      <c r="P23" s="13" t="s">
        <v>534</v>
      </c>
      <c r="Q23" s="64" t="s">
        <v>59</v>
      </c>
      <c r="R23" s="62">
        <v>27662.114550272254</v>
      </c>
      <c r="S23" s="73">
        <v>19000</v>
      </c>
      <c r="T23" s="79">
        <v>27662.114550272254</v>
      </c>
      <c r="U23" s="62">
        <v>253326.73324986169</v>
      </c>
      <c r="V23" s="76">
        <v>924124.62510555272</v>
      </c>
      <c r="W23" s="61" t="s">
        <v>11</v>
      </c>
      <c r="X23" s="181">
        <v>9.5999999999999992E-3</v>
      </c>
      <c r="Y23" s="60">
        <v>43392</v>
      </c>
      <c r="Z23" s="60">
        <v>45534</v>
      </c>
      <c r="AA23" s="60">
        <v>45534</v>
      </c>
      <c r="AB23" s="58">
        <v>2143</v>
      </c>
      <c r="AC23" s="59" t="s">
        <v>10</v>
      </c>
      <c r="AD23" s="58">
        <v>883</v>
      </c>
      <c r="AE23" s="57">
        <v>2.419178082191781</v>
      </c>
      <c r="AF23" s="56"/>
      <c r="AG23" s="71" t="s">
        <v>1</v>
      </c>
      <c r="AH23" s="71" t="s">
        <v>1</v>
      </c>
      <c r="AI23" s="70" t="s">
        <v>0</v>
      </c>
      <c r="AJ23" s="11" t="s">
        <v>0</v>
      </c>
      <c r="AK23" s="11" t="s">
        <v>271</v>
      </c>
      <c r="AL23" s="14" t="s">
        <v>353</v>
      </c>
      <c r="AM23" s="11">
        <v>6040</v>
      </c>
      <c r="AO23" s="197" t="s">
        <v>89</v>
      </c>
      <c r="AP23" s="198" t="s">
        <v>102</v>
      </c>
      <c r="AS23" s="212">
        <v>0</v>
      </c>
      <c r="AT23" s="212">
        <v>3319.4537460326706</v>
      </c>
      <c r="AU23" s="212" t="b">
        <v>0</v>
      </c>
      <c r="AV23" s="212"/>
      <c r="AW23" s="212">
        <v>0</v>
      </c>
      <c r="AX23" s="212">
        <v>0</v>
      </c>
      <c r="BA23" s="212">
        <v>0</v>
      </c>
      <c r="BB23" s="212">
        <v>0</v>
      </c>
      <c r="BC23" s="226">
        <v>0</v>
      </c>
      <c r="BD23" s="226"/>
    </row>
    <row r="24" spans="1:56" ht="39.950000000000003" hidden="1" customHeight="1" x14ac:dyDescent="0.2">
      <c r="A24" s="14" t="s">
        <v>184</v>
      </c>
      <c r="B24" s="65" t="s">
        <v>23</v>
      </c>
      <c r="C24" s="66" t="s">
        <v>38</v>
      </c>
      <c r="D24" s="13" t="s">
        <v>540</v>
      </c>
      <c r="E24" s="77" t="s">
        <v>49</v>
      </c>
      <c r="F24" s="14" t="s">
        <v>48</v>
      </c>
      <c r="G24" s="14" t="s">
        <v>95</v>
      </c>
      <c r="H24" s="130" t="s">
        <v>447</v>
      </c>
      <c r="I24" s="77" t="s">
        <v>73</v>
      </c>
      <c r="J24" s="77" t="s">
        <v>221</v>
      </c>
      <c r="K24" s="13" t="s">
        <v>140</v>
      </c>
      <c r="L24" s="65" t="s">
        <v>191</v>
      </c>
      <c r="M24" s="13" t="s">
        <v>323</v>
      </c>
      <c r="N24" s="13" t="s">
        <v>43</v>
      </c>
      <c r="O24" s="13" t="s">
        <v>538</v>
      </c>
      <c r="P24" s="13" t="s">
        <v>534</v>
      </c>
      <c r="Q24" s="64" t="s">
        <v>9</v>
      </c>
      <c r="R24" s="62">
        <v>13445.5589318848</v>
      </c>
      <c r="S24" s="63">
        <v>3482.3989999999999</v>
      </c>
      <c r="T24" s="150">
        <v>4682.2800978836694</v>
      </c>
      <c r="U24" s="62">
        <v>100841.691989136</v>
      </c>
      <c r="V24" s="150">
        <v>865060.03442063089</v>
      </c>
      <c r="W24" s="61" t="s">
        <v>11</v>
      </c>
      <c r="X24" s="181">
        <v>3.7499999999999999E-2</v>
      </c>
      <c r="Y24" s="60">
        <v>43398</v>
      </c>
      <c r="Z24" s="60">
        <v>45930</v>
      </c>
      <c r="AA24" s="60">
        <v>45930</v>
      </c>
      <c r="AB24" s="58">
        <v>2533</v>
      </c>
      <c r="AC24" s="59" t="s">
        <v>10</v>
      </c>
      <c r="AD24" s="58">
        <v>1279</v>
      </c>
      <c r="AE24" s="57">
        <v>3.504109589041096</v>
      </c>
      <c r="AF24" s="56"/>
      <c r="AG24" s="71" t="s">
        <v>1</v>
      </c>
      <c r="AH24" s="71" t="s">
        <v>1</v>
      </c>
      <c r="AI24" s="70" t="s">
        <v>252</v>
      </c>
      <c r="AJ24" s="11" t="s">
        <v>0</v>
      </c>
      <c r="AK24" s="11" t="s">
        <v>271</v>
      </c>
      <c r="AL24" s="14" t="s">
        <v>337</v>
      </c>
      <c r="AM24" s="11">
        <v>14500</v>
      </c>
      <c r="AO24" s="197" t="s">
        <v>49</v>
      </c>
      <c r="AP24" s="198" t="s">
        <v>48</v>
      </c>
      <c r="AS24" s="212">
        <v>0</v>
      </c>
      <c r="AT24" s="212">
        <v>561.8736117460403</v>
      </c>
      <c r="AU24" s="212" t="b">
        <v>0</v>
      </c>
      <c r="AV24" s="212"/>
      <c r="AW24" s="212">
        <v>0</v>
      </c>
      <c r="AX24" s="212">
        <v>0</v>
      </c>
      <c r="BA24" s="212">
        <v>0</v>
      </c>
      <c r="BB24" s="212">
        <v>0</v>
      </c>
      <c r="BC24" s="226">
        <v>0</v>
      </c>
      <c r="BD24" s="226"/>
    </row>
    <row r="25" spans="1:56" ht="39.950000000000003" hidden="1" customHeight="1" x14ac:dyDescent="0.2">
      <c r="A25" s="87" t="s">
        <v>714</v>
      </c>
      <c r="B25" s="100" t="s">
        <v>51</v>
      </c>
      <c r="C25" s="104" t="s">
        <v>34</v>
      </c>
      <c r="D25" s="103" t="s">
        <v>34</v>
      </c>
      <c r="E25" s="102" t="s">
        <v>34</v>
      </c>
      <c r="F25" s="103" t="s">
        <v>543</v>
      </c>
      <c r="G25" s="101" t="s">
        <v>136</v>
      </c>
      <c r="H25" s="101" t="s">
        <v>136</v>
      </c>
      <c r="I25" s="102" t="s">
        <v>52</v>
      </c>
      <c r="J25" s="102" t="s">
        <v>52</v>
      </c>
      <c r="K25" s="101" t="s">
        <v>7</v>
      </c>
      <c r="L25" s="100" t="s">
        <v>40</v>
      </c>
      <c r="M25" s="87"/>
      <c r="N25" s="87" t="s">
        <v>42</v>
      </c>
      <c r="O25" s="87" t="s">
        <v>531</v>
      </c>
      <c r="P25" s="87" t="s">
        <v>532</v>
      </c>
      <c r="Q25" s="99" t="s">
        <v>8</v>
      </c>
      <c r="R25" s="97">
        <v>254.03200000000001</v>
      </c>
      <c r="S25" s="98">
        <v>254.03200000000001</v>
      </c>
      <c r="T25" s="155">
        <v>254.03200000000001</v>
      </c>
      <c r="U25" s="97">
        <v>254.03200000000001</v>
      </c>
      <c r="V25" s="155">
        <v>6350.8</v>
      </c>
      <c r="W25" s="96" t="s">
        <v>11</v>
      </c>
      <c r="X25" s="182">
        <v>2.5000000000000001E-2</v>
      </c>
      <c r="Y25" s="95">
        <v>44531</v>
      </c>
      <c r="Z25" s="95">
        <v>44895</v>
      </c>
      <c r="AA25" s="95">
        <v>44895</v>
      </c>
      <c r="AB25" s="93">
        <v>365</v>
      </c>
      <c r="AC25" s="94" t="s">
        <v>10</v>
      </c>
      <c r="AD25" s="93">
        <v>244</v>
      </c>
      <c r="AE25" s="92">
        <v>0.66849315068493154</v>
      </c>
      <c r="AF25" s="91"/>
      <c r="AG25" s="90" t="s">
        <v>1</v>
      </c>
      <c r="AH25" s="90" t="s">
        <v>1</v>
      </c>
      <c r="AI25" s="89" t="s">
        <v>0</v>
      </c>
      <c r="AJ25" s="88" t="s">
        <v>0</v>
      </c>
      <c r="AK25" s="88" t="s">
        <v>271</v>
      </c>
      <c r="AL25" s="87" t="s">
        <v>716</v>
      </c>
      <c r="AO25" s="197" t="s">
        <v>34</v>
      </c>
      <c r="AP25" s="198" t="s">
        <v>543</v>
      </c>
      <c r="AS25" s="212">
        <v>0</v>
      </c>
      <c r="AT25" s="212">
        <v>30.483840000000001</v>
      </c>
      <c r="AU25" s="212" t="b">
        <v>0</v>
      </c>
      <c r="AV25" s="212"/>
      <c r="AW25" s="212">
        <v>0</v>
      </c>
      <c r="AX25" s="212">
        <v>0</v>
      </c>
      <c r="BA25" s="212">
        <v>0</v>
      </c>
      <c r="BB25" s="212">
        <v>0</v>
      </c>
      <c r="BC25" s="226">
        <v>0</v>
      </c>
      <c r="BD25" s="226"/>
    </row>
    <row r="26" spans="1:56" ht="39.950000000000003" hidden="1" customHeight="1" x14ac:dyDescent="0.2">
      <c r="A26" s="87" t="s">
        <v>715</v>
      </c>
      <c r="B26" s="100" t="s">
        <v>51</v>
      </c>
      <c r="C26" s="104" t="s">
        <v>34</v>
      </c>
      <c r="D26" s="103" t="s">
        <v>34</v>
      </c>
      <c r="E26" s="102" t="s">
        <v>34</v>
      </c>
      <c r="F26" s="103" t="s">
        <v>543</v>
      </c>
      <c r="G26" s="101" t="s">
        <v>136</v>
      </c>
      <c r="H26" s="101" t="s">
        <v>136</v>
      </c>
      <c r="I26" s="102" t="s">
        <v>52</v>
      </c>
      <c r="J26" s="102" t="s">
        <v>52</v>
      </c>
      <c r="K26" s="101" t="s">
        <v>7</v>
      </c>
      <c r="L26" s="100" t="s">
        <v>40</v>
      </c>
      <c r="M26" s="87"/>
      <c r="N26" s="87" t="s">
        <v>42</v>
      </c>
      <c r="O26" s="87" t="s">
        <v>531</v>
      </c>
      <c r="P26" s="87" t="s">
        <v>532</v>
      </c>
      <c r="Q26" s="99" t="s">
        <v>8</v>
      </c>
      <c r="R26" s="97">
        <v>323.60899999999998</v>
      </c>
      <c r="S26" s="98">
        <v>323.60899999999998</v>
      </c>
      <c r="T26" s="155">
        <v>323.60899999999998</v>
      </c>
      <c r="U26" s="97">
        <v>323.60899999999998</v>
      </c>
      <c r="V26" s="155">
        <v>8090.23</v>
      </c>
      <c r="W26" s="96" t="s">
        <v>11</v>
      </c>
      <c r="X26" s="182">
        <v>2.5000000000000001E-2</v>
      </c>
      <c r="Y26" s="95">
        <v>44531</v>
      </c>
      <c r="Z26" s="95">
        <v>44895</v>
      </c>
      <c r="AA26" s="95">
        <v>44895</v>
      </c>
      <c r="AB26" s="93">
        <v>365</v>
      </c>
      <c r="AC26" s="94" t="s">
        <v>10</v>
      </c>
      <c r="AD26" s="93">
        <v>244</v>
      </c>
      <c r="AE26" s="92">
        <v>0.66849315068493154</v>
      </c>
      <c r="AF26" s="91"/>
      <c r="AG26" s="90" t="s">
        <v>1</v>
      </c>
      <c r="AH26" s="90" t="s">
        <v>1</v>
      </c>
      <c r="AI26" s="89" t="s">
        <v>0</v>
      </c>
      <c r="AJ26" s="88" t="s">
        <v>0</v>
      </c>
      <c r="AK26" s="88" t="s">
        <v>271</v>
      </c>
      <c r="AL26" s="87" t="s">
        <v>717</v>
      </c>
      <c r="AO26" s="197" t="s">
        <v>34</v>
      </c>
      <c r="AP26" s="198" t="s">
        <v>543</v>
      </c>
      <c r="AS26" s="212">
        <v>0</v>
      </c>
      <c r="AT26" s="212">
        <v>38.833079999999995</v>
      </c>
      <c r="AU26" s="212" t="b">
        <v>0</v>
      </c>
      <c r="AV26" s="212"/>
      <c r="AW26" s="212">
        <v>0</v>
      </c>
      <c r="AX26" s="212">
        <v>0</v>
      </c>
      <c r="BA26" s="212">
        <v>0</v>
      </c>
      <c r="BB26" s="212">
        <v>0</v>
      </c>
      <c r="BC26" s="226">
        <v>0</v>
      </c>
      <c r="BD26" s="226"/>
    </row>
    <row r="27" spans="1:56" ht="39.950000000000003" hidden="1" customHeight="1" x14ac:dyDescent="0.2">
      <c r="A27" s="13" t="s">
        <v>171</v>
      </c>
      <c r="B27" s="65" t="s">
        <v>24</v>
      </c>
      <c r="C27" s="66" t="s">
        <v>87</v>
      </c>
      <c r="D27" s="13" t="s">
        <v>542</v>
      </c>
      <c r="E27" s="77" t="s">
        <v>87</v>
      </c>
      <c r="F27" s="14" t="s">
        <v>173</v>
      </c>
      <c r="G27" s="14" t="s">
        <v>174</v>
      </c>
      <c r="H27" s="14" t="s">
        <v>172</v>
      </c>
      <c r="I27" s="77" t="s">
        <v>75</v>
      </c>
      <c r="J27" s="77" t="s">
        <v>21</v>
      </c>
      <c r="K27" s="14" t="s">
        <v>29</v>
      </c>
      <c r="L27" s="65" t="s">
        <v>191</v>
      </c>
      <c r="M27" s="13" t="s">
        <v>59</v>
      </c>
      <c r="N27" s="13" t="s">
        <v>43</v>
      </c>
      <c r="O27" s="13" t="s">
        <v>538</v>
      </c>
      <c r="P27" s="13" t="s">
        <v>548</v>
      </c>
      <c r="Q27" s="64" t="s">
        <v>9</v>
      </c>
      <c r="R27" s="62">
        <v>33613.897329711996</v>
      </c>
      <c r="S27" s="63">
        <v>25000</v>
      </c>
      <c r="T27" s="150">
        <v>33613.897329711996</v>
      </c>
      <c r="U27" s="62">
        <v>138190.46669535054</v>
      </c>
      <c r="V27" s="150">
        <v>2040153.4945007665</v>
      </c>
      <c r="W27" s="61" t="s">
        <v>11</v>
      </c>
      <c r="X27" s="181">
        <v>1.6299999999999999E-2</v>
      </c>
      <c r="Y27" s="60">
        <v>43448</v>
      </c>
      <c r="Z27" s="60">
        <v>45716</v>
      </c>
      <c r="AA27" s="60">
        <v>45716</v>
      </c>
      <c r="AB27" s="58">
        <v>2269</v>
      </c>
      <c r="AC27" s="75" t="s">
        <v>10</v>
      </c>
      <c r="AD27" s="58">
        <v>1065</v>
      </c>
      <c r="AE27" s="57">
        <v>2.9178082191780823</v>
      </c>
      <c r="AF27" s="56"/>
      <c r="AG27" s="71" t="s">
        <v>1</v>
      </c>
      <c r="AH27" s="71" t="s">
        <v>1</v>
      </c>
      <c r="AI27" s="70" t="s">
        <v>302</v>
      </c>
      <c r="AJ27" s="11" t="s">
        <v>0</v>
      </c>
      <c r="AK27" s="11" t="s">
        <v>271</v>
      </c>
      <c r="AL27" s="13" t="s">
        <v>355</v>
      </c>
      <c r="AO27" s="197" t="s">
        <v>87</v>
      </c>
      <c r="AP27" s="198" t="s">
        <v>173</v>
      </c>
      <c r="AS27" s="212">
        <v>0</v>
      </c>
      <c r="AT27" s="212">
        <v>4033.6676795654394</v>
      </c>
      <c r="AU27" s="212" t="b">
        <v>0</v>
      </c>
      <c r="AV27" s="212"/>
      <c r="AW27" s="212">
        <v>0</v>
      </c>
      <c r="AX27" s="212">
        <v>0</v>
      </c>
      <c r="BA27" s="212">
        <v>0</v>
      </c>
      <c r="BB27" s="212">
        <v>0</v>
      </c>
      <c r="BC27" s="226">
        <v>0</v>
      </c>
      <c r="BD27" s="226"/>
    </row>
    <row r="28" spans="1:56" s="12" customFormat="1" ht="39.950000000000003" customHeight="1" x14ac:dyDescent="0.2">
      <c r="A28" s="13" t="s">
        <v>175</v>
      </c>
      <c r="B28" s="65" t="s">
        <v>23</v>
      </c>
      <c r="C28" s="66" t="s">
        <v>34</v>
      </c>
      <c r="D28" s="13" t="s">
        <v>34</v>
      </c>
      <c r="E28" s="77" t="s">
        <v>34</v>
      </c>
      <c r="F28" s="14" t="s">
        <v>544</v>
      </c>
      <c r="G28" s="14" t="s">
        <v>178</v>
      </c>
      <c r="H28" s="14" t="s">
        <v>177</v>
      </c>
      <c r="I28" s="66" t="s">
        <v>232</v>
      </c>
      <c r="J28" s="77" t="s">
        <v>21</v>
      </c>
      <c r="K28" s="14" t="s">
        <v>29</v>
      </c>
      <c r="L28" s="65" t="s">
        <v>191</v>
      </c>
      <c r="M28" s="13" t="s">
        <v>323</v>
      </c>
      <c r="N28" s="13" t="s">
        <v>43</v>
      </c>
      <c r="O28" s="13" t="s">
        <v>531</v>
      </c>
      <c r="P28" s="13" t="s">
        <v>534</v>
      </c>
      <c r="Q28" s="64" t="s">
        <v>8</v>
      </c>
      <c r="R28" s="62">
        <v>20000</v>
      </c>
      <c r="S28" s="63">
        <v>20000</v>
      </c>
      <c r="T28" s="150">
        <v>20000</v>
      </c>
      <c r="U28" s="62">
        <v>95000</v>
      </c>
      <c r="V28" s="150">
        <v>1786247.15</v>
      </c>
      <c r="W28" s="61" t="s">
        <v>11</v>
      </c>
      <c r="X28" s="181">
        <v>1.95E-2</v>
      </c>
      <c r="Y28" s="60">
        <v>43480</v>
      </c>
      <c r="Z28" s="60">
        <v>45169</v>
      </c>
      <c r="AA28" s="60">
        <v>45169</v>
      </c>
      <c r="AB28" s="58">
        <v>1690</v>
      </c>
      <c r="AC28" s="59" t="s">
        <v>10</v>
      </c>
      <c r="AD28" s="58">
        <v>518</v>
      </c>
      <c r="AE28" s="57">
        <v>1.4191780821917808</v>
      </c>
      <c r="AF28" s="56"/>
      <c r="AG28" s="71" t="s">
        <v>1</v>
      </c>
      <c r="AH28" s="71" t="s">
        <v>1</v>
      </c>
      <c r="AI28" s="70" t="s">
        <v>0</v>
      </c>
      <c r="AJ28" s="11" t="s">
        <v>0</v>
      </c>
      <c r="AK28" s="11" t="s">
        <v>271</v>
      </c>
      <c r="AL28" s="13" t="s">
        <v>356</v>
      </c>
      <c r="AM28" s="11">
        <v>7789.99</v>
      </c>
      <c r="AN28" s="11"/>
      <c r="AO28" s="197" t="s">
        <v>34</v>
      </c>
      <c r="AP28" s="198" t="s">
        <v>544</v>
      </c>
      <c r="AQ28" s="11">
        <v>1</v>
      </c>
      <c r="AR28" s="214">
        <v>0.05</v>
      </c>
      <c r="AS28" s="212">
        <v>1000</v>
      </c>
      <c r="AT28" s="212">
        <v>2400</v>
      </c>
      <c r="AU28" s="212" t="b">
        <v>0</v>
      </c>
      <c r="AV28" s="212"/>
      <c r="AW28" s="212">
        <v>1000</v>
      </c>
      <c r="AX28" s="212">
        <v>1250</v>
      </c>
      <c r="AY28" s="12" t="s">
        <v>769</v>
      </c>
      <c r="BA28" s="212">
        <v>1000</v>
      </c>
      <c r="BB28" s="212">
        <v>1250</v>
      </c>
      <c r="BC28" s="227">
        <v>1000</v>
      </c>
      <c r="BD28" s="227">
        <v>1000</v>
      </c>
    </row>
    <row r="29" spans="1:56" ht="39.950000000000003" hidden="1" customHeight="1" x14ac:dyDescent="0.2">
      <c r="A29" s="13" t="s">
        <v>204</v>
      </c>
      <c r="B29" s="65" t="s">
        <v>23</v>
      </c>
      <c r="C29" s="66" t="s">
        <v>89</v>
      </c>
      <c r="D29" s="13" t="s">
        <v>542</v>
      </c>
      <c r="E29" s="77" t="s">
        <v>127</v>
      </c>
      <c r="F29" s="14" t="s">
        <v>92</v>
      </c>
      <c r="G29" s="14" t="s">
        <v>108</v>
      </c>
      <c r="H29" s="14" t="s">
        <v>109</v>
      </c>
      <c r="I29" s="14" t="s">
        <v>220</v>
      </c>
      <c r="J29" s="14" t="s">
        <v>220</v>
      </c>
      <c r="K29" s="14" t="s">
        <v>22</v>
      </c>
      <c r="L29" s="65" t="s">
        <v>191</v>
      </c>
      <c r="M29" s="13" t="s">
        <v>59</v>
      </c>
      <c r="N29" s="13" t="s">
        <v>43</v>
      </c>
      <c r="O29" s="13" t="s">
        <v>531</v>
      </c>
      <c r="P29" s="13" t="s">
        <v>534</v>
      </c>
      <c r="Q29" s="64" t="s">
        <v>9</v>
      </c>
      <c r="R29" s="62">
        <v>3606.0989055315031</v>
      </c>
      <c r="S29" s="63">
        <v>1630.643</v>
      </c>
      <c r="T29" s="150">
        <v>2192.4906553365427</v>
      </c>
      <c r="U29" s="62">
        <v>25576.605195195527</v>
      </c>
      <c r="V29" s="150">
        <v>165320.4345604647</v>
      </c>
      <c r="W29" s="61" t="s">
        <v>11</v>
      </c>
      <c r="X29" s="181">
        <v>2.2499999999999999E-2</v>
      </c>
      <c r="Y29" s="60">
        <v>43486</v>
      </c>
      <c r="Z29" s="60">
        <v>46041</v>
      </c>
      <c r="AA29" s="60">
        <v>46041</v>
      </c>
      <c r="AB29" s="58">
        <v>2556</v>
      </c>
      <c r="AC29" s="59" t="s">
        <v>10</v>
      </c>
      <c r="AD29" s="58">
        <v>1390</v>
      </c>
      <c r="AE29" s="57">
        <v>3.8082191780821919</v>
      </c>
      <c r="AF29" s="56"/>
      <c r="AG29" s="71" t="s">
        <v>1</v>
      </c>
      <c r="AH29" s="71" t="s">
        <v>1</v>
      </c>
      <c r="AI29" s="70" t="s">
        <v>251</v>
      </c>
      <c r="AJ29" s="11" t="s">
        <v>0</v>
      </c>
      <c r="AK29" s="11" t="s">
        <v>271</v>
      </c>
      <c r="AL29" s="13" t="s">
        <v>357</v>
      </c>
      <c r="AM29" s="11">
        <v>2145</v>
      </c>
      <c r="AO29" s="197" t="s">
        <v>127</v>
      </c>
      <c r="AP29" s="198" t="s">
        <v>92</v>
      </c>
      <c r="AS29" s="212">
        <v>0</v>
      </c>
      <c r="AT29" s="212">
        <v>263.09887864038512</v>
      </c>
      <c r="AU29" s="212" t="b">
        <v>0</v>
      </c>
      <c r="AV29" s="212"/>
      <c r="AW29" s="212">
        <v>0</v>
      </c>
      <c r="AX29" s="212">
        <v>0</v>
      </c>
      <c r="BA29" s="212">
        <v>0</v>
      </c>
      <c r="BB29" s="212">
        <v>0</v>
      </c>
      <c r="BC29" s="226">
        <v>0</v>
      </c>
      <c r="BD29" s="226"/>
    </row>
    <row r="30" spans="1:56" ht="39.950000000000003" hidden="1" customHeight="1" x14ac:dyDescent="0.2">
      <c r="A30" s="14" t="s">
        <v>190</v>
      </c>
      <c r="B30" s="65" t="s">
        <v>23</v>
      </c>
      <c r="C30" s="66" t="s">
        <v>37</v>
      </c>
      <c r="D30" s="13" t="s">
        <v>540</v>
      </c>
      <c r="E30" s="161" t="s">
        <v>36</v>
      </c>
      <c r="F30" s="14" t="s">
        <v>106</v>
      </c>
      <c r="G30" s="14" t="s">
        <v>106</v>
      </c>
      <c r="H30" s="66" t="s">
        <v>107</v>
      </c>
      <c r="I30" s="14" t="s">
        <v>72</v>
      </c>
      <c r="J30" s="14" t="s">
        <v>219</v>
      </c>
      <c r="K30" s="14" t="s">
        <v>29</v>
      </c>
      <c r="L30" s="65" t="s">
        <v>191</v>
      </c>
      <c r="M30" s="13" t="s">
        <v>323</v>
      </c>
      <c r="N30" s="13" t="s">
        <v>43</v>
      </c>
      <c r="O30" s="13" t="s">
        <v>538</v>
      </c>
      <c r="P30" s="13" t="s">
        <v>548</v>
      </c>
      <c r="Q30" s="64" t="s">
        <v>9</v>
      </c>
      <c r="R30" s="62">
        <v>5714.3625460510393</v>
      </c>
      <c r="S30" s="63">
        <v>2975</v>
      </c>
      <c r="T30" s="150">
        <v>4000.0537822357278</v>
      </c>
      <c r="U30" s="62">
        <v>67227.794659423991</v>
      </c>
      <c r="V30" s="150">
        <v>257314.51851453466</v>
      </c>
      <c r="W30" s="61" t="s">
        <v>11</v>
      </c>
      <c r="X30" s="181">
        <v>2.5000000000000001E-2</v>
      </c>
      <c r="Y30" s="60">
        <v>43496</v>
      </c>
      <c r="Z30" s="60">
        <v>44848</v>
      </c>
      <c r="AA30" s="60">
        <v>44848</v>
      </c>
      <c r="AB30" s="58">
        <v>1353</v>
      </c>
      <c r="AC30" s="59" t="s">
        <v>10</v>
      </c>
      <c r="AD30" s="58">
        <v>197</v>
      </c>
      <c r="AE30" s="57">
        <v>0.53972602739726028</v>
      </c>
      <c r="AF30" s="56"/>
      <c r="AG30" s="71" t="s">
        <v>1</v>
      </c>
      <c r="AH30" s="71" t="s">
        <v>1</v>
      </c>
      <c r="AI30" s="70" t="s">
        <v>601</v>
      </c>
      <c r="AJ30" s="11" t="s">
        <v>0</v>
      </c>
      <c r="AK30" s="11" t="s">
        <v>271</v>
      </c>
      <c r="AL30" s="14" t="s">
        <v>361</v>
      </c>
      <c r="AM30" s="11">
        <v>5500</v>
      </c>
      <c r="AO30" s="197" t="s">
        <v>36</v>
      </c>
      <c r="AP30" s="198" t="s">
        <v>106</v>
      </c>
      <c r="AS30" s="212">
        <v>0</v>
      </c>
      <c r="AT30" s="212">
        <v>480.00645386828734</v>
      </c>
      <c r="AU30" s="212" t="b">
        <v>0</v>
      </c>
      <c r="AV30" s="212"/>
      <c r="AW30" s="212">
        <v>0</v>
      </c>
      <c r="AX30" s="212">
        <v>0</v>
      </c>
      <c r="BA30" s="212">
        <v>0</v>
      </c>
      <c r="BB30" s="212">
        <v>0</v>
      </c>
      <c r="BC30" s="226">
        <v>0</v>
      </c>
      <c r="BD30" s="226"/>
    </row>
    <row r="31" spans="1:56" ht="39.950000000000003" hidden="1" customHeight="1" x14ac:dyDescent="0.2">
      <c r="A31" s="14" t="s">
        <v>185</v>
      </c>
      <c r="B31" s="65" t="s">
        <v>67</v>
      </c>
      <c r="C31" s="66" t="s">
        <v>127</v>
      </c>
      <c r="D31" s="13" t="s">
        <v>542</v>
      </c>
      <c r="E31" s="68" t="s">
        <v>127</v>
      </c>
      <c r="F31" s="14" t="s">
        <v>92</v>
      </c>
      <c r="G31" s="14" t="s">
        <v>93</v>
      </c>
      <c r="H31" s="66" t="s">
        <v>94</v>
      </c>
      <c r="I31" s="14" t="s">
        <v>165</v>
      </c>
      <c r="J31" s="14" t="s">
        <v>220</v>
      </c>
      <c r="K31" s="14" t="s">
        <v>22</v>
      </c>
      <c r="L31" s="65" t="s">
        <v>191</v>
      </c>
      <c r="M31" s="13" t="s">
        <v>59</v>
      </c>
      <c r="N31" s="13" t="s">
        <v>43</v>
      </c>
      <c r="O31" s="13" t="s">
        <v>538</v>
      </c>
      <c r="P31" s="13" t="s">
        <v>534</v>
      </c>
      <c r="Q31" s="64" t="s">
        <v>59</v>
      </c>
      <c r="R31" s="62">
        <v>26206.213784468451</v>
      </c>
      <c r="S31" s="63">
        <v>18000</v>
      </c>
      <c r="T31" s="150">
        <v>26206.213784468451</v>
      </c>
      <c r="U31" s="62">
        <v>254782.63401566548</v>
      </c>
      <c r="V31" s="150">
        <v>1790359.75307923</v>
      </c>
      <c r="W31" s="61" t="s">
        <v>11</v>
      </c>
      <c r="X31" s="181">
        <v>1.7999999999999999E-2</v>
      </c>
      <c r="Y31" s="60">
        <v>43500</v>
      </c>
      <c r="Z31" s="60">
        <v>46042</v>
      </c>
      <c r="AA31" s="60">
        <v>46042</v>
      </c>
      <c r="AB31" s="58">
        <v>2543</v>
      </c>
      <c r="AC31" s="59" t="s">
        <v>10</v>
      </c>
      <c r="AD31" s="58">
        <v>1391</v>
      </c>
      <c r="AE31" s="57">
        <v>3.8109589041095893</v>
      </c>
      <c r="AF31" s="56" t="s">
        <v>436</v>
      </c>
      <c r="AG31" s="71" t="s">
        <v>1</v>
      </c>
      <c r="AH31" s="71" t="s">
        <v>1</v>
      </c>
      <c r="AI31" s="70" t="s">
        <v>0</v>
      </c>
      <c r="AJ31" s="11" t="s">
        <v>0</v>
      </c>
      <c r="AK31" s="11" t="s">
        <v>271</v>
      </c>
      <c r="AL31" s="14" t="s">
        <v>358</v>
      </c>
      <c r="AM31" s="11">
        <v>23780</v>
      </c>
      <c r="AO31" s="197" t="s">
        <v>127</v>
      </c>
      <c r="AP31" s="198" t="s">
        <v>92</v>
      </c>
      <c r="AS31" s="212">
        <v>0</v>
      </c>
      <c r="AT31" s="212">
        <v>3144.7456541362139</v>
      </c>
      <c r="AU31" s="212">
        <v>628.94913082724281</v>
      </c>
      <c r="AV31" s="212"/>
      <c r="AW31" s="212">
        <v>0</v>
      </c>
      <c r="AX31" s="212">
        <v>0</v>
      </c>
      <c r="BA31" s="212">
        <v>0</v>
      </c>
      <c r="BB31" s="212">
        <v>0</v>
      </c>
      <c r="BC31" s="226">
        <v>0</v>
      </c>
      <c r="BD31" s="226"/>
    </row>
    <row r="32" spans="1:56" ht="39.950000000000003" hidden="1" customHeight="1" x14ac:dyDescent="0.2">
      <c r="A32" s="148" t="s">
        <v>203</v>
      </c>
      <c r="B32" s="65" t="s">
        <v>23</v>
      </c>
      <c r="C32" s="66" t="s">
        <v>89</v>
      </c>
      <c r="D32" s="13" t="s">
        <v>542</v>
      </c>
      <c r="E32" s="77" t="s">
        <v>127</v>
      </c>
      <c r="F32" s="14" t="s">
        <v>92</v>
      </c>
      <c r="G32" s="14" t="s">
        <v>108</v>
      </c>
      <c r="H32" s="14" t="s">
        <v>109</v>
      </c>
      <c r="I32" s="14" t="s">
        <v>220</v>
      </c>
      <c r="J32" s="14" t="s">
        <v>220</v>
      </c>
      <c r="K32" s="14" t="s">
        <v>22</v>
      </c>
      <c r="L32" s="65" t="s">
        <v>191</v>
      </c>
      <c r="M32" s="13" t="s">
        <v>59</v>
      </c>
      <c r="N32" s="13" t="s">
        <v>43</v>
      </c>
      <c r="O32" s="13" t="s">
        <v>531</v>
      </c>
      <c r="P32" s="13" t="s">
        <v>534</v>
      </c>
      <c r="Q32" s="64" t="s">
        <v>9</v>
      </c>
      <c r="R32" s="62">
        <v>2662.773280985291</v>
      </c>
      <c r="S32" s="63">
        <v>1232.1990000000001</v>
      </c>
      <c r="T32" s="150">
        <v>1656.7604270309519</v>
      </c>
      <c r="U32" s="62">
        <v>19837.68016143364</v>
      </c>
      <c r="V32" s="150">
        <v>128623.86048888054</v>
      </c>
      <c r="W32" s="61" t="s">
        <v>11</v>
      </c>
      <c r="X32" s="181">
        <v>2.2499999999999999E-2</v>
      </c>
      <c r="Y32" s="60">
        <v>43508</v>
      </c>
      <c r="Z32" s="60">
        <v>46081</v>
      </c>
      <c r="AA32" s="60">
        <v>46081</v>
      </c>
      <c r="AB32" s="58">
        <v>2574</v>
      </c>
      <c r="AC32" s="59" t="s">
        <v>10</v>
      </c>
      <c r="AD32" s="58">
        <v>1430</v>
      </c>
      <c r="AE32" s="57">
        <v>3.9178082191780823</v>
      </c>
      <c r="AF32" s="56"/>
      <c r="AG32" s="71" t="s">
        <v>1</v>
      </c>
      <c r="AH32" s="71" t="s">
        <v>1</v>
      </c>
      <c r="AI32" s="70" t="s">
        <v>251</v>
      </c>
      <c r="AJ32" s="11" t="s">
        <v>0</v>
      </c>
      <c r="AK32" s="11" t="s">
        <v>271</v>
      </c>
      <c r="AL32" s="14" t="s">
        <v>360</v>
      </c>
      <c r="AM32" s="11">
        <v>1555</v>
      </c>
      <c r="AO32" s="197" t="s">
        <v>127</v>
      </c>
      <c r="AP32" s="198" t="s">
        <v>92</v>
      </c>
      <c r="AS32" s="212">
        <v>0</v>
      </c>
      <c r="AT32" s="212">
        <v>198.81125124371422</v>
      </c>
      <c r="AU32" s="212" t="b">
        <v>0</v>
      </c>
      <c r="AV32" s="212"/>
      <c r="AW32" s="212">
        <v>0</v>
      </c>
      <c r="AX32" s="212">
        <v>0</v>
      </c>
      <c r="BA32" s="212">
        <v>0</v>
      </c>
      <c r="BB32" s="212">
        <v>0</v>
      </c>
      <c r="BC32" s="226">
        <v>0</v>
      </c>
      <c r="BD32" s="226"/>
    </row>
    <row r="33" spans="1:56" ht="39.950000000000003" hidden="1" customHeight="1" x14ac:dyDescent="0.2">
      <c r="A33" s="14" t="s">
        <v>187</v>
      </c>
      <c r="B33" s="65" t="s">
        <v>67</v>
      </c>
      <c r="C33" s="66" t="s">
        <v>34</v>
      </c>
      <c r="D33" s="13" t="s">
        <v>34</v>
      </c>
      <c r="E33" s="77" t="s">
        <v>34</v>
      </c>
      <c r="F33" s="14" t="s">
        <v>543</v>
      </c>
      <c r="G33" s="14" t="s">
        <v>97</v>
      </c>
      <c r="H33" s="14" t="s">
        <v>186</v>
      </c>
      <c r="I33" s="14" t="s">
        <v>70</v>
      </c>
      <c r="J33" s="14" t="s">
        <v>218</v>
      </c>
      <c r="K33" s="14" t="s">
        <v>139</v>
      </c>
      <c r="L33" s="65" t="s">
        <v>191</v>
      </c>
      <c r="M33" s="13" t="s">
        <v>323</v>
      </c>
      <c r="N33" s="13" t="s">
        <v>43</v>
      </c>
      <c r="O33" s="13" t="s">
        <v>538</v>
      </c>
      <c r="P33" s="13" t="s">
        <v>534</v>
      </c>
      <c r="Q33" s="15" t="s">
        <v>8</v>
      </c>
      <c r="R33" s="86">
        <v>15000</v>
      </c>
      <c r="S33" s="63">
        <v>15000</v>
      </c>
      <c r="T33" s="169">
        <v>15000</v>
      </c>
      <c r="U33" s="86">
        <v>65000</v>
      </c>
      <c r="V33" s="169">
        <v>1815402.7390411</v>
      </c>
      <c r="W33" s="61" t="s">
        <v>11</v>
      </c>
      <c r="X33" s="181">
        <v>5.2499999999999998E-2</v>
      </c>
      <c r="Y33" s="85">
        <v>43511</v>
      </c>
      <c r="Z33" s="85">
        <v>45392</v>
      </c>
      <c r="AA33" s="85">
        <v>45392</v>
      </c>
      <c r="AB33" s="58">
        <v>1882</v>
      </c>
      <c r="AC33" s="59" t="s">
        <v>10</v>
      </c>
      <c r="AD33" s="58">
        <v>741</v>
      </c>
      <c r="AE33" s="57">
        <v>2.0301369863013701</v>
      </c>
      <c r="AF33" s="56"/>
      <c r="AG33" s="71" t="s">
        <v>1</v>
      </c>
      <c r="AH33" s="71" t="s">
        <v>1</v>
      </c>
      <c r="AI33" s="70" t="s">
        <v>0</v>
      </c>
      <c r="AJ33" s="11" t="s">
        <v>0</v>
      </c>
      <c r="AK33" s="11" t="s">
        <v>271</v>
      </c>
      <c r="AL33" s="14" t="s">
        <v>359</v>
      </c>
      <c r="AM33" s="12">
        <v>5500</v>
      </c>
      <c r="AN33" s="12"/>
      <c r="AO33" s="197" t="s">
        <v>34</v>
      </c>
      <c r="AP33" s="198" t="s">
        <v>543</v>
      </c>
      <c r="AQ33" s="12"/>
      <c r="AS33" s="212">
        <v>0</v>
      </c>
      <c r="AT33" s="212">
        <v>1800</v>
      </c>
      <c r="AU33" s="212" t="b">
        <v>0</v>
      </c>
      <c r="AV33" s="212"/>
      <c r="AW33" s="212">
        <v>0</v>
      </c>
      <c r="AX33" s="212">
        <v>0</v>
      </c>
      <c r="BA33" s="212">
        <v>0</v>
      </c>
      <c r="BB33" s="212">
        <v>0</v>
      </c>
      <c r="BC33" s="226">
        <v>0</v>
      </c>
      <c r="BD33" s="226"/>
    </row>
    <row r="34" spans="1:56" ht="39.950000000000003" hidden="1" customHeight="1" x14ac:dyDescent="0.2">
      <c r="A34" s="65" t="s">
        <v>194</v>
      </c>
      <c r="B34" s="65" t="s">
        <v>23</v>
      </c>
      <c r="C34" s="66" t="s">
        <v>89</v>
      </c>
      <c r="D34" s="13" t="s">
        <v>542</v>
      </c>
      <c r="E34" s="77" t="s">
        <v>193</v>
      </c>
      <c r="F34" s="14" t="s">
        <v>92</v>
      </c>
      <c r="G34" s="66" t="s">
        <v>134</v>
      </c>
      <c r="H34" s="14" t="s">
        <v>134</v>
      </c>
      <c r="I34" s="14" t="s">
        <v>220</v>
      </c>
      <c r="J34" s="14" t="s">
        <v>220</v>
      </c>
      <c r="K34" s="14" t="s">
        <v>22</v>
      </c>
      <c r="L34" s="65" t="s">
        <v>191</v>
      </c>
      <c r="M34" s="13" t="s">
        <v>59</v>
      </c>
      <c r="N34" s="13" t="s">
        <v>43</v>
      </c>
      <c r="O34" s="13" t="s">
        <v>531</v>
      </c>
      <c r="P34" s="13" t="s">
        <v>534</v>
      </c>
      <c r="Q34" s="64" t="s">
        <v>9</v>
      </c>
      <c r="R34" s="62">
        <v>20168.3383978272</v>
      </c>
      <c r="S34" s="63">
        <v>6923.076</v>
      </c>
      <c r="T34" s="150">
        <v>9308.4626347917292</v>
      </c>
      <c r="U34" s="62">
        <v>85017.292064431123</v>
      </c>
      <c r="V34" s="150">
        <v>1029172.8292145105</v>
      </c>
      <c r="W34" s="61" t="s">
        <v>11</v>
      </c>
      <c r="X34" s="181">
        <v>2.8500000000000001E-2</v>
      </c>
      <c r="Y34" s="60">
        <v>43515</v>
      </c>
      <c r="Z34" s="60">
        <v>46042</v>
      </c>
      <c r="AA34" s="60">
        <v>46042</v>
      </c>
      <c r="AB34" s="58">
        <v>2528</v>
      </c>
      <c r="AC34" s="59" t="s">
        <v>10</v>
      </c>
      <c r="AD34" s="58">
        <v>1391</v>
      </c>
      <c r="AE34" s="57">
        <v>3.8109589041095893</v>
      </c>
      <c r="AF34" s="56"/>
      <c r="AG34" s="71" t="s">
        <v>1</v>
      </c>
      <c r="AH34" s="71" t="s">
        <v>1</v>
      </c>
      <c r="AI34" s="70" t="s">
        <v>269</v>
      </c>
      <c r="AJ34" s="11" t="s">
        <v>0</v>
      </c>
      <c r="AK34" s="11" t="s">
        <v>271</v>
      </c>
      <c r="AL34" s="13" t="s">
        <v>362</v>
      </c>
      <c r="AM34" s="11">
        <v>6472.5</v>
      </c>
      <c r="AO34" s="197" t="s">
        <v>193</v>
      </c>
      <c r="AP34" s="198" t="s">
        <v>92</v>
      </c>
      <c r="AS34" s="212">
        <v>0</v>
      </c>
      <c r="AT34" s="212">
        <v>1117.0155161750074</v>
      </c>
      <c r="AU34" s="212" t="b">
        <v>0</v>
      </c>
      <c r="AV34" s="212"/>
      <c r="AW34" s="212">
        <v>0</v>
      </c>
      <c r="AX34" s="212">
        <v>0</v>
      </c>
      <c r="BA34" s="212">
        <v>0</v>
      </c>
      <c r="BB34" s="212">
        <v>0</v>
      </c>
      <c r="BC34" s="226">
        <v>0</v>
      </c>
      <c r="BD34" s="226"/>
    </row>
    <row r="35" spans="1:56" ht="39.950000000000003" customHeight="1" x14ac:dyDescent="0.2">
      <c r="A35" s="66" t="s">
        <v>192</v>
      </c>
      <c r="B35" s="65" t="s">
        <v>23</v>
      </c>
      <c r="C35" s="66" t="s">
        <v>149</v>
      </c>
      <c r="D35" s="13" t="s">
        <v>541</v>
      </c>
      <c r="E35" s="130" t="s">
        <v>37</v>
      </c>
      <c r="F35" s="14" t="s">
        <v>544</v>
      </c>
      <c r="G35" s="66" t="s">
        <v>178</v>
      </c>
      <c r="H35" s="66" t="s">
        <v>177</v>
      </c>
      <c r="I35" s="14" t="s">
        <v>148</v>
      </c>
      <c r="J35" s="14" t="s">
        <v>148</v>
      </c>
      <c r="K35" s="14" t="s">
        <v>29</v>
      </c>
      <c r="L35" s="65" t="s">
        <v>191</v>
      </c>
      <c r="M35" s="13" t="s">
        <v>59</v>
      </c>
      <c r="N35" s="13" t="s">
        <v>43</v>
      </c>
      <c r="O35" s="13" t="s">
        <v>539</v>
      </c>
      <c r="P35" s="13" t="s">
        <v>534</v>
      </c>
      <c r="Q35" s="64" t="s">
        <v>9</v>
      </c>
      <c r="R35" s="62">
        <v>10084.1691989136</v>
      </c>
      <c r="S35" s="63">
        <v>5025</v>
      </c>
      <c r="T35" s="150">
        <v>6756.3933632721119</v>
      </c>
      <c r="U35" s="62">
        <v>40336.676795654399</v>
      </c>
      <c r="V35" s="150">
        <v>543361.59141635522</v>
      </c>
      <c r="W35" s="61" t="s">
        <v>551</v>
      </c>
      <c r="X35" s="181">
        <v>3.5000000000000003E-2</v>
      </c>
      <c r="Y35" s="60">
        <v>43532</v>
      </c>
      <c r="Z35" s="60">
        <v>45323</v>
      </c>
      <c r="AA35" s="60">
        <v>45323</v>
      </c>
      <c r="AB35" s="58">
        <v>1792</v>
      </c>
      <c r="AC35" s="59" t="s">
        <v>10</v>
      </c>
      <c r="AD35" s="58">
        <v>672</v>
      </c>
      <c r="AE35" s="57">
        <v>1.8410958904109589</v>
      </c>
      <c r="AF35" s="56"/>
      <c r="AG35" s="71" t="s">
        <v>1</v>
      </c>
      <c r="AH35" s="71" t="s">
        <v>1</v>
      </c>
      <c r="AI35" s="71" t="s">
        <v>0</v>
      </c>
      <c r="AJ35" s="11" t="s">
        <v>0</v>
      </c>
      <c r="AK35" s="11" t="s">
        <v>271</v>
      </c>
      <c r="AL35" s="14" t="s">
        <v>363</v>
      </c>
      <c r="AM35" s="11">
        <v>8000</v>
      </c>
      <c r="AO35" s="197" t="s">
        <v>37</v>
      </c>
      <c r="AP35" s="198" t="s">
        <v>544</v>
      </c>
      <c r="AQ35" s="11">
        <v>1</v>
      </c>
      <c r="AR35" s="214">
        <v>0.05</v>
      </c>
      <c r="AS35" s="212">
        <v>337.81966816360563</v>
      </c>
      <c r="AT35" s="212">
        <v>810.76720359265335</v>
      </c>
      <c r="AU35" s="212" t="b">
        <v>0</v>
      </c>
      <c r="AV35" s="212"/>
      <c r="AW35" s="212">
        <v>337.81966816360563</v>
      </c>
      <c r="AX35" s="212">
        <v>783.67722250860299</v>
      </c>
      <c r="AY35" s="12" t="s">
        <v>772</v>
      </c>
      <c r="BA35" s="212">
        <v>337.81966816360563</v>
      </c>
      <c r="BB35" s="212">
        <v>783.67722250860299</v>
      </c>
      <c r="BC35" s="226">
        <v>1044.9029633448042</v>
      </c>
      <c r="BD35" s="226">
        <v>1038.2059800664451</v>
      </c>
    </row>
    <row r="36" spans="1:56" ht="39.950000000000003" hidden="1" customHeight="1" x14ac:dyDescent="0.2">
      <c r="A36" s="148" t="s">
        <v>206</v>
      </c>
      <c r="B36" s="65" t="s">
        <v>23</v>
      </c>
      <c r="C36" s="66" t="s">
        <v>38</v>
      </c>
      <c r="D36" s="13" t="s">
        <v>541</v>
      </c>
      <c r="E36" s="130" t="s">
        <v>37</v>
      </c>
      <c r="F36" s="14" t="s">
        <v>546</v>
      </c>
      <c r="G36" s="66" t="s">
        <v>167</v>
      </c>
      <c r="H36" s="66" t="s">
        <v>167</v>
      </c>
      <c r="I36" s="66" t="s">
        <v>50</v>
      </c>
      <c r="J36" s="66" t="s">
        <v>21</v>
      </c>
      <c r="K36" s="14" t="s">
        <v>29</v>
      </c>
      <c r="L36" s="65" t="s">
        <v>191</v>
      </c>
      <c r="M36" s="13" t="s">
        <v>323</v>
      </c>
      <c r="N36" s="65" t="s">
        <v>43</v>
      </c>
      <c r="O36" s="65" t="s">
        <v>531</v>
      </c>
      <c r="P36" s="13" t="s">
        <v>548</v>
      </c>
      <c r="Q36" s="83" t="s">
        <v>9</v>
      </c>
      <c r="R36" s="62">
        <v>26891.117863769599</v>
      </c>
      <c r="S36" s="149">
        <v>20000</v>
      </c>
      <c r="T36" s="82">
        <v>26891.117863769599</v>
      </c>
      <c r="U36" s="82">
        <v>123699.14217334015</v>
      </c>
      <c r="V36" s="82">
        <v>1055707.6397665851</v>
      </c>
      <c r="W36" s="61" t="s">
        <v>11</v>
      </c>
      <c r="X36" s="181">
        <v>1.4500000000000001E-2</v>
      </c>
      <c r="Y36" s="81">
        <v>43609</v>
      </c>
      <c r="Z36" s="81">
        <v>45044</v>
      </c>
      <c r="AA36" s="81">
        <v>45044</v>
      </c>
      <c r="AB36" s="58">
        <v>1436</v>
      </c>
      <c r="AC36" s="151" t="s">
        <v>10</v>
      </c>
      <c r="AD36" s="80">
        <v>393</v>
      </c>
      <c r="AE36" s="57">
        <v>1.0767123287671232</v>
      </c>
      <c r="AF36" s="56" t="s">
        <v>436</v>
      </c>
      <c r="AG36" s="71" t="s">
        <v>1</v>
      </c>
      <c r="AH36" s="71" t="s">
        <v>1</v>
      </c>
      <c r="AI36" s="71" t="s">
        <v>0</v>
      </c>
      <c r="AJ36" s="11" t="s">
        <v>0</v>
      </c>
      <c r="AK36" s="11" t="s">
        <v>271</v>
      </c>
      <c r="AL36" s="14" t="s">
        <v>367</v>
      </c>
      <c r="AM36" s="11">
        <v>3500</v>
      </c>
      <c r="AO36" s="197" t="s">
        <v>37</v>
      </c>
      <c r="AP36" s="198" t="s">
        <v>546</v>
      </c>
      <c r="AS36" s="212">
        <v>0</v>
      </c>
      <c r="AT36" s="212">
        <v>3226.9341436523518</v>
      </c>
      <c r="AU36" s="212">
        <v>645.38682873047037</v>
      </c>
      <c r="AV36" s="212"/>
      <c r="AW36" s="212">
        <v>0</v>
      </c>
      <c r="AX36" s="212">
        <v>0</v>
      </c>
      <c r="BA36" s="212">
        <v>0</v>
      </c>
      <c r="BB36" s="212">
        <v>0</v>
      </c>
      <c r="BC36" s="226">
        <v>0</v>
      </c>
      <c r="BD36" s="226"/>
    </row>
    <row r="37" spans="1:56" ht="39.950000000000003" hidden="1" customHeight="1" x14ac:dyDescent="0.2">
      <c r="A37" s="66" t="s">
        <v>205</v>
      </c>
      <c r="B37" s="65" t="s">
        <v>23</v>
      </c>
      <c r="C37" s="66" t="s">
        <v>38</v>
      </c>
      <c r="D37" s="13" t="s">
        <v>540</v>
      </c>
      <c r="E37" s="161" t="s">
        <v>36</v>
      </c>
      <c r="F37" s="14" t="s">
        <v>92</v>
      </c>
      <c r="G37" s="66" t="s">
        <v>134</v>
      </c>
      <c r="H37" s="66" t="s">
        <v>134</v>
      </c>
      <c r="I37" s="66" t="s">
        <v>50</v>
      </c>
      <c r="J37" s="66" t="s">
        <v>21</v>
      </c>
      <c r="K37" s="14" t="s">
        <v>22</v>
      </c>
      <c r="L37" s="65" t="s">
        <v>191</v>
      </c>
      <c r="M37" s="13" t="s">
        <v>323</v>
      </c>
      <c r="N37" s="65" t="s">
        <v>43</v>
      </c>
      <c r="O37" s="65" t="s">
        <v>531</v>
      </c>
      <c r="P37" s="65" t="s">
        <v>534</v>
      </c>
      <c r="Q37" s="83" t="s">
        <v>9</v>
      </c>
      <c r="R37" s="62">
        <v>27227.256837066718</v>
      </c>
      <c r="S37" s="149">
        <v>12615.298000000001</v>
      </c>
      <c r="T37" s="82">
        <v>16961.973270228846</v>
      </c>
      <c r="U37" s="82">
        <v>81082.420373242086</v>
      </c>
      <c r="V37" s="82">
        <v>848836.959152392</v>
      </c>
      <c r="W37" s="61" t="s">
        <v>11</v>
      </c>
      <c r="X37" s="181">
        <v>1.4E-2</v>
      </c>
      <c r="Y37" s="81">
        <v>43609</v>
      </c>
      <c r="Z37" s="81">
        <v>46457</v>
      </c>
      <c r="AA37" s="81">
        <v>46457</v>
      </c>
      <c r="AB37" s="58">
        <v>2849</v>
      </c>
      <c r="AC37" s="151" t="s">
        <v>10</v>
      </c>
      <c r="AD37" s="80">
        <v>1806</v>
      </c>
      <c r="AE37" s="57">
        <v>4.9479452054794519</v>
      </c>
      <c r="AF37" s="56" t="s">
        <v>436</v>
      </c>
      <c r="AG37" s="71" t="s">
        <v>1</v>
      </c>
      <c r="AH37" s="71" t="s">
        <v>1</v>
      </c>
      <c r="AI37" s="70" t="s">
        <v>733</v>
      </c>
      <c r="AJ37" s="11" t="s">
        <v>0</v>
      </c>
      <c r="AK37" s="11" t="s">
        <v>271</v>
      </c>
      <c r="AL37" s="14" t="s">
        <v>366</v>
      </c>
      <c r="AM37" s="11">
        <v>8100</v>
      </c>
      <c r="AO37" s="197" t="s">
        <v>36</v>
      </c>
      <c r="AP37" s="198" t="s">
        <v>92</v>
      </c>
      <c r="AS37" s="212">
        <v>0</v>
      </c>
      <c r="AT37" s="212">
        <v>2035.4367924274613</v>
      </c>
      <c r="AU37" s="212">
        <v>407.0873584854923</v>
      </c>
      <c r="AV37" s="212"/>
      <c r="AW37" s="212">
        <v>0</v>
      </c>
      <c r="AX37" s="212">
        <v>0</v>
      </c>
      <c r="BA37" s="212">
        <v>0</v>
      </c>
      <c r="BB37" s="212">
        <v>0</v>
      </c>
      <c r="BC37" s="226">
        <v>0</v>
      </c>
      <c r="BD37" s="226"/>
    </row>
    <row r="38" spans="1:56" ht="39.950000000000003" hidden="1" customHeight="1" x14ac:dyDescent="0.2">
      <c r="A38" s="65" t="s">
        <v>210</v>
      </c>
      <c r="B38" s="65" t="s">
        <v>51</v>
      </c>
      <c r="C38" s="66" t="s">
        <v>211</v>
      </c>
      <c r="D38" s="13" t="s">
        <v>542</v>
      </c>
      <c r="E38" s="77" t="s">
        <v>211</v>
      </c>
      <c r="F38" s="14" t="s">
        <v>102</v>
      </c>
      <c r="G38" s="66" t="s">
        <v>102</v>
      </c>
      <c r="H38" s="66" t="s">
        <v>122</v>
      </c>
      <c r="I38" s="66" t="s">
        <v>212</v>
      </c>
      <c r="J38" s="66" t="s">
        <v>220</v>
      </c>
      <c r="K38" s="14" t="s">
        <v>13</v>
      </c>
      <c r="L38" s="65" t="s">
        <v>191</v>
      </c>
      <c r="M38" s="13" t="s">
        <v>59</v>
      </c>
      <c r="N38" s="65" t="s">
        <v>43</v>
      </c>
      <c r="O38" s="65" t="s">
        <v>538</v>
      </c>
      <c r="P38" s="65" t="s">
        <v>534</v>
      </c>
      <c r="Q38" s="64" t="s">
        <v>59</v>
      </c>
      <c r="R38" s="62">
        <v>11687.243397490027</v>
      </c>
      <c r="S38" s="149">
        <v>8027.5</v>
      </c>
      <c r="T38" s="82">
        <v>11687.243397490027</v>
      </c>
      <c r="U38" s="82">
        <v>23374.486794980054</v>
      </c>
      <c r="V38" s="62">
        <v>545301.29866348312</v>
      </c>
      <c r="W38" s="61" t="s">
        <v>11</v>
      </c>
      <c r="X38" s="181">
        <v>2.5000000000000001E-2</v>
      </c>
      <c r="Y38" s="81">
        <v>43626</v>
      </c>
      <c r="Z38" s="60">
        <v>44904</v>
      </c>
      <c r="AA38" s="157">
        <v>44904</v>
      </c>
      <c r="AB38" s="58">
        <v>1279</v>
      </c>
      <c r="AC38" s="151" t="s">
        <v>10</v>
      </c>
      <c r="AD38" s="80">
        <v>253</v>
      </c>
      <c r="AE38" s="57">
        <v>0.69315068493150689</v>
      </c>
      <c r="AF38" s="56"/>
      <c r="AG38" s="71" t="s">
        <v>1</v>
      </c>
      <c r="AH38" s="71" t="s">
        <v>1</v>
      </c>
      <c r="AI38" s="71" t="s">
        <v>0</v>
      </c>
      <c r="AJ38" s="11" t="s">
        <v>0</v>
      </c>
      <c r="AK38" s="11" t="s">
        <v>271</v>
      </c>
      <c r="AL38" s="14" t="s">
        <v>368</v>
      </c>
      <c r="AM38" s="11">
        <v>11000</v>
      </c>
      <c r="AO38" s="197" t="s">
        <v>211</v>
      </c>
      <c r="AP38" s="198" t="s">
        <v>102</v>
      </c>
      <c r="AS38" s="212">
        <v>0</v>
      </c>
      <c r="AT38" s="212">
        <v>1402.4692076988031</v>
      </c>
      <c r="AU38" s="212" t="b">
        <v>0</v>
      </c>
      <c r="AV38" s="212"/>
      <c r="AW38" s="212">
        <v>0</v>
      </c>
      <c r="AX38" s="212">
        <v>0</v>
      </c>
      <c r="BA38" s="212">
        <v>0</v>
      </c>
      <c r="BB38" s="212">
        <v>0</v>
      </c>
      <c r="BC38" s="226">
        <v>0</v>
      </c>
      <c r="BD38" s="226"/>
    </row>
    <row r="39" spans="1:56" ht="39.950000000000003" hidden="1" customHeight="1" x14ac:dyDescent="0.2">
      <c r="A39" s="13" t="s">
        <v>213</v>
      </c>
      <c r="B39" s="65" t="s">
        <v>67</v>
      </c>
      <c r="C39" s="66" t="s">
        <v>87</v>
      </c>
      <c r="D39" s="13" t="s">
        <v>34</v>
      </c>
      <c r="E39" s="77" t="s">
        <v>34</v>
      </c>
      <c r="F39" s="14" t="s">
        <v>48</v>
      </c>
      <c r="G39" s="66" t="s">
        <v>120</v>
      </c>
      <c r="H39" s="66" t="s">
        <v>214</v>
      </c>
      <c r="I39" s="14" t="s">
        <v>181</v>
      </c>
      <c r="J39" s="14" t="s">
        <v>33</v>
      </c>
      <c r="K39" s="14" t="s">
        <v>209</v>
      </c>
      <c r="L39" s="65" t="s">
        <v>191</v>
      </c>
      <c r="M39" s="13" t="s">
        <v>59</v>
      </c>
      <c r="N39" s="13" t="s">
        <v>43</v>
      </c>
      <c r="O39" s="13" t="s">
        <v>533</v>
      </c>
      <c r="P39" s="13" t="s">
        <v>532</v>
      </c>
      <c r="Q39" s="64" t="s">
        <v>9</v>
      </c>
      <c r="R39" s="62">
        <v>33613.897329711996</v>
      </c>
      <c r="S39" s="63">
        <v>21437.5</v>
      </c>
      <c r="T39" s="150">
        <v>28823.916960228038</v>
      </c>
      <c r="U39" s="62">
        <v>121060.45123295778</v>
      </c>
      <c r="V39" s="76">
        <v>1452370.9360798132</v>
      </c>
      <c r="W39" s="61" t="s">
        <v>11</v>
      </c>
      <c r="X39" s="181">
        <v>0.02</v>
      </c>
      <c r="Y39" s="60">
        <v>43630</v>
      </c>
      <c r="Z39" s="60">
        <v>45365</v>
      </c>
      <c r="AA39" s="60">
        <v>45365</v>
      </c>
      <c r="AB39" s="58">
        <v>1736</v>
      </c>
      <c r="AC39" s="59" t="s">
        <v>10</v>
      </c>
      <c r="AD39" s="58">
        <v>714</v>
      </c>
      <c r="AE39" s="57">
        <v>1.9561643835616438</v>
      </c>
      <c r="AF39" s="56" t="s">
        <v>436</v>
      </c>
      <c r="AG39" s="71" t="s">
        <v>1</v>
      </c>
      <c r="AH39" s="71" t="s">
        <v>1</v>
      </c>
      <c r="AI39" s="70" t="s">
        <v>719</v>
      </c>
      <c r="AJ39" s="11" t="s">
        <v>0</v>
      </c>
      <c r="AK39" s="11" t="s">
        <v>271</v>
      </c>
      <c r="AL39" s="13" t="s">
        <v>370</v>
      </c>
      <c r="AM39" s="11">
        <v>8500</v>
      </c>
      <c r="AO39" s="197" t="s">
        <v>34</v>
      </c>
      <c r="AP39" s="198" t="s">
        <v>48</v>
      </c>
      <c r="AS39" s="212">
        <v>0</v>
      </c>
      <c r="AT39" s="212">
        <v>3458.8700352273645</v>
      </c>
      <c r="AU39" s="212">
        <v>691.7740070454729</v>
      </c>
      <c r="AV39" s="212"/>
      <c r="AW39" s="212">
        <v>0</v>
      </c>
      <c r="AX39" s="212">
        <v>0</v>
      </c>
      <c r="BA39" s="212">
        <v>0</v>
      </c>
      <c r="BB39" s="212">
        <v>0</v>
      </c>
      <c r="BC39" s="226">
        <v>0</v>
      </c>
      <c r="BD39" s="226"/>
    </row>
    <row r="40" spans="1:56" ht="39.950000000000003" hidden="1" customHeight="1" x14ac:dyDescent="0.2">
      <c r="A40" s="14" t="s">
        <v>189</v>
      </c>
      <c r="B40" s="65" t="s">
        <v>23</v>
      </c>
      <c r="C40" s="66" t="s">
        <v>149</v>
      </c>
      <c r="D40" s="13" t="s">
        <v>34</v>
      </c>
      <c r="E40" s="77" t="s">
        <v>34</v>
      </c>
      <c r="F40" s="14" t="s">
        <v>102</v>
      </c>
      <c r="G40" s="66" t="s">
        <v>102</v>
      </c>
      <c r="H40" s="14" t="s">
        <v>474</v>
      </c>
      <c r="I40" s="14" t="s">
        <v>148</v>
      </c>
      <c r="J40" s="14" t="s">
        <v>148</v>
      </c>
      <c r="K40" s="14" t="s">
        <v>101</v>
      </c>
      <c r="L40" s="65" t="s">
        <v>191</v>
      </c>
      <c r="M40" s="13" t="s">
        <v>59</v>
      </c>
      <c r="N40" s="13" t="s">
        <v>43</v>
      </c>
      <c r="O40" s="13" t="s">
        <v>538</v>
      </c>
      <c r="P40" s="13" t="s">
        <v>534</v>
      </c>
      <c r="Q40" s="64" t="s">
        <v>8</v>
      </c>
      <c r="R40" s="62">
        <v>5000</v>
      </c>
      <c r="S40" s="63">
        <v>5000</v>
      </c>
      <c r="T40" s="150">
        <v>5000</v>
      </c>
      <c r="U40" s="62">
        <v>10000</v>
      </c>
      <c r="V40" s="76">
        <v>97584.95</v>
      </c>
      <c r="W40" s="61" t="s">
        <v>11</v>
      </c>
      <c r="X40" s="181">
        <v>1.7999999999999999E-2</v>
      </c>
      <c r="Y40" s="60">
        <v>43633</v>
      </c>
      <c r="Z40" s="60">
        <v>44719</v>
      </c>
      <c r="AA40" s="60">
        <v>44719</v>
      </c>
      <c r="AB40" s="58">
        <v>1087</v>
      </c>
      <c r="AC40" s="59" t="s">
        <v>10</v>
      </c>
      <c r="AD40" s="58">
        <v>68</v>
      </c>
      <c r="AE40" s="57">
        <v>0.18630136986301371</v>
      </c>
      <c r="AF40" s="56"/>
      <c r="AG40" s="71" t="s">
        <v>1</v>
      </c>
      <c r="AH40" s="71" t="s">
        <v>1</v>
      </c>
      <c r="AI40" s="71" t="s">
        <v>0</v>
      </c>
      <c r="AJ40" s="11" t="s">
        <v>0</v>
      </c>
      <c r="AK40" s="11" t="s">
        <v>271</v>
      </c>
      <c r="AL40" s="14" t="s">
        <v>373</v>
      </c>
      <c r="AM40" s="11">
        <v>6000</v>
      </c>
      <c r="AO40" s="197" t="s">
        <v>34</v>
      </c>
      <c r="AP40" s="198" t="s">
        <v>102</v>
      </c>
      <c r="AS40" s="212">
        <v>0</v>
      </c>
      <c r="AT40" s="212">
        <v>600</v>
      </c>
      <c r="AU40" s="212" t="b">
        <v>0</v>
      </c>
      <c r="AV40" s="212"/>
      <c r="AW40" s="212">
        <v>0</v>
      </c>
      <c r="AX40" s="212">
        <v>0</v>
      </c>
      <c r="BA40" s="212">
        <v>0</v>
      </c>
      <c r="BB40" s="212">
        <v>0</v>
      </c>
      <c r="BC40" s="226">
        <v>0</v>
      </c>
      <c r="BD40" s="226"/>
    </row>
    <row r="41" spans="1:56" ht="39.950000000000003" hidden="1" customHeight="1" x14ac:dyDescent="0.2">
      <c r="A41" s="14" t="s">
        <v>215</v>
      </c>
      <c r="B41" s="65" t="s">
        <v>67</v>
      </c>
      <c r="C41" s="66" t="s">
        <v>38</v>
      </c>
      <c r="D41" s="13" t="s">
        <v>541</v>
      </c>
      <c r="E41" s="77" t="s">
        <v>37</v>
      </c>
      <c r="F41" s="14" t="s">
        <v>102</v>
      </c>
      <c r="G41" s="66" t="s">
        <v>102</v>
      </c>
      <c r="H41" s="14" t="s">
        <v>122</v>
      </c>
      <c r="I41" s="14" t="s">
        <v>142</v>
      </c>
      <c r="J41" s="66" t="s">
        <v>218</v>
      </c>
      <c r="K41" s="14" t="s">
        <v>101</v>
      </c>
      <c r="L41" s="65" t="s">
        <v>191</v>
      </c>
      <c r="M41" s="13" t="s">
        <v>323</v>
      </c>
      <c r="N41" s="13" t="s">
        <v>43</v>
      </c>
      <c r="O41" s="13" t="s">
        <v>531</v>
      </c>
      <c r="P41" s="13" t="s">
        <v>534</v>
      </c>
      <c r="Q41" s="64" t="s">
        <v>54</v>
      </c>
      <c r="R41" s="62">
        <v>33447.68439108062</v>
      </c>
      <c r="S41" s="63">
        <v>158000</v>
      </c>
      <c r="T41" s="62">
        <v>33447.68439108062</v>
      </c>
      <c r="U41" s="62">
        <v>416809.60548885079</v>
      </c>
      <c r="V41" s="76">
        <v>543703.56946826749</v>
      </c>
      <c r="W41" s="61" t="s">
        <v>551</v>
      </c>
      <c r="X41" s="181">
        <v>1.6799999999999999E-2</v>
      </c>
      <c r="Y41" s="60">
        <v>43633</v>
      </c>
      <c r="Z41" s="60">
        <v>45046</v>
      </c>
      <c r="AA41" s="60">
        <v>45046</v>
      </c>
      <c r="AB41" s="58">
        <v>1414</v>
      </c>
      <c r="AC41" s="59" t="s">
        <v>10</v>
      </c>
      <c r="AD41" s="58">
        <v>395</v>
      </c>
      <c r="AE41" s="57">
        <v>1.0821917808219179</v>
      </c>
      <c r="AF41" s="56" t="s">
        <v>436</v>
      </c>
      <c r="AG41" s="152" t="s">
        <v>1</v>
      </c>
      <c r="AH41" s="152" t="s">
        <v>1</v>
      </c>
      <c r="AI41" s="153" t="s">
        <v>0</v>
      </c>
      <c r="AJ41" s="11" t="s">
        <v>0</v>
      </c>
      <c r="AK41" s="11" t="s">
        <v>271</v>
      </c>
      <c r="AL41" s="14" t="s">
        <v>374</v>
      </c>
      <c r="AM41" s="11">
        <v>8500</v>
      </c>
      <c r="AO41" s="197" t="s">
        <v>37</v>
      </c>
      <c r="AP41" s="198" t="s">
        <v>102</v>
      </c>
      <c r="AS41" s="212">
        <v>0</v>
      </c>
      <c r="AT41" s="212">
        <v>4013.7221269296742</v>
      </c>
      <c r="AU41" s="212">
        <v>802.74442538593485</v>
      </c>
      <c r="AV41" s="212"/>
      <c r="AW41" s="212">
        <v>0</v>
      </c>
      <c r="AX41" s="212">
        <v>0</v>
      </c>
      <c r="BA41" s="212">
        <v>0</v>
      </c>
      <c r="BB41" s="212">
        <v>0</v>
      </c>
      <c r="BC41" s="226">
        <v>0</v>
      </c>
      <c r="BD41" s="226"/>
    </row>
    <row r="42" spans="1:56" ht="39.950000000000003" customHeight="1" x14ac:dyDescent="0.2">
      <c r="A42" s="14" t="s">
        <v>223</v>
      </c>
      <c r="B42" s="65" t="s">
        <v>24</v>
      </c>
      <c r="C42" s="66" t="s">
        <v>38</v>
      </c>
      <c r="D42" s="13" t="s">
        <v>540</v>
      </c>
      <c r="E42" s="77" t="s">
        <v>229</v>
      </c>
      <c r="F42" s="14" t="s">
        <v>92</v>
      </c>
      <c r="G42" s="66" t="s">
        <v>100</v>
      </c>
      <c r="H42" s="14" t="s">
        <v>100</v>
      </c>
      <c r="I42" s="14" t="s">
        <v>230</v>
      </c>
      <c r="J42" s="66" t="s">
        <v>231</v>
      </c>
      <c r="K42" s="14" t="s">
        <v>44</v>
      </c>
      <c r="L42" s="65" t="s">
        <v>191</v>
      </c>
      <c r="M42" s="13" t="s">
        <v>323</v>
      </c>
      <c r="N42" s="13" t="s">
        <v>43</v>
      </c>
      <c r="O42" s="13" t="s">
        <v>539</v>
      </c>
      <c r="P42" s="13" t="s">
        <v>534</v>
      </c>
      <c r="Q42" s="64" t="s">
        <v>9</v>
      </c>
      <c r="R42" s="62">
        <v>14790.114825073279</v>
      </c>
      <c r="S42" s="63">
        <v>9379.8310000000001</v>
      </c>
      <c r="T42" s="62">
        <v>12611.707048161992</v>
      </c>
      <c r="U42" s="62">
        <v>47876.946244655395</v>
      </c>
      <c r="V42" s="76">
        <v>733233.38801193971</v>
      </c>
      <c r="W42" s="61" t="s">
        <v>551</v>
      </c>
      <c r="X42" s="181">
        <v>1.7500000000000002E-2</v>
      </c>
      <c r="Y42" s="60">
        <v>43670</v>
      </c>
      <c r="Z42" s="60">
        <v>47992</v>
      </c>
      <c r="AA42" s="60">
        <v>47992</v>
      </c>
      <c r="AB42" s="58">
        <v>4323</v>
      </c>
      <c r="AC42" s="59" t="s">
        <v>10</v>
      </c>
      <c r="AD42" s="58">
        <v>3341</v>
      </c>
      <c r="AE42" s="57">
        <v>9.1534246575342468</v>
      </c>
      <c r="AF42" s="56"/>
      <c r="AG42" s="71" t="s">
        <v>1</v>
      </c>
      <c r="AH42" s="71" t="s">
        <v>1</v>
      </c>
      <c r="AI42" s="70" t="s">
        <v>661</v>
      </c>
      <c r="AJ42" s="11" t="s">
        <v>0</v>
      </c>
      <c r="AK42" s="11" t="s">
        <v>271</v>
      </c>
      <c r="AL42" s="14" t="s">
        <v>375</v>
      </c>
      <c r="AM42" s="11">
        <v>19997.5</v>
      </c>
      <c r="AO42" s="197" t="s">
        <v>229</v>
      </c>
      <c r="AP42" s="198" t="s">
        <v>92</v>
      </c>
      <c r="AQ42" s="11">
        <v>1</v>
      </c>
      <c r="AR42" s="214">
        <v>0.05</v>
      </c>
      <c r="AS42" s="212">
        <v>630.58535240809965</v>
      </c>
      <c r="AT42" s="212">
        <v>1513.404845779439</v>
      </c>
      <c r="AU42" s="212" t="b">
        <v>0</v>
      </c>
      <c r="AV42" s="212"/>
      <c r="AW42" s="212">
        <v>630.58535240809965</v>
      </c>
      <c r="AX42" s="212">
        <v>653.40088050489715</v>
      </c>
      <c r="BA42" s="212">
        <v>630.58535240809965</v>
      </c>
      <c r="BB42" s="212">
        <v>653.40088050489715</v>
      </c>
      <c r="BC42" s="226">
        <v>653.40088050489715</v>
      </c>
      <c r="BD42" s="226">
        <v>0</v>
      </c>
    </row>
    <row r="43" spans="1:56" ht="39.950000000000003" hidden="1" customHeight="1" x14ac:dyDescent="0.2">
      <c r="A43" s="14" t="s">
        <v>226</v>
      </c>
      <c r="B43" s="65" t="s">
        <v>23</v>
      </c>
      <c r="C43" s="66" t="s">
        <v>87</v>
      </c>
      <c r="D43" s="13" t="s">
        <v>496</v>
      </c>
      <c r="E43" s="77" t="s">
        <v>872</v>
      </c>
      <c r="F43" s="14" t="s">
        <v>475</v>
      </c>
      <c r="G43" s="66" t="s">
        <v>227</v>
      </c>
      <c r="H43" s="14" t="s">
        <v>228</v>
      </c>
      <c r="I43" s="14" t="s">
        <v>181</v>
      </c>
      <c r="J43" s="14" t="s">
        <v>33</v>
      </c>
      <c r="K43" s="14" t="s">
        <v>209</v>
      </c>
      <c r="L43" s="65" t="s">
        <v>191</v>
      </c>
      <c r="M43" s="13" t="s">
        <v>59</v>
      </c>
      <c r="N43" s="13" t="s">
        <v>43</v>
      </c>
      <c r="O43" s="13" t="s">
        <v>538</v>
      </c>
      <c r="P43" s="13" t="s">
        <v>534</v>
      </c>
      <c r="Q43" s="64" t="s">
        <v>9</v>
      </c>
      <c r="R43" s="62">
        <v>30252.507596740797</v>
      </c>
      <c r="S43" s="63">
        <v>22500</v>
      </c>
      <c r="T43" s="62">
        <v>30252.507596740797</v>
      </c>
      <c r="U43" s="62">
        <v>201683.383978272</v>
      </c>
      <c r="V43" s="76">
        <v>886191.41097695439</v>
      </c>
      <c r="W43" s="61" t="s">
        <v>11</v>
      </c>
      <c r="X43" s="181">
        <v>1.8499999999999999E-2</v>
      </c>
      <c r="Y43" s="60">
        <v>43672</v>
      </c>
      <c r="Z43" s="60">
        <v>45197</v>
      </c>
      <c r="AA43" s="60">
        <v>45197</v>
      </c>
      <c r="AB43" s="58">
        <v>1526</v>
      </c>
      <c r="AC43" s="59" t="s">
        <v>10</v>
      </c>
      <c r="AD43" s="58">
        <v>546</v>
      </c>
      <c r="AE43" s="57">
        <v>1.4958904109589042</v>
      </c>
      <c r="AF43" s="56" t="s">
        <v>436</v>
      </c>
      <c r="AG43" s="71" t="s">
        <v>1</v>
      </c>
      <c r="AH43" s="71" t="s">
        <v>1</v>
      </c>
      <c r="AI43" s="70" t="s">
        <v>0</v>
      </c>
      <c r="AJ43" s="11" t="s">
        <v>0</v>
      </c>
      <c r="AK43" s="11" t="s">
        <v>271</v>
      </c>
      <c r="AL43" s="14" t="s">
        <v>350</v>
      </c>
      <c r="AM43" s="11">
        <v>9195</v>
      </c>
      <c r="AO43" s="197" t="s">
        <v>872</v>
      </c>
      <c r="AP43" s="198" t="s">
        <v>475</v>
      </c>
      <c r="AS43" s="212">
        <v>0</v>
      </c>
      <c r="AT43" s="212">
        <v>3630.3009116088956</v>
      </c>
      <c r="AU43" s="212">
        <v>726.06018232177917</v>
      </c>
      <c r="AV43" s="212"/>
      <c r="AW43" s="212">
        <v>0</v>
      </c>
      <c r="AX43" s="212">
        <v>0</v>
      </c>
      <c r="BA43" s="212">
        <v>0</v>
      </c>
      <c r="BB43" s="212">
        <v>0</v>
      </c>
      <c r="BC43" s="226">
        <v>0</v>
      </c>
      <c r="BD43" s="226"/>
    </row>
    <row r="44" spans="1:56" ht="39.950000000000003" hidden="1" customHeight="1" x14ac:dyDescent="0.2">
      <c r="A44" s="14" t="s">
        <v>235</v>
      </c>
      <c r="B44" s="65" t="s">
        <v>23</v>
      </c>
      <c r="C44" s="66" t="s">
        <v>37</v>
      </c>
      <c r="D44" s="13" t="s">
        <v>542</v>
      </c>
      <c r="E44" s="77" t="s">
        <v>91</v>
      </c>
      <c r="F44" s="14" t="s">
        <v>173</v>
      </c>
      <c r="G44" s="66" t="s">
        <v>174</v>
      </c>
      <c r="H44" s="14" t="s">
        <v>172</v>
      </c>
      <c r="I44" s="14" t="s">
        <v>236</v>
      </c>
      <c r="J44" s="66" t="s">
        <v>21</v>
      </c>
      <c r="K44" s="14" t="s">
        <v>139</v>
      </c>
      <c r="L44" s="65" t="s">
        <v>191</v>
      </c>
      <c r="M44" s="13" t="s">
        <v>323</v>
      </c>
      <c r="N44" s="13" t="s">
        <v>43</v>
      </c>
      <c r="O44" s="13" t="s">
        <v>533</v>
      </c>
      <c r="P44" s="13" t="s">
        <v>534</v>
      </c>
      <c r="Q44" s="64" t="s">
        <v>59</v>
      </c>
      <c r="R44" s="62">
        <v>14559.007658038028</v>
      </c>
      <c r="S44" s="63">
        <v>7700</v>
      </c>
      <c r="T44" s="62">
        <v>11210.435896689281</v>
      </c>
      <c r="U44" s="62">
        <v>101913.0536062662</v>
      </c>
      <c r="V44" s="76">
        <v>394291.82540838007</v>
      </c>
      <c r="W44" s="61" t="s">
        <v>11</v>
      </c>
      <c r="X44" s="181">
        <v>1.4500000000000001E-2</v>
      </c>
      <c r="Y44" s="60">
        <v>43706</v>
      </c>
      <c r="Z44" s="60">
        <v>45490</v>
      </c>
      <c r="AA44" s="60">
        <v>45490</v>
      </c>
      <c r="AB44" s="58">
        <v>1785</v>
      </c>
      <c r="AC44" s="59" t="s">
        <v>10</v>
      </c>
      <c r="AD44" s="58">
        <v>839</v>
      </c>
      <c r="AE44" s="57">
        <v>2.2986301369863016</v>
      </c>
      <c r="AF44" s="56"/>
      <c r="AG44" s="71" t="s">
        <v>1</v>
      </c>
      <c r="AH44" s="71" t="s">
        <v>1</v>
      </c>
      <c r="AI44" s="70" t="s">
        <v>0</v>
      </c>
      <c r="AJ44" s="11" t="s">
        <v>0</v>
      </c>
      <c r="AK44" s="11" t="s">
        <v>271</v>
      </c>
      <c r="AL44" s="14" t="s">
        <v>378</v>
      </c>
      <c r="AM44" s="11">
        <v>5000</v>
      </c>
      <c r="AO44" s="197" t="s">
        <v>91</v>
      </c>
      <c r="AP44" s="198" t="s">
        <v>173</v>
      </c>
      <c r="AS44" s="212">
        <v>0</v>
      </c>
      <c r="AT44" s="212">
        <v>1345.2523076027137</v>
      </c>
      <c r="AU44" s="212" t="b">
        <v>0</v>
      </c>
      <c r="AV44" s="212"/>
      <c r="AW44" s="212">
        <v>0</v>
      </c>
      <c r="AX44" s="212">
        <v>0</v>
      </c>
      <c r="BA44" s="212">
        <v>0</v>
      </c>
      <c r="BB44" s="212">
        <v>0</v>
      </c>
      <c r="BC44" s="226">
        <v>0</v>
      </c>
      <c r="BD44" s="226"/>
    </row>
    <row r="45" spans="1:56" ht="39.950000000000003" hidden="1" customHeight="1" x14ac:dyDescent="0.2">
      <c r="A45" s="14" t="s">
        <v>239</v>
      </c>
      <c r="B45" s="65" t="s">
        <v>24</v>
      </c>
      <c r="C45" s="66" t="s">
        <v>38</v>
      </c>
      <c r="D45" s="13" t="s">
        <v>540</v>
      </c>
      <c r="E45" s="77" t="s">
        <v>49</v>
      </c>
      <c r="F45" s="14" t="s">
        <v>233</v>
      </c>
      <c r="G45" s="131" t="s">
        <v>443</v>
      </c>
      <c r="H45" s="131" t="s">
        <v>234</v>
      </c>
      <c r="I45" s="14" t="s">
        <v>142</v>
      </c>
      <c r="J45" s="14" t="s">
        <v>218</v>
      </c>
      <c r="K45" s="14" t="s">
        <v>139</v>
      </c>
      <c r="L45" s="65" t="s">
        <v>191</v>
      </c>
      <c r="M45" s="13" t="s">
        <v>323</v>
      </c>
      <c r="N45" s="13" t="s">
        <v>43</v>
      </c>
      <c r="O45" s="13" t="s">
        <v>531</v>
      </c>
      <c r="P45" s="13" t="s">
        <v>534</v>
      </c>
      <c r="Q45" s="64" t="s">
        <v>9</v>
      </c>
      <c r="R45" s="62">
        <v>13445.5589318848</v>
      </c>
      <c r="S45" s="63">
        <v>13142.089</v>
      </c>
      <c r="T45" s="62">
        <v>17670.273213757497</v>
      </c>
      <c r="U45" s="62">
        <v>26891.117863769599</v>
      </c>
      <c r="V45" s="76">
        <v>779655.69957243127</v>
      </c>
      <c r="W45" s="61" t="s">
        <v>11</v>
      </c>
      <c r="X45" s="181">
        <v>6.25E-2</v>
      </c>
      <c r="Y45" s="60">
        <v>43707</v>
      </c>
      <c r="Z45" s="60">
        <v>44756</v>
      </c>
      <c r="AA45" s="60">
        <v>44756</v>
      </c>
      <c r="AB45" s="58">
        <v>1050</v>
      </c>
      <c r="AC45" s="59" t="s">
        <v>10</v>
      </c>
      <c r="AD45" s="58">
        <v>105</v>
      </c>
      <c r="AE45" s="57">
        <v>0.28767123287671231</v>
      </c>
      <c r="AF45" s="56"/>
      <c r="AG45" s="152" t="s">
        <v>1</v>
      </c>
      <c r="AH45" s="152" t="s">
        <v>1</v>
      </c>
      <c r="AI45" s="153" t="s">
        <v>765</v>
      </c>
      <c r="AJ45" s="11" t="s">
        <v>0</v>
      </c>
      <c r="AK45" s="11" t="s">
        <v>271</v>
      </c>
      <c r="AL45" s="14" t="s">
        <v>377</v>
      </c>
      <c r="AM45" s="11">
        <v>11000</v>
      </c>
      <c r="AO45" s="197" t="s">
        <v>49</v>
      </c>
      <c r="AP45" s="198" t="s">
        <v>233</v>
      </c>
      <c r="AS45" s="212">
        <v>0</v>
      </c>
      <c r="AT45" s="212">
        <v>2120.4327856508994</v>
      </c>
      <c r="AU45" s="212" t="b">
        <v>0</v>
      </c>
      <c r="AV45" s="212"/>
      <c r="AW45" s="212">
        <v>0</v>
      </c>
      <c r="AX45" s="212">
        <v>0</v>
      </c>
      <c r="BA45" s="212">
        <v>0</v>
      </c>
      <c r="BB45" s="212">
        <v>0</v>
      </c>
      <c r="BC45" s="226">
        <v>0</v>
      </c>
      <c r="BD45" s="226"/>
    </row>
    <row r="46" spans="1:56" ht="39.950000000000003" hidden="1" customHeight="1" x14ac:dyDescent="0.2">
      <c r="A46" s="14" t="s">
        <v>247</v>
      </c>
      <c r="B46" s="65" t="s">
        <v>67</v>
      </c>
      <c r="C46" s="66" t="s">
        <v>87</v>
      </c>
      <c r="D46" s="13" t="s">
        <v>542</v>
      </c>
      <c r="E46" s="77" t="s">
        <v>87</v>
      </c>
      <c r="F46" s="14" t="s">
        <v>48</v>
      </c>
      <c r="G46" s="66" t="s">
        <v>95</v>
      </c>
      <c r="H46" s="66" t="s">
        <v>447</v>
      </c>
      <c r="I46" s="14" t="s">
        <v>246</v>
      </c>
      <c r="J46" s="14" t="s">
        <v>219</v>
      </c>
      <c r="K46" s="14" t="s">
        <v>140</v>
      </c>
      <c r="L46" s="65" t="s">
        <v>191</v>
      </c>
      <c r="M46" s="13" t="s">
        <v>59</v>
      </c>
      <c r="N46" s="13" t="s">
        <v>43</v>
      </c>
      <c r="O46" s="13" t="s">
        <v>538</v>
      </c>
      <c r="P46" s="13" t="s">
        <v>534</v>
      </c>
      <c r="Q46" s="64" t="s">
        <v>9</v>
      </c>
      <c r="R46" s="62">
        <v>26891.117863769599</v>
      </c>
      <c r="S46" s="63">
        <v>20000</v>
      </c>
      <c r="T46" s="62">
        <v>26891.117863769599</v>
      </c>
      <c r="U46" s="62">
        <v>134455.58931884798</v>
      </c>
      <c r="V46" s="76">
        <v>1831835.1843386132</v>
      </c>
      <c r="W46" s="61" t="s">
        <v>11</v>
      </c>
      <c r="X46" s="181">
        <v>8.6999999999999994E-3</v>
      </c>
      <c r="Y46" s="60">
        <v>43732</v>
      </c>
      <c r="Z46" s="60">
        <v>46598</v>
      </c>
      <c r="AA46" s="60">
        <v>46598</v>
      </c>
      <c r="AB46" s="58">
        <v>2867</v>
      </c>
      <c r="AC46" s="59" t="s">
        <v>10</v>
      </c>
      <c r="AD46" s="58">
        <v>1947</v>
      </c>
      <c r="AE46" s="57">
        <v>5.3342465753424655</v>
      </c>
      <c r="AF46" s="56" t="s">
        <v>436</v>
      </c>
      <c r="AG46" s="152" t="s">
        <v>1</v>
      </c>
      <c r="AH46" s="152" t="s">
        <v>1</v>
      </c>
      <c r="AI46" s="153" t="s">
        <v>0</v>
      </c>
      <c r="AJ46" s="11" t="s">
        <v>0</v>
      </c>
      <c r="AK46" s="11" t="s">
        <v>271</v>
      </c>
      <c r="AL46" s="14" t="s">
        <v>381</v>
      </c>
      <c r="AM46" s="11">
        <v>13000</v>
      </c>
      <c r="AO46" s="197" t="s">
        <v>87</v>
      </c>
      <c r="AP46" s="198" t="s">
        <v>48</v>
      </c>
      <c r="AS46" s="212">
        <v>0</v>
      </c>
      <c r="AT46" s="212">
        <v>3226.9341436523518</v>
      </c>
      <c r="AU46" s="212">
        <v>645.38682873047037</v>
      </c>
      <c r="AV46" s="212"/>
      <c r="AW46" s="212">
        <v>0</v>
      </c>
      <c r="AX46" s="212">
        <v>0</v>
      </c>
      <c r="BA46" s="212">
        <v>0</v>
      </c>
      <c r="BB46" s="212">
        <v>0</v>
      </c>
      <c r="BC46" s="226">
        <v>0</v>
      </c>
      <c r="BD46" s="226"/>
    </row>
    <row r="47" spans="1:56" ht="39.950000000000003" hidden="1" customHeight="1" x14ac:dyDescent="0.2">
      <c r="A47" s="14" t="s">
        <v>240</v>
      </c>
      <c r="B47" s="65" t="s">
        <v>51</v>
      </c>
      <c r="C47" s="66" t="s">
        <v>38</v>
      </c>
      <c r="D47" s="13" t="s">
        <v>541</v>
      </c>
      <c r="E47" s="77" t="s">
        <v>38</v>
      </c>
      <c r="F47" s="14" t="s">
        <v>102</v>
      </c>
      <c r="G47" s="66" t="s">
        <v>102</v>
      </c>
      <c r="H47" s="14" t="s">
        <v>474</v>
      </c>
      <c r="I47" s="14" t="s">
        <v>237</v>
      </c>
      <c r="J47" s="14" t="s">
        <v>219</v>
      </c>
      <c r="K47" s="14" t="s">
        <v>101</v>
      </c>
      <c r="L47" s="65" t="s">
        <v>191</v>
      </c>
      <c r="M47" s="13" t="s">
        <v>323</v>
      </c>
      <c r="N47" s="13" t="s">
        <v>43</v>
      </c>
      <c r="O47" s="13" t="s">
        <v>538</v>
      </c>
      <c r="P47" s="13" t="s">
        <v>534</v>
      </c>
      <c r="Q47" s="64" t="s">
        <v>238</v>
      </c>
      <c r="R47" s="62">
        <v>27594.362865871688</v>
      </c>
      <c r="S47" s="63">
        <v>28000</v>
      </c>
      <c r="T47" s="62">
        <v>27594.362865871688</v>
      </c>
      <c r="U47" s="62">
        <v>98551.295949541745</v>
      </c>
      <c r="V47" s="76">
        <v>1245047.7481028875</v>
      </c>
      <c r="W47" s="61" t="s">
        <v>11</v>
      </c>
      <c r="X47" s="181">
        <v>2.0400000000000001E-2</v>
      </c>
      <c r="Y47" s="60">
        <v>43738</v>
      </c>
      <c r="Z47" s="60">
        <v>45148</v>
      </c>
      <c r="AA47" s="60">
        <v>45148</v>
      </c>
      <c r="AB47" s="58">
        <v>1411</v>
      </c>
      <c r="AC47" s="59" t="s">
        <v>10</v>
      </c>
      <c r="AD47" s="58">
        <v>497</v>
      </c>
      <c r="AE47" s="57">
        <v>1.3616438356164384</v>
      </c>
      <c r="AF47" s="56" t="s">
        <v>436</v>
      </c>
      <c r="AG47" s="152" t="s">
        <v>1</v>
      </c>
      <c r="AH47" s="152" t="s">
        <v>1</v>
      </c>
      <c r="AI47" s="153" t="s">
        <v>0</v>
      </c>
      <c r="AJ47" s="11" t="s">
        <v>0</v>
      </c>
      <c r="AK47" s="11" t="s">
        <v>271</v>
      </c>
      <c r="AL47" s="14" t="s">
        <v>379</v>
      </c>
      <c r="AM47" s="11">
        <v>10372.5</v>
      </c>
      <c r="AO47" s="197" t="s">
        <v>38</v>
      </c>
      <c r="AP47" s="198" t="s">
        <v>102</v>
      </c>
      <c r="AS47" s="212">
        <v>0</v>
      </c>
      <c r="AT47" s="212">
        <v>3311.3235439046025</v>
      </c>
      <c r="AU47" s="212">
        <v>662.2647087809205</v>
      </c>
      <c r="AV47" s="212"/>
      <c r="AW47" s="212">
        <v>0</v>
      </c>
      <c r="AX47" s="212">
        <v>0</v>
      </c>
      <c r="BA47" s="212">
        <v>0</v>
      </c>
      <c r="BB47" s="212">
        <v>0</v>
      </c>
      <c r="BC47" s="226">
        <v>0</v>
      </c>
      <c r="BD47" s="226"/>
    </row>
    <row r="48" spans="1:56" ht="39.950000000000003" hidden="1" customHeight="1" x14ac:dyDescent="0.2">
      <c r="A48" s="14" t="s">
        <v>244</v>
      </c>
      <c r="B48" s="65" t="s">
        <v>23</v>
      </c>
      <c r="C48" s="66" t="s">
        <v>38</v>
      </c>
      <c r="D48" s="13" t="s">
        <v>541</v>
      </c>
      <c r="E48" s="77" t="s">
        <v>38</v>
      </c>
      <c r="F48" s="14" t="s">
        <v>106</v>
      </c>
      <c r="G48" s="66" t="s">
        <v>106</v>
      </c>
      <c r="H48" s="14" t="s">
        <v>245</v>
      </c>
      <c r="I48" s="14" t="s">
        <v>50</v>
      </c>
      <c r="J48" s="14" t="s">
        <v>21</v>
      </c>
      <c r="K48" s="14" t="s">
        <v>101</v>
      </c>
      <c r="L48" s="65" t="s">
        <v>191</v>
      </c>
      <c r="M48" s="13" t="s">
        <v>323</v>
      </c>
      <c r="N48" s="13" t="s">
        <v>43</v>
      </c>
      <c r="O48" s="13" t="s">
        <v>533</v>
      </c>
      <c r="P48" s="13" t="s">
        <v>534</v>
      </c>
      <c r="Q48" s="64" t="s">
        <v>8</v>
      </c>
      <c r="R48" s="62">
        <v>25000</v>
      </c>
      <c r="S48" s="63">
        <v>25000</v>
      </c>
      <c r="T48" s="62">
        <v>25000</v>
      </c>
      <c r="U48" s="62">
        <v>75000</v>
      </c>
      <c r="V48" s="76">
        <v>711986.31</v>
      </c>
      <c r="W48" s="61" t="s">
        <v>11</v>
      </c>
      <c r="X48" s="181">
        <v>1.35E-2</v>
      </c>
      <c r="Y48" s="60">
        <v>43756</v>
      </c>
      <c r="Z48" s="60">
        <v>45520</v>
      </c>
      <c r="AA48" s="60">
        <v>45520</v>
      </c>
      <c r="AB48" s="58">
        <v>1765</v>
      </c>
      <c r="AC48" s="59" t="s">
        <v>10</v>
      </c>
      <c r="AD48" s="58">
        <v>869</v>
      </c>
      <c r="AE48" s="57">
        <v>2.3808219178082193</v>
      </c>
      <c r="AF48" s="56" t="s">
        <v>436</v>
      </c>
      <c r="AG48" s="71" t="s">
        <v>1</v>
      </c>
      <c r="AH48" s="71" t="s">
        <v>1</v>
      </c>
      <c r="AI48" s="70" t="s">
        <v>0</v>
      </c>
      <c r="AJ48" s="11" t="s">
        <v>0</v>
      </c>
      <c r="AK48" s="11" t="s">
        <v>271</v>
      </c>
      <c r="AL48" s="14" t="s">
        <v>371</v>
      </c>
      <c r="AM48" s="11">
        <v>6000</v>
      </c>
      <c r="AO48" s="197" t="s">
        <v>38</v>
      </c>
      <c r="AP48" s="198" t="s">
        <v>106</v>
      </c>
      <c r="AS48" s="212">
        <v>0</v>
      </c>
      <c r="AT48" s="212">
        <v>3000</v>
      </c>
      <c r="AU48" s="212">
        <v>600</v>
      </c>
      <c r="AV48" s="212"/>
      <c r="AW48" s="212">
        <v>0</v>
      </c>
      <c r="AX48" s="212">
        <v>0</v>
      </c>
      <c r="BA48" s="212">
        <v>0</v>
      </c>
      <c r="BB48" s="212">
        <v>0</v>
      </c>
      <c r="BC48" s="226">
        <v>0</v>
      </c>
      <c r="BD48" s="226"/>
    </row>
    <row r="49" spans="1:56" ht="39.950000000000003" hidden="1" customHeight="1" x14ac:dyDescent="0.2">
      <c r="A49" s="14" t="s">
        <v>248</v>
      </c>
      <c r="B49" s="65" t="s">
        <v>24</v>
      </c>
      <c r="C49" s="66" t="s">
        <v>127</v>
      </c>
      <c r="D49" s="13" t="s">
        <v>542</v>
      </c>
      <c r="E49" s="77" t="s">
        <v>127</v>
      </c>
      <c r="F49" s="14" t="s">
        <v>546</v>
      </c>
      <c r="G49" s="66" t="s">
        <v>249</v>
      </c>
      <c r="H49" s="14" t="s">
        <v>767</v>
      </c>
      <c r="I49" s="14" t="s">
        <v>158</v>
      </c>
      <c r="J49" s="14" t="s">
        <v>220</v>
      </c>
      <c r="K49" s="14" t="s">
        <v>29</v>
      </c>
      <c r="L49" s="65" t="s">
        <v>191</v>
      </c>
      <c r="M49" s="13" t="s">
        <v>59</v>
      </c>
      <c r="N49" s="13" t="s">
        <v>43</v>
      </c>
      <c r="O49" s="13" t="s">
        <v>538</v>
      </c>
      <c r="P49" s="13" t="s">
        <v>534</v>
      </c>
      <c r="Q49" s="64" t="s">
        <v>59</v>
      </c>
      <c r="R49" s="62">
        <v>14559.007658038028</v>
      </c>
      <c r="S49" s="63">
        <v>10000</v>
      </c>
      <c r="T49" s="62">
        <v>14559.007658038028</v>
      </c>
      <c r="U49" s="62">
        <v>191544.65247648719</v>
      </c>
      <c r="V49" s="76">
        <v>761228.82392336137</v>
      </c>
      <c r="W49" s="61" t="s">
        <v>11</v>
      </c>
      <c r="X49" s="181">
        <v>1.7500000000000002E-2</v>
      </c>
      <c r="Y49" s="60">
        <v>43784</v>
      </c>
      <c r="Z49" s="60">
        <v>45627</v>
      </c>
      <c r="AA49" s="60">
        <v>45627</v>
      </c>
      <c r="AB49" s="58">
        <v>1844</v>
      </c>
      <c r="AC49" s="59" t="s">
        <v>10</v>
      </c>
      <c r="AD49" s="58">
        <v>976</v>
      </c>
      <c r="AE49" s="57">
        <v>2.6739726027397261</v>
      </c>
      <c r="AF49" s="56"/>
      <c r="AG49" s="71" t="s">
        <v>1</v>
      </c>
      <c r="AH49" s="71" t="s">
        <v>1</v>
      </c>
      <c r="AI49" s="70" t="s">
        <v>0</v>
      </c>
      <c r="AJ49" s="11" t="s">
        <v>0</v>
      </c>
      <c r="AK49" s="11" t="s">
        <v>271</v>
      </c>
      <c r="AL49" s="14" t="s">
        <v>372</v>
      </c>
      <c r="AM49" s="11">
        <v>8100</v>
      </c>
      <c r="AO49" s="197" t="s">
        <v>127</v>
      </c>
      <c r="AP49" s="198" t="s">
        <v>546</v>
      </c>
      <c r="AS49" s="212">
        <v>0</v>
      </c>
      <c r="AT49" s="212">
        <v>1747.0809189645634</v>
      </c>
      <c r="AU49" s="212" t="b">
        <v>0</v>
      </c>
      <c r="AV49" s="212"/>
      <c r="AW49" s="212">
        <v>0</v>
      </c>
      <c r="AX49" s="212">
        <v>0</v>
      </c>
      <c r="BA49" s="212">
        <v>0</v>
      </c>
      <c r="BB49" s="212">
        <v>0</v>
      </c>
      <c r="BC49" s="226">
        <v>0</v>
      </c>
      <c r="BD49" s="226"/>
    </row>
    <row r="50" spans="1:56" ht="39.950000000000003" hidden="1" customHeight="1" x14ac:dyDescent="0.2">
      <c r="A50" s="14" t="s">
        <v>260</v>
      </c>
      <c r="B50" s="65" t="s">
        <v>51</v>
      </c>
      <c r="C50" s="66" t="s">
        <v>119</v>
      </c>
      <c r="D50" s="13" t="s">
        <v>542</v>
      </c>
      <c r="E50" s="77" t="s">
        <v>119</v>
      </c>
      <c r="F50" s="14" t="s">
        <v>106</v>
      </c>
      <c r="G50" s="66" t="s">
        <v>106</v>
      </c>
      <c r="H50" s="14" t="s">
        <v>263</v>
      </c>
      <c r="I50" s="14" t="s">
        <v>264</v>
      </c>
      <c r="J50" s="14" t="s">
        <v>221</v>
      </c>
      <c r="K50" s="14" t="s">
        <v>13</v>
      </c>
      <c r="L50" s="65" t="s">
        <v>191</v>
      </c>
      <c r="M50" s="13" t="s">
        <v>59</v>
      </c>
      <c r="N50" s="13" t="s">
        <v>43</v>
      </c>
      <c r="O50" s="13" t="s">
        <v>538</v>
      </c>
      <c r="P50" s="13" t="s">
        <v>534</v>
      </c>
      <c r="Q50" s="64" t="s">
        <v>59</v>
      </c>
      <c r="R50" s="62">
        <v>21838.51148705704</v>
      </c>
      <c r="S50" s="63">
        <v>15000</v>
      </c>
      <c r="T50" s="62">
        <v>21838.51148705704</v>
      </c>
      <c r="U50" s="62">
        <v>70756.777218064817</v>
      </c>
      <c r="V50" s="76">
        <v>846597.47255627043</v>
      </c>
      <c r="W50" s="61" t="s">
        <v>11</v>
      </c>
      <c r="X50" s="181">
        <v>2.1999999999999999E-2</v>
      </c>
      <c r="Y50" s="60">
        <v>43805</v>
      </c>
      <c r="Z50" s="60">
        <v>45306</v>
      </c>
      <c r="AA50" s="60">
        <v>45306</v>
      </c>
      <c r="AB50" s="58">
        <v>1502</v>
      </c>
      <c r="AC50" s="59" t="s">
        <v>10</v>
      </c>
      <c r="AD50" s="58">
        <v>655</v>
      </c>
      <c r="AE50" s="57">
        <v>1.7945205479452055</v>
      </c>
      <c r="AF50" s="56"/>
      <c r="AG50" s="71" t="s">
        <v>1</v>
      </c>
      <c r="AH50" s="71" t="s">
        <v>1</v>
      </c>
      <c r="AI50" s="70" t="s">
        <v>0</v>
      </c>
      <c r="AJ50" s="11" t="s">
        <v>0</v>
      </c>
      <c r="AK50" s="11" t="s">
        <v>271</v>
      </c>
      <c r="AL50" s="14" t="s">
        <v>380</v>
      </c>
      <c r="AM50" s="11">
        <v>7250</v>
      </c>
      <c r="AO50" s="197" t="s">
        <v>119</v>
      </c>
      <c r="AP50" s="198" t="s">
        <v>106</v>
      </c>
      <c r="AS50" s="212">
        <v>0</v>
      </c>
      <c r="AT50" s="212">
        <v>2620.6213784468446</v>
      </c>
      <c r="AU50" s="212" t="b">
        <v>0</v>
      </c>
      <c r="AV50" s="212"/>
      <c r="AW50" s="212">
        <v>0</v>
      </c>
      <c r="AX50" s="212">
        <v>0</v>
      </c>
      <c r="BA50" s="212">
        <v>0</v>
      </c>
      <c r="BB50" s="212">
        <v>0</v>
      </c>
      <c r="BC50" s="226">
        <v>0</v>
      </c>
      <c r="BD50" s="226"/>
    </row>
    <row r="51" spans="1:56" ht="39.950000000000003" hidden="1" customHeight="1" x14ac:dyDescent="0.2">
      <c r="A51" s="14" t="s">
        <v>261</v>
      </c>
      <c r="B51" s="65" t="s">
        <v>51</v>
      </c>
      <c r="C51" s="66" t="s">
        <v>119</v>
      </c>
      <c r="D51" s="13" t="s">
        <v>542</v>
      </c>
      <c r="E51" s="77" t="s">
        <v>119</v>
      </c>
      <c r="F51" s="14" t="s">
        <v>106</v>
      </c>
      <c r="G51" s="66" t="s">
        <v>106</v>
      </c>
      <c r="H51" s="14" t="s">
        <v>263</v>
      </c>
      <c r="I51" s="14" t="s">
        <v>264</v>
      </c>
      <c r="J51" s="14" t="s">
        <v>221</v>
      </c>
      <c r="K51" s="14" t="s">
        <v>13</v>
      </c>
      <c r="L51" s="65" t="s">
        <v>191</v>
      </c>
      <c r="M51" s="13" t="s">
        <v>59</v>
      </c>
      <c r="N51" s="13" t="s">
        <v>43</v>
      </c>
      <c r="O51" s="13" t="s">
        <v>538</v>
      </c>
      <c r="P51" s="13" t="s">
        <v>534</v>
      </c>
      <c r="Q51" s="64" t="s">
        <v>59</v>
      </c>
      <c r="R51" s="62">
        <v>29118.015316076056</v>
      </c>
      <c r="S51" s="63">
        <v>20000</v>
      </c>
      <c r="T51" s="62">
        <v>29118.015316076056</v>
      </c>
      <c r="U51" s="62">
        <v>131395.04411379321</v>
      </c>
      <c r="V51" s="76">
        <v>697140.31971580815</v>
      </c>
      <c r="W51" s="61" t="s">
        <v>11</v>
      </c>
      <c r="X51" s="181">
        <v>1.7999999999999999E-2</v>
      </c>
      <c r="Y51" s="60">
        <v>43809</v>
      </c>
      <c r="Z51" s="60">
        <v>45674</v>
      </c>
      <c r="AA51" s="60">
        <v>44943</v>
      </c>
      <c r="AB51" s="58">
        <v>1135</v>
      </c>
      <c r="AC51" s="59" t="s">
        <v>10</v>
      </c>
      <c r="AD51" s="58">
        <v>292</v>
      </c>
      <c r="AE51" s="57">
        <v>0.8</v>
      </c>
      <c r="AF51" s="56" t="s">
        <v>436</v>
      </c>
      <c r="AG51" s="152" t="s">
        <v>1</v>
      </c>
      <c r="AH51" s="152" t="s">
        <v>1</v>
      </c>
      <c r="AI51" s="153" t="s">
        <v>0</v>
      </c>
      <c r="AJ51" s="11" t="s">
        <v>0</v>
      </c>
      <c r="AK51" s="11" t="s">
        <v>271</v>
      </c>
      <c r="AL51" s="14" t="s">
        <v>383</v>
      </c>
      <c r="AM51" s="11">
        <v>5937.5</v>
      </c>
      <c r="AO51" s="197" t="s">
        <v>119</v>
      </c>
      <c r="AP51" s="198" t="s">
        <v>106</v>
      </c>
      <c r="AS51" s="212">
        <v>0</v>
      </c>
      <c r="AT51" s="212">
        <v>3494.1618379291267</v>
      </c>
      <c r="AU51" s="212">
        <v>698.83236758582541</v>
      </c>
      <c r="AV51" s="212"/>
      <c r="AW51" s="212">
        <v>0</v>
      </c>
      <c r="AX51" s="212">
        <v>0</v>
      </c>
      <c r="BA51" s="212">
        <v>0</v>
      </c>
      <c r="BB51" s="212">
        <v>0</v>
      </c>
      <c r="BC51" s="226">
        <v>0</v>
      </c>
      <c r="BD51" s="226"/>
    </row>
    <row r="52" spans="1:56" ht="39.950000000000003" hidden="1" customHeight="1" x14ac:dyDescent="0.2">
      <c r="A52" s="14" t="s">
        <v>262</v>
      </c>
      <c r="B52" s="65" t="s">
        <v>51</v>
      </c>
      <c r="C52" s="66" t="s">
        <v>127</v>
      </c>
      <c r="D52" s="13" t="s">
        <v>499</v>
      </c>
      <c r="E52" s="77" t="s">
        <v>162</v>
      </c>
      <c r="F52" s="14" t="s">
        <v>547</v>
      </c>
      <c r="G52" s="66" t="s">
        <v>265</v>
      </c>
      <c r="H52" s="14" t="s">
        <v>266</v>
      </c>
      <c r="I52" s="14" t="s">
        <v>158</v>
      </c>
      <c r="J52" s="14" t="s">
        <v>220</v>
      </c>
      <c r="K52" s="14" t="s">
        <v>29</v>
      </c>
      <c r="L52" s="65" t="s">
        <v>191</v>
      </c>
      <c r="M52" s="13" t="s">
        <v>59</v>
      </c>
      <c r="N52" s="13" t="s">
        <v>43</v>
      </c>
      <c r="O52" s="13" t="s">
        <v>538</v>
      </c>
      <c r="P52" s="13" t="s">
        <v>534</v>
      </c>
      <c r="Q52" s="64" t="s">
        <v>9</v>
      </c>
      <c r="R52" s="62">
        <v>26891.117863769599</v>
      </c>
      <c r="S52" s="63">
        <v>20000</v>
      </c>
      <c r="T52" s="62">
        <v>26891.117863769599</v>
      </c>
      <c r="U52" s="62">
        <v>168069.48664855998</v>
      </c>
      <c r="V52" s="76">
        <v>808624.35797456105</v>
      </c>
      <c r="W52" s="61" t="s">
        <v>551</v>
      </c>
      <c r="X52" s="181">
        <v>2.2499999999999999E-2</v>
      </c>
      <c r="Y52" s="60">
        <v>43819</v>
      </c>
      <c r="Z52" s="60">
        <v>44791</v>
      </c>
      <c r="AA52" s="60">
        <v>44791</v>
      </c>
      <c r="AB52" s="58">
        <v>973</v>
      </c>
      <c r="AC52" s="59" t="s">
        <v>10</v>
      </c>
      <c r="AD52" s="58">
        <v>140</v>
      </c>
      <c r="AE52" s="57">
        <v>0.38356164383561642</v>
      </c>
      <c r="AF52" s="56" t="s">
        <v>436</v>
      </c>
      <c r="AG52" s="71" t="s">
        <v>1</v>
      </c>
      <c r="AH52" s="71" t="s">
        <v>1</v>
      </c>
      <c r="AI52" s="70" t="s">
        <v>0</v>
      </c>
      <c r="AJ52" s="11" t="s">
        <v>0</v>
      </c>
      <c r="AK52" s="11" t="s">
        <v>271</v>
      </c>
      <c r="AL52" s="14" t="s">
        <v>384</v>
      </c>
      <c r="AM52" s="11">
        <v>7012.5</v>
      </c>
      <c r="AO52" s="197" t="s">
        <v>162</v>
      </c>
      <c r="AP52" s="198" t="s">
        <v>547</v>
      </c>
      <c r="AS52" s="212">
        <v>0</v>
      </c>
      <c r="AT52" s="212">
        <v>3226.9341436523518</v>
      </c>
      <c r="AU52" s="212">
        <v>645.38682873047037</v>
      </c>
      <c r="AV52" s="212"/>
      <c r="AW52" s="212">
        <v>0</v>
      </c>
      <c r="AX52" s="212">
        <v>0</v>
      </c>
      <c r="BA52" s="212">
        <v>0</v>
      </c>
      <c r="BB52" s="212">
        <v>0</v>
      </c>
      <c r="BC52" s="226">
        <v>0</v>
      </c>
      <c r="BD52" s="226"/>
    </row>
    <row r="53" spans="1:56" ht="39.950000000000003" hidden="1" customHeight="1" x14ac:dyDescent="0.2">
      <c r="A53" s="14" t="s">
        <v>276</v>
      </c>
      <c r="B53" s="65" t="s">
        <v>51</v>
      </c>
      <c r="C53" s="66" t="s">
        <v>38</v>
      </c>
      <c r="D53" s="13" t="s">
        <v>540</v>
      </c>
      <c r="E53" s="77" t="s">
        <v>274</v>
      </c>
      <c r="F53" s="14" t="s">
        <v>48</v>
      </c>
      <c r="G53" s="66" t="s">
        <v>95</v>
      </c>
      <c r="H53" s="14" t="s">
        <v>275</v>
      </c>
      <c r="I53" s="14" t="s">
        <v>50</v>
      </c>
      <c r="J53" s="14" t="s">
        <v>21</v>
      </c>
      <c r="K53" s="14" t="s">
        <v>45</v>
      </c>
      <c r="L53" s="65" t="s">
        <v>191</v>
      </c>
      <c r="M53" s="13" t="s">
        <v>323</v>
      </c>
      <c r="N53" s="13" t="s">
        <v>43</v>
      </c>
      <c r="O53" s="13" t="s">
        <v>538</v>
      </c>
      <c r="P53" s="13" t="s">
        <v>548</v>
      </c>
      <c r="Q53" s="64" t="s">
        <v>9</v>
      </c>
      <c r="R53" s="62">
        <v>26891.117863769599</v>
      </c>
      <c r="S53" s="63">
        <v>20000</v>
      </c>
      <c r="T53" s="62">
        <v>26891.117863769599</v>
      </c>
      <c r="U53" s="62">
        <v>175000</v>
      </c>
      <c r="V53" s="76">
        <v>673435.60921827529</v>
      </c>
      <c r="W53" s="61" t="s">
        <v>11</v>
      </c>
      <c r="X53" s="181">
        <v>1.77E-2</v>
      </c>
      <c r="Y53" s="60">
        <v>43850</v>
      </c>
      <c r="Z53" s="60">
        <v>45562</v>
      </c>
      <c r="AA53" s="60">
        <v>45562</v>
      </c>
      <c r="AB53" s="58">
        <v>1713</v>
      </c>
      <c r="AC53" s="59" t="s">
        <v>10</v>
      </c>
      <c r="AD53" s="58">
        <v>911</v>
      </c>
      <c r="AE53" s="57">
        <v>2.495890410958904</v>
      </c>
      <c r="AF53" s="56" t="s">
        <v>436</v>
      </c>
      <c r="AG53" s="71" t="s">
        <v>1</v>
      </c>
      <c r="AH53" s="71" t="s">
        <v>1</v>
      </c>
      <c r="AI53" s="70" t="s">
        <v>0</v>
      </c>
      <c r="AJ53" s="11" t="s">
        <v>0</v>
      </c>
      <c r="AK53" s="11" t="s">
        <v>271</v>
      </c>
      <c r="AL53" s="14" t="s">
        <v>385</v>
      </c>
      <c r="AM53" s="11">
        <v>6697.5</v>
      </c>
      <c r="AN53" s="11">
        <v>7000</v>
      </c>
      <c r="AO53" s="197" t="s">
        <v>274</v>
      </c>
      <c r="AP53" s="198" t="s">
        <v>48</v>
      </c>
      <c r="AS53" s="212">
        <v>0</v>
      </c>
      <c r="AT53" s="212">
        <v>3226.9341436523518</v>
      </c>
      <c r="AU53" s="212">
        <v>645.38682873047037</v>
      </c>
      <c r="AV53" s="212"/>
      <c r="AW53" s="212">
        <v>0</v>
      </c>
      <c r="AX53" s="212">
        <v>0</v>
      </c>
      <c r="BA53" s="212">
        <v>0</v>
      </c>
      <c r="BB53" s="212">
        <v>0</v>
      </c>
      <c r="BC53" s="226">
        <v>0</v>
      </c>
      <c r="BD53" s="226"/>
    </row>
    <row r="54" spans="1:56" ht="39.950000000000003" hidden="1" customHeight="1" x14ac:dyDescent="0.2">
      <c r="A54" s="14" t="s">
        <v>284</v>
      </c>
      <c r="B54" s="65" t="s">
        <v>24</v>
      </c>
      <c r="C54" s="66" t="s">
        <v>127</v>
      </c>
      <c r="D54" s="13" t="s">
        <v>542</v>
      </c>
      <c r="E54" s="77" t="s">
        <v>88</v>
      </c>
      <c r="F54" s="14" t="s">
        <v>104</v>
      </c>
      <c r="G54" s="66" t="s">
        <v>105</v>
      </c>
      <c r="H54" s="14" t="s">
        <v>285</v>
      </c>
      <c r="I54" s="14" t="s">
        <v>286</v>
      </c>
      <c r="J54" s="14" t="s">
        <v>220</v>
      </c>
      <c r="K54" s="14" t="s">
        <v>209</v>
      </c>
      <c r="L54" s="65" t="s">
        <v>191</v>
      </c>
      <c r="M54" s="13" t="s">
        <v>59</v>
      </c>
      <c r="N54" s="13" t="s">
        <v>43</v>
      </c>
      <c r="O54" s="13" t="s">
        <v>538</v>
      </c>
      <c r="P54" s="13" t="s">
        <v>548</v>
      </c>
      <c r="Q54" s="64" t="s">
        <v>59</v>
      </c>
      <c r="R54" s="62">
        <v>21838.51148705704</v>
      </c>
      <c r="S54" s="76">
        <v>13175.674999999999</v>
      </c>
      <c r="T54" s="62">
        <v>19182.475322482016</v>
      </c>
      <c r="U54" s="62">
        <v>174708.09189645632</v>
      </c>
      <c r="V54" s="62">
        <v>827603.01953818824</v>
      </c>
      <c r="W54" s="61" t="s">
        <v>11</v>
      </c>
      <c r="X54" s="181">
        <v>0.01</v>
      </c>
      <c r="Y54" s="60">
        <v>43861</v>
      </c>
      <c r="Z54" s="60">
        <v>45868</v>
      </c>
      <c r="AA54" s="60">
        <v>45868</v>
      </c>
      <c r="AB54" s="58">
        <v>2008</v>
      </c>
      <c r="AC54" s="75" t="s">
        <v>10</v>
      </c>
      <c r="AD54" s="58">
        <v>1217</v>
      </c>
      <c r="AE54" s="57">
        <v>3.3342465753424659</v>
      </c>
      <c r="AF54" s="56"/>
      <c r="AG54" s="71" t="s">
        <v>1</v>
      </c>
      <c r="AH54" s="71" t="s">
        <v>1</v>
      </c>
      <c r="AI54" s="153" t="s">
        <v>735</v>
      </c>
      <c r="AJ54" s="11" t="s">
        <v>0</v>
      </c>
      <c r="AK54" s="11" t="s">
        <v>271</v>
      </c>
      <c r="AL54" s="14" t="s">
        <v>389</v>
      </c>
      <c r="AM54" s="11">
        <v>10000</v>
      </c>
      <c r="AN54" s="11">
        <v>30000</v>
      </c>
      <c r="AO54" s="197" t="s">
        <v>88</v>
      </c>
      <c r="AP54" s="198" t="s">
        <v>104</v>
      </c>
      <c r="AS54" s="212">
        <v>0</v>
      </c>
      <c r="AT54" s="212">
        <v>2301.8970386978417</v>
      </c>
      <c r="AU54" s="212" t="b">
        <v>0</v>
      </c>
      <c r="AV54" s="212"/>
      <c r="AW54" s="212">
        <v>0</v>
      </c>
      <c r="AX54" s="212">
        <v>0</v>
      </c>
      <c r="BA54" s="212">
        <v>0</v>
      </c>
      <c r="BB54" s="212">
        <v>0</v>
      </c>
      <c r="BC54" s="226">
        <v>0</v>
      </c>
      <c r="BD54" s="226"/>
    </row>
    <row r="55" spans="1:56" ht="39.950000000000003" hidden="1" customHeight="1" x14ac:dyDescent="0.2">
      <c r="A55" s="14" t="s">
        <v>289</v>
      </c>
      <c r="B55" s="65" t="s">
        <v>24</v>
      </c>
      <c r="C55" s="66" t="s">
        <v>38</v>
      </c>
      <c r="D55" s="13" t="s">
        <v>540</v>
      </c>
      <c r="E55" s="77" t="s">
        <v>35</v>
      </c>
      <c r="F55" s="14" t="s">
        <v>546</v>
      </c>
      <c r="G55" s="66" t="s">
        <v>259</v>
      </c>
      <c r="H55" s="14" t="s">
        <v>258</v>
      </c>
      <c r="I55" s="133" t="s">
        <v>638</v>
      </c>
      <c r="J55" s="14" t="s">
        <v>687</v>
      </c>
      <c r="K55" s="14" t="s">
        <v>209</v>
      </c>
      <c r="L55" s="65" t="s">
        <v>191</v>
      </c>
      <c r="M55" s="13" t="s">
        <v>323</v>
      </c>
      <c r="N55" s="13" t="s">
        <v>43</v>
      </c>
      <c r="O55" s="13" t="s">
        <v>531</v>
      </c>
      <c r="P55" s="13" t="s">
        <v>534</v>
      </c>
      <c r="Q55" s="64" t="s">
        <v>9</v>
      </c>
      <c r="R55" s="62">
        <v>13445.5589318848</v>
      </c>
      <c r="S55" s="73">
        <v>10000</v>
      </c>
      <c r="T55" s="62">
        <v>13445.5589318848</v>
      </c>
      <c r="U55" s="62">
        <v>40336.676795654399</v>
      </c>
      <c r="V55" s="62">
        <v>2202151.652459193</v>
      </c>
      <c r="W55" s="61" t="s">
        <v>11</v>
      </c>
      <c r="X55" s="181">
        <v>0.04</v>
      </c>
      <c r="Y55" s="60">
        <v>44629</v>
      </c>
      <c r="Z55" s="60">
        <v>46442</v>
      </c>
      <c r="AA55" s="60">
        <v>46486</v>
      </c>
      <c r="AB55" s="58">
        <v>1858</v>
      </c>
      <c r="AC55" s="59" t="s">
        <v>10</v>
      </c>
      <c r="AD55" s="58">
        <v>1835</v>
      </c>
      <c r="AE55" s="57">
        <v>5.0273972602739727</v>
      </c>
      <c r="AF55" s="56"/>
      <c r="AG55" s="71" t="s">
        <v>1</v>
      </c>
      <c r="AH55" s="71" t="s">
        <v>1</v>
      </c>
      <c r="AI55" s="70" t="s">
        <v>752</v>
      </c>
      <c r="AJ55" s="11" t="s">
        <v>0</v>
      </c>
      <c r="AK55" s="11" t="s">
        <v>563</v>
      </c>
      <c r="AL55" s="14" t="s">
        <v>386</v>
      </c>
      <c r="AM55" s="11">
        <v>10000</v>
      </c>
      <c r="AN55" s="11">
        <v>66600</v>
      </c>
      <c r="AO55" s="197" t="s">
        <v>35</v>
      </c>
      <c r="AP55" s="198" t="s">
        <v>546</v>
      </c>
      <c r="AS55" s="212">
        <v>0</v>
      </c>
      <c r="AT55" s="212">
        <v>1613.4670718261759</v>
      </c>
      <c r="AU55" s="212" t="b">
        <v>0</v>
      </c>
      <c r="AV55" s="212"/>
      <c r="AW55" s="212">
        <v>0</v>
      </c>
      <c r="AX55" s="212">
        <v>0</v>
      </c>
      <c r="BA55" s="212">
        <v>0</v>
      </c>
      <c r="BB55" s="212">
        <v>0</v>
      </c>
      <c r="BC55" s="226">
        <v>0</v>
      </c>
      <c r="BD55" s="226"/>
    </row>
    <row r="56" spans="1:56" ht="39.950000000000003" hidden="1" customHeight="1" x14ac:dyDescent="0.2">
      <c r="A56" s="14" t="s">
        <v>280</v>
      </c>
      <c r="B56" s="65" t="s">
        <v>23</v>
      </c>
      <c r="C56" s="66" t="s">
        <v>89</v>
      </c>
      <c r="D56" s="13" t="s">
        <v>542</v>
      </c>
      <c r="E56" s="77" t="s">
        <v>89</v>
      </c>
      <c r="F56" s="14" t="s">
        <v>546</v>
      </c>
      <c r="G56" s="66" t="s">
        <v>249</v>
      </c>
      <c r="H56" s="14" t="s">
        <v>767</v>
      </c>
      <c r="I56" s="14" t="s">
        <v>281</v>
      </c>
      <c r="J56" s="14" t="s">
        <v>256</v>
      </c>
      <c r="K56" s="14" t="s">
        <v>29</v>
      </c>
      <c r="L56" s="65" t="s">
        <v>191</v>
      </c>
      <c r="M56" s="13" t="s">
        <v>59</v>
      </c>
      <c r="N56" s="65" t="s">
        <v>43</v>
      </c>
      <c r="O56" s="65" t="s">
        <v>538</v>
      </c>
      <c r="P56" s="65" t="s">
        <v>534</v>
      </c>
      <c r="Q56" s="64" t="s">
        <v>9</v>
      </c>
      <c r="R56" s="62">
        <v>10084.1691989136</v>
      </c>
      <c r="S56" s="63">
        <v>7500</v>
      </c>
      <c r="T56" s="62">
        <v>10084.1691989136</v>
      </c>
      <c r="U56" s="62">
        <v>153817.1941807621</v>
      </c>
      <c r="V56" s="62">
        <v>448469.92228466942</v>
      </c>
      <c r="W56" s="61" t="s">
        <v>11</v>
      </c>
      <c r="X56" s="181">
        <v>2.2499999999999999E-2</v>
      </c>
      <c r="Y56" s="60">
        <v>43872</v>
      </c>
      <c r="Z56" s="60">
        <v>45558</v>
      </c>
      <c r="AA56" s="60">
        <v>45558</v>
      </c>
      <c r="AB56" s="58">
        <v>1687</v>
      </c>
      <c r="AC56" s="59" t="s">
        <v>10</v>
      </c>
      <c r="AD56" s="58">
        <v>907</v>
      </c>
      <c r="AE56" s="57">
        <v>2.484931506849315</v>
      </c>
      <c r="AF56" s="56"/>
      <c r="AG56" s="71" t="s">
        <v>1</v>
      </c>
      <c r="AH56" s="71" t="s">
        <v>1</v>
      </c>
      <c r="AI56" s="70" t="s">
        <v>0</v>
      </c>
      <c r="AJ56" s="11" t="s">
        <v>0</v>
      </c>
      <c r="AK56" s="11" t="s">
        <v>271</v>
      </c>
      <c r="AL56" s="14" t="s">
        <v>387</v>
      </c>
      <c r="AM56" s="11">
        <v>7255</v>
      </c>
      <c r="AN56" s="11">
        <v>25000</v>
      </c>
      <c r="AO56" s="197" t="s">
        <v>89</v>
      </c>
      <c r="AP56" s="198" t="s">
        <v>546</v>
      </c>
      <c r="AS56" s="212">
        <v>0</v>
      </c>
      <c r="AT56" s="212">
        <v>1210.1003038696319</v>
      </c>
      <c r="AU56" s="212" t="b">
        <v>0</v>
      </c>
      <c r="AV56" s="212"/>
      <c r="AW56" s="212">
        <v>0</v>
      </c>
      <c r="AX56" s="212">
        <v>0</v>
      </c>
      <c r="BA56" s="212">
        <v>0</v>
      </c>
      <c r="BB56" s="212">
        <v>0</v>
      </c>
      <c r="BC56" s="226">
        <v>0</v>
      </c>
      <c r="BD56" s="226"/>
    </row>
    <row r="57" spans="1:56" ht="39.950000000000003" hidden="1" customHeight="1" x14ac:dyDescent="0.2">
      <c r="A57" s="14" t="s">
        <v>282</v>
      </c>
      <c r="B57" s="65" t="s">
        <v>23</v>
      </c>
      <c r="C57" s="66" t="s">
        <v>88</v>
      </c>
      <c r="D57" s="13" t="s">
        <v>540</v>
      </c>
      <c r="E57" s="77" t="s">
        <v>49</v>
      </c>
      <c r="F57" s="14" t="s">
        <v>104</v>
      </c>
      <c r="G57" s="66" t="s">
        <v>111</v>
      </c>
      <c r="H57" s="14" t="s">
        <v>135</v>
      </c>
      <c r="I57" s="14" t="s">
        <v>283</v>
      </c>
      <c r="J57" s="14" t="s">
        <v>148</v>
      </c>
      <c r="K57" s="14" t="s">
        <v>140</v>
      </c>
      <c r="L57" s="65" t="s">
        <v>191</v>
      </c>
      <c r="M57" s="13" t="s">
        <v>59</v>
      </c>
      <c r="N57" s="13" t="s">
        <v>43</v>
      </c>
      <c r="O57" s="13" t="s">
        <v>531</v>
      </c>
      <c r="P57" s="13" t="s">
        <v>534</v>
      </c>
      <c r="Q57" s="64" t="s">
        <v>9</v>
      </c>
      <c r="R57" s="62">
        <v>10084.1691989136</v>
      </c>
      <c r="S57" s="63">
        <v>7500</v>
      </c>
      <c r="T57" s="62">
        <v>10084.1691989136</v>
      </c>
      <c r="U57" s="62">
        <v>20168.3383978272</v>
      </c>
      <c r="V57" s="62">
        <v>1262980.073681663</v>
      </c>
      <c r="W57" s="61" t="s">
        <v>11</v>
      </c>
      <c r="X57" s="181">
        <v>3.0700000000000002E-2</v>
      </c>
      <c r="Y57" s="60">
        <v>43878</v>
      </c>
      <c r="Z57" s="60">
        <v>47382</v>
      </c>
      <c r="AA57" s="60">
        <v>47382</v>
      </c>
      <c r="AB57" s="58">
        <v>3505</v>
      </c>
      <c r="AC57" s="59" t="s">
        <v>10</v>
      </c>
      <c r="AD57" s="58">
        <v>2731</v>
      </c>
      <c r="AE57" s="57">
        <v>7.4821917808219176</v>
      </c>
      <c r="AF57" s="56"/>
      <c r="AG57" s="71" t="s">
        <v>1</v>
      </c>
      <c r="AH57" s="71" t="s">
        <v>1</v>
      </c>
      <c r="AI57" s="70" t="s">
        <v>0</v>
      </c>
      <c r="AJ57" s="11" t="s">
        <v>0</v>
      </c>
      <c r="AK57" s="11" t="s">
        <v>271</v>
      </c>
      <c r="AL57" s="14" t="s">
        <v>388</v>
      </c>
      <c r="AM57" s="11">
        <v>7700</v>
      </c>
      <c r="AN57" s="11">
        <v>50000</v>
      </c>
      <c r="AO57" s="197" t="s">
        <v>49</v>
      </c>
      <c r="AP57" s="198" t="s">
        <v>104</v>
      </c>
      <c r="AS57" s="212">
        <v>0</v>
      </c>
      <c r="AT57" s="212">
        <v>1210.1003038696319</v>
      </c>
      <c r="AU57" s="212" t="b">
        <v>0</v>
      </c>
      <c r="AV57" s="212"/>
      <c r="AW57" s="212">
        <v>0</v>
      </c>
      <c r="AX57" s="212">
        <v>0</v>
      </c>
      <c r="BA57" s="212">
        <v>0</v>
      </c>
      <c r="BB57" s="212">
        <v>0</v>
      </c>
      <c r="BC57" s="226">
        <v>0</v>
      </c>
      <c r="BD57" s="226"/>
    </row>
    <row r="58" spans="1:56" ht="39.950000000000003" hidden="1" customHeight="1" x14ac:dyDescent="0.2">
      <c r="A58" s="13" t="s">
        <v>317</v>
      </c>
      <c r="B58" s="65" t="s">
        <v>23</v>
      </c>
      <c r="C58" s="66" t="s">
        <v>34</v>
      </c>
      <c r="D58" s="13" t="s">
        <v>34</v>
      </c>
      <c r="E58" s="77" t="s">
        <v>34</v>
      </c>
      <c r="F58" s="14" t="s">
        <v>48</v>
      </c>
      <c r="G58" s="66" t="s">
        <v>95</v>
      </c>
      <c r="H58" s="14" t="s">
        <v>130</v>
      </c>
      <c r="I58" s="14" t="s">
        <v>321</v>
      </c>
      <c r="J58" s="14" t="s">
        <v>26</v>
      </c>
      <c r="K58" s="14" t="s">
        <v>29</v>
      </c>
      <c r="L58" s="65" t="s">
        <v>191</v>
      </c>
      <c r="M58" s="13" t="s">
        <v>323</v>
      </c>
      <c r="N58" s="13" t="s">
        <v>43</v>
      </c>
      <c r="O58" s="13" t="s">
        <v>537</v>
      </c>
      <c r="P58" s="13" t="s">
        <v>534</v>
      </c>
      <c r="Q58" s="64" t="s">
        <v>8</v>
      </c>
      <c r="R58" s="62">
        <v>7000</v>
      </c>
      <c r="S58" s="62">
        <v>7000</v>
      </c>
      <c r="T58" s="62">
        <v>7000</v>
      </c>
      <c r="U58" s="62">
        <v>50000</v>
      </c>
      <c r="V58" s="62">
        <v>454461.66</v>
      </c>
      <c r="W58" s="61" t="s">
        <v>11</v>
      </c>
      <c r="X58" s="181">
        <v>2.1499999999999998E-2</v>
      </c>
      <c r="Y58" s="60">
        <v>43886</v>
      </c>
      <c r="Z58" s="60">
        <v>45152</v>
      </c>
      <c r="AA58" s="60">
        <v>45152</v>
      </c>
      <c r="AB58" s="58">
        <v>1267</v>
      </c>
      <c r="AC58" s="59" t="s">
        <v>10</v>
      </c>
      <c r="AD58" s="58">
        <v>501</v>
      </c>
      <c r="AE58" s="57">
        <v>1.3726027397260274</v>
      </c>
      <c r="AF58" s="56"/>
      <c r="AG58" s="71" t="s">
        <v>1</v>
      </c>
      <c r="AH58" s="71" t="s">
        <v>1</v>
      </c>
      <c r="AI58" s="70" t="s">
        <v>0</v>
      </c>
      <c r="AJ58" s="11" t="s">
        <v>0</v>
      </c>
      <c r="AK58" s="11" t="s">
        <v>271</v>
      </c>
      <c r="AL58" s="78" t="s">
        <v>399</v>
      </c>
      <c r="AO58" s="197" t="s">
        <v>34</v>
      </c>
      <c r="AP58" s="198" t="s">
        <v>48</v>
      </c>
      <c r="AS58" s="212">
        <v>0</v>
      </c>
      <c r="AT58" s="212">
        <v>840</v>
      </c>
      <c r="AU58" s="212" t="b">
        <v>0</v>
      </c>
      <c r="AV58" s="212"/>
      <c r="AW58" s="212">
        <v>0</v>
      </c>
      <c r="AX58" s="212">
        <v>0</v>
      </c>
      <c r="BA58" s="212">
        <v>0</v>
      </c>
      <c r="BB58" s="212">
        <v>0</v>
      </c>
      <c r="BC58" s="226">
        <v>0</v>
      </c>
      <c r="BD58" s="226"/>
    </row>
    <row r="59" spans="1:56" ht="39.950000000000003" hidden="1" customHeight="1" x14ac:dyDescent="0.2">
      <c r="A59" s="14" t="s">
        <v>312</v>
      </c>
      <c r="B59" s="65" t="s">
        <v>67</v>
      </c>
      <c r="C59" s="66" t="s">
        <v>149</v>
      </c>
      <c r="D59" s="13" t="s">
        <v>540</v>
      </c>
      <c r="E59" s="77" t="s">
        <v>229</v>
      </c>
      <c r="F59" s="14" t="s">
        <v>104</v>
      </c>
      <c r="G59" s="66" t="s">
        <v>292</v>
      </c>
      <c r="H59" s="14" t="s">
        <v>292</v>
      </c>
      <c r="I59" s="14" t="s">
        <v>148</v>
      </c>
      <c r="J59" s="14" t="s">
        <v>148</v>
      </c>
      <c r="K59" s="14" t="s">
        <v>29</v>
      </c>
      <c r="L59" s="65" t="s">
        <v>191</v>
      </c>
      <c r="M59" s="65" t="s">
        <v>59</v>
      </c>
      <c r="N59" s="13" t="s">
        <v>43</v>
      </c>
      <c r="O59" s="13" t="s">
        <v>538</v>
      </c>
      <c r="P59" s="13" t="s">
        <v>534</v>
      </c>
      <c r="Q59" s="64" t="s">
        <v>9</v>
      </c>
      <c r="R59" s="62">
        <v>4201.7371662139994</v>
      </c>
      <c r="S59" s="63">
        <v>2343.75</v>
      </c>
      <c r="T59" s="62">
        <v>3151.3028746605</v>
      </c>
      <c r="U59" s="62">
        <v>8403.4743324279989</v>
      </c>
      <c r="V59" s="62">
        <v>224169.3064780703</v>
      </c>
      <c r="W59" s="61" t="s">
        <v>11</v>
      </c>
      <c r="X59" s="181">
        <v>3.5000000000000003E-2</v>
      </c>
      <c r="Y59" s="60">
        <v>43908</v>
      </c>
      <c r="Z59" s="60">
        <v>45412</v>
      </c>
      <c r="AA59" s="60">
        <v>45412</v>
      </c>
      <c r="AB59" s="58">
        <v>1505</v>
      </c>
      <c r="AC59" s="59" t="s">
        <v>10</v>
      </c>
      <c r="AD59" s="58">
        <v>761</v>
      </c>
      <c r="AE59" s="57">
        <v>2.0849315068493151</v>
      </c>
      <c r="AF59" s="56"/>
      <c r="AG59" s="71" t="s">
        <v>1</v>
      </c>
      <c r="AH59" s="71" t="s">
        <v>1</v>
      </c>
      <c r="AI59" s="70" t="s">
        <v>734</v>
      </c>
      <c r="AJ59" s="11" t="s">
        <v>0</v>
      </c>
      <c r="AK59" s="11" t="s">
        <v>271</v>
      </c>
      <c r="AL59" s="14" t="s">
        <v>351</v>
      </c>
      <c r="AM59" s="11">
        <v>7500</v>
      </c>
      <c r="AN59" s="11">
        <v>12750</v>
      </c>
      <c r="AO59" s="197" t="s">
        <v>229</v>
      </c>
      <c r="AP59" s="198" t="s">
        <v>104</v>
      </c>
      <c r="AS59" s="212">
        <v>0</v>
      </c>
      <c r="AT59" s="212">
        <v>378.15634495925997</v>
      </c>
      <c r="AU59" s="212" t="b">
        <v>0</v>
      </c>
      <c r="AV59" s="212"/>
      <c r="AW59" s="212">
        <v>0</v>
      </c>
      <c r="AX59" s="212">
        <v>0</v>
      </c>
      <c r="BA59" s="212">
        <v>0</v>
      </c>
      <c r="BB59" s="212">
        <v>0</v>
      </c>
      <c r="BC59" s="226">
        <v>0</v>
      </c>
      <c r="BD59" s="226"/>
    </row>
    <row r="60" spans="1:56" ht="39.950000000000003" hidden="1" customHeight="1" x14ac:dyDescent="0.2">
      <c r="A60" s="14" t="s">
        <v>294</v>
      </c>
      <c r="B60" s="65" t="s">
        <v>24</v>
      </c>
      <c r="C60" s="66" t="s">
        <v>295</v>
      </c>
      <c r="D60" s="13" t="s">
        <v>34</v>
      </c>
      <c r="E60" s="77" t="s">
        <v>295</v>
      </c>
      <c r="F60" s="14" t="s">
        <v>106</v>
      </c>
      <c r="G60" s="66" t="s">
        <v>106</v>
      </c>
      <c r="H60" s="66" t="s">
        <v>107</v>
      </c>
      <c r="I60" s="66" t="s">
        <v>296</v>
      </c>
      <c r="J60" s="66" t="s">
        <v>687</v>
      </c>
      <c r="K60" s="14" t="s">
        <v>101</v>
      </c>
      <c r="L60" s="65" t="s">
        <v>191</v>
      </c>
      <c r="M60" s="65" t="s">
        <v>323</v>
      </c>
      <c r="N60" s="13" t="s">
        <v>43</v>
      </c>
      <c r="O60" s="13" t="s">
        <v>531</v>
      </c>
      <c r="P60" s="13" t="s">
        <v>534</v>
      </c>
      <c r="Q60" s="64" t="s">
        <v>297</v>
      </c>
      <c r="R60" s="62">
        <v>31427.134759553846</v>
      </c>
      <c r="S60" s="63">
        <v>34375</v>
      </c>
      <c r="T60" s="62">
        <v>31427.134759553846</v>
      </c>
      <c r="U60" s="62">
        <v>57140.245017370631</v>
      </c>
      <c r="V60" s="62">
        <v>727407.22252697009</v>
      </c>
      <c r="W60" s="61" t="s">
        <v>11</v>
      </c>
      <c r="X60" s="181">
        <v>2.5000000000000001E-2</v>
      </c>
      <c r="Y60" s="60">
        <v>43910</v>
      </c>
      <c r="Z60" s="60">
        <v>44830</v>
      </c>
      <c r="AA60" s="60">
        <v>44830</v>
      </c>
      <c r="AB60" s="58">
        <v>921</v>
      </c>
      <c r="AC60" s="59" t="s">
        <v>10</v>
      </c>
      <c r="AD60" s="58">
        <v>179</v>
      </c>
      <c r="AE60" s="57">
        <v>0.49041095890410957</v>
      </c>
      <c r="AF60" s="56" t="s">
        <v>436</v>
      </c>
      <c r="AG60" s="71" t="s">
        <v>1</v>
      </c>
      <c r="AH60" s="71" t="s">
        <v>1</v>
      </c>
      <c r="AI60" s="70" t="s">
        <v>0</v>
      </c>
      <c r="AJ60" s="11" t="s">
        <v>0</v>
      </c>
      <c r="AK60" s="11" t="s">
        <v>271</v>
      </c>
      <c r="AL60" s="14" t="s">
        <v>391</v>
      </c>
      <c r="AM60" s="11">
        <v>13000</v>
      </c>
      <c r="AN60" s="11">
        <v>60000</v>
      </c>
      <c r="AO60" s="197" t="s">
        <v>295</v>
      </c>
      <c r="AP60" s="198" t="s">
        <v>106</v>
      </c>
      <c r="AS60" s="212">
        <v>0</v>
      </c>
      <c r="AT60" s="212">
        <v>3771.2561711464614</v>
      </c>
      <c r="AU60" s="212">
        <v>754.25123422929232</v>
      </c>
      <c r="AV60" s="212"/>
      <c r="AW60" s="212">
        <v>0</v>
      </c>
      <c r="AX60" s="212">
        <v>0</v>
      </c>
      <c r="BA60" s="212">
        <v>0</v>
      </c>
      <c r="BB60" s="212">
        <v>0</v>
      </c>
      <c r="BC60" s="226">
        <v>0</v>
      </c>
      <c r="BD60" s="226"/>
    </row>
    <row r="61" spans="1:56" ht="39.950000000000003" hidden="1" customHeight="1" x14ac:dyDescent="0.2">
      <c r="A61" s="14" t="s">
        <v>313</v>
      </c>
      <c r="B61" s="65" t="s">
        <v>67</v>
      </c>
      <c r="C61" s="66" t="s">
        <v>87</v>
      </c>
      <c r="D61" s="13" t="s">
        <v>499</v>
      </c>
      <c r="E61" s="77" t="s">
        <v>162</v>
      </c>
      <c r="F61" s="14" t="s">
        <v>546</v>
      </c>
      <c r="G61" s="66" t="s">
        <v>167</v>
      </c>
      <c r="H61" s="66" t="s">
        <v>167</v>
      </c>
      <c r="I61" s="14" t="s">
        <v>298</v>
      </c>
      <c r="J61" s="66" t="s">
        <v>218</v>
      </c>
      <c r="K61" s="14" t="s">
        <v>209</v>
      </c>
      <c r="L61" s="65" t="s">
        <v>191</v>
      </c>
      <c r="M61" s="65" t="s">
        <v>59</v>
      </c>
      <c r="N61" s="13" t="s">
        <v>43</v>
      </c>
      <c r="O61" s="13" t="s">
        <v>531</v>
      </c>
      <c r="P61" s="13" t="s">
        <v>534</v>
      </c>
      <c r="Q61" s="64" t="s">
        <v>9</v>
      </c>
      <c r="R61" s="62">
        <v>20168.3383978272</v>
      </c>
      <c r="S61" s="76">
        <v>15000</v>
      </c>
      <c r="T61" s="62">
        <v>20168.3383978272</v>
      </c>
      <c r="U61" s="62">
        <v>40336.676795654399</v>
      </c>
      <c r="V61" s="62">
        <v>3765316.7639228762</v>
      </c>
      <c r="W61" s="61" t="s">
        <v>11</v>
      </c>
      <c r="X61" s="181">
        <v>5.3800000000000001E-2</v>
      </c>
      <c r="Y61" s="60">
        <v>43915</v>
      </c>
      <c r="Z61" s="60">
        <v>46372</v>
      </c>
      <c r="AA61" s="60">
        <v>46372</v>
      </c>
      <c r="AB61" s="58">
        <v>2458</v>
      </c>
      <c r="AC61" s="75" t="s">
        <v>10</v>
      </c>
      <c r="AD61" s="58">
        <v>1721</v>
      </c>
      <c r="AE61" s="57">
        <v>4.7150684931506852</v>
      </c>
      <c r="AF61" s="56"/>
      <c r="AG61" s="71" t="s">
        <v>182</v>
      </c>
      <c r="AH61" s="71" t="s">
        <v>182</v>
      </c>
      <c r="AI61" s="70" t="s">
        <v>0</v>
      </c>
      <c r="AJ61" s="11" t="s">
        <v>0</v>
      </c>
      <c r="AK61" s="11" t="s">
        <v>271</v>
      </c>
      <c r="AL61" s="14" t="s">
        <v>392</v>
      </c>
      <c r="AM61" s="11">
        <v>12000</v>
      </c>
      <c r="AN61" s="11">
        <v>250000</v>
      </c>
      <c r="AO61" s="197" t="s">
        <v>162</v>
      </c>
      <c r="AP61" s="198" t="s">
        <v>546</v>
      </c>
      <c r="AS61" s="212">
        <v>0</v>
      </c>
      <c r="AT61" s="212">
        <v>2420.2006077392639</v>
      </c>
      <c r="AU61" s="212" t="b">
        <v>0</v>
      </c>
      <c r="AV61" s="212"/>
      <c r="AW61" s="212">
        <v>0</v>
      </c>
      <c r="AX61" s="212">
        <v>0</v>
      </c>
      <c r="BA61" s="212">
        <v>0</v>
      </c>
      <c r="BB61" s="212">
        <v>0</v>
      </c>
      <c r="BC61" s="226">
        <v>0</v>
      </c>
      <c r="BD61" s="226"/>
    </row>
    <row r="62" spans="1:56" ht="39.950000000000003" hidden="1" customHeight="1" x14ac:dyDescent="0.2">
      <c r="A62" s="13" t="s">
        <v>301</v>
      </c>
      <c r="B62" s="65" t="s">
        <v>24</v>
      </c>
      <c r="C62" s="66" t="s">
        <v>37</v>
      </c>
      <c r="D62" s="13" t="s">
        <v>542</v>
      </c>
      <c r="E62" s="130" t="s">
        <v>87</v>
      </c>
      <c r="F62" s="14" t="s">
        <v>102</v>
      </c>
      <c r="G62" s="66" t="s">
        <v>102</v>
      </c>
      <c r="H62" s="66" t="s">
        <v>110</v>
      </c>
      <c r="I62" s="14" t="s">
        <v>55</v>
      </c>
      <c r="J62" s="66" t="s">
        <v>218</v>
      </c>
      <c r="K62" s="14" t="s">
        <v>101</v>
      </c>
      <c r="L62" s="65" t="s">
        <v>191</v>
      </c>
      <c r="M62" s="13" t="s">
        <v>323</v>
      </c>
      <c r="N62" s="13" t="s">
        <v>43</v>
      </c>
      <c r="O62" s="13" t="s">
        <v>538</v>
      </c>
      <c r="P62" s="13" t="s">
        <v>534</v>
      </c>
      <c r="Q62" s="15" t="s">
        <v>59</v>
      </c>
      <c r="R62" s="62">
        <v>26537.15693776578</v>
      </c>
      <c r="S62" s="63">
        <v>18227.311614273807</v>
      </c>
      <c r="T62" s="62">
        <v>26537.15693776578</v>
      </c>
      <c r="U62" s="62">
        <v>35382.913031978576</v>
      </c>
      <c r="V62" s="62">
        <v>921733.32517960516</v>
      </c>
      <c r="W62" s="61" t="s">
        <v>11</v>
      </c>
      <c r="X62" s="181">
        <v>2.6499999999999999E-2</v>
      </c>
      <c r="Y62" s="60">
        <v>43915</v>
      </c>
      <c r="Z62" s="60">
        <v>44970</v>
      </c>
      <c r="AA62" s="60">
        <v>44970</v>
      </c>
      <c r="AB62" s="58">
        <v>1056</v>
      </c>
      <c r="AC62" s="59" t="s">
        <v>10</v>
      </c>
      <c r="AD62" s="58">
        <v>319</v>
      </c>
      <c r="AE62" s="57">
        <v>0.87397260273972599</v>
      </c>
      <c r="AF62" s="56" t="s">
        <v>436</v>
      </c>
      <c r="AG62" s="71" t="s">
        <v>1</v>
      </c>
      <c r="AH62" s="71" t="s">
        <v>1</v>
      </c>
      <c r="AI62" s="70" t="s">
        <v>0</v>
      </c>
      <c r="AJ62" s="11" t="s">
        <v>0</v>
      </c>
      <c r="AK62" s="11" t="s">
        <v>271</v>
      </c>
      <c r="AL62" s="14" t="s">
        <v>394</v>
      </c>
      <c r="AM62" s="11">
        <v>6000</v>
      </c>
      <c r="AN62" s="11">
        <v>55000</v>
      </c>
      <c r="AO62" s="197" t="s">
        <v>87</v>
      </c>
      <c r="AP62" s="198" t="s">
        <v>102</v>
      </c>
      <c r="AS62" s="212">
        <v>0</v>
      </c>
      <c r="AT62" s="212">
        <v>3184.4588325318937</v>
      </c>
      <c r="AU62" s="212">
        <v>636.89176650637876</v>
      </c>
      <c r="AV62" s="212"/>
      <c r="AW62" s="212">
        <v>0</v>
      </c>
      <c r="AX62" s="212">
        <v>0</v>
      </c>
      <c r="BA62" s="212">
        <v>0</v>
      </c>
      <c r="BB62" s="212">
        <v>0</v>
      </c>
      <c r="BC62" s="226">
        <v>0</v>
      </c>
      <c r="BD62" s="226"/>
    </row>
    <row r="63" spans="1:56" ht="39.950000000000003" hidden="1" customHeight="1" x14ac:dyDescent="0.2">
      <c r="A63" s="13" t="s">
        <v>305</v>
      </c>
      <c r="B63" s="65" t="s">
        <v>23</v>
      </c>
      <c r="C63" s="66" t="s">
        <v>88</v>
      </c>
      <c r="D63" s="13" t="s">
        <v>542</v>
      </c>
      <c r="E63" s="130" t="s">
        <v>127</v>
      </c>
      <c r="F63" s="14" t="s">
        <v>92</v>
      </c>
      <c r="G63" s="66" t="s">
        <v>134</v>
      </c>
      <c r="H63" s="66" t="s">
        <v>134</v>
      </c>
      <c r="I63" s="66" t="s">
        <v>61</v>
      </c>
      <c r="J63" s="66" t="s">
        <v>220</v>
      </c>
      <c r="K63" s="14" t="s">
        <v>68</v>
      </c>
      <c r="L63" s="65" t="s">
        <v>191</v>
      </c>
      <c r="M63" s="13" t="s">
        <v>59</v>
      </c>
      <c r="N63" s="13" t="s">
        <v>43</v>
      </c>
      <c r="O63" s="13" t="s">
        <v>531</v>
      </c>
      <c r="P63" s="13" t="s">
        <v>534</v>
      </c>
      <c r="Q63" s="64" t="s">
        <v>9</v>
      </c>
      <c r="R63" s="62">
        <v>20168.3383978272</v>
      </c>
      <c r="S63" s="76">
        <v>15000</v>
      </c>
      <c r="T63" s="62">
        <v>20168.3383978272</v>
      </c>
      <c r="U63" s="62">
        <v>141178.36878479039</v>
      </c>
      <c r="V63" s="62">
        <v>348777.79869309167</v>
      </c>
      <c r="W63" s="61" t="s">
        <v>11</v>
      </c>
      <c r="X63" s="181">
        <v>1.3100000000000001E-2</v>
      </c>
      <c r="Y63" s="60">
        <v>43920</v>
      </c>
      <c r="Z63" s="60">
        <v>45125</v>
      </c>
      <c r="AA63" s="60">
        <v>45125</v>
      </c>
      <c r="AB63" s="58">
        <v>1206</v>
      </c>
      <c r="AC63" s="59" t="s">
        <v>10</v>
      </c>
      <c r="AD63" s="58">
        <v>474</v>
      </c>
      <c r="AE63" s="57">
        <v>1.2986301369863014</v>
      </c>
      <c r="AF63" s="56"/>
      <c r="AG63" s="71" t="s">
        <v>1</v>
      </c>
      <c r="AH63" s="71" t="s">
        <v>1</v>
      </c>
      <c r="AI63" s="70" t="s">
        <v>0</v>
      </c>
      <c r="AJ63" s="11" t="s">
        <v>0</v>
      </c>
      <c r="AK63" s="11" t="s">
        <v>271</v>
      </c>
      <c r="AL63" s="14" t="s">
        <v>397</v>
      </c>
      <c r="AM63" s="11">
        <v>6500</v>
      </c>
      <c r="AN63" s="11">
        <v>15000</v>
      </c>
      <c r="AO63" s="197" t="s">
        <v>127</v>
      </c>
      <c r="AP63" s="198" t="s">
        <v>92</v>
      </c>
      <c r="AS63" s="212">
        <v>0</v>
      </c>
      <c r="AT63" s="212">
        <v>2420.2006077392639</v>
      </c>
      <c r="AU63" s="212" t="b">
        <v>0</v>
      </c>
      <c r="AV63" s="212"/>
      <c r="AW63" s="212">
        <v>0</v>
      </c>
      <c r="AX63" s="212">
        <v>0</v>
      </c>
      <c r="BA63" s="212">
        <v>0</v>
      </c>
      <c r="BB63" s="212">
        <v>0</v>
      </c>
      <c r="BC63" s="226">
        <v>0</v>
      </c>
      <c r="BD63" s="226"/>
    </row>
    <row r="64" spans="1:56" ht="39.950000000000003" hidden="1" customHeight="1" x14ac:dyDescent="0.2">
      <c r="A64" s="13" t="s">
        <v>306</v>
      </c>
      <c r="B64" s="65" t="s">
        <v>243</v>
      </c>
      <c r="C64" s="66" t="s">
        <v>89</v>
      </c>
      <c r="D64" s="13" t="s">
        <v>542</v>
      </c>
      <c r="E64" s="130" t="s">
        <v>308</v>
      </c>
      <c r="F64" s="14" t="s">
        <v>92</v>
      </c>
      <c r="G64" s="66" t="s">
        <v>134</v>
      </c>
      <c r="H64" s="66" t="s">
        <v>134</v>
      </c>
      <c r="I64" s="66" t="s">
        <v>311</v>
      </c>
      <c r="J64" s="66" t="s">
        <v>256</v>
      </c>
      <c r="K64" s="14" t="s">
        <v>68</v>
      </c>
      <c r="L64" s="65" t="s">
        <v>191</v>
      </c>
      <c r="M64" s="65" t="s">
        <v>59</v>
      </c>
      <c r="N64" s="13" t="s">
        <v>43</v>
      </c>
      <c r="O64" s="13" t="s">
        <v>538</v>
      </c>
      <c r="P64" s="13" t="s">
        <v>534</v>
      </c>
      <c r="Q64" s="64" t="s">
        <v>9</v>
      </c>
      <c r="R64" s="62">
        <v>10756.44714550784</v>
      </c>
      <c r="S64" s="63">
        <v>6933.3329999999996</v>
      </c>
      <c r="T64" s="62">
        <v>9322.2537445881626</v>
      </c>
      <c r="U64" s="62">
        <v>56516.166039207252</v>
      </c>
      <c r="V64" s="62">
        <v>585596.64667760243</v>
      </c>
      <c r="W64" s="61" t="s">
        <v>11</v>
      </c>
      <c r="X64" s="181">
        <v>0.02</v>
      </c>
      <c r="Y64" s="60">
        <v>43921</v>
      </c>
      <c r="Z64" s="60">
        <v>45660</v>
      </c>
      <c r="AA64" s="60">
        <v>45660</v>
      </c>
      <c r="AB64" s="58">
        <v>1740</v>
      </c>
      <c r="AC64" s="59" t="s">
        <v>10</v>
      </c>
      <c r="AD64" s="58">
        <v>1009</v>
      </c>
      <c r="AE64" s="57">
        <v>2.7643835616438355</v>
      </c>
      <c r="AF64" s="56"/>
      <c r="AG64" s="71" t="s">
        <v>1</v>
      </c>
      <c r="AH64" s="71" t="s">
        <v>1</v>
      </c>
      <c r="AI64" s="70" t="s">
        <v>659</v>
      </c>
      <c r="AJ64" s="11" t="s">
        <v>0</v>
      </c>
      <c r="AK64" s="11" t="s">
        <v>271</v>
      </c>
      <c r="AL64" s="13" t="s">
        <v>396</v>
      </c>
      <c r="AM64" s="11">
        <v>10480</v>
      </c>
      <c r="AN64" s="11">
        <v>31210</v>
      </c>
      <c r="AO64" s="197" t="s">
        <v>308</v>
      </c>
      <c r="AP64" s="198" t="s">
        <v>92</v>
      </c>
      <c r="AS64" s="212">
        <v>0</v>
      </c>
      <c r="AT64" s="212">
        <v>1118.6704493505795</v>
      </c>
      <c r="AU64" s="212" t="b">
        <v>0</v>
      </c>
      <c r="AV64" s="212"/>
      <c r="AW64" s="212">
        <v>0</v>
      </c>
      <c r="AX64" s="212">
        <v>0</v>
      </c>
      <c r="BA64" s="212">
        <v>0</v>
      </c>
      <c r="BB64" s="212">
        <v>0</v>
      </c>
      <c r="BC64" s="226">
        <v>0</v>
      </c>
      <c r="BD64" s="226"/>
    </row>
    <row r="65" spans="1:56" ht="39.950000000000003" customHeight="1" x14ac:dyDescent="0.2">
      <c r="A65" s="13" t="s">
        <v>303</v>
      </c>
      <c r="B65" s="65" t="s">
        <v>23</v>
      </c>
      <c r="C65" s="66" t="s">
        <v>38</v>
      </c>
      <c r="D65" s="13" t="s">
        <v>540</v>
      </c>
      <c r="E65" s="130" t="s">
        <v>49</v>
      </c>
      <c r="F65" s="14" t="s">
        <v>544</v>
      </c>
      <c r="G65" s="66" t="s">
        <v>304</v>
      </c>
      <c r="H65" s="14" t="s">
        <v>310</v>
      </c>
      <c r="I65" s="66" t="s">
        <v>142</v>
      </c>
      <c r="J65" s="66" t="s">
        <v>218</v>
      </c>
      <c r="K65" s="14" t="s">
        <v>29</v>
      </c>
      <c r="L65" s="65" t="s">
        <v>191</v>
      </c>
      <c r="M65" s="65" t="s">
        <v>323</v>
      </c>
      <c r="N65" s="13" t="s">
        <v>43</v>
      </c>
      <c r="O65" s="13" t="s">
        <v>538</v>
      </c>
      <c r="P65" s="13" t="s">
        <v>534</v>
      </c>
      <c r="Q65" s="64" t="s">
        <v>59</v>
      </c>
      <c r="R65" s="62">
        <v>10919.25574352852</v>
      </c>
      <c r="S65" s="63">
        <v>7425</v>
      </c>
      <c r="T65" s="62">
        <v>10810.063186093235</v>
      </c>
      <c r="U65" s="62">
        <v>14559.007658038028</v>
      </c>
      <c r="V65" s="62">
        <v>593119.209154704</v>
      </c>
      <c r="W65" s="61" t="s">
        <v>11</v>
      </c>
      <c r="X65" s="181">
        <v>2.7E-2</v>
      </c>
      <c r="Y65" s="60">
        <v>43921</v>
      </c>
      <c r="Z65" s="60">
        <v>45691</v>
      </c>
      <c r="AA65" s="60">
        <v>45691</v>
      </c>
      <c r="AB65" s="58">
        <v>1771</v>
      </c>
      <c r="AC65" s="59" t="s">
        <v>10</v>
      </c>
      <c r="AD65" s="58">
        <v>1040</v>
      </c>
      <c r="AE65" s="57">
        <v>2.8493150684931505</v>
      </c>
      <c r="AF65" s="56"/>
      <c r="AG65" s="71" t="s">
        <v>1</v>
      </c>
      <c r="AH65" s="71" t="s">
        <v>1</v>
      </c>
      <c r="AI65" s="70" t="s">
        <v>663</v>
      </c>
      <c r="AJ65" s="11" t="s">
        <v>0</v>
      </c>
      <c r="AK65" s="11" t="s">
        <v>271</v>
      </c>
      <c r="AL65" s="14" t="s">
        <v>395</v>
      </c>
      <c r="AM65" s="11">
        <v>10000</v>
      </c>
      <c r="AN65" s="11">
        <v>45000</v>
      </c>
      <c r="AO65" s="197" t="s">
        <v>49</v>
      </c>
      <c r="AP65" s="198" t="s">
        <v>544</v>
      </c>
      <c r="AQ65" s="11">
        <v>1</v>
      </c>
      <c r="AR65" s="214">
        <v>0.1</v>
      </c>
      <c r="AS65" s="212">
        <v>1081.0063186093237</v>
      </c>
      <c r="AT65" s="212">
        <v>1297.2075823311882</v>
      </c>
      <c r="AU65" s="212" t="b">
        <v>0</v>
      </c>
      <c r="AV65" s="212"/>
      <c r="AW65" s="212">
        <v>1081.0063186093237</v>
      </c>
      <c r="AX65" s="212">
        <v>1411.5699873896597</v>
      </c>
      <c r="AY65" s="12" t="s">
        <v>769</v>
      </c>
      <c r="BA65" s="212">
        <v>1081.0063186093237</v>
      </c>
      <c r="BB65" s="212">
        <v>1411.5699873896597</v>
      </c>
      <c r="BC65" s="226">
        <v>1411.5699873896597</v>
      </c>
      <c r="BD65" s="226">
        <v>1198.713532738429</v>
      </c>
    </row>
    <row r="66" spans="1:56" ht="39.950000000000003" hidden="1" customHeight="1" x14ac:dyDescent="0.2">
      <c r="A66" s="13" t="s">
        <v>320</v>
      </c>
      <c r="B66" s="65" t="s">
        <v>51</v>
      </c>
      <c r="C66" s="66" t="s">
        <v>87</v>
      </c>
      <c r="D66" s="13" t="s">
        <v>542</v>
      </c>
      <c r="E66" s="130" t="s">
        <v>87</v>
      </c>
      <c r="F66" s="14" t="s">
        <v>173</v>
      </c>
      <c r="G66" s="66" t="s">
        <v>316</v>
      </c>
      <c r="H66" s="14" t="s">
        <v>197</v>
      </c>
      <c r="I66" s="77" t="s">
        <v>75</v>
      </c>
      <c r="J66" s="66" t="s">
        <v>21</v>
      </c>
      <c r="K66" s="14" t="s">
        <v>29</v>
      </c>
      <c r="L66" s="65" t="s">
        <v>191</v>
      </c>
      <c r="M66" s="65" t="s">
        <v>59</v>
      </c>
      <c r="N66" s="13" t="s">
        <v>43</v>
      </c>
      <c r="O66" s="13" t="s">
        <v>538</v>
      </c>
      <c r="P66" s="13" t="s">
        <v>548</v>
      </c>
      <c r="Q66" s="64" t="s">
        <v>156</v>
      </c>
      <c r="R66" s="62">
        <v>17474.269138693275</v>
      </c>
      <c r="S66" s="63">
        <v>6500</v>
      </c>
      <c r="T66" s="62">
        <v>11358.27494015063</v>
      </c>
      <c r="U66" s="62">
        <v>139794.1531095462</v>
      </c>
      <c r="V66" s="62">
        <v>306481.97529138345</v>
      </c>
      <c r="W66" s="61" t="s">
        <v>11</v>
      </c>
      <c r="X66" s="181">
        <v>7.7000000000000002E-3</v>
      </c>
      <c r="Y66" s="60">
        <v>43927</v>
      </c>
      <c r="Z66" s="60">
        <v>46081</v>
      </c>
      <c r="AA66" s="60">
        <v>46081</v>
      </c>
      <c r="AB66" s="58">
        <v>2155</v>
      </c>
      <c r="AC66" s="75" t="s">
        <v>10</v>
      </c>
      <c r="AD66" s="58">
        <v>1430</v>
      </c>
      <c r="AE66" s="57">
        <v>3.9178082191780823</v>
      </c>
      <c r="AF66" s="56"/>
      <c r="AG66" s="71" t="s">
        <v>1</v>
      </c>
      <c r="AH66" s="71" t="s">
        <v>1</v>
      </c>
      <c r="AI66" s="70" t="s">
        <v>0</v>
      </c>
      <c r="AJ66" s="11" t="s">
        <v>0</v>
      </c>
      <c r="AK66" s="11" t="s">
        <v>271</v>
      </c>
      <c r="AL66" s="13" t="s">
        <v>398</v>
      </c>
      <c r="AM66" s="11">
        <v>10230</v>
      </c>
      <c r="AO66" s="197" t="s">
        <v>87</v>
      </c>
      <c r="AP66" s="198" t="s">
        <v>173</v>
      </c>
      <c r="AS66" s="212">
        <v>0</v>
      </c>
      <c r="AT66" s="212">
        <v>1362.9929928180754</v>
      </c>
      <c r="AU66" s="212" t="b">
        <v>0</v>
      </c>
      <c r="AV66" s="212"/>
      <c r="AW66" s="212">
        <v>0</v>
      </c>
      <c r="AX66" s="212">
        <v>0</v>
      </c>
      <c r="BA66" s="212">
        <v>0</v>
      </c>
      <c r="BB66" s="212">
        <v>0</v>
      </c>
      <c r="BC66" s="226">
        <v>0</v>
      </c>
      <c r="BD66" s="226"/>
    </row>
    <row r="67" spans="1:56" ht="39.950000000000003" hidden="1" customHeight="1" x14ac:dyDescent="0.2">
      <c r="A67" s="13" t="s">
        <v>550</v>
      </c>
      <c r="B67" s="65" t="s">
        <v>23</v>
      </c>
      <c r="C67" s="66" t="s">
        <v>37</v>
      </c>
      <c r="D67" s="13" t="s">
        <v>540</v>
      </c>
      <c r="E67" s="161" t="s">
        <v>36</v>
      </c>
      <c r="F67" s="14" t="s">
        <v>104</v>
      </c>
      <c r="G67" s="66" t="s">
        <v>111</v>
      </c>
      <c r="H67" s="66" t="s">
        <v>135</v>
      </c>
      <c r="I67" s="14" t="s">
        <v>77</v>
      </c>
      <c r="J67" s="66" t="s">
        <v>220</v>
      </c>
      <c r="K67" s="14" t="s">
        <v>29</v>
      </c>
      <c r="L67" s="65" t="s">
        <v>191</v>
      </c>
      <c r="M67" s="13" t="s">
        <v>323</v>
      </c>
      <c r="N67" s="13" t="s">
        <v>43</v>
      </c>
      <c r="O67" s="13" t="s">
        <v>531</v>
      </c>
      <c r="P67" s="13" t="s">
        <v>548</v>
      </c>
      <c r="Q67" s="64" t="s">
        <v>9</v>
      </c>
      <c r="R67" s="62">
        <v>9411.8912523193594</v>
      </c>
      <c r="S67" s="63">
        <v>9000</v>
      </c>
      <c r="T67" s="62">
        <v>12101.003038696319</v>
      </c>
      <c r="U67" s="62">
        <v>248742.84023986879</v>
      </c>
      <c r="V67" s="62">
        <v>807490.66878210125</v>
      </c>
      <c r="W67" s="61" t="s">
        <v>11</v>
      </c>
      <c r="X67" s="181">
        <v>3.7499999999999999E-2</v>
      </c>
      <c r="Y67" s="60">
        <v>43938</v>
      </c>
      <c r="Z67" s="60">
        <v>45063</v>
      </c>
      <c r="AA67" s="60">
        <v>45063</v>
      </c>
      <c r="AB67" s="58">
        <v>1126</v>
      </c>
      <c r="AC67" s="59" t="s">
        <v>10</v>
      </c>
      <c r="AD67" s="58">
        <v>412</v>
      </c>
      <c r="AE67" s="57">
        <v>1.1287671232876713</v>
      </c>
      <c r="AF67" s="56"/>
      <c r="AG67" s="71" t="s">
        <v>1</v>
      </c>
      <c r="AH67" s="71" t="s">
        <v>1</v>
      </c>
      <c r="AI67" s="70" t="s">
        <v>608</v>
      </c>
      <c r="AJ67" s="11" t="s">
        <v>0</v>
      </c>
      <c r="AK67" s="11" t="s">
        <v>271</v>
      </c>
      <c r="AL67" s="13" t="s">
        <v>401</v>
      </c>
      <c r="AM67" s="11">
        <v>12225</v>
      </c>
      <c r="AO67" s="197" t="s">
        <v>36</v>
      </c>
      <c r="AP67" s="198" t="s">
        <v>104</v>
      </c>
      <c r="AS67" s="212">
        <v>0</v>
      </c>
      <c r="AT67" s="212">
        <v>1452.1203646435583</v>
      </c>
      <c r="AU67" s="212" t="b">
        <v>0</v>
      </c>
      <c r="AV67" s="212"/>
      <c r="AW67" s="212">
        <v>0</v>
      </c>
      <c r="AX67" s="212">
        <v>0</v>
      </c>
      <c r="BA67" s="212">
        <v>0</v>
      </c>
      <c r="BB67" s="212">
        <v>0</v>
      </c>
      <c r="BC67" s="226">
        <v>0</v>
      </c>
      <c r="BD67" s="226"/>
    </row>
    <row r="68" spans="1:56" ht="39.950000000000003" hidden="1" customHeight="1" x14ac:dyDescent="0.2">
      <c r="A68" s="13" t="s">
        <v>319</v>
      </c>
      <c r="B68" s="65" t="s">
        <v>23</v>
      </c>
      <c r="C68" s="66" t="s">
        <v>89</v>
      </c>
      <c r="D68" s="13" t="s">
        <v>542</v>
      </c>
      <c r="E68" s="130" t="s">
        <v>166</v>
      </c>
      <c r="F68" s="14" t="s">
        <v>92</v>
      </c>
      <c r="G68" s="66" t="s">
        <v>134</v>
      </c>
      <c r="H68" s="14" t="s">
        <v>134</v>
      </c>
      <c r="I68" s="66" t="s">
        <v>58</v>
      </c>
      <c r="J68" s="14" t="s">
        <v>220</v>
      </c>
      <c r="K68" s="14" t="s">
        <v>68</v>
      </c>
      <c r="L68" s="65" t="s">
        <v>191</v>
      </c>
      <c r="M68" s="65" t="s">
        <v>59</v>
      </c>
      <c r="N68" s="13" t="s">
        <v>43</v>
      </c>
      <c r="O68" s="13" t="s">
        <v>539</v>
      </c>
      <c r="P68" s="13" t="s">
        <v>534</v>
      </c>
      <c r="Q68" s="64" t="s">
        <v>9</v>
      </c>
      <c r="R68" s="62">
        <v>26891.117863769599</v>
      </c>
      <c r="S68" s="63">
        <v>13849.357</v>
      </c>
      <c r="T68" s="62">
        <v>18621.234571221128</v>
      </c>
      <c r="U68" s="62">
        <v>71799.284696264833</v>
      </c>
      <c r="V68" s="62">
        <v>1191334.3372684002</v>
      </c>
      <c r="W68" s="61" t="s">
        <v>11</v>
      </c>
      <c r="X68" s="181">
        <v>2.1999999999999999E-2</v>
      </c>
      <c r="Y68" s="60">
        <v>43943</v>
      </c>
      <c r="Z68" s="60">
        <v>45860</v>
      </c>
      <c r="AA68" s="60">
        <v>45860</v>
      </c>
      <c r="AB68" s="58">
        <v>1918</v>
      </c>
      <c r="AC68" s="59" t="s">
        <v>10</v>
      </c>
      <c r="AD68" s="58">
        <v>1209</v>
      </c>
      <c r="AE68" s="57">
        <v>3.3123287671232875</v>
      </c>
      <c r="AF68" s="56" t="s">
        <v>436</v>
      </c>
      <c r="AG68" s="71" t="s">
        <v>1</v>
      </c>
      <c r="AH68" s="71" t="s">
        <v>1</v>
      </c>
      <c r="AI68" s="70" t="s">
        <v>664</v>
      </c>
      <c r="AJ68" s="11" t="s">
        <v>0</v>
      </c>
      <c r="AK68" s="11" t="s">
        <v>271</v>
      </c>
      <c r="AL68" s="13" t="s">
        <v>402</v>
      </c>
      <c r="AM68" s="11">
        <v>6000</v>
      </c>
      <c r="AO68" s="197" t="s">
        <v>166</v>
      </c>
      <c r="AP68" s="198" t="s">
        <v>92</v>
      </c>
      <c r="AS68" s="212">
        <v>0</v>
      </c>
      <c r="AT68" s="212">
        <v>2234.5481485465352</v>
      </c>
      <c r="AU68" s="212">
        <v>446.90962970930707</v>
      </c>
      <c r="AV68" s="212"/>
      <c r="AW68" s="212">
        <v>0</v>
      </c>
      <c r="AX68" s="212">
        <v>0</v>
      </c>
      <c r="BA68" s="212">
        <v>0</v>
      </c>
      <c r="BB68" s="212">
        <v>0</v>
      </c>
      <c r="BC68" s="226">
        <v>0</v>
      </c>
      <c r="BD68" s="226"/>
    </row>
    <row r="69" spans="1:56" ht="39.950000000000003" hidden="1" customHeight="1" x14ac:dyDescent="0.2">
      <c r="A69" s="13" t="s">
        <v>318</v>
      </c>
      <c r="B69" s="65" t="s">
        <v>24</v>
      </c>
      <c r="C69" s="66" t="s">
        <v>38</v>
      </c>
      <c r="D69" s="13" t="s">
        <v>540</v>
      </c>
      <c r="E69" s="161" t="s">
        <v>36</v>
      </c>
      <c r="F69" s="14" t="s">
        <v>102</v>
      </c>
      <c r="G69" s="14" t="s">
        <v>102</v>
      </c>
      <c r="H69" s="130" t="s">
        <v>473</v>
      </c>
      <c r="I69" s="133" t="s">
        <v>706</v>
      </c>
      <c r="J69" s="14" t="s">
        <v>220</v>
      </c>
      <c r="K69" s="14" t="s">
        <v>101</v>
      </c>
      <c r="L69" s="65" t="s">
        <v>191</v>
      </c>
      <c r="M69" s="65" t="s">
        <v>323</v>
      </c>
      <c r="N69" s="13" t="s">
        <v>43</v>
      </c>
      <c r="O69" s="13" t="s">
        <v>531</v>
      </c>
      <c r="P69" s="13" t="s">
        <v>534</v>
      </c>
      <c r="Q69" s="64" t="s">
        <v>238</v>
      </c>
      <c r="R69" s="62">
        <v>13895.732728885385</v>
      </c>
      <c r="S69" s="63">
        <v>14100</v>
      </c>
      <c r="T69" s="62">
        <v>13895.732728885385</v>
      </c>
      <c r="U69" s="62">
        <v>50951.02000591308</v>
      </c>
      <c r="V69" s="62">
        <v>771175.06652212481</v>
      </c>
      <c r="W69" s="61" t="s">
        <v>11</v>
      </c>
      <c r="X69" s="181">
        <v>2.3E-2</v>
      </c>
      <c r="Y69" s="60">
        <v>43948</v>
      </c>
      <c r="Z69" s="60">
        <v>45748</v>
      </c>
      <c r="AA69" s="60">
        <v>45748</v>
      </c>
      <c r="AB69" s="58">
        <v>1801</v>
      </c>
      <c r="AC69" s="59" t="s">
        <v>10</v>
      </c>
      <c r="AD69" s="58">
        <v>1097</v>
      </c>
      <c r="AE69" s="57">
        <v>3.0054794520547947</v>
      </c>
      <c r="AF69" s="56"/>
      <c r="AG69" s="71" t="s">
        <v>1</v>
      </c>
      <c r="AH69" s="71" t="s">
        <v>1</v>
      </c>
      <c r="AI69" s="70" t="s">
        <v>0</v>
      </c>
      <c r="AJ69" s="11" t="s">
        <v>0</v>
      </c>
      <c r="AK69" s="11" t="s">
        <v>271</v>
      </c>
      <c r="AL69" s="14" t="s">
        <v>400</v>
      </c>
      <c r="AM69" s="11">
        <v>15933</v>
      </c>
      <c r="AO69" s="197" t="s">
        <v>36</v>
      </c>
      <c r="AP69" s="198" t="s">
        <v>102</v>
      </c>
      <c r="AS69" s="212">
        <v>0</v>
      </c>
      <c r="AT69" s="212">
        <v>1667.4879274662462</v>
      </c>
      <c r="AU69" s="212" t="b">
        <v>0</v>
      </c>
      <c r="AV69" s="212"/>
      <c r="AW69" s="212">
        <v>0</v>
      </c>
      <c r="AX69" s="212">
        <v>0</v>
      </c>
      <c r="BA69" s="212">
        <v>0</v>
      </c>
      <c r="BB69" s="212">
        <v>0</v>
      </c>
      <c r="BC69" s="226">
        <v>0</v>
      </c>
      <c r="BD69" s="226"/>
    </row>
    <row r="70" spans="1:56" ht="39.950000000000003" hidden="1" customHeight="1" x14ac:dyDescent="0.2">
      <c r="A70" s="13" t="s">
        <v>404</v>
      </c>
      <c r="B70" s="65" t="s">
        <v>67</v>
      </c>
      <c r="C70" s="66" t="s">
        <v>87</v>
      </c>
      <c r="D70" s="13" t="s">
        <v>34</v>
      </c>
      <c r="E70" s="130" t="s">
        <v>34</v>
      </c>
      <c r="F70" s="14" t="s">
        <v>546</v>
      </c>
      <c r="G70" s="66" t="s">
        <v>167</v>
      </c>
      <c r="H70" s="14" t="s">
        <v>167</v>
      </c>
      <c r="I70" s="66" t="s">
        <v>298</v>
      </c>
      <c r="J70" s="14" t="s">
        <v>218</v>
      </c>
      <c r="K70" s="14" t="s">
        <v>209</v>
      </c>
      <c r="L70" s="65" t="s">
        <v>191</v>
      </c>
      <c r="M70" s="65" t="s">
        <v>59</v>
      </c>
      <c r="N70" s="13" t="s">
        <v>43</v>
      </c>
      <c r="O70" s="13" t="s">
        <v>531</v>
      </c>
      <c r="P70" s="13" t="s">
        <v>534</v>
      </c>
      <c r="Q70" s="64" t="s">
        <v>8</v>
      </c>
      <c r="R70" s="62">
        <v>30000</v>
      </c>
      <c r="S70" s="63">
        <v>30000</v>
      </c>
      <c r="T70" s="62">
        <v>30000</v>
      </c>
      <c r="U70" s="62">
        <v>60000</v>
      </c>
      <c r="V70" s="62">
        <v>2983002.6799999997</v>
      </c>
      <c r="W70" s="61" t="s">
        <v>11</v>
      </c>
      <c r="X70" s="181">
        <v>4.4999999999999998E-2</v>
      </c>
      <c r="Y70" s="60">
        <v>43955</v>
      </c>
      <c r="Z70" s="60">
        <v>45768</v>
      </c>
      <c r="AA70" s="60">
        <v>45768</v>
      </c>
      <c r="AB70" s="58">
        <v>1814</v>
      </c>
      <c r="AC70" s="59" t="s">
        <v>10</v>
      </c>
      <c r="AD70" s="58">
        <v>1117</v>
      </c>
      <c r="AE70" s="57">
        <v>3.0602739726027397</v>
      </c>
      <c r="AF70" s="56" t="s">
        <v>436</v>
      </c>
      <c r="AG70" s="71" t="s">
        <v>1</v>
      </c>
      <c r="AH70" s="71" t="s">
        <v>1</v>
      </c>
      <c r="AI70" s="70" t="s">
        <v>0</v>
      </c>
      <c r="AJ70" s="11" t="s">
        <v>0</v>
      </c>
      <c r="AK70" s="11" t="s">
        <v>271</v>
      </c>
      <c r="AL70" s="13" t="s">
        <v>406</v>
      </c>
      <c r="AM70" s="11">
        <v>12267.5</v>
      </c>
      <c r="AO70" s="197" t="s">
        <v>34</v>
      </c>
      <c r="AP70" s="198" t="s">
        <v>546</v>
      </c>
      <c r="AS70" s="212">
        <v>0</v>
      </c>
      <c r="AT70" s="212">
        <v>3600</v>
      </c>
      <c r="AU70" s="212">
        <v>720</v>
      </c>
      <c r="AV70" s="212"/>
      <c r="AW70" s="212">
        <v>0</v>
      </c>
      <c r="AX70" s="212">
        <v>0</v>
      </c>
      <c r="BA70" s="212">
        <v>0</v>
      </c>
      <c r="BB70" s="212">
        <v>0</v>
      </c>
      <c r="BC70" s="226">
        <v>0</v>
      </c>
      <c r="BD70" s="226"/>
    </row>
    <row r="71" spans="1:56" ht="39.950000000000003" hidden="1" customHeight="1" x14ac:dyDescent="0.2">
      <c r="A71" s="13" t="s">
        <v>405</v>
      </c>
      <c r="B71" s="65" t="s">
        <v>67</v>
      </c>
      <c r="C71" s="66" t="s">
        <v>34</v>
      </c>
      <c r="D71" s="13" t="s">
        <v>34</v>
      </c>
      <c r="E71" s="130" t="s">
        <v>34</v>
      </c>
      <c r="F71" s="14" t="s">
        <v>106</v>
      </c>
      <c r="G71" s="14" t="s">
        <v>106</v>
      </c>
      <c r="H71" s="14" t="s">
        <v>245</v>
      </c>
      <c r="I71" s="66" t="s">
        <v>409</v>
      </c>
      <c r="J71" s="14" t="s">
        <v>408</v>
      </c>
      <c r="K71" s="14" t="s">
        <v>29</v>
      </c>
      <c r="L71" s="65" t="s">
        <v>191</v>
      </c>
      <c r="M71" s="13" t="s">
        <v>323</v>
      </c>
      <c r="N71" s="13" t="s">
        <v>43</v>
      </c>
      <c r="O71" s="13" t="s">
        <v>533</v>
      </c>
      <c r="P71" s="13" t="s">
        <v>534</v>
      </c>
      <c r="Q71" s="64" t="s">
        <v>8</v>
      </c>
      <c r="R71" s="62">
        <v>25000</v>
      </c>
      <c r="S71" s="63">
        <v>25000</v>
      </c>
      <c r="T71" s="62">
        <v>25000</v>
      </c>
      <c r="U71" s="62">
        <v>50000</v>
      </c>
      <c r="V71" s="62">
        <v>1429880.14</v>
      </c>
      <c r="W71" s="61" t="s">
        <v>11</v>
      </c>
      <c r="X71" s="181">
        <v>2.1999999999999999E-2</v>
      </c>
      <c r="Y71" s="60">
        <v>43957</v>
      </c>
      <c r="Z71" s="60">
        <v>45628</v>
      </c>
      <c r="AA71" s="60">
        <v>45628</v>
      </c>
      <c r="AB71" s="58">
        <v>1672</v>
      </c>
      <c r="AC71" s="59" t="s">
        <v>10</v>
      </c>
      <c r="AD71" s="58">
        <v>977</v>
      </c>
      <c r="AE71" s="57">
        <v>2.6767123287671235</v>
      </c>
      <c r="AF71" s="56" t="s">
        <v>436</v>
      </c>
      <c r="AG71" s="71" t="s">
        <v>1</v>
      </c>
      <c r="AH71" s="71" t="s">
        <v>1</v>
      </c>
      <c r="AI71" s="70" t="s">
        <v>0</v>
      </c>
      <c r="AJ71" s="11" t="s">
        <v>0</v>
      </c>
      <c r="AK71" s="11" t="s">
        <v>271</v>
      </c>
      <c r="AL71" s="13" t="s">
        <v>407</v>
      </c>
      <c r="AM71" s="11">
        <v>4500</v>
      </c>
      <c r="AO71" s="197" t="s">
        <v>34</v>
      </c>
      <c r="AP71" s="198" t="s">
        <v>106</v>
      </c>
      <c r="AS71" s="212">
        <v>0</v>
      </c>
      <c r="AT71" s="212">
        <v>3000</v>
      </c>
      <c r="AU71" s="212">
        <v>600</v>
      </c>
      <c r="AV71" s="212"/>
      <c r="AW71" s="212">
        <v>0</v>
      </c>
      <c r="AX71" s="212">
        <v>0</v>
      </c>
      <c r="BA71" s="212">
        <v>0</v>
      </c>
      <c r="BB71" s="212">
        <v>0</v>
      </c>
      <c r="BC71" s="226">
        <v>0</v>
      </c>
      <c r="BD71" s="226"/>
    </row>
    <row r="72" spans="1:56" ht="39.950000000000003" hidden="1" customHeight="1" x14ac:dyDescent="0.2">
      <c r="A72" s="13" t="s">
        <v>411</v>
      </c>
      <c r="B72" s="65" t="s">
        <v>243</v>
      </c>
      <c r="C72" s="66" t="s">
        <v>89</v>
      </c>
      <c r="D72" s="13" t="s">
        <v>542</v>
      </c>
      <c r="E72" s="130" t="s">
        <v>87</v>
      </c>
      <c r="F72" s="14" t="s">
        <v>543</v>
      </c>
      <c r="G72" s="131" t="s">
        <v>133</v>
      </c>
      <c r="H72" s="130" t="s">
        <v>133</v>
      </c>
      <c r="I72" s="14" t="s">
        <v>281</v>
      </c>
      <c r="J72" s="14" t="s">
        <v>256</v>
      </c>
      <c r="K72" s="14" t="s">
        <v>29</v>
      </c>
      <c r="L72" s="65" t="s">
        <v>191</v>
      </c>
      <c r="M72" s="13" t="s">
        <v>59</v>
      </c>
      <c r="N72" s="13" t="s">
        <v>43</v>
      </c>
      <c r="O72" s="13" t="s">
        <v>533</v>
      </c>
      <c r="P72" s="13" t="s">
        <v>532</v>
      </c>
      <c r="Q72" s="64" t="s">
        <v>156</v>
      </c>
      <c r="R72" s="62">
        <v>17447.476543708912</v>
      </c>
      <c r="S72" s="63" t="s">
        <v>53</v>
      </c>
      <c r="T72" s="62">
        <v>17447.476543708912</v>
      </c>
      <c r="U72" s="62">
        <v>230660.35263075124</v>
      </c>
      <c r="V72" s="62">
        <v>242187.03616358479</v>
      </c>
      <c r="W72" s="61" t="s">
        <v>551</v>
      </c>
      <c r="X72" s="181">
        <v>1.4E-2</v>
      </c>
      <c r="Y72" s="60">
        <v>43964</v>
      </c>
      <c r="Z72" s="60">
        <v>45442</v>
      </c>
      <c r="AA72" s="60">
        <v>45442</v>
      </c>
      <c r="AB72" s="58">
        <v>1479</v>
      </c>
      <c r="AC72" s="59" t="s">
        <v>10</v>
      </c>
      <c r="AD72" s="58">
        <v>791</v>
      </c>
      <c r="AE72" s="57">
        <v>2.1671232876712327</v>
      </c>
      <c r="AF72" s="56"/>
      <c r="AG72" s="71" t="s">
        <v>1</v>
      </c>
      <c r="AH72" s="71" t="s">
        <v>1</v>
      </c>
      <c r="AI72" s="70" t="s">
        <v>0</v>
      </c>
      <c r="AJ72" s="11" t="s">
        <v>0</v>
      </c>
      <c r="AK72" s="11" t="s">
        <v>271</v>
      </c>
      <c r="AL72" s="13" t="s">
        <v>417</v>
      </c>
      <c r="AM72" s="11">
        <v>16213</v>
      </c>
      <c r="AO72" s="197" t="s">
        <v>87</v>
      </c>
      <c r="AP72" s="198" t="s">
        <v>543</v>
      </c>
      <c r="AS72" s="212">
        <v>0</v>
      </c>
      <c r="AT72" s="212">
        <v>2093.6971852450692</v>
      </c>
      <c r="AU72" s="212" t="b">
        <v>0</v>
      </c>
      <c r="AV72" s="212"/>
      <c r="AW72" s="212">
        <v>0</v>
      </c>
      <c r="AX72" s="212">
        <v>0</v>
      </c>
      <c r="BA72" s="212">
        <v>0</v>
      </c>
      <c r="BB72" s="212">
        <v>0</v>
      </c>
      <c r="BC72" s="226">
        <v>0</v>
      </c>
      <c r="BD72" s="226"/>
    </row>
    <row r="73" spans="1:56" ht="39.950000000000003" hidden="1" customHeight="1" x14ac:dyDescent="0.2">
      <c r="A73" s="13" t="s">
        <v>412</v>
      </c>
      <c r="B73" s="65" t="s">
        <v>243</v>
      </c>
      <c r="C73" s="66" t="s">
        <v>87</v>
      </c>
      <c r="D73" s="13" t="s">
        <v>469</v>
      </c>
      <c r="E73" s="130" t="s">
        <v>413</v>
      </c>
      <c r="F73" s="14" t="s">
        <v>48</v>
      </c>
      <c r="G73" s="131" t="s">
        <v>95</v>
      </c>
      <c r="H73" s="130" t="s">
        <v>521</v>
      </c>
      <c r="I73" s="14" t="s">
        <v>181</v>
      </c>
      <c r="J73" s="14" t="s">
        <v>33</v>
      </c>
      <c r="K73" s="14" t="s">
        <v>140</v>
      </c>
      <c r="L73" s="65" t="s">
        <v>191</v>
      </c>
      <c r="M73" s="13" t="s">
        <v>59</v>
      </c>
      <c r="N73" s="13" t="s">
        <v>43</v>
      </c>
      <c r="O73" s="13" t="s">
        <v>538</v>
      </c>
      <c r="P73" s="13" t="s">
        <v>534</v>
      </c>
      <c r="Q73" s="64" t="s">
        <v>9</v>
      </c>
      <c r="R73" s="62">
        <v>10084.1691989136</v>
      </c>
      <c r="S73" s="63">
        <v>7500</v>
      </c>
      <c r="T73" s="62">
        <v>10084.1691989136</v>
      </c>
      <c r="U73" s="62">
        <v>33613.897329711996</v>
      </c>
      <c r="V73" s="62">
        <v>1223166.7518218732</v>
      </c>
      <c r="W73" s="61" t="s">
        <v>11</v>
      </c>
      <c r="X73" s="181">
        <v>3.7499999999999999E-2</v>
      </c>
      <c r="Y73" s="60">
        <v>43965</v>
      </c>
      <c r="Z73" s="60">
        <v>47238</v>
      </c>
      <c r="AA73" s="60">
        <v>47238</v>
      </c>
      <c r="AB73" s="58">
        <v>3274</v>
      </c>
      <c r="AC73" s="59" t="s">
        <v>10</v>
      </c>
      <c r="AD73" s="58">
        <v>2587</v>
      </c>
      <c r="AE73" s="57">
        <v>7.087671232876712</v>
      </c>
      <c r="AF73" s="56"/>
      <c r="AG73" s="71" t="s">
        <v>1</v>
      </c>
      <c r="AH73" s="71" t="s">
        <v>1</v>
      </c>
      <c r="AI73" s="70" t="s">
        <v>0</v>
      </c>
      <c r="AJ73" s="11" t="s">
        <v>0</v>
      </c>
      <c r="AK73" s="11" t="s">
        <v>271</v>
      </c>
      <c r="AL73" s="13" t="s">
        <v>416</v>
      </c>
      <c r="AM73" s="11">
        <v>10237</v>
      </c>
      <c r="AO73" s="197" t="s">
        <v>413</v>
      </c>
      <c r="AP73" s="198" t="s">
        <v>48</v>
      </c>
      <c r="AS73" s="212">
        <v>0</v>
      </c>
      <c r="AT73" s="212">
        <v>1210.1003038696319</v>
      </c>
      <c r="AU73" s="212" t="b">
        <v>0</v>
      </c>
      <c r="AV73" s="212"/>
      <c r="AW73" s="212">
        <v>0</v>
      </c>
      <c r="AX73" s="212">
        <v>0</v>
      </c>
      <c r="BA73" s="212">
        <v>0</v>
      </c>
      <c r="BB73" s="212">
        <v>0</v>
      </c>
      <c r="BC73" s="226">
        <v>0</v>
      </c>
      <c r="BD73" s="226"/>
    </row>
    <row r="74" spans="1:56" ht="39.950000000000003" hidden="1" customHeight="1" x14ac:dyDescent="0.2">
      <c r="A74" s="13" t="s">
        <v>410</v>
      </c>
      <c r="B74" s="65" t="s">
        <v>23</v>
      </c>
      <c r="C74" s="66" t="s">
        <v>34</v>
      </c>
      <c r="D74" s="13" t="s">
        <v>34</v>
      </c>
      <c r="E74" s="130" t="s">
        <v>34</v>
      </c>
      <c r="F74" s="14" t="s">
        <v>543</v>
      </c>
      <c r="G74" s="131" t="s">
        <v>133</v>
      </c>
      <c r="H74" s="130" t="s">
        <v>133</v>
      </c>
      <c r="I74" s="66" t="s">
        <v>232</v>
      </c>
      <c r="J74" s="14" t="s">
        <v>21</v>
      </c>
      <c r="K74" s="14" t="s">
        <v>44</v>
      </c>
      <c r="L74" s="65" t="s">
        <v>191</v>
      </c>
      <c r="M74" s="13" t="s">
        <v>323</v>
      </c>
      <c r="N74" s="13" t="s">
        <v>43</v>
      </c>
      <c r="O74" s="13" t="s">
        <v>533</v>
      </c>
      <c r="P74" s="13" t="s">
        <v>534</v>
      </c>
      <c r="Q74" s="64" t="s">
        <v>9</v>
      </c>
      <c r="R74" s="62">
        <v>26891.117863769599</v>
      </c>
      <c r="S74" s="63">
        <v>20000</v>
      </c>
      <c r="T74" s="62">
        <v>26891.117863769599</v>
      </c>
      <c r="U74" s="62">
        <v>62790.760211902016</v>
      </c>
      <c r="V74" s="62">
        <v>888590.98609729216</v>
      </c>
      <c r="W74" s="61" t="s">
        <v>11</v>
      </c>
      <c r="X74" s="181">
        <v>2.1000000000000001E-2</v>
      </c>
      <c r="Y74" s="60">
        <v>43966</v>
      </c>
      <c r="Z74" s="60">
        <v>45823</v>
      </c>
      <c r="AA74" s="60">
        <v>45823</v>
      </c>
      <c r="AB74" s="72">
        <v>1858</v>
      </c>
      <c r="AC74" s="59" t="s">
        <v>10</v>
      </c>
      <c r="AD74" s="58">
        <v>1172</v>
      </c>
      <c r="AE74" s="57">
        <v>3.2109589041095892</v>
      </c>
      <c r="AF74" s="56" t="s">
        <v>436</v>
      </c>
      <c r="AG74" s="71" t="s">
        <v>1</v>
      </c>
      <c r="AH74" s="71" t="s">
        <v>1</v>
      </c>
      <c r="AI74" s="70" t="s">
        <v>0</v>
      </c>
      <c r="AJ74" s="11" t="s">
        <v>0</v>
      </c>
      <c r="AK74" s="11" t="s">
        <v>271</v>
      </c>
      <c r="AL74" s="13" t="s">
        <v>418</v>
      </c>
      <c r="AM74" s="11">
        <v>6000</v>
      </c>
      <c r="AO74" s="197" t="s">
        <v>34</v>
      </c>
      <c r="AP74" s="198" t="s">
        <v>543</v>
      </c>
      <c r="AS74" s="212">
        <v>0</v>
      </c>
      <c r="AT74" s="212">
        <v>3226.9341436523518</v>
      </c>
      <c r="AU74" s="212">
        <v>645.38682873047037</v>
      </c>
      <c r="AV74" s="212"/>
      <c r="AW74" s="212">
        <v>0</v>
      </c>
      <c r="AX74" s="212">
        <v>0</v>
      </c>
      <c r="BA74" s="212">
        <v>0</v>
      </c>
      <c r="BB74" s="212">
        <v>0</v>
      </c>
      <c r="BC74" s="226">
        <v>0</v>
      </c>
      <c r="BD74" s="226"/>
    </row>
    <row r="75" spans="1:56" ht="39.950000000000003" hidden="1" customHeight="1" x14ac:dyDescent="0.2">
      <c r="A75" s="13" t="s">
        <v>414</v>
      </c>
      <c r="B75" s="65" t="s">
        <v>24</v>
      </c>
      <c r="C75" s="66" t="s">
        <v>166</v>
      </c>
      <c r="D75" s="13" t="s">
        <v>542</v>
      </c>
      <c r="E75" s="130" t="s">
        <v>166</v>
      </c>
      <c r="F75" s="14" t="s">
        <v>102</v>
      </c>
      <c r="G75" s="131" t="s">
        <v>102</v>
      </c>
      <c r="H75" s="130" t="s">
        <v>122</v>
      </c>
      <c r="I75" s="66" t="s">
        <v>704</v>
      </c>
      <c r="J75" s="14" t="s">
        <v>220</v>
      </c>
      <c r="K75" s="14" t="s">
        <v>101</v>
      </c>
      <c r="L75" s="65" t="s">
        <v>191</v>
      </c>
      <c r="M75" s="13" t="s">
        <v>59</v>
      </c>
      <c r="N75" s="13" t="s">
        <v>43</v>
      </c>
      <c r="O75" s="13" t="s">
        <v>531</v>
      </c>
      <c r="P75" s="13" t="s">
        <v>534</v>
      </c>
      <c r="Q75" s="64" t="s">
        <v>59</v>
      </c>
      <c r="R75" s="62">
        <v>21838.51148705704</v>
      </c>
      <c r="S75" s="63">
        <v>15000</v>
      </c>
      <c r="T75" s="62">
        <v>21838.51148705704</v>
      </c>
      <c r="U75" s="62">
        <v>77162.74058760154</v>
      </c>
      <c r="V75" s="62">
        <v>840739.01522872201</v>
      </c>
      <c r="W75" s="61" t="s">
        <v>11</v>
      </c>
      <c r="X75" s="181">
        <v>1.2E-2</v>
      </c>
      <c r="Y75" s="60">
        <v>43966</v>
      </c>
      <c r="Z75" s="60">
        <v>46523</v>
      </c>
      <c r="AA75" s="60">
        <v>46523</v>
      </c>
      <c r="AB75" s="58">
        <v>2558</v>
      </c>
      <c r="AC75" s="59" t="s">
        <v>10</v>
      </c>
      <c r="AD75" s="58">
        <v>1872</v>
      </c>
      <c r="AE75" s="57">
        <v>5.1287671232876715</v>
      </c>
      <c r="AF75" s="56"/>
      <c r="AG75" s="71" t="s">
        <v>1</v>
      </c>
      <c r="AH75" s="71" t="s">
        <v>1</v>
      </c>
      <c r="AI75" s="70" t="s">
        <v>0</v>
      </c>
      <c r="AJ75" s="11" t="s">
        <v>0</v>
      </c>
      <c r="AK75" s="11" t="s">
        <v>271</v>
      </c>
      <c r="AL75" s="13" t="s">
        <v>415</v>
      </c>
      <c r="AM75" s="11">
        <v>8850</v>
      </c>
      <c r="AO75" s="197" t="s">
        <v>166</v>
      </c>
      <c r="AP75" s="198" t="s">
        <v>102</v>
      </c>
      <c r="AS75" s="212">
        <v>0</v>
      </c>
      <c r="AT75" s="212">
        <v>2620.6213784468446</v>
      </c>
      <c r="AU75" s="212" t="b">
        <v>0</v>
      </c>
      <c r="AV75" s="212"/>
      <c r="AW75" s="212">
        <v>0</v>
      </c>
      <c r="AX75" s="212">
        <v>0</v>
      </c>
      <c r="BA75" s="212">
        <v>0</v>
      </c>
      <c r="BB75" s="212">
        <v>0</v>
      </c>
      <c r="BC75" s="226">
        <v>0</v>
      </c>
      <c r="BD75" s="226"/>
    </row>
    <row r="76" spans="1:56" ht="39.950000000000003" hidden="1" customHeight="1" x14ac:dyDescent="0.2">
      <c r="A76" s="13" t="s">
        <v>419</v>
      </c>
      <c r="B76" s="65" t="s">
        <v>51</v>
      </c>
      <c r="C76" s="66" t="s">
        <v>166</v>
      </c>
      <c r="D76" s="13" t="s">
        <v>542</v>
      </c>
      <c r="E76" s="130" t="s">
        <v>166</v>
      </c>
      <c r="F76" s="14" t="s">
        <v>102</v>
      </c>
      <c r="G76" s="131" t="s">
        <v>102</v>
      </c>
      <c r="H76" s="130" t="s">
        <v>110</v>
      </c>
      <c r="I76" s="66" t="s">
        <v>145</v>
      </c>
      <c r="J76" s="14" t="s">
        <v>221</v>
      </c>
      <c r="K76" s="14" t="s">
        <v>209</v>
      </c>
      <c r="L76" s="65" t="s">
        <v>191</v>
      </c>
      <c r="M76" s="13" t="s">
        <v>59</v>
      </c>
      <c r="N76" s="13" t="s">
        <v>43</v>
      </c>
      <c r="O76" s="13" t="s">
        <v>538</v>
      </c>
      <c r="P76" s="13" t="s">
        <v>534</v>
      </c>
      <c r="Q76" s="64" t="s">
        <v>59</v>
      </c>
      <c r="R76" s="62">
        <v>29118.015316076056</v>
      </c>
      <c r="S76" s="63">
        <v>20000</v>
      </c>
      <c r="T76" s="62">
        <v>29118.015316076056</v>
      </c>
      <c r="U76" s="62">
        <v>94633.549777247186</v>
      </c>
      <c r="V76" s="62">
        <v>1145161.022624698</v>
      </c>
      <c r="W76" s="61" t="s">
        <v>551</v>
      </c>
      <c r="X76" s="181">
        <v>2.5000000000000001E-2</v>
      </c>
      <c r="Y76" s="60">
        <v>43971</v>
      </c>
      <c r="Z76" s="60">
        <v>45046</v>
      </c>
      <c r="AA76" s="60">
        <v>45046</v>
      </c>
      <c r="AB76" s="58">
        <v>1076</v>
      </c>
      <c r="AC76" s="59" t="s">
        <v>10</v>
      </c>
      <c r="AD76" s="58">
        <v>395</v>
      </c>
      <c r="AE76" s="57">
        <v>1.0821917808219179</v>
      </c>
      <c r="AF76" s="56" t="s">
        <v>436</v>
      </c>
      <c r="AG76" s="71" t="s">
        <v>1</v>
      </c>
      <c r="AH76" s="71" t="s">
        <v>1</v>
      </c>
      <c r="AI76" s="70" t="s">
        <v>0</v>
      </c>
      <c r="AJ76" s="11" t="s">
        <v>0</v>
      </c>
      <c r="AK76" s="11" t="s">
        <v>271</v>
      </c>
      <c r="AL76" s="13" t="s">
        <v>420</v>
      </c>
      <c r="AM76" s="11">
        <v>3367.5</v>
      </c>
      <c r="AO76" s="197" t="s">
        <v>166</v>
      </c>
      <c r="AP76" s="198" t="s">
        <v>102</v>
      </c>
      <c r="AS76" s="212">
        <v>0</v>
      </c>
      <c r="AT76" s="212">
        <v>3494.1618379291267</v>
      </c>
      <c r="AU76" s="212">
        <v>698.83236758582541</v>
      </c>
      <c r="AV76" s="212"/>
      <c r="AW76" s="212">
        <v>0</v>
      </c>
      <c r="AX76" s="212">
        <v>0</v>
      </c>
      <c r="BA76" s="212">
        <v>0</v>
      </c>
      <c r="BB76" s="212">
        <v>0</v>
      </c>
      <c r="BC76" s="226">
        <v>0</v>
      </c>
      <c r="BD76" s="226"/>
    </row>
    <row r="77" spans="1:56" ht="39.950000000000003" hidden="1" customHeight="1" x14ac:dyDescent="0.2">
      <c r="A77" s="13" t="s">
        <v>421</v>
      </c>
      <c r="B77" s="69" t="s">
        <v>51</v>
      </c>
      <c r="C77" s="66" t="s">
        <v>127</v>
      </c>
      <c r="D77" s="13" t="s">
        <v>499</v>
      </c>
      <c r="E77" s="130" t="s">
        <v>162</v>
      </c>
      <c r="F77" s="14" t="s">
        <v>475</v>
      </c>
      <c r="G77" s="131" t="s">
        <v>227</v>
      </c>
      <c r="H77" s="130" t="s">
        <v>422</v>
      </c>
      <c r="I77" s="14" t="s">
        <v>158</v>
      </c>
      <c r="J77" s="14" t="s">
        <v>220</v>
      </c>
      <c r="K77" s="14" t="s">
        <v>209</v>
      </c>
      <c r="L77" s="65" t="s">
        <v>191</v>
      </c>
      <c r="M77" s="13" t="s">
        <v>59</v>
      </c>
      <c r="N77" s="13" t="s">
        <v>43</v>
      </c>
      <c r="O77" s="13" t="s">
        <v>533</v>
      </c>
      <c r="P77" s="13" t="s">
        <v>534</v>
      </c>
      <c r="Q77" s="64" t="s">
        <v>9</v>
      </c>
      <c r="R77" s="62">
        <v>26891.117863769599</v>
      </c>
      <c r="S77" s="63">
        <v>20000</v>
      </c>
      <c r="T77" s="62">
        <v>26891.117863769599</v>
      </c>
      <c r="U77" s="62">
        <v>470594.562615968</v>
      </c>
      <c r="V77" s="62">
        <v>1166939.3470836582</v>
      </c>
      <c r="W77" s="61" t="s">
        <v>11</v>
      </c>
      <c r="X77" s="181">
        <v>1.7500000000000002E-2</v>
      </c>
      <c r="Y77" s="60">
        <v>44530</v>
      </c>
      <c r="Z77" s="60">
        <v>46386</v>
      </c>
      <c r="AA77" s="60">
        <v>46386</v>
      </c>
      <c r="AB77" s="72">
        <v>1857</v>
      </c>
      <c r="AC77" s="59" t="s">
        <v>10</v>
      </c>
      <c r="AD77" s="58">
        <v>1735</v>
      </c>
      <c r="AE77" s="57">
        <v>4.7534246575342465</v>
      </c>
      <c r="AF77" s="56" t="s">
        <v>436</v>
      </c>
      <c r="AG77" s="71" t="s">
        <v>1</v>
      </c>
      <c r="AH77" s="71" t="s">
        <v>1</v>
      </c>
      <c r="AI77" s="70" t="s">
        <v>731</v>
      </c>
      <c r="AJ77" s="11" t="s">
        <v>0</v>
      </c>
      <c r="AK77" s="11" t="s">
        <v>271</v>
      </c>
      <c r="AL77" s="13" t="s">
        <v>423</v>
      </c>
      <c r="AM77" s="11">
        <v>8500</v>
      </c>
      <c r="AO77" s="197" t="s">
        <v>162</v>
      </c>
      <c r="AP77" s="198" t="s">
        <v>475</v>
      </c>
      <c r="AS77" s="212">
        <v>0</v>
      </c>
      <c r="AT77" s="212">
        <v>3226.9341436523518</v>
      </c>
      <c r="AU77" s="212">
        <v>645.38682873047037</v>
      </c>
      <c r="AV77" s="212"/>
      <c r="AW77" s="212">
        <v>0</v>
      </c>
      <c r="AX77" s="212">
        <v>0</v>
      </c>
      <c r="BA77" s="212">
        <v>0</v>
      </c>
      <c r="BB77" s="212">
        <v>0</v>
      </c>
      <c r="BC77" s="226">
        <v>0</v>
      </c>
      <c r="BD77" s="226"/>
    </row>
    <row r="78" spans="1:56" s="21" customFormat="1" ht="39.950000000000003" customHeight="1" x14ac:dyDescent="0.2">
      <c r="A78" s="13" t="s">
        <v>424</v>
      </c>
      <c r="B78" s="74" t="s">
        <v>67</v>
      </c>
      <c r="C78" s="66" t="s">
        <v>87</v>
      </c>
      <c r="D78" s="13" t="s">
        <v>541</v>
      </c>
      <c r="E78" s="130" t="s">
        <v>425</v>
      </c>
      <c r="F78" s="14" t="s">
        <v>439</v>
      </c>
      <c r="G78" s="131" t="s">
        <v>445</v>
      </c>
      <c r="H78" s="68" t="s">
        <v>463</v>
      </c>
      <c r="I78" s="66" t="s">
        <v>298</v>
      </c>
      <c r="J78" s="66" t="s">
        <v>218</v>
      </c>
      <c r="K78" s="65" t="s">
        <v>45</v>
      </c>
      <c r="L78" s="65" t="s">
        <v>191</v>
      </c>
      <c r="M78" s="65" t="s">
        <v>59</v>
      </c>
      <c r="N78" s="13" t="s">
        <v>43</v>
      </c>
      <c r="O78" s="13" t="s">
        <v>538</v>
      </c>
      <c r="P78" s="13" t="s">
        <v>534</v>
      </c>
      <c r="Q78" s="64" t="s">
        <v>9</v>
      </c>
      <c r="R78" s="62">
        <v>13445.5589318848</v>
      </c>
      <c r="S78" s="73">
        <v>10000</v>
      </c>
      <c r="T78" s="62">
        <v>13445.5589318848</v>
      </c>
      <c r="U78" s="62">
        <v>77984.241804931837</v>
      </c>
      <c r="V78" s="62">
        <v>594139.59179283085</v>
      </c>
      <c r="W78" s="61" t="s">
        <v>11</v>
      </c>
      <c r="X78" s="181">
        <v>2.2499999999999999E-2</v>
      </c>
      <c r="Y78" s="60">
        <v>44006</v>
      </c>
      <c r="Z78" s="60">
        <v>47634</v>
      </c>
      <c r="AA78" s="60">
        <v>47634</v>
      </c>
      <c r="AB78" s="72">
        <v>3629</v>
      </c>
      <c r="AC78" s="59" t="s">
        <v>10</v>
      </c>
      <c r="AD78" s="58">
        <v>2983</v>
      </c>
      <c r="AE78" s="57">
        <v>8.1726027397260275</v>
      </c>
      <c r="AF78" s="56"/>
      <c r="AG78" s="71" t="s">
        <v>1</v>
      </c>
      <c r="AH78" s="71" t="s">
        <v>1</v>
      </c>
      <c r="AI78" s="70" t="s">
        <v>527</v>
      </c>
      <c r="AJ78" s="11" t="s">
        <v>0</v>
      </c>
      <c r="AK78" s="11" t="s">
        <v>271</v>
      </c>
      <c r="AL78" s="13" t="s">
        <v>426</v>
      </c>
      <c r="AM78" s="11">
        <v>8075</v>
      </c>
      <c r="AN78" s="11"/>
      <c r="AO78" s="197" t="s">
        <v>425</v>
      </c>
      <c r="AP78" s="198" t="s">
        <v>439</v>
      </c>
      <c r="AQ78" s="11">
        <v>1</v>
      </c>
      <c r="AR78" s="214">
        <v>7.4999999999999997E-2</v>
      </c>
      <c r="AS78" s="212">
        <v>1008.41691989136</v>
      </c>
      <c r="AT78" s="212">
        <v>1613.4670718261759</v>
      </c>
      <c r="AU78" s="212" t="b">
        <v>0</v>
      </c>
      <c r="AV78" s="212"/>
      <c r="AW78" s="212">
        <v>1008.41691989136</v>
      </c>
      <c r="AX78" s="212">
        <v>1044.902963344804</v>
      </c>
      <c r="AY78" s="12" t="s">
        <v>773</v>
      </c>
      <c r="BA78" s="212">
        <v>1008.41691989136</v>
      </c>
      <c r="BB78" s="212">
        <v>1044.902963344804</v>
      </c>
      <c r="BC78" s="228">
        <v>1671.8447413516865</v>
      </c>
      <c r="BD78" s="228">
        <v>692.13732004429676</v>
      </c>
    </row>
    <row r="79" spans="1:56" ht="39.950000000000003" hidden="1" customHeight="1" x14ac:dyDescent="0.2">
      <c r="A79" s="13" t="s">
        <v>465</v>
      </c>
      <c r="B79" s="74" t="s">
        <v>24</v>
      </c>
      <c r="C79" s="66" t="s">
        <v>34</v>
      </c>
      <c r="D79" s="13" t="s">
        <v>34</v>
      </c>
      <c r="E79" s="130" t="s">
        <v>34</v>
      </c>
      <c r="F79" s="14" t="s">
        <v>233</v>
      </c>
      <c r="G79" s="131" t="s">
        <v>443</v>
      </c>
      <c r="H79" s="131" t="s">
        <v>234</v>
      </c>
      <c r="I79" s="133" t="s">
        <v>706</v>
      </c>
      <c r="J79" s="66" t="s">
        <v>220</v>
      </c>
      <c r="K79" s="65" t="s">
        <v>29</v>
      </c>
      <c r="L79" s="65" t="s">
        <v>191</v>
      </c>
      <c r="M79" s="65" t="s">
        <v>323</v>
      </c>
      <c r="N79" s="13" t="s">
        <v>43</v>
      </c>
      <c r="O79" s="13" t="s">
        <v>538</v>
      </c>
      <c r="P79" s="13" t="s">
        <v>534</v>
      </c>
      <c r="Q79" s="64" t="s">
        <v>8</v>
      </c>
      <c r="R79" s="62">
        <v>15000</v>
      </c>
      <c r="S79" s="73">
        <v>15000</v>
      </c>
      <c r="T79" s="62">
        <v>15000</v>
      </c>
      <c r="U79" s="62">
        <v>95000</v>
      </c>
      <c r="V79" s="62">
        <v>426028.14</v>
      </c>
      <c r="W79" s="61" t="s">
        <v>11</v>
      </c>
      <c r="X79" s="181">
        <v>1.2500000000000001E-2</v>
      </c>
      <c r="Y79" s="60">
        <v>44014</v>
      </c>
      <c r="Z79" s="60">
        <v>45478</v>
      </c>
      <c r="AA79" s="60">
        <v>45478</v>
      </c>
      <c r="AB79" s="72">
        <v>1465</v>
      </c>
      <c r="AC79" s="59" t="s">
        <v>10</v>
      </c>
      <c r="AD79" s="58">
        <v>827</v>
      </c>
      <c r="AE79" s="57">
        <v>2.2657534246575342</v>
      </c>
      <c r="AF79" s="56"/>
      <c r="AG79" s="152" t="s">
        <v>1</v>
      </c>
      <c r="AH79" s="152" t="s">
        <v>1</v>
      </c>
      <c r="AI79" s="153" t="s">
        <v>0</v>
      </c>
      <c r="AJ79" s="11" t="s">
        <v>0</v>
      </c>
      <c r="AK79" s="154" t="s">
        <v>271</v>
      </c>
      <c r="AL79" s="13" t="s">
        <v>466</v>
      </c>
      <c r="AM79" s="11">
        <v>8000</v>
      </c>
      <c r="AO79" s="197" t="s">
        <v>34</v>
      </c>
      <c r="AP79" s="198" t="s">
        <v>233</v>
      </c>
      <c r="AS79" s="212">
        <v>0</v>
      </c>
      <c r="AT79" s="212">
        <v>1800</v>
      </c>
      <c r="AU79" s="212" t="b">
        <v>0</v>
      </c>
      <c r="AV79" s="212"/>
      <c r="AW79" s="212">
        <v>0</v>
      </c>
      <c r="AX79" s="212">
        <v>0</v>
      </c>
      <c r="BA79" s="212">
        <v>0</v>
      </c>
      <c r="BB79" s="212">
        <v>0</v>
      </c>
      <c r="BC79" s="226">
        <v>0</v>
      </c>
      <c r="BD79" s="226"/>
    </row>
    <row r="80" spans="1:56" ht="39.950000000000003" hidden="1" customHeight="1" x14ac:dyDescent="0.2">
      <c r="A80" s="132" t="s">
        <v>520</v>
      </c>
      <c r="B80" s="132" t="s">
        <v>243</v>
      </c>
      <c r="C80" s="66" t="s">
        <v>87</v>
      </c>
      <c r="D80" s="131" t="s">
        <v>469</v>
      </c>
      <c r="E80" s="130" t="s">
        <v>413</v>
      </c>
      <c r="F80" s="66" t="s">
        <v>48</v>
      </c>
      <c r="G80" s="131" t="s">
        <v>95</v>
      </c>
      <c r="H80" s="130" t="s">
        <v>521</v>
      </c>
      <c r="I80" s="161" t="s">
        <v>522</v>
      </c>
      <c r="J80" s="133" t="s">
        <v>219</v>
      </c>
      <c r="K80" s="66" t="s">
        <v>45</v>
      </c>
      <c r="L80" s="134" t="s">
        <v>191</v>
      </c>
      <c r="M80" s="134" t="s">
        <v>59</v>
      </c>
      <c r="N80" s="132" t="s">
        <v>43</v>
      </c>
      <c r="O80" s="132" t="s">
        <v>538</v>
      </c>
      <c r="P80" s="132" t="s">
        <v>534</v>
      </c>
      <c r="Q80" s="135" t="s">
        <v>9</v>
      </c>
      <c r="R80" s="136">
        <v>13445.5589318848</v>
      </c>
      <c r="S80" s="73">
        <v>10000</v>
      </c>
      <c r="T80" s="136">
        <v>13445.5589318848</v>
      </c>
      <c r="U80" s="136">
        <v>134455.58931884798</v>
      </c>
      <c r="V80" s="136">
        <v>1394802</v>
      </c>
      <c r="W80" s="147" t="s">
        <v>11</v>
      </c>
      <c r="X80" s="181">
        <v>3.7499999999999999E-2</v>
      </c>
      <c r="Y80" s="137">
        <v>44039</v>
      </c>
      <c r="Z80" s="137">
        <v>47238</v>
      </c>
      <c r="AA80" s="137">
        <v>47238</v>
      </c>
      <c r="AB80" s="138">
        <v>3200</v>
      </c>
      <c r="AC80" s="139" t="s">
        <v>10</v>
      </c>
      <c r="AD80" s="138">
        <v>2587</v>
      </c>
      <c r="AE80" s="140">
        <v>7.087671232876712</v>
      </c>
      <c r="AF80" s="56"/>
      <c r="AG80" s="141" t="s">
        <v>1</v>
      </c>
      <c r="AH80" s="141" t="s">
        <v>1</v>
      </c>
      <c r="AI80" s="142" t="s">
        <v>523</v>
      </c>
      <c r="AJ80" s="11" t="s">
        <v>0</v>
      </c>
      <c r="AK80" s="154" t="s">
        <v>271</v>
      </c>
      <c r="AL80" s="132" t="s">
        <v>519</v>
      </c>
      <c r="AN80" s="52"/>
      <c r="AO80" s="197" t="s">
        <v>413</v>
      </c>
      <c r="AP80" s="198" t="s">
        <v>48</v>
      </c>
      <c r="AQ80" s="201"/>
      <c r="AS80" s="212">
        <v>0</v>
      </c>
      <c r="AT80" s="212">
        <v>1613.4670718261759</v>
      </c>
      <c r="AU80" s="212" t="b">
        <v>0</v>
      </c>
      <c r="AV80" s="212"/>
      <c r="AW80" s="212">
        <v>0</v>
      </c>
      <c r="AX80" s="212">
        <v>0</v>
      </c>
      <c r="BA80" s="212">
        <v>0</v>
      </c>
      <c r="BB80" s="212">
        <v>0</v>
      </c>
      <c r="BC80" s="226">
        <v>0</v>
      </c>
      <c r="BD80" s="226"/>
    </row>
    <row r="81" spans="1:56" ht="39.950000000000003" hidden="1" customHeight="1" x14ac:dyDescent="0.2">
      <c r="A81" s="13" t="s">
        <v>492</v>
      </c>
      <c r="B81" s="74" t="s">
        <v>24</v>
      </c>
      <c r="C81" s="66" t="s">
        <v>34</v>
      </c>
      <c r="D81" s="13" t="s">
        <v>34</v>
      </c>
      <c r="E81" s="130" t="s">
        <v>34</v>
      </c>
      <c r="F81" s="14" t="s">
        <v>102</v>
      </c>
      <c r="G81" s="131" t="s">
        <v>102</v>
      </c>
      <c r="H81" s="130" t="s">
        <v>122</v>
      </c>
      <c r="I81" s="66" t="s">
        <v>70</v>
      </c>
      <c r="J81" s="66" t="s">
        <v>218</v>
      </c>
      <c r="K81" s="65" t="s">
        <v>101</v>
      </c>
      <c r="L81" s="65" t="s">
        <v>191</v>
      </c>
      <c r="M81" s="65" t="s">
        <v>323</v>
      </c>
      <c r="N81" s="13" t="s">
        <v>43</v>
      </c>
      <c r="O81" s="13" t="s">
        <v>531</v>
      </c>
      <c r="P81" s="13" t="s">
        <v>534</v>
      </c>
      <c r="Q81" s="64" t="s">
        <v>8</v>
      </c>
      <c r="R81" s="62">
        <v>25000</v>
      </c>
      <c r="S81" s="73">
        <v>25000</v>
      </c>
      <c r="T81" s="62">
        <v>25000</v>
      </c>
      <c r="U81" s="62">
        <v>50000</v>
      </c>
      <c r="V81" s="62">
        <v>1166537.21</v>
      </c>
      <c r="W81" s="61" t="s">
        <v>11</v>
      </c>
      <c r="X81" s="181">
        <v>1.7999999999999999E-2</v>
      </c>
      <c r="Y81" s="60">
        <v>44064</v>
      </c>
      <c r="Z81" s="60">
        <v>45674</v>
      </c>
      <c r="AA81" s="60">
        <v>45674</v>
      </c>
      <c r="AB81" s="72">
        <v>1611</v>
      </c>
      <c r="AC81" s="59" t="s">
        <v>10</v>
      </c>
      <c r="AD81" s="58">
        <v>1023</v>
      </c>
      <c r="AE81" s="57">
        <v>2.8027397260273972</v>
      </c>
      <c r="AF81" s="56" t="s">
        <v>436</v>
      </c>
      <c r="AG81" s="71" t="s">
        <v>1</v>
      </c>
      <c r="AH81" s="71" t="s">
        <v>1</v>
      </c>
      <c r="AI81" s="70" t="s">
        <v>0</v>
      </c>
      <c r="AJ81" s="11" t="s">
        <v>0</v>
      </c>
      <c r="AK81" s="11" t="s">
        <v>271</v>
      </c>
      <c r="AL81" s="13" t="s">
        <v>478</v>
      </c>
      <c r="AM81" s="11">
        <v>8815</v>
      </c>
      <c r="AN81" s="52">
        <v>125000</v>
      </c>
      <c r="AO81" s="197" t="s">
        <v>34</v>
      </c>
      <c r="AP81" s="198" t="s">
        <v>102</v>
      </c>
      <c r="AQ81" s="201"/>
      <c r="AS81" s="212">
        <v>0</v>
      </c>
      <c r="AT81" s="212">
        <v>3000</v>
      </c>
      <c r="AU81" s="212">
        <v>600</v>
      </c>
      <c r="AV81" s="212"/>
      <c r="AW81" s="212">
        <v>0</v>
      </c>
      <c r="AX81" s="212">
        <v>0</v>
      </c>
      <c r="BA81" s="212">
        <v>0</v>
      </c>
      <c r="BB81" s="212">
        <v>0</v>
      </c>
      <c r="BC81" s="226">
        <v>0</v>
      </c>
      <c r="BD81" s="226"/>
    </row>
    <row r="82" spans="1:56" ht="39.950000000000003" hidden="1" customHeight="1" x14ac:dyDescent="0.2">
      <c r="A82" s="14" t="s">
        <v>501</v>
      </c>
      <c r="B82" s="13" t="s">
        <v>51</v>
      </c>
      <c r="C82" s="66" t="s">
        <v>38</v>
      </c>
      <c r="D82" s="13" t="s">
        <v>541</v>
      </c>
      <c r="E82" s="66" t="s">
        <v>38</v>
      </c>
      <c r="F82" s="14" t="s">
        <v>547</v>
      </c>
      <c r="G82" s="131" t="s">
        <v>124</v>
      </c>
      <c r="H82" s="130" t="s">
        <v>123</v>
      </c>
      <c r="I82" s="66" t="s">
        <v>502</v>
      </c>
      <c r="J82" s="66" t="s">
        <v>219</v>
      </c>
      <c r="K82" s="65" t="s">
        <v>29</v>
      </c>
      <c r="L82" s="65" t="s">
        <v>191</v>
      </c>
      <c r="M82" s="66" t="s">
        <v>323</v>
      </c>
      <c r="N82" s="14" t="s">
        <v>43</v>
      </c>
      <c r="O82" s="14" t="s">
        <v>533</v>
      </c>
      <c r="P82" s="14" t="s">
        <v>532</v>
      </c>
      <c r="Q82" s="64" t="s">
        <v>9</v>
      </c>
      <c r="R82" s="62">
        <v>18420.415736682175</v>
      </c>
      <c r="S82" s="73">
        <v>13700</v>
      </c>
      <c r="T82" s="62">
        <v>18420.415736682175</v>
      </c>
      <c r="U82" s="62">
        <v>114287.25092102079</v>
      </c>
      <c r="V82" s="62">
        <v>235108.11573937131</v>
      </c>
      <c r="W82" s="61" t="s">
        <v>11</v>
      </c>
      <c r="X82" s="181">
        <v>1.0999999999999999E-2</v>
      </c>
      <c r="Y82" s="60">
        <v>44084</v>
      </c>
      <c r="Z82" s="60">
        <v>45208</v>
      </c>
      <c r="AA82" s="60">
        <v>45208</v>
      </c>
      <c r="AB82" s="72">
        <v>1125</v>
      </c>
      <c r="AC82" s="59" t="s">
        <v>10</v>
      </c>
      <c r="AD82" s="58">
        <v>557</v>
      </c>
      <c r="AE82" s="57">
        <v>1.526027397260274</v>
      </c>
      <c r="AF82" s="56"/>
      <c r="AG82" s="152" t="s">
        <v>1</v>
      </c>
      <c r="AH82" s="152" t="s">
        <v>182</v>
      </c>
      <c r="AI82" s="153" t="s">
        <v>503</v>
      </c>
      <c r="AJ82" s="11" t="s">
        <v>0</v>
      </c>
      <c r="AK82" s="154" t="s">
        <v>271</v>
      </c>
      <c r="AL82" s="13" t="s">
        <v>504</v>
      </c>
      <c r="AN82" s="52">
        <v>20168.3383978272</v>
      </c>
      <c r="AO82" s="197" t="s">
        <v>38</v>
      </c>
      <c r="AP82" s="198" t="s">
        <v>547</v>
      </c>
      <c r="AQ82" s="201"/>
      <c r="AS82" s="212">
        <v>0</v>
      </c>
      <c r="AT82" s="212">
        <v>2210.4498884018608</v>
      </c>
      <c r="AU82" s="212" t="b">
        <v>0</v>
      </c>
      <c r="AV82" s="212"/>
      <c r="AW82" s="212">
        <v>0</v>
      </c>
      <c r="AX82" s="212">
        <v>0</v>
      </c>
      <c r="BA82" s="212">
        <v>0</v>
      </c>
      <c r="BB82" s="212">
        <v>0</v>
      </c>
      <c r="BC82" s="226">
        <v>0</v>
      </c>
      <c r="BD82" s="226"/>
    </row>
    <row r="83" spans="1:56" ht="39.950000000000003" hidden="1" customHeight="1" x14ac:dyDescent="0.2">
      <c r="A83" s="13" t="s">
        <v>491</v>
      </c>
      <c r="B83" s="74" t="s">
        <v>67</v>
      </c>
      <c r="C83" s="66" t="s">
        <v>87</v>
      </c>
      <c r="D83" s="13" t="s">
        <v>499</v>
      </c>
      <c r="E83" s="130" t="s">
        <v>162</v>
      </c>
      <c r="F83" s="14" t="s">
        <v>546</v>
      </c>
      <c r="G83" s="66" t="s">
        <v>167</v>
      </c>
      <c r="H83" s="130" t="s">
        <v>167</v>
      </c>
      <c r="I83" s="66" t="s">
        <v>298</v>
      </c>
      <c r="J83" s="14" t="s">
        <v>218</v>
      </c>
      <c r="K83" s="65" t="s">
        <v>209</v>
      </c>
      <c r="L83" s="65" t="s">
        <v>191</v>
      </c>
      <c r="M83" s="65" t="s">
        <v>59</v>
      </c>
      <c r="N83" s="13" t="s">
        <v>43</v>
      </c>
      <c r="O83" s="13" t="s">
        <v>538</v>
      </c>
      <c r="P83" s="13" t="s">
        <v>534</v>
      </c>
      <c r="Q83" s="64" t="s">
        <v>9</v>
      </c>
      <c r="R83" s="62">
        <v>26891.117863769599</v>
      </c>
      <c r="S83" s="73">
        <v>20000</v>
      </c>
      <c r="T83" s="62">
        <v>26891.117863769599</v>
      </c>
      <c r="U83" s="62">
        <v>100841.691989136</v>
      </c>
      <c r="V83" s="62">
        <v>1118927.3133084143</v>
      </c>
      <c r="W83" s="61" t="s">
        <v>11</v>
      </c>
      <c r="X83" s="181">
        <v>3.5000000000000003E-2</v>
      </c>
      <c r="Y83" s="60">
        <v>44088</v>
      </c>
      <c r="Z83" s="60">
        <v>45151</v>
      </c>
      <c r="AA83" s="60">
        <v>45151</v>
      </c>
      <c r="AB83" s="72">
        <v>1064</v>
      </c>
      <c r="AC83" s="59" t="s">
        <v>10</v>
      </c>
      <c r="AD83" s="58">
        <v>500</v>
      </c>
      <c r="AE83" s="57">
        <v>1.3698630136986301</v>
      </c>
      <c r="AF83" s="56" t="s">
        <v>436</v>
      </c>
      <c r="AG83" s="71" t="s">
        <v>1</v>
      </c>
      <c r="AH83" s="71" t="s">
        <v>1</v>
      </c>
      <c r="AI83" s="70" t="s">
        <v>0</v>
      </c>
      <c r="AJ83" s="11" t="s">
        <v>0</v>
      </c>
      <c r="AK83" s="11" t="s">
        <v>271</v>
      </c>
      <c r="AL83" s="13" t="s">
        <v>484</v>
      </c>
      <c r="AM83" s="11">
        <v>9855</v>
      </c>
      <c r="AN83" s="52">
        <v>100000</v>
      </c>
      <c r="AO83" s="197" t="s">
        <v>162</v>
      </c>
      <c r="AP83" s="198" t="s">
        <v>546</v>
      </c>
      <c r="AQ83" s="201"/>
      <c r="AS83" s="212">
        <v>0</v>
      </c>
      <c r="AT83" s="212">
        <v>3226.9341436523518</v>
      </c>
      <c r="AU83" s="212">
        <v>645.38682873047037</v>
      </c>
      <c r="AV83" s="212"/>
      <c r="AW83" s="212">
        <v>0</v>
      </c>
      <c r="AX83" s="212">
        <v>0</v>
      </c>
      <c r="BA83" s="212">
        <v>0</v>
      </c>
      <c r="BB83" s="212">
        <v>0</v>
      </c>
      <c r="BC83" s="226">
        <v>0</v>
      </c>
      <c r="BD83" s="226"/>
    </row>
    <row r="84" spans="1:56" ht="39.950000000000003" hidden="1" customHeight="1" x14ac:dyDescent="0.2">
      <c r="A84" s="13" t="s">
        <v>493</v>
      </c>
      <c r="B84" s="69" t="s">
        <v>243</v>
      </c>
      <c r="C84" s="66" t="s">
        <v>87</v>
      </c>
      <c r="D84" s="13" t="s">
        <v>542</v>
      </c>
      <c r="E84" s="130" t="s">
        <v>308</v>
      </c>
      <c r="F84" s="14" t="s">
        <v>102</v>
      </c>
      <c r="G84" s="131" t="s">
        <v>102</v>
      </c>
      <c r="H84" s="67" t="s">
        <v>473</v>
      </c>
      <c r="I84" s="66" t="s">
        <v>298</v>
      </c>
      <c r="J84" s="66" t="s">
        <v>218</v>
      </c>
      <c r="K84" s="128" t="s">
        <v>101</v>
      </c>
      <c r="L84" s="65" t="s">
        <v>191</v>
      </c>
      <c r="M84" s="65" t="s">
        <v>59</v>
      </c>
      <c r="N84" s="13" t="s">
        <v>43</v>
      </c>
      <c r="O84" s="13" t="s">
        <v>533</v>
      </c>
      <c r="P84" s="13" t="s">
        <v>534</v>
      </c>
      <c r="Q84" s="64" t="s">
        <v>487</v>
      </c>
      <c r="R84" s="62">
        <v>24454.161778373684</v>
      </c>
      <c r="S84" s="63">
        <v>160500</v>
      </c>
      <c r="T84" s="62">
        <v>24454.161778373684</v>
      </c>
      <c r="U84" s="62">
        <v>150838.7548946414</v>
      </c>
      <c r="V84" s="62">
        <v>1448697.1492998949</v>
      </c>
      <c r="W84" s="61" t="s">
        <v>11</v>
      </c>
      <c r="X84" s="181">
        <v>2.5000000000000001E-2</v>
      </c>
      <c r="Y84" s="60">
        <v>44091</v>
      </c>
      <c r="Z84" s="60">
        <v>45595</v>
      </c>
      <c r="AA84" s="60">
        <v>45595</v>
      </c>
      <c r="AB84" s="58">
        <v>1505</v>
      </c>
      <c r="AC84" s="59" t="s">
        <v>10</v>
      </c>
      <c r="AD84" s="58">
        <v>944</v>
      </c>
      <c r="AE84" s="57">
        <v>2.5863013698630137</v>
      </c>
      <c r="AF84" s="56" t="s">
        <v>436</v>
      </c>
      <c r="AG84" s="55" t="s">
        <v>1</v>
      </c>
      <c r="AH84" s="55" t="s">
        <v>1</v>
      </c>
      <c r="AI84" s="54" t="s">
        <v>0</v>
      </c>
      <c r="AJ84" s="11" t="s">
        <v>0</v>
      </c>
      <c r="AK84" s="53" t="s">
        <v>271</v>
      </c>
      <c r="AL84" s="13" t="s">
        <v>483</v>
      </c>
      <c r="AM84" s="11">
        <v>900</v>
      </c>
      <c r="AN84" s="52"/>
      <c r="AO84" s="197" t="s">
        <v>308</v>
      </c>
      <c r="AP84" s="198" t="s">
        <v>102</v>
      </c>
      <c r="AQ84" s="201"/>
      <c r="AS84" s="212">
        <v>0</v>
      </c>
      <c r="AT84" s="212">
        <v>2934.499413404842</v>
      </c>
      <c r="AU84" s="212">
        <v>586.8998826809684</v>
      </c>
      <c r="AV84" s="212"/>
      <c r="AW84" s="212">
        <v>0</v>
      </c>
      <c r="AX84" s="212">
        <v>0</v>
      </c>
      <c r="BA84" s="212">
        <v>0</v>
      </c>
      <c r="BB84" s="212">
        <v>0</v>
      </c>
      <c r="BC84" s="226">
        <v>0</v>
      </c>
      <c r="BD84" s="226"/>
    </row>
    <row r="85" spans="1:56" ht="39.950000000000003" customHeight="1" x14ac:dyDescent="0.2">
      <c r="A85" s="13" t="s">
        <v>497</v>
      </c>
      <c r="B85" s="69" t="s">
        <v>24</v>
      </c>
      <c r="C85" s="66" t="s">
        <v>34</v>
      </c>
      <c r="D85" s="13" t="s">
        <v>34</v>
      </c>
      <c r="E85" s="14" t="s">
        <v>34</v>
      </c>
      <c r="F85" s="14" t="s">
        <v>92</v>
      </c>
      <c r="G85" s="131" t="s">
        <v>100</v>
      </c>
      <c r="H85" s="14" t="s">
        <v>100</v>
      </c>
      <c r="I85" s="66" t="s">
        <v>232</v>
      </c>
      <c r="J85" s="66" t="s">
        <v>21</v>
      </c>
      <c r="K85" s="65" t="s">
        <v>44</v>
      </c>
      <c r="L85" s="65" t="s">
        <v>191</v>
      </c>
      <c r="M85" s="65" t="s">
        <v>323</v>
      </c>
      <c r="N85" s="13" t="s">
        <v>43</v>
      </c>
      <c r="O85" s="13" t="s">
        <v>531</v>
      </c>
      <c r="P85" s="13" t="s">
        <v>534</v>
      </c>
      <c r="Q85" s="64" t="s">
        <v>8</v>
      </c>
      <c r="R85" s="62">
        <v>25000</v>
      </c>
      <c r="S85" s="63">
        <v>25000</v>
      </c>
      <c r="T85" s="62">
        <v>25000</v>
      </c>
      <c r="U85" s="62">
        <v>93608.577000000005</v>
      </c>
      <c r="V85" s="62">
        <v>1139545</v>
      </c>
      <c r="W85" s="61" t="s">
        <v>551</v>
      </c>
      <c r="X85" s="181">
        <v>3.5000000000000003E-2</v>
      </c>
      <c r="Y85" s="60">
        <v>44097</v>
      </c>
      <c r="Z85" s="60">
        <v>45277</v>
      </c>
      <c r="AA85" s="60">
        <v>45277</v>
      </c>
      <c r="AB85" s="58">
        <v>1181</v>
      </c>
      <c r="AC85" s="59" t="s">
        <v>10</v>
      </c>
      <c r="AD85" s="58">
        <v>626</v>
      </c>
      <c r="AE85" s="57">
        <v>1.715068493150685</v>
      </c>
      <c r="AF85" s="56"/>
      <c r="AG85" s="55" t="s">
        <v>1</v>
      </c>
      <c r="AH85" s="55" t="s">
        <v>1</v>
      </c>
      <c r="AI85" s="54" t="s">
        <v>0</v>
      </c>
      <c r="AJ85" s="11" t="s">
        <v>0</v>
      </c>
      <c r="AK85" s="53" t="s">
        <v>271</v>
      </c>
      <c r="AL85" s="13" t="s">
        <v>486</v>
      </c>
      <c r="AM85" s="11">
        <v>17910</v>
      </c>
      <c r="AN85" s="52">
        <v>35000</v>
      </c>
      <c r="AO85" s="197" t="s">
        <v>34</v>
      </c>
      <c r="AP85" s="198" t="s">
        <v>92</v>
      </c>
      <c r="AQ85" s="199">
        <v>1</v>
      </c>
      <c r="AR85" s="214">
        <v>0.05</v>
      </c>
      <c r="AS85" s="212">
        <v>1250</v>
      </c>
      <c r="AT85" s="212">
        <v>3000</v>
      </c>
      <c r="AU85" s="212" t="b">
        <v>0</v>
      </c>
      <c r="AV85" s="212"/>
      <c r="AW85" s="212">
        <v>1250</v>
      </c>
      <c r="AX85" s="212">
        <v>1250</v>
      </c>
      <c r="AY85" s="12"/>
      <c r="BA85" s="212">
        <v>1250</v>
      </c>
      <c r="BB85" s="212">
        <v>1250</v>
      </c>
      <c r="BC85" s="226">
        <v>1250</v>
      </c>
      <c r="BD85" s="226">
        <v>1250</v>
      </c>
    </row>
    <row r="86" spans="1:56" ht="39.950000000000003" hidden="1" customHeight="1" x14ac:dyDescent="0.2">
      <c r="A86" s="13" t="s">
        <v>494</v>
      </c>
      <c r="B86" s="69" t="s">
        <v>243</v>
      </c>
      <c r="C86" s="66" t="s">
        <v>87</v>
      </c>
      <c r="D86" s="13" t="s">
        <v>541</v>
      </c>
      <c r="E86" s="130" t="s">
        <v>152</v>
      </c>
      <c r="F86" s="14" t="s">
        <v>439</v>
      </c>
      <c r="G86" s="131" t="s">
        <v>445</v>
      </c>
      <c r="H86" s="14" t="s">
        <v>463</v>
      </c>
      <c r="I86" s="14" t="s">
        <v>298</v>
      </c>
      <c r="J86" s="66" t="s">
        <v>218</v>
      </c>
      <c r="K86" s="65" t="s">
        <v>209</v>
      </c>
      <c r="L86" s="65" t="s">
        <v>191</v>
      </c>
      <c r="M86" s="13" t="s">
        <v>59</v>
      </c>
      <c r="N86" s="65" t="s">
        <v>43</v>
      </c>
      <c r="O86" s="65" t="s">
        <v>531</v>
      </c>
      <c r="P86" s="65" t="s">
        <v>534</v>
      </c>
      <c r="Q86" s="64" t="s">
        <v>488</v>
      </c>
      <c r="R86" s="62">
        <v>19664.551223934723</v>
      </c>
      <c r="S86" s="63">
        <v>1843650</v>
      </c>
      <c r="T86" s="62">
        <v>19664.551223934723</v>
      </c>
      <c r="U86" s="62">
        <v>148045.43757666257</v>
      </c>
      <c r="V86" s="62">
        <v>381733.73153431818</v>
      </c>
      <c r="W86" s="61" t="s">
        <v>11</v>
      </c>
      <c r="X86" s="181">
        <v>0.02</v>
      </c>
      <c r="Y86" s="60">
        <v>44099</v>
      </c>
      <c r="Z86" s="60">
        <v>45539</v>
      </c>
      <c r="AA86" s="60">
        <v>45539</v>
      </c>
      <c r="AB86" s="58">
        <v>1441</v>
      </c>
      <c r="AC86" s="59" t="s">
        <v>10</v>
      </c>
      <c r="AD86" s="58">
        <v>888</v>
      </c>
      <c r="AE86" s="57">
        <v>2.4328767123287673</v>
      </c>
      <c r="AF86" s="56" t="s">
        <v>436</v>
      </c>
      <c r="AG86" s="55" t="s">
        <v>1</v>
      </c>
      <c r="AH86" s="55" t="s">
        <v>1</v>
      </c>
      <c r="AI86" s="54" t="s">
        <v>0</v>
      </c>
      <c r="AJ86" s="11" t="s">
        <v>0</v>
      </c>
      <c r="AK86" s="53" t="s">
        <v>271</v>
      </c>
      <c r="AL86" s="13" t="s">
        <v>485</v>
      </c>
      <c r="AN86" s="52"/>
      <c r="AO86" s="197" t="s">
        <v>152</v>
      </c>
      <c r="AP86" s="198" t="s">
        <v>439</v>
      </c>
      <c r="AQ86" s="201"/>
      <c r="AS86" s="212">
        <v>0</v>
      </c>
      <c r="AT86" s="212">
        <v>2359.7461468721667</v>
      </c>
      <c r="AU86" s="212">
        <v>471.94922937443334</v>
      </c>
      <c r="AV86" s="212"/>
      <c r="AW86" s="212">
        <v>0</v>
      </c>
      <c r="AX86" s="212">
        <v>0</v>
      </c>
      <c r="BA86" s="212">
        <v>0</v>
      </c>
      <c r="BB86" s="212">
        <v>0</v>
      </c>
      <c r="BC86" s="226">
        <v>0</v>
      </c>
      <c r="BD86" s="226"/>
    </row>
    <row r="87" spans="1:56" ht="39.950000000000003" hidden="1" customHeight="1" x14ac:dyDescent="0.2">
      <c r="A87" s="131" t="s">
        <v>505</v>
      </c>
      <c r="B87" s="132" t="s">
        <v>24</v>
      </c>
      <c r="C87" s="66" t="s">
        <v>162</v>
      </c>
      <c r="D87" s="13" t="s">
        <v>499</v>
      </c>
      <c r="E87" s="130" t="s">
        <v>162</v>
      </c>
      <c r="F87" s="14" t="s">
        <v>48</v>
      </c>
      <c r="G87" s="131" t="s">
        <v>95</v>
      </c>
      <c r="H87" s="130" t="s">
        <v>447</v>
      </c>
      <c r="I87" s="131" t="s">
        <v>506</v>
      </c>
      <c r="J87" s="131" t="s">
        <v>221</v>
      </c>
      <c r="K87" s="171" t="s">
        <v>209</v>
      </c>
      <c r="L87" s="134" t="s">
        <v>191</v>
      </c>
      <c r="M87" s="134" t="s">
        <v>59</v>
      </c>
      <c r="N87" s="132" t="s">
        <v>43</v>
      </c>
      <c r="O87" s="132" t="s">
        <v>538</v>
      </c>
      <c r="P87" s="132" t="s">
        <v>534</v>
      </c>
      <c r="Q87" s="135" t="s">
        <v>9</v>
      </c>
      <c r="R87" s="136">
        <v>13445.5589318848</v>
      </c>
      <c r="S87" s="73">
        <v>10000</v>
      </c>
      <c r="T87" s="136">
        <v>13445.5589318848</v>
      </c>
      <c r="U87" s="136">
        <v>125447.06483448518</v>
      </c>
      <c r="V87" s="136">
        <v>310595.10043832526</v>
      </c>
      <c r="W87" s="61" t="s">
        <v>11</v>
      </c>
      <c r="X87" s="181">
        <v>2.5000000000000001E-2</v>
      </c>
      <c r="Y87" s="137">
        <v>44136</v>
      </c>
      <c r="Z87" s="137">
        <v>45504</v>
      </c>
      <c r="AA87" s="137">
        <v>45504</v>
      </c>
      <c r="AB87" s="58">
        <v>1369</v>
      </c>
      <c r="AC87" s="59" t="s">
        <v>10</v>
      </c>
      <c r="AD87" s="138">
        <v>853</v>
      </c>
      <c r="AE87" s="140">
        <v>2.3369863013698629</v>
      </c>
      <c r="AF87" s="56"/>
      <c r="AG87" s="141" t="s">
        <v>1</v>
      </c>
      <c r="AH87" s="141" t="s">
        <v>1</v>
      </c>
      <c r="AI87" s="142" t="s">
        <v>0</v>
      </c>
      <c r="AJ87" s="11" t="s">
        <v>0</v>
      </c>
      <c r="AK87" s="144" t="s">
        <v>271</v>
      </c>
      <c r="AL87" s="132" t="s">
        <v>507</v>
      </c>
      <c r="AN87" s="52"/>
      <c r="AO87" s="197" t="s">
        <v>162</v>
      </c>
      <c r="AP87" s="198" t="s">
        <v>48</v>
      </c>
      <c r="AQ87" s="201"/>
      <c r="AS87" s="212">
        <v>0</v>
      </c>
      <c r="AT87" s="212">
        <v>1613.4670718261759</v>
      </c>
      <c r="AU87" s="212" t="b">
        <v>0</v>
      </c>
      <c r="AV87" s="212"/>
      <c r="AW87" s="212">
        <v>0</v>
      </c>
      <c r="AX87" s="212">
        <v>0</v>
      </c>
      <c r="BA87" s="212">
        <v>0</v>
      </c>
      <c r="BB87" s="212">
        <v>0</v>
      </c>
      <c r="BC87" s="226">
        <v>0</v>
      </c>
      <c r="BD87" s="226"/>
    </row>
    <row r="88" spans="1:56" ht="39.950000000000003" hidden="1" customHeight="1" x14ac:dyDescent="0.2">
      <c r="A88" s="131" t="s">
        <v>511</v>
      </c>
      <c r="B88" s="132" t="s">
        <v>67</v>
      </c>
      <c r="C88" s="133" t="s">
        <v>127</v>
      </c>
      <c r="D88" s="13" t="s">
        <v>542</v>
      </c>
      <c r="E88" s="161" t="s">
        <v>127</v>
      </c>
      <c r="F88" s="14" t="s">
        <v>546</v>
      </c>
      <c r="G88" s="131" t="s">
        <v>259</v>
      </c>
      <c r="H88" s="14" t="s">
        <v>258</v>
      </c>
      <c r="I88" s="66" t="s">
        <v>158</v>
      </c>
      <c r="J88" s="66" t="s">
        <v>220</v>
      </c>
      <c r="K88" s="13" t="s">
        <v>45</v>
      </c>
      <c r="L88" s="65" t="s">
        <v>191</v>
      </c>
      <c r="M88" s="134" t="s">
        <v>59</v>
      </c>
      <c r="N88" s="132" t="s">
        <v>43</v>
      </c>
      <c r="O88" s="132" t="s">
        <v>533</v>
      </c>
      <c r="P88" s="13" t="s">
        <v>548</v>
      </c>
      <c r="Q88" s="135" t="s">
        <v>59</v>
      </c>
      <c r="R88" s="136">
        <v>21838.51148705704</v>
      </c>
      <c r="S88" s="73">
        <v>15000</v>
      </c>
      <c r="T88" s="136">
        <v>21838.51148705704</v>
      </c>
      <c r="U88" s="136">
        <v>308650.96235040616</v>
      </c>
      <c r="V88" s="136">
        <v>848066.81128614279</v>
      </c>
      <c r="W88" s="61" t="s">
        <v>11</v>
      </c>
      <c r="X88" s="181">
        <v>1.17E-2</v>
      </c>
      <c r="Y88" s="137">
        <v>44146</v>
      </c>
      <c r="Z88" s="137">
        <v>46275</v>
      </c>
      <c r="AA88" s="137">
        <v>46275</v>
      </c>
      <c r="AB88" s="138">
        <v>2130</v>
      </c>
      <c r="AC88" s="59" t="s">
        <v>10</v>
      </c>
      <c r="AD88" s="138">
        <v>1624</v>
      </c>
      <c r="AE88" s="140">
        <v>4.4493150684931511</v>
      </c>
      <c r="AF88" s="56"/>
      <c r="AG88" s="141" t="s">
        <v>1</v>
      </c>
      <c r="AH88" s="141" t="s">
        <v>1</v>
      </c>
      <c r="AI88" s="142" t="s">
        <v>0</v>
      </c>
      <c r="AJ88" s="11" t="s">
        <v>0</v>
      </c>
      <c r="AK88" s="144" t="s">
        <v>271</v>
      </c>
      <c r="AL88" s="132" t="s">
        <v>512</v>
      </c>
      <c r="AN88" s="52"/>
      <c r="AO88" s="197" t="s">
        <v>127</v>
      </c>
      <c r="AP88" s="198" t="s">
        <v>546</v>
      </c>
      <c r="AQ88" s="201"/>
      <c r="AS88" s="212">
        <v>0</v>
      </c>
      <c r="AT88" s="212">
        <v>2620.6213784468446</v>
      </c>
      <c r="AU88" s="212" t="b">
        <v>0</v>
      </c>
      <c r="AV88" s="212"/>
      <c r="AW88" s="212">
        <v>0</v>
      </c>
      <c r="AX88" s="212">
        <v>0</v>
      </c>
      <c r="BA88" s="212">
        <v>0</v>
      </c>
      <c r="BB88" s="212">
        <v>0</v>
      </c>
      <c r="BC88" s="226">
        <v>0</v>
      </c>
      <c r="BD88" s="226"/>
    </row>
    <row r="89" spans="1:56" ht="39.950000000000003" hidden="1" customHeight="1" x14ac:dyDescent="0.2">
      <c r="A89" s="131" t="s">
        <v>508</v>
      </c>
      <c r="B89" s="132" t="s">
        <v>243</v>
      </c>
      <c r="C89" s="66" t="s">
        <v>162</v>
      </c>
      <c r="D89" s="13" t="s">
        <v>499</v>
      </c>
      <c r="E89" s="130" t="s">
        <v>162</v>
      </c>
      <c r="F89" s="14" t="s">
        <v>102</v>
      </c>
      <c r="G89" s="131" t="s">
        <v>102</v>
      </c>
      <c r="H89" s="130" t="s">
        <v>103</v>
      </c>
      <c r="I89" s="131" t="s">
        <v>509</v>
      </c>
      <c r="J89" s="133" t="s">
        <v>222</v>
      </c>
      <c r="K89" s="65" t="s">
        <v>101</v>
      </c>
      <c r="L89" s="134" t="s">
        <v>191</v>
      </c>
      <c r="M89" s="134" t="s">
        <v>59</v>
      </c>
      <c r="N89" s="132" t="s">
        <v>43</v>
      </c>
      <c r="O89" s="132" t="s">
        <v>531</v>
      </c>
      <c r="P89" s="132" t="s">
        <v>534</v>
      </c>
      <c r="Q89" s="135" t="s">
        <v>9</v>
      </c>
      <c r="R89" s="136">
        <v>26891.117863769599</v>
      </c>
      <c r="S89" s="73">
        <v>20000</v>
      </c>
      <c r="T89" s="136">
        <v>26891.117863769599</v>
      </c>
      <c r="U89" s="136">
        <v>100841.691989136</v>
      </c>
      <c r="V89" s="136">
        <v>764347</v>
      </c>
      <c r="W89" s="61" t="s">
        <v>11</v>
      </c>
      <c r="X89" s="181">
        <v>1.6E-2</v>
      </c>
      <c r="Y89" s="137">
        <v>44148</v>
      </c>
      <c r="Z89" s="137">
        <v>45734</v>
      </c>
      <c r="AA89" s="137">
        <v>45734</v>
      </c>
      <c r="AB89" s="58">
        <v>1587</v>
      </c>
      <c r="AC89" s="59" t="s">
        <v>10</v>
      </c>
      <c r="AD89" s="138">
        <v>1083</v>
      </c>
      <c r="AE89" s="140">
        <v>2.967123287671233</v>
      </c>
      <c r="AF89" s="56" t="s">
        <v>436</v>
      </c>
      <c r="AG89" s="141" t="s">
        <v>1</v>
      </c>
      <c r="AH89" s="141" t="s">
        <v>1</v>
      </c>
      <c r="AI89" s="142" t="s">
        <v>0</v>
      </c>
      <c r="AJ89" s="11" t="s">
        <v>0</v>
      </c>
      <c r="AK89" s="144" t="s">
        <v>271</v>
      </c>
      <c r="AL89" s="132" t="s">
        <v>510</v>
      </c>
      <c r="AN89" s="52"/>
      <c r="AO89" s="197" t="s">
        <v>162</v>
      </c>
      <c r="AP89" s="198" t="s">
        <v>102</v>
      </c>
      <c r="AQ89" s="201"/>
      <c r="AS89" s="212">
        <v>0</v>
      </c>
      <c r="AT89" s="212">
        <v>3226.9341436523518</v>
      </c>
      <c r="AU89" s="212">
        <v>645.38682873047037</v>
      </c>
      <c r="AV89" s="212"/>
      <c r="AW89" s="212">
        <v>0</v>
      </c>
      <c r="AX89" s="212">
        <v>0</v>
      </c>
      <c r="BA89" s="212">
        <v>0</v>
      </c>
      <c r="BB89" s="212">
        <v>0</v>
      </c>
      <c r="BC89" s="226">
        <v>0</v>
      </c>
      <c r="BD89" s="226"/>
    </row>
    <row r="90" spans="1:56" ht="39.950000000000003" hidden="1" customHeight="1" x14ac:dyDescent="0.2">
      <c r="A90" s="132" t="s">
        <v>513</v>
      </c>
      <c r="B90" s="132" t="s">
        <v>51</v>
      </c>
      <c r="C90" s="133" t="s">
        <v>88</v>
      </c>
      <c r="D90" s="13" t="s">
        <v>542</v>
      </c>
      <c r="E90" s="145" t="s">
        <v>88</v>
      </c>
      <c r="F90" s="66" t="s">
        <v>106</v>
      </c>
      <c r="G90" s="131" t="s">
        <v>106</v>
      </c>
      <c r="H90" s="66" t="s">
        <v>107</v>
      </c>
      <c r="I90" s="133" t="s">
        <v>61</v>
      </c>
      <c r="J90" s="133" t="s">
        <v>220</v>
      </c>
      <c r="K90" s="14" t="s">
        <v>101</v>
      </c>
      <c r="L90" s="134" t="s">
        <v>191</v>
      </c>
      <c r="M90" s="134" t="s">
        <v>59</v>
      </c>
      <c r="N90" s="132" t="s">
        <v>43</v>
      </c>
      <c r="O90" s="132" t="s">
        <v>533</v>
      </c>
      <c r="P90" s="13" t="s">
        <v>548</v>
      </c>
      <c r="Q90" s="135" t="s">
        <v>59</v>
      </c>
      <c r="R90" s="136">
        <v>4367.7022974114079</v>
      </c>
      <c r="S90" s="73">
        <v>3000</v>
      </c>
      <c r="T90" s="136">
        <v>4367.7022974114079</v>
      </c>
      <c r="U90" s="136">
        <v>29118.015316076056</v>
      </c>
      <c r="V90" s="136">
        <v>115993</v>
      </c>
      <c r="W90" s="61" t="s">
        <v>11</v>
      </c>
      <c r="X90" s="181">
        <v>0.01</v>
      </c>
      <c r="Y90" s="137">
        <v>44159</v>
      </c>
      <c r="Z90" s="137">
        <v>45792</v>
      </c>
      <c r="AA90" s="137">
        <v>45792</v>
      </c>
      <c r="AB90" s="138">
        <v>1634</v>
      </c>
      <c r="AC90" s="139" t="s">
        <v>10</v>
      </c>
      <c r="AD90" s="138">
        <v>1141</v>
      </c>
      <c r="AE90" s="140">
        <v>3.1260273972602741</v>
      </c>
      <c r="AF90" s="56"/>
      <c r="AG90" s="141" t="s">
        <v>1</v>
      </c>
      <c r="AH90" s="141" t="s">
        <v>1</v>
      </c>
      <c r="AI90" s="187" t="s">
        <v>0</v>
      </c>
      <c r="AJ90" s="11" t="s">
        <v>0</v>
      </c>
      <c r="AK90" s="144" t="s">
        <v>271</v>
      </c>
      <c r="AL90" s="132" t="s">
        <v>514</v>
      </c>
      <c r="AN90" s="52"/>
      <c r="AO90" s="197" t="s">
        <v>88</v>
      </c>
      <c r="AP90" s="198" t="s">
        <v>106</v>
      </c>
      <c r="AQ90" s="201"/>
      <c r="AS90" s="212">
        <v>0</v>
      </c>
      <c r="AT90" s="212">
        <v>524.12427568936891</v>
      </c>
      <c r="AU90" s="212" t="b">
        <v>0</v>
      </c>
      <c r="AV90" s="212"/>
      <c r="AW90" s="212">
        <v>0</v>
      </c>
      <c r="AX90" s="212">
        <v>0</v>
      </c>
      <c r="BA90" s="212">
        <v>0</v>
      </c>
      <c r="BB90" s="212">
        <v>0</v>
      </c>
      <c r="BC90" s="226">
        <v>0</v>
      </c>
      <c r="BD90" s="226"/>
    </row>
    <row r="91" spans="1:56" ht="39.950000000000003" hidden="1" customHeight="1" x14ac:dyDescent="0.2">
      <c r="A91" s="132" t="s">
        <v>524</v>
      </c>
      <c r="B91" s="132" t="s">
        <v>24</v>
      </c>
      <c r="C91" s="133" t="s">
        <v>37</v>
      </c>
      <c r="D91" s="13" t="s">
        <v>541</v>
      </c>
      <c r="E91" s="145" t="s">
        <v>152</v>
      </c>
      <c r="F91" s="14" t="s">
        <v>102</v>
      </c>
      <c r="G91" s="131" t="s">
        <v>102</v>
      </c>
      <c r="H91" s="130" t="s">
        <v>473</v>
      </c>
      <c r="I91" s="146" t="s">
        <v>526</v>
      </c>
      <c r="J91" s="133" t="s">
        <v>221</v>
      </c>
      <c r="K91" s="14" t="s">
        <v>101</v>
      </c>
      <c r="L91" s="134" t="s">
        <v>191</v>
      </c>
      <c r="M91" s="134" t="s">
        <v>323</v>
      </c>
      <c r="N91" s="132" t="s">
        <v>43</v>
      </c>
      <c r="O91" s="132" t="s">
        <v>533</v>
      </c>
      <c r="P91" s="132" t="s">
        <v>534</v>
      </c>
      <c r="Q91" s="135" t="s">
        <v>488</v>
      </c>
      <c r="R91" s="136">
        <v>27731.854301103944</v>
      </c>
      <c r="S91" s="73">
        <v>2600000</v>
      </c>
      <c r="T91" s="136">
        <v>27731.854301103944</v>
      </c>
      <c r="U91" s="136">
        <v>74662.68465681831</v>
      </c>
      <c r="V91" s="136">
        <v>586756.84496826841</v>
      </c>
      <c r="W91" s="147" t="s">
        <v>11</v>
      </c>
      <c r="X91" s="181">
        <v>0.01</v>
      </c>
      <c r="Y91" s="137">
        <v>44166</v>
      </c>
      <c r="Z91" s="137">
        <v>45504</v>
      </c>
      <c r="AA91" s="137">
        <v>45504</v>
      </c>
      <c r="AB91" s="138">
        <v>1339</v>
      </c>
      <c r="AC91" s="139" t="s">
        <v>10</v>
      </c>
      <c r="AD91" s="138">
        <v>853</v>
      </c>
      <c r="AE91" s="140">
        <v>2.3369863013698629</v>
      </c>
      <c r="AF91" s="56" t="s">
        <v>436</v>
      </c>
      <c r="AG91" s="141" t="s">
        <v>1</v>
      </c>
      <c r="AH91" s="141" t="s">
        <v>1</v>
      </c>
      <c r="AI91" s="187" t="s">
        <v>0</v>
      </c>
      <c r="AJ91" s="11" t="s">
        <v>0</v>
      </c>
      <c r="AK91" s="164" t="s">
        <v>271</v>
      </c>
      <c r="AL91" s="132" t="s">
        <v>525</v>
      </c>
      <c r="AN91" s="52"/>
      <c r="AO91" s="197" t="s">
        <v>152</v>
      </c>
      <c r="AP91" s="198" t="s">
        <v>102</v>
      </c>
      <c r="AQ91" s="201"/>
      <c r="AS91" s="212">
        <v>0</v>
      </c>
      <c r="AT91" s="212">
        <v>3327.8225161324731</v>
      </c>
      <c r="AU91" s="212">
        <v>665.56450322649471</v>
      </c>
      <c r="AV91" s="212"/>
      <c r="AW91" s="212">
        <v>0</v>
      </c>
      <c r="AX91" s="212">
        <v>0</v>
      </c>
      <c r="BA91" s="212">
        <v>0</v>
      </c>
      <c r="BB91" s="212">
        <v>0</v>
      </c>
      <c r="BC91" s="226">
        <v>0</v>
      </c>
      <c r="BD91" s="226"/>
    </row>
    <row r="92" spans="1:56" ht="39.950000000000003" hidden="1" customHeight="1" x14ac:dyDescent="0.2">
      <c r="A92" s="131" t="s">
        <v>155</v>
      </c>
      <c r="B92" s="132" t="s">
        <v>51</v>
      </c>
      <c r="C92" s="133" t="s">
        <v>87</v>
      </c>
      <c r="D92" s="13" t="s">
        <v>542</v>
      </c>
      <c r="E92" s="145" t="s">
        <v>87</v>
      </c>
      <c r="F92" s="14" t="s">
        <v>102</v>
      </c>
      <c r="G92" s="131" t="s">
        <v>102</v>
      </c>
      <c r="H92" s="130" t="s">
        <v>122</v>
      </c>
      <c r="I92" s="133" t="s">
        <v>705</v>
      </c>
      <c r="J92" s="133" t="s">
        <v>220</v>
      </c>
      <c r="K92" s="66" t="s">
        <v>101</v>
      </c>
      <c r="L92" s="134" t="s">
        <v>191</v>
      </c>
      <c r="M92" s="134" t="s">
        <v>59</v>
      </c>
      <c r="N92" s="132" t="s">
        <v>43</v>
      </c>
      <c r="O92" s="132" t="s">
        <v>533</v>
      </c>
      <c r="P92" s="132" t="s">
        <v>534</v>
      </c>
      <c r="Q92" s="135" t="s">
        <v>156</v>
      </c>
      <c r="R92" s="136">
        <v>8737.1345693466374</v>
      </c>
      <c r="S92" s="73">
        <v>5000</v>
      </c>
      <c r="T92" s="136">
        <v>8737.1345693466374</v>
      </c>
      <c r="U92" s="136">
        <v>62907.36889929579</v>
      </c>
      <c r="V92" s="136">
        <v>416534.1534590316</v>
      </c>
      <c r="W92" s="147" t="s">
        <v>11</v>
      </c>
      <c r="X92" s="181">
        <v>1.7999999999999999E-2</v>
      </c>
      <c r="Y92" s="137">
        <v>44211</v>
      </c>
      <c r="Z92" s="137">
        <v>46029</v>
      </c>
      <c r="AA92" s="137">
        <v>46029</v>
      </c>
      <c r="AB92" s="138">
        <v>1819</v>
      </c>
      <c r="AC92" s="172" t="s">
        <v>10</v>
      </c>
      <c r="AD92" s="138">
        <v>1378</v>
      </c>
      <c r="AE92" s="140">
        <v>3.7753424657534245</v>
      </c>
      <c r="AF92" s="56"/>
      <c r="AG92" s="162" t="s">
        <v>1</v>
      </c>
      <c r="AH92" s="162" t="s">
        <v>1</v>
      </c>
      <c r="AI92" s="187" t="s">
        <v>0</v>
      </c>
      <c r="AJ92" s="11" t="s">
        <v>0</v>
      </c>
      <c r="AK92" s="164" t="s">
        <v>271</v>
      </c>
      <c r="AL92" s="131" t="s">
        <v>348</v>
      </c>
      <c r="AM92" s="11">
        <v>6807.5</v>
      </c>
      <c r="AO92" s="197" t="s">
        <v>87</v>
      </c>
      <c r="AP92" s="198" t="s">
        <v>102</v>
      </c>
      <c r="AS92" s="212">
        <v>0</v>
      </c>
      <c r="AT92" s="212">
        <v>1048.4561483215964</v>
      </c>
      <c r="AU92" s="212" t="b">
        <v>0</v>
      </c>
      <c r="AV92" s="212"/>
      <c r="AW92" s="212">
        <v>0</v>
      </c>
      <c r="AX92" s="212">
        <v>0</v>
      </c>
      <c r="BA92" s="212">
        <v>0</v>
      </c>
      <c r="BB92" s="212">
        <v>0</v>
      </c>
      <c r="BC92" s="226">
        <v>0</v>
      </c>
      <c r="BD92" s="226"/>
    </row>
    <row r="93" spans="1:56" ht="39.950000000000003" hidden="1" customHeight="1" x14ac:dyDescent="0.2">
      <c r="A93" s="132" t="s">
        <v>528</v>
      </c>
      <c r="B93" s="132" t="s">
        <v>24</v>
      </c>
      <c r="C93" s="133" t="s">
        <v>34</v>
      </c>
      <c r="D93" s="131" t="s">
        <v>34</v>
      </c>
      <c r="E93" s="161" t="s">
        <v>34</v>
      </c>
      <c r="F93" s="14" t="s">
        <v>102</v>
      </c>
      <c r="G93" s="131" t="s">
        <v>102</v>
      </c>
      <c r="H93" s="66" t="s">
        <v>103</v>
      </c>
      <c r="I93" s="66" t="s">
        <v>70</v>
      </c>
      <c r="J93" s="66" t="s">
        <v>218</v>
      </c>
      <c r="K93" s="13" t="s">
        <v>101</v>
      </c>
      <c r="L93" s="65" t="s">
        <v>191</v>
      </c>
      <c r="M93" s="65" t="s">
        <v>323</v>
      </c>
      <c r="N93" s="13" t="s">
        <v>43</v>
      </c>
      <c r="O93" s="13" t="s">
        <v>533</v>
      </c>
      <c r="P93" s="13" t="s">
        <v>534</v>
      </c>
      <c r="Q93" s="64" t="s">
        <v>8</v>
      </c>
      <c r="R93" s="136">
        <v>30000</v>
      </c>
      <c r="S93" s="73">
        <v>29059.561000000002</v>
      </c>
      <c r="T93" s="136">
        <v>30000</v>
      </c>
      <c r="U93" s="136">
        <v>319000</v>
      </c>
      <c r="V93" s="136">
        <v>1021098</v>
      </c>
      <c r="W93" s="61" t="s">
        <v>11</v>
      </c>
      <c r="X93" s="181">
        <v>3.15E-2</v>
      </c>
      <c r="Y93" s="137">
        <v>44218</v>
      </c>
      <c r="Z93" s="137">
        <v>44962</v>
      </c>
      <c r="AA93" s="137">
        <v>44962</v>
      </c>
      <c r="AB93" s="58">
        <v>745</v>
      </c>
      <c r="AC93" s="59" t="s">
        <v>10</v>
      </c>
      <c r="AD93" s="138">
        <v>311</v>
      </c>
      <c r="AE93" s="140">
        <v>0.852054794520548</v>
      </c>
      <c r="AF93" s="56" t="s">
        <v>436</v>
      </c>
      <c r="AG93" s="141" t="s">
        <v>1</v>
      </c>
      <c r="AH93" s="141" t="s">
        <v>1</v>
      </c>
      <c r="AI93" s="142" t="s">
        <v>764</v>
      </c>
      <c r="AJ93" s="11" t="s">
        <v>0</v>
      </c>
      <c r="AK93" s="164" t="s">
        <v>271</v>
      </c>
      <c r="AL93" s="132" t="s">
        <v>529</v>
      </c>
      <c r="AN93" s="52"/>
      <c r="AO93" s="197" t="s">
        <v>34</v>
      </c>
      <c r="AP93" s="198" t="s">
        <v>102</v>
      </c>
      <c r="AQ93" s="201"/>
      <c r="AS93" s="212">
        <v>0</v>
      </c>
      <c r="AT93" s="212">
        <v>3600</v>
      </c>
      <c r="AU93" s="212">
        <v>720</v>
      </c>
      <c r="AV93" s="212"/>
      <c r="AW93" s="212">
        <v>0</v>
      </c>
      <c r="AX93" s="212">
        <v>0</v>
      </c>
      <c r="BA93" s="212">
        <v>0</v>
      </c>
      <c r="BB93" s="212">
        <v>0</v>
      </c>
      <c r="BC93" s="226">
        <v>0</v>
      </c>
      <c r="BD93" s="226"/>
    </row>
    <row r="94" spans="1:56" ht="39.950000000000003" hidden="1" customHeight="1" x14ac:dyDescent="0.2">
      <c r="A94" s="131" t="s">
        <v>554</v>
      </c>
      <c r="B94" s="132" t="s">
        <v>51</v>
      </c>
      <c r="C94" s="133" t="s">
        <v>88</v>
      </c>
      <c r="D94" s="13" t="s">
        <v>542</v>
      </c>
      <c r="E94" s="133" t="s">
        <v>88</v>
      </c>
      <c r="F94" s="14" t="s">
        <v>102</v>
      </c>
      <c r="G94" s="131" t="s">
        <v>102</v>
      </c>
      <c r="H94" s="66" t="s">
        <v>474</v>
      </c>
      <c r="I94" s="133" t="s">
        <v>555</v>
      </c>
      <c r="J94" s="133" t="s">
        <v>220</v>
      </c>
      <c r="K94" s="14" t="s">
        <v>101</v>
      </c>
      <c r="L94" s="134" t="s">
        <v>191</v>
      </c>
      <c r="M94" s="134" t="s">
        <v>59</v>
      </c>
      <c r="N94" s="132" t="s">
        <v>43</v>
      </c>
      <c r="O94" s="132" t="s">
        <v>533</v>
      </c>
      <c r="P94" s="167" t="s">
        <v>548</v>
      </c>
      <c r="Q94" s="135" t="s">
        <v>59</v>
      </c>
      <c r="R94" s="136">
        <v>14559.007658038028</v>
      </c>
      <c r="S94" s="73">
        <v>10000</v>
      </c>
      <c r="T94" s="136">
        <v>14559.007658038028</v>
      </c>
      <c r="U94" s="136">
        <v>25000</v>
      </c>
      <c r="V94" s="136">
        <v>385322.33642954897</v>
      </c>
      <c r="W94" s="147" t="s">
        <v>11</v>
      </c>
      <c r="X94" s="181">
        <v>1.35E-2</v>
      </c>
      <c r="Y94" s="137">
        <v>44225</v>
      </c>
      <c r="Z94" s="137">
        <v>45337</v>
      </c>
      <c r="AA94" s="137">
        <v>45337</v>
      </c>
      <c r="AB94" s="138">
        <v>1113</v>
      </c>
      <c r="AC94" s="139" t="s">
        <v>10</v>
      </c>
      <c r="AD94" s="138">
        <v>686</v>
      </c>
      <c r="AE94" s="140">
        <v>1.8794520547945206</v>
      </c>
      <c r="AF94" s="56"/>
      <c r="AG94" s="162" t="s">
        <v>1</v>
      </c>
      <c r="AH94" s="162" t="s">
        <v>1</v>
      </c>
      <c r="AI94" s="187" t="s">
        <v>0</v>
      </c>
      <c r="AJ94" s="11" t="s">
        <v>0</v>
      </c>
      <c r="AK94" s="164" t="s">
        <v>271</v>
      </c>
      <c r="AL94" s="131" t="s">
        <v>556</v>
      </c>
      <c r="AO94" s="197" t="s">
        <v>88</v>
      </c>
      <c r="AP94" s="198" t="s">
        <v>102</v>
      </c>
      <c r="AS94" s="212">
        <v>0</v>
      </c>
      <c r="AT94" s="212">
        <v>1747.0809189645634</v>
      </c>
      <c r="AU94" s="212" t="b">
        <v>0</v>
      </c>
      <c r="AV94" s="212"/>
      <c r="AW94" s="212">
        <v>0</v>
      </c>
      <c r="AX94" s="212">
        <v>0</v>
      </c>
      <c r="BA94" s="212">
        <v>0</v>
      </c>
      <c r="BB94" s="212">
        <v>0</v>
      </c>
      <c r="BC94" s="226">
        <v>0</v>
      </c>
      <c r="BD94" s="226"/>
    </row>
    <row r="95" spans="1:56" ht="39.950000000000003" hidden="1" customHeight="1" x14ac:dyDescent="0.2">
      <c r="A95" s="131" t="s">
        <v>557</v>
      </c>
      <c r="B95" s="132" t="s">
        <v>51</v>
      </c>
      <c r="C95" s="133" t="s">
        <v>89</v>
      </c>
      <c r="D95" s="13" t="s">
        <v>542</v>
      </c>
      <c r="E95" s="161" t="s">
        <v>89</v>
      </c>
      <c r="F95" s="131" t="s">
        <v>547</v>
      </c>
      <c r="G95" s="131" t="s">
        <v>124</v>
      </c>
      <c r="H95" s="130" t="s">
        <v>123</v>
      </c>
      <c r="I95" s="133" t="s">
        <v>220</v>
      </c>
      <c r="J95" s="133" t="s">
        <v>220</v>
      </c>
      <c r="K95" s="14" t="s">
        <v>29</v>
      </c>
      <c r="L95" s="134" t="s">
        <v>191</v>
      </c>
      <c r="M95" s="134" t="s">
        <v>59</v>
      </c>
      <c r="N95" s="132" t="s">
        <v>43</v>
      </c>
      <c r="O95" s="167" t="s">
        <v>538</v>
      </c>
      <c r="P95" s="167" t="s">
        <v>534</v>
      </c>
      <c r="Q95" s="135" t="s">
        <v>59</v>
      </c>
      <c r="R95" s="136">
        <v>14559.007658038028</v>
      </c>
      <c r="S95" s="73">
        <v>7070</v>
      </c>
      <c r="T95" s="136">
        <v>10293.218414232886</v>
      </c>
      <c r="U95" s="136">
        <v>81093.672655271817</v>
      </c>
      <c r="V95" s="136">
        <v>264973.93937629211</v>
      </c>
      <c r="W95" s="147" t="s">
        <v>11</v>
      </c>
      <c r="X95" s="181">
        <v>1.2999999999999999E-2</v>
      </c>
      <c r="Y95" s="137">
        <v>44236</v>
      </c>
      <c r="Z95" s="137">
        <v>45657</v>
      </c>
      <c r="AA95" s="137">
        <v>45657</v>
      </c>
      <c r="AB95" s="138">
        <v>1422</v>
      </c>
      <c r="AC95" s="139" t="s">
        <v>10</v>
      </c>
      <c r="AD95" s="138">
        <v>1006</v>
      </c>
      <c r="AE95" s="140">
        <v>2.7561643835616438</v>
      </c>
      <c r="AF95" s="56"/>
      <c r="AG95" s="162" t="s">
        <v>1</v>
      </c>
      <c r="AH95" s="162" t="s">
        <v>1</v>
      </c>
      <c r="AI95" s="187" t="s">
        <v>0</v>
      </c>
      <c r="AJ95" s="11" t="s">
        <v>0</v>
      </c>
      <c r="AK95" s="164" t="s">
        <v>271</v>
      </c>
      <c r="AL95" s="131" t="s">
        <v>558</v>
      </c>
      <c r="AO95" s="197" t="s">
        <v>89</v>
      </c>
      <c r="AP95" s="198" t="s">
        <v>547</v>
      </c>
      <c r="AS95" s="212">
        <v>0</v>
      </c>
      <c r="AT95" s="212">
        <v>1235.1862097079463</v>
      </c>
      <c r="AU95" s="212" t="b">
        <v>0</v>
      </c>
      <c r="AV95" s="212"/>
      <c r="AW95" s="212">
        <v>0</v>
      </c>
      <c r="AX95" s="212">
        <v>0</v>
      </c>
      <c r="BA95" s="212">
        <v>0</v>
      </c>
      <c r="BB95" s="212">
        <v>0</v>
      </c>
      <c r="BC95" s="226">
        <v>0</v>
      </c>
      <c r="BD95" s="226"/>
    </row>
    <row r="96" spans="1:56" ht="39.950000000000003" hidden="1" customHeight="1" x14ac:dyDescent="0.2">
      <c r="A96" s="131" t="s">
        <v>559</v>
      </c>
      <c r="B96" s="132" t="s">
        <v>243</v>
      </c>
      <c r="C96" s="133" t="s">
        <v>560</v>
      </c>
      <c r="D96" s="131" t="s">
        <v>499</v>
      </c>
      <c r="E96" s="161" t="s">
        <v>162</v>
      </c>
      <c r="F96" s="131" t="s">
        <v>48</v>
      </c>
      <c r="G96" s="131" t="s">
        <v>120</v>
      </c>
      <c r="H96" s="66" t="s">
        <v>121</v>
      </c>
      <c r="I96" s="133" t="s">
        <v>561</v>
      </c>
      <c r="J96" s="133" t="s">
        <v>220</v>
      </c>
      <c r="K96" s="14" t="s">
        <v>29</v>
      </c>
      <c r="L96" s="134" t="s">
        <v>191</v>
      </c>
      <c r="M96" s="134" t="s">
        <v>59</v>
      </c>
      <c r="N96" s="132" t="s">
        <v>43</v>
      </c>
      <c r="O96" s="167" t="s">
        <v>533</v>
      </c>
      <c r="P96" s="167" t="s">
        <v>534</v>
      </c>
      <c r="Q96" s="135" t="s">
        <v>9</v>
      </c>
      <c r="R96" s="136">
        <v>13445.5589318848</v>
      </c>
      <c r="S96" s="73">
        <v>9500</v>
      </c>
      <c r="T96" s="136">
        <v>12773.280985290559</v>
      </c>
      <c r="U96" s="136">
        <v>82017.909484497271</v>
      </c>
      <c r="V96" s="136">
        <v>1346398.6204856539</v>
      </c>
      <c r="W96" s="147" t="s">
        <v>11</v>
      </c>
      <c r="X96" s="181">
        <v>3.8100000000000002E-2</v>
      </c>
      <c r="Y96" s="137">
        <v>44246</v>
      </c>
      <c r="Z96" s="137">
        <v>46079</v>
      </c>
      <c r="AA96" s="137">
        <v>46079</v>
      </c>
      <c r="AB96" s="138">
        <v>1834</v>
      </c>
      <c r="AC96" s="139" t="s">
        <v>10</v>
      </c>
      <c r="AD96" s="138">
        <v>1428</v>
      </c>
      <c r="AE96" s="140">
        <v>3.9123287671232876</v>
      </c>
      <c r="AF96" s="56"/>
      <c r="AG96" s="162" t="s">
        <v>1</v>
      </c>
      <c r="AH96" s="162" t="s">
        <v>1</v>
      </c>
      <c r="AI96" s="163" t="s">
        <v>763</v>
      </c>
      <c r="AJ96" s="11" t="s">
        <v>0</v>
      </c>
      <c r="AK96" s="164" t="s">
        <v>271</v>
      </c>
      <c r="AL96" s="131" t="s">
        <v>562</v>
      </c>
      <c r="AO96" s="197" t="s">
        <v>162</v>
      </c>
      <c r="AP96" s="198" t="s">
        <v>48</v>
      </c>
      <c r="AS96" s="212">
        <v>0</v>
      </c>
      <c r="AT96" s="212">
        <v>1532.7937182348671</v>
      </c>
      <c r="AU96" s="212" t="b">
        <v>0</v>
      </c>
      <c r="AV96" s="212"/>
      <c r="AW96" s="212">
        <v>0</v>
      </c>
      <c r="AX96" s="212">
        <v>0</v>
      </c>
      <c r="BA96" s="212">
        <v>0</v>
      </c>
      <c r="BB96" s="212">
        <v>0</v>
      </c>
      <c r="BC96" s="226">
        <v>0</v>
      </c>
      <c r="BD96" s="226"/>
    </row>
    <row r="97" spans="1:56" ht="39.950000000000003" hidden="1" customHeight="1" x14ac:dyDescent="0.2">
      <c r="A97" s="131" t="s">
        <v>564</v>
      </c>
      <c r="B97" s="132" t="s">
        <v>23</v>
      </c>
      <c r="C97" s="133" t="s">
        <v>88</v>
      </c>
      <c r="D97" s="131" t="s">
        <v>542</v>
      </c>
      <c r="E97" s="161" t="s">
        <v>193</v>
      </c>
      <c r="F97" s="131" t="s">
        <v>92</v>
      </c>
      <c r="G97" s="131" t="s">
        <v>134</v>
      </c>
      <c r="H97" s="66" t="s">
        <v>134</v>
      </c>
      <c r="I97" s="133" t="s">
        <v>61</v>
      </c>
      <c r="J97" s="133" t="s">
        <v>220</v>
      </c>
      <c r="K97" s="14" t="s">
        <v>68</v>
      </c>
      <c r="L97" s="134" t="s">
        <v>191</v>
      </c>
      <c r="M97" s="134" t="s">
        <v>59</v>
      </c>
      <c r="N97" s="132" t="s">
        <v>43</v>
      </c>
      <c r="O97" s="167" t="s">
        <v>538</v>
      </c>
      <c r="P97" s="167" t="s">
        <v>534</v>
      </c>
      <c r="Q97" s="135" t="s">
        <v>9</v>
      </c>
      <c r="R97" s="136">
        <v>13445.5589318848</v>
      </c>
      <c r="S97" s="73">
        <v>10000</v>
      </c>
      <c r="T97" s="136">
        <v>13445.5589318848</v>
      </c>
      <c r="U97" s="136">
        <v>67227.794659423991</v>
      </c>
      <c r="V97" s="136">
        <v>521912.34840132314</v>
      </c>
      <c r="W97" s="147" t="s">
        <v>11</v>
      </c>
      <c r="X97" s="181">
        <v>4.4999999999999998E-2</v>
      </c>
      <c r="Y97" s="137">
        <v>44264</v>
      </c>
      <c r="Z97" s="137">
        <v>45213</v>
      </c>
      <c r="AA97" s="137">
        <v>45213</v>
      </c>
      <c r="AB97" s="138">
        <v>950</v>
      </c>
      <c r="AC97" s="139" t="s">
        <v>10</v>
      </c>
      <c r="AD97" s="138">
        <v>562</v>
      </c>
      <c r="AE97" s="140">
        <v>1.5397260273972602</v>
      </c>
      <c r="AF97" s="56"/>
      <c r="AG97" s="162" t="s">
        <v>1</v>
      </c>
      <c r="AH97" s="162" t="s">
        <v>1</v>
      </c>
      <c r="AI97" s="187" t="s">
        <v>0</v>
      </c>
      <c r="AJ97" s="11" t="s">
        <v>0</v>
      </c>
      <c r="AK97" s="164" t="s">
        <v>271</v>
      </c>
      <c r="AL97" s="131" t="s">
        <v>565</v>
      </c>
      <c r="AO97" s="197" t="s">
        <v>193</v>
      </c>
      <c r="AP97" s="198" t="s">
        <v>92</v>
      </c>
      <c r="AS97" s="212">
        <v>0</v>
      </c>
      <c r="AT97" s="212">
        <v>1613.4670718261759</v>
      </c>
      <c r="AU97" s="212" t="b">
        <v>0</v>
      </c>
      <c r="AV97" s="212"/>
      <c r="AW97" s="212">
        <v>0</v>
      </c>
      <c r="AX97" s="212">
        <v>0</v>
      </c>
      <c r="BA97" s="212">
        <v>0</v>
      </c>
      <c r="BB97" s="212">
        <v>0</v>
      </c>
      <c r="BC97" s="226">
        <v>0</v>
      </c>
      <c r="BD97" s="226"/>
    </row>
    <row r="98" spans="1:56" ht="39.950000000000003" hidden="1" customHeight="1" x14ac:dyDescent="0.2">
      <c r="A98" s="131" t="s">
        <v>566</v>
      </c>
      <c r="B98" s="132" t="s">
        <v>23</v>
      </c>
      <c r="C98" s="133" t="s">
        <v>88</v>
      </c>
      <c r="D98" s="131" t="s">
        <v>542</v>
      </c>
      <c r="E98" s="161" t="s">
        <v>166</v>
      </c>
      <c r="F98" s="131" t="s">
        <v>92</v>
      </c>
      <c r="G98" s="131" t="s">
        <v>134</v>
      </c>
      <c r="H98" s="66" t="s">
        <v>134</v>
      </c>
      <c r="I98" s="133" t="s">
        <v>61</v>
      </c>
      <c r="J98" s="133" t="s">
        <v>220</v>
      </c>
      <c r="K98" s="14" t="s">
        <v>68</v>
      </c>
      <c r="L98" s="134" t="s">
        <v>191</v>
      </c>
      <c r="M98" s="134" t="s">
        <v>59</v>
      </c>
      <c r="N98" s="132" t="s">
        <v>43</v>
      </c>
      <c r="O98" s="167" t="s">
        <v>538</v>
      </c>
      <c r="P98" s="167" t="s">
        <v>548</v>
      </c>
      <c r="Q98" s="135" t="s">
        <v>9</v>
      </c>
      <c r="R98" s="136">
        <v>6722.7794659423998</v>
      </c>
      <c r="S98" s="73">
        <v>5000</v>
      </c>
      <c r="T98" s="136">
        <v>6722.7794659423998</v>
      </c>
      <c r="U98" s="136">
        <v>127732.80985290559</v>
      </c>
      <c r="V98" s="136">
        <v>223602.36104014845</v>
      </c>
      <c r="W98" s="147" t="s">
        <v>11</v>
      </c>
      <c r="X98" s="181">
        <v>3.4000000000000002E-2</v>
      </c>
      <c r="Y98" s="137">
        <v>44274</v>
      </c>
      <c r="Z98" s="137">
        <v>45545</v>
      </c>
      <c r="AA98" s="137">
        <v>45545</v>
      </c>
      <c r="AB98" s="175">
        <v>1272</v>
      </c>
      <c r="AC98" s="176" t="s">
        <v>10</v>
      </c>
      <c r="AD98" s="175">
        <v>894</v>
      </c>
      <c r="AE98" s="177">
        <v>2.4493150684931506</v>
      </c>
      <c r="AF98" s="173"/>
      <c r="AG98" s="178" t="s">
        <v>1</v>
      </c>
      <c r="AH98" s="178" t="s">
        <v>1</v>
      </c>
      <c r="AI98" s="187" t="s">
        <v>0</v>
      </c>
      <c r="AJ98" s="11" t="s">
        <v>0</v>
      </c>
      <c r="AK98" s="164" t="s">
        <v>271</v>
      </c>
      <c r="AL98" s="168" t="s">
        <v>567</v>
      </c>
      <c r="AM98" s="11">
        <v>6000</v>
      </c>
      <c r="AO98" s="197" t="s">
        <v>166</v>
      </c>
      <c r="AP98" s="198" t="s">
        <v>92</v>
      </c>
      <c r="AS98" s="212">
        <v>0</v>
      </c>
      <c r="AT98" s="212">
        <v>806.73353591308796</v>
      </c>
      <c r="AU98" s="212" t="b">
        <v>0</v>
      </c>
      <c r="AV98" s="212"/>
      <c r="AW98" s="212">
        <v>0</v>
      </c>
      <c r="AX98" s="212">
        <v>0</v>
      </c>
      <c r="BA98" s="212">
        <v>0</v>
      </c>
      <c r="BB98" s="212">
        <v>0</v>
      </c>
      <c r="BC98" s="226">
        <v>0</v>
      </c>
      <c r="BD98" s="226"/>
    </row>
    <row r="99" spans="1:56" ht="39.950000000000003" hidden="1" customHeight="1" x14ac:dyDescent="0.2">
      <c r="A99" s="131" t="s">
        <v>575</v>
      </c>
      <c r="B99" s="132" t="s">
        <v>23</v>
      </c>
      <c r="C99" s="133" t="s">
        <v>37</v>
      </c>
      <c r="D99" s="13" t="s">
        <v>540</v>
      </c>
      <c r="E99" s="161" t="s">
        <v>36</v>
      </c>
      <c r="F99" s="131" t="s">
        <v>104</v>
      </c>
      <c r="G99" s="131" t="s">
        <v>111</v>
      </c>
      <c r="H99" s="66" t="s">
        <v>135</v>
      </c>
      <c r="I99" s="133" t="s">
        <v>77</v>
      </c>
      <c r="J99" s="133" t="s">
        <v>220</v>
      </c>
      <c r="K99" s="14" t="s">
        <v>29</v>
      </c>
      <c r="L99" s="134" t="s">
        <v>191</v>
      </c>
      <c r="M99" s="134" t="s">
        <v>323</v>
      </c>
      <c r="N99" s="132" t="s">
        <v>43</v>
      </c>
      <c r="O99" s="167" t="s">
        <v>531</v>
      </c>
      <c r="P99" s="167" t="s">
        <v>548</v>
      </c>
      <c r="Q99" s="135" t="s">
        <v>9</v>
      </c>
      <c r="R99" s="136">
        <v>14790.114825073279</v>
      </c>
      <c r="S99" s="73">
        <v>11000</v>
      </c>
      <c r="T99" s="136">
        <v>14790.114825073279</v>
      </c>
      <c r="U99" s="136">
        <v>67227.794659423991</v>
      </c>
      <c r="V99" s="136">
        <v>907443.46142469149</v>
      </c>
      <c r="W99" s="147" t="s">
        <v>11</v>
      </c>
      <c r="X99" s="181">
        <v>3.7999999999999999E-2</v>
      </c>
      <c r="Y99" s="137">
        <v>44285</v>
      </c>
      <c r="Z99" s="137">
        <v>45413</v>
      </c>
      <c r="AA99" s="174">
        <v>45413</v>
      </c>
      <c r="AB99" s="175">
        <v>1129</v>
      </c>
      <c r="AC99" s="176" t="s">
        <v>10</v>
      </c>
      <c r="AD99" s="175">
        <v>762</v>
      </c>
      <c r="AE99" s="177">
        <v>2.0876712328767124</v>
      </c>
      <c r="AF99" s="173"/>
      <c r="AG99" s="178" t="s">
        <v>1</v>
      </c>
      <c r="AH99" s="178" t="s">
        <v>1</v>
      </c>
      <c r="AI99" s="179" t="s">
        <v>568</v>
      </c>
      <c r="AJ99" s="11" t="s">
        <v>0</v>
      </c>
      <c r="AK99" s="164" t="s">
        <v>271</v>
      </c>
      <c r="AL99" s="168" t="s">
        <v>576</v>
      </c>
      <c r="AM99" s="11">
        <v>12225</v>
      </c>
      <c r="AO99" s="197" t="s">
        <v>36</v>
      </c>
      <c r="AP99" s="198" t="s">
        <v>104</v>
      </c>
      <c r="AS99" s="212">
        <v>0</v>
      </c>
      <c r="AT99" s="212">
        <v>1774.8137790087933</v>
      </c>
      <c r="AU99" s="212" t="b">
        <v>0</v>
      </c>
      <c r="AV99" s="212"/>
      <c r="AW99" s="212">
        <v>0</v>
      </c>
      <c r="AX99" s="212">
        <v>0</v>
      </c>
      <c r="BA99" s="212">
        <v>0</v>
      </c>
      <c r="BB99" s="212">
        <v>0</v>
      </c>
      <c r="BC99" s="226">
        <v>0</v>
      </c>
      <c r="BD99" s="226"/>
    </row>
    <row r="100" spans="1:56" ht="39.950000000000003" hidden="1" customHeight="1" x14ac:dyDescent="0.2">
      <c r="A100" s="131" t="s">
        <v>578</v>
      </c>
      <c r="B100" s="132" t="s">
        <v>23</v>
      </c>
      <c r="C100" s="133" t="s">
        <v>149</v>
      </c>
      <c r="D100" s="131" t="s">
        <v>496</v>
      </c>
      <c r="E100" s="161" t="s">
        <v>125</v>
      </c>
      <c r="F100" s="131" t="s">
        <v>104</v>
      </c>
      <c r="G100" s="131" t="s">
        <v>111</v>
      </c>
      <c r="H100" s="66" t="s">
        <v>450</v>
      </c>
      <c r="I100" s="133" t="s">
        <v>283</v>
      </c>
      <c r="J100" s="133" t="s">
        <v>148</v>
      </c>
      <c r="K100" s="14" t="s">
        <v>209</v>
      </c>
      <c r="L100" s="134" t="s">
        <v>191</v>
      </c>
      <c r="M100" s="134" t="s">
        <v>59</v>
      </c>
      <c r="N100" s="132" t="s">
        <v>43</v>
      </c>
      <c r="O100" s="167" t="s">
        <v>531</v>
      </c>
      <c r="P100" s="167" t="s">
        <v>548</v>
      </c>
      <c r="Q100" s="135" t="s">
        <v>9</v>
      </c>
      <c r="R100" s="136">
        <v>20168.3383978272</v>
      </c>
      <c r="S100" s="73">
        <v>15000</v>
      </c>
      <c r="T100" s="136">
        <v>20168.3383978272</v>
      </c>
      <c r="U100" s="136">
        <v>107564.4714550784</v>
      </c>
      <c r="V100" s="136">
        <v>1059159.329873343</v>
      </c>
      <c r="W100" s="147" t="s">
        <v>11</v>
      </c>
      <c r="X100" s="185">
        <v>0.03</v>
      </c>
      <c r="Y100" s="137">
        <v>44328</v>
      </c>
      <c r="Z100" s="137">
        <v>46505</v>
      </c>
      <c r="AA100" s="137">
        <v>46505</v>
      </c>
      <c r="AB100" s="175">
        <v>2178</v>
      </c>
      <c r="AC100" s="176" t="s">
        <v>10</v>
      </c>
      <c r="AD100" s="138">
        <v>1854</v>
      </c>
      <c r="AE100" s="140">
        <v>5.0794520547945208</v>
      </c>
      <c r="AF100" s="184"/>
      <c r="AG100" s="186" t="s">
        <v>1</v>
      </c>
      <c r="AH100" s="186" t="s">
        <v>1</v>
      </c>
      <c r="AI100" s="187" t="s">
        <v>0</v>
      </c>
      <c r="AJ100" s="11" t="s">
        <v>0</v>
      </c>
      <c r="AK100" s="164" t="s">
        <v>271</v>
      </c>
      <c r="AL100" s="188" t="s">
        <v>579</v>
      </c>
      <c r="AO100" s="197" t="s">
        <v>125</v>
      </c>
      <c r="AP100" s="198" t="s">
        <v>104</v>
      </c>
      <c r="AS100" s="212">
        <v>0</v>
      </c>
      <c r="AT100" s="212">
        <v>2420.2006077392639</v>
      </c>
      <c r="AU100" s="212" t="b">
        <v>0</v>
      </c>
      <c r="AV100" s="212"/>
      <c r="AW100" s="212">
        <v>0</v>
      </c>
      <c r="AX100" s="212">
        <v>0</v>
      </c>
      <c r="BA100" s="212">
        <v>0</v>
      </c>
      <c r="BB100" s="212">
        <v>0</v>
      </c>
      <c r="BC100" s="226">
        <v>0</v>
      </c>
      <c r="BD100" s="226"/>
    </row>
    <row r="101" spans="1:56" ht="39.950000000000003" hidden="1" customHeight="1" x14ac:dyDescent="0.2">
      <c r="A101" s="131" t="s">
        <v>586</v>
      </c>
      <c r="B101" s="132" t="s">
        <v>67</v>
      </c>
      <c r="C101" s="133" t="s">
        <v>38</v>
      </c>
      <c r="D101" s="13" t="s">
        <v>540</v>
      </c>
      <c r="E101" s="161" t="s">
        <v>229</v>
      </c>
      <c r="F101" s="14" t="s">
        <v>102</v>
      </c>
      <c r="G101" s="131" t="s">
        <v>102</v>
      </c>
      <c r="H101" s="66" t="s">
        <v>474</v>
      </c>
      <c r="I101" s="133" t="s">
        <v>142</v>
      </c>
      <c r="J101" s="66" t="s">
        <v>218</v>
      </c>
      <c r="K101" s="14" t="s">
        <v>209</v>
      </c>
      <c r="L101" s="134" t="s">
        <v>191</v>
      </c>
      <c r="M101" s="134" t="s">
        <v>323</v>
      </c>
      <c r="N101" s="132" t="s">
        <v>43</v>
      </c>
      <c r="O101" s="167" t="s">
        <v>531</v>
      </c>
      <c r="P101" s="13" t="s">
        <v>534</v>
      </c>
      <c r="Q101" s="135" t="s">
        <v>9</v>
      </c>
      <c r="R101" s="136">
        <v>10084.1691989136</v>
      </c>
      <c r="S101" s="73">
        <v>7500</v>
      </c>
      <c r="T101" s="136">
        <v>10084.1691989136</v>
      </c>
      <c r="U101" s="136">
        <v>12605.211498642</v>
      </c>
      <c r="V101" s="136">
        <v>932659.59878452157</v>
      </c>
      <c r="W101" s="147" t="s">
        <v>11</v>
      </c>
      <c r="X101" s="185">
        <v>0.06</v>
      </c>
      <c r="Y101" s="137">
        <v>44349</v>
      </c>
      <c r="Z101" s="137">
        <v>45419</v>
      </c>
      <c r="AA101" s="137">
        <v>45419</v>
      </c>
      <c r="AB101" s="175">
        <v>1071</v>
      </c>
      <c r="AC101" s="176" t="s">
        <v>10</v>
      </c>
      <c r="AD101" s="138">
        <v>768</v>
      </c>
      <c r="AE101" s="140">
        <v>2.1041095890410957</v>
      </c>
      <c r="AF101" s="184"/>
      <c r="AG101" s="186" t="s">
        <v>1</v>
      </c>
      <c r="AH101" s="186" t="s">
        <v>1</v>
      </c>
      <c r="AI101" s="187" t="s">
        <v>0</v>
      </c>
      <c r="AJ101" s="11" t="s">
        <v>0</v>
      </c>
      <c r="AK101" s="164" t="s">
        <v>271</v>
      </c>
      <c r="AL101" s="188" t="s">
        <v>580</v>
      </c>
      <c r="AO101" s="197" t="s">
        <v>229</v>
      </c>
      <c r="AP101" s="198" t="s">
        <v>102</v>
      </c>
      <c r="AS101" s="212">
        <v>0</v>
      </c>
      <c r="AT101" s="212">
        <v>1210.1003038696319</v>
      </c>
      <c r="AU101" s="212" t="b">
        <v>0</v>
      </c>
      <c r="AV101" s="212"/>
      <c r="AW101" s="212">
        <v>0</v>
      </c>
      <c r="AX101" s="212">
        <v>0</v>
      </c>
      <c r="BA101" s="212">
        <v>0</v>
      </c>
      <c r="BB101" s="212">
        <v>0</v>
      </c>
      <c r="BC101" s="226">
        <v>0</v>
      </c>
      <c r="BD101" s="226"/>
    </row>
    <row r="102" spans="1:56" ht="39.950000000000003" hidden="1" customHeight="1" x14ac:dyDescent="0.2">
      <c r="A102" s="131" t="s">
        <v>587</v>
      </c>
      <c r="B102" s="132" t="s">
        <v>67</v>
      </c>
      <c r="C102" s="133" t="s">
        <v>588</v>
      </c>
      <c r="D102" s="131" t="s">
        <v>499</v>
      </c>
      <c r="E102" s="161" t="s">
        <v>162</v>
      </c>
      <c r="F102" s="131" t="s">
        <v>233</v>
      </c>
      <c r="G102" s="131" t="s">
        <v>443</v>
      </c>
      <c r="H102" s="131" t="s">
        <v>234</v>
      </c>
      <c r="I102" s="133" t="s">
        <v>589</v>
      </c>
      <c r="J102" s="66" t="s">
        <v>218</v>
      </c>
      <c r="K102" s="14" t="s">
        <v>209</v>
      </c>
      <c r="L102" s="134" t="s">
        <v>191</v>
      </c>
      <c r="M102" s="134" t="s">
        <v>59</v>
      </c>
      <c r="N102" s="132" t="s">
        <v>43</v>
      </c>
      <c r="O102" s="167" t="s">
        <v>531</v>
      </c>
      <c r="P102" s="13" t="s">
        <v>534</v>
      </c>
      <c r="Q102" s="135" t="s">
        <v>9</v>
      </c>
      <c r="R102" s="136">
        <v>20168.3383978272</v>
      </c>
      <c r="S102" s="73">
        <v>15000</v>
      </c>
      <c r="T102" s="136">
        <v>20168.3383978272</v>
      </c>
      <c r="U102" s="136">
        <v>40336.676795654399</v>
      </c>
      <c r="V102" s="136">
        <v>2165239.8822169038</v>
      </c>
      <c r="W102" s="147" t="s">
        <v>11</v>
      </c>
      <c r="X102" s="185">
        <v>5.7500000000000002E-2</v>
      </c>
      <c r="Y102" s="137">
        <v>44365</v>
      </c>
      <c r="Z102" s="137">
        <v>46107</v>
      </c>
      <c r="AA102" s="137">
        <v>46107</v>
      </c>
      <c r="AB102" s="175">
        <v>1743</v>
      </c>
      <c r="AC102" s="176" t="s">
        <v>10</v>
      </c>
      <c r="AD102" s="138">
        <v>1456</v>
      </c>
      <c r="AE102" s="140">
        <v>3.989041095890411</v>
      </c>
      <c r="AF102" s="184"/>
      <c r="AG102" s="186" t="s">
        <v>1</v>
      </c>
      <c r="AH102" s="186" t="s">
        <v>1</v>
      </c>
      <c r="AI102" s="187" t="s">
        <v>0</v>
      </c>
      <c r="AJ102" s="11" t="s">
        <v>0</v>
      </c>
      <c r="AK102" s="164" t="s">
        <v>271</v>
      </c>
      <c r="AL102" s="188" t="s">
        <v>581</v>
      </c>
      <c r="AO102" s="197" t="s">
        <v>162</v>
      </c>
      <c r="AP102" s="198" t="s">
        <v>233</v>
      </c>
      <c r="AS102" s="212">
        <v>0</v>
      </c>
      <c r="AT102" s="212">
        <v>2420.2006077392639</v>
      </c>
      <c r="AU102" s="212" t="b">
        <v>0</v>
      </c>
      <c r="AV102" s="212"/>
      <c r="AW102" s="212">
        <v>0</v>
      </c>
      <c r="AX102" s="212">
        <v>0</v>
      </c>
      <c r="BA102" s="212">
        <v>0</v>
      </c>
      <c r="BB102" s="212">
        <v>0</v>
      </c>
      <c r="BC102" s="226">
        <v>0</v>
      </c>
      <c r="BD102" s="226"/>
    </row>
    <row r="103" spans="1:56" ht="39.950000000000003" hidden="1" customHeight="1" x14ac:dyDescent="0.2">
      <c r="A103" s="131" t="s">
        <v>590</v>
      </c>
      <c r="B103" s="132" t="s">
        <v>24</v>
      </c>
      <c r="C103" s="192" t="s">
        <v>38</v>
      </c>
      <c r="D103" s="13" t="s">
        <v>540</v>
      </c>
      <c r="E103" s="161" t="s">
        <v>35</v>
      </c>
      <c r="F103" s="131" t="s">
        <v>104</v>
      </c>
      <c r="G103" s="131" t="s">
        <v>111</v>
      </c>
      <c r="H103" s="66" t="s">
        <v>450</v>
      </c>
      <c r="I103" s="133" t="s">
        <v>591</v>
      </c>
      <c r="J103" s="133" t="s">
        <v>218</v>
      </c>
      <c r="K103" s="168" t="s">
        <v>209</v>
      </c>
      <c r="L103" s="194" t="s">
        <v>191</v>
      </c>
      <c r="M103" s="134" t="s">
        <v>323</v>
      </c>
      <c r="N103" s="167" t="s">
        <v>43</v>
      </c>
      <c r="O103" s="167" t="s">
        <v>538</v>
      </c>
      <c r="P103" s="167" t="s">
        <v>534</v>
      </c>
      <c r="Q103" s="135" t="s">
        <v>66</v>
      </c>
      <c r="R103" s="136">
        <v>19615.905603471081</v>
      </c>
      <c r="S103" s="73">
        <v>1112163</v>
      </c>
      <c r="T103" s="136">
        <v>19615.905603471081</v>
      </c>
      <c r="U103" s="136">
        <v>59385.875795897489</v>
      </c>
      <c r="V103" s="136">
        <v>1207990.461400074</v>
      </c>
      <c r="W103" s="147" t="s">
        <v>11</v>
      </c>
      <c r="X103" s="185">
        <v>0.05</v>
      </c>
      <c r="Y103" s="137">
        <v>44369</v>
      </c>
      <c r="Z103" s="137">
        <v>45415</v>
      </c>
      <c r="AA103" s="137">
        <v>45415</v>
      </c>
      <c r="AB103" s="138">
        <v>1047</v>
      </c>
      <c r="AC103" s="139" t="s">
        <v>10</v>
      </c>
      <c r="AD103" s="138">
        <v>764</v>
      </c>
      <c r="AE103" s="140">
        <v>2.0931506849315067</v>
      </c>
      <c r="AF103" s="184" t="s">
        <v>436</v>
      </c>
      <c r="AG103" s="186" t="s">
        <v>1</v>
      </c>
      <c r="AH103" s="186" t="s">
        <v>1</v>
      </c>
      <c r="AI103" s="187" t="s">
        <v>0</v>
      </c>
      <c r="AJ103" s="11" t="s">
        <v>0</v>
      </c>
      <c r="AK103" s="164" t="s">
        <v>271</v>
      </c>
      <c r="AL103" s="188" t="s">
        <v>592</v>
      </c>
      <c r="AO103" s="197" t="s">
        <v>35</v>
      </c>
      <c r="AP103" s="198" t="s">
        <v>104</v>
      </c>
      <c r="AS103" s="212">
        <v>0</v>
      </c>
      <c r="AT103" s="212">
        <v>2353.9086724165295</v>
      </c>
      <c r="AU103" s="212">
        <v>470.78173448330591</v>
      </c>
      <c r="AV103" s="212"/>
      <c r="AW103" s="212">
        <v>0</v>
      </c>
      <c r="AX103" s="212">
        <v>0</v>
      </c>
      <c r="BA103" s="212">
        <v>0</v>
      </c>
      <c r="BB103" s="212">
        <v>0</v>
      </c>
      <c r="BC103" s="226">
        <v>0</v>
      </c>
      <c r="BD103" s="226"/>
    </row>
    <row r="104" spans="1:56" ht="39.950000000000003" hidden="1" customHeight="1" x14ac:dyDescent="0.2">
      <c r="A104" s="131" t="s">
        <v>593</v>
      </c>
      <c r="B104" s="132" t="s">
        <v>67</v>
      </c>
      <c r="C104" s="133" t="s">
        <v>588</v>
      </c>
      <c r="D104" s="188" t="s">
        <v>542</v>
      </c>
      <c r="E104" s="161" t="s">
        <v>127</v>
      </c>
      <c r="F104" s="14" t="s">
        <v>546</v>
      </c>
      <c r="G104" s="66" t="s">
        <v>167</v>
      </c>
      <c r="H104" s="131" t="s">
        <v>167</v>
      </c>
      <c r="I104" s="133" t="s">
        <v>589</v>
      </c>
      <c r="J104" s="133" t="s">
        <v>218</v>
      </c>
      <c r="K104" s="14" t="s">
        <v>140</v>
      </c>
      <c r="L104" s="194" t="s">
        <v>191</v>
      </c>
      <c r="M104" s="134" t="s">
        <v>59</v>
      </c>
      <c r="N104" s="167" t="s">
        <v>43</v>
      </c>
      <c r="O104" s="167" t="s">
        <v>538</v>
      </c>
      <c r="P104" s="167" t="s">
        <v>534</v>
      </c>
      <c r="Q104" s="135" t="s">
        <v>59</v>
      </c>
      <c r="R104" s="136">
        <v>21838.51148705704</v>
      </c>
      <c r="S104" s="73">
        <v>15000</v>
      </c>
      <c r="T104" s="136">
        <v>21838.51148705704</v>
      </c>
      <c r="U104" s="136">
        <v>145590.07658038026</v>
      </c>
      <c r="V104" s="136">
        <v>1476355.9240602159</v>
      </c>
      <c r="W104" s="147" t="s">
        <v>11</v>
      </c>
      <c r="X104" s="185">
        <v>2.8500000000000001E-2</v>
      </c>
      <c r="Y104" s="137">
        <v>44372</v>
      </c>
      <c r="Z104" s="137">
        <v>46475</v>
      </c>
      <c r="AA104" s="137">
        <v>46475</v>
      </c>
      <c r="AB104" s="138">
        <v>2104</v>
      </c>
      <c r="AC104" s="139" t="s">
        <v>10</v>
      </c>
      <c r="AD104" s="138">
        <v>1824</v>
      </c>
      <c r="AE104" s="140">
        <v>4.9972602739726026</v>
      </c>
      <c r="AF104" s="184"/>
      <c r="AG104" s="186" t="s">
        <v>1</v>
      </c>
      <c r="AH104" s="186" t="s">
        <v>1</v>
      </c>
      <c r="AI104" s="187" t="s">
        <v>0</v>
      </c>
      <c r="AJ104" s="11" t="s">
        <v>0</v>
      </c>
      <c r="AK104" s="164" t="s">
        <v>271</v>
      </c>
      <c r="AL104" s="188" t="s">
        <v>582</v>
      </c>
      <c r="AO104" s="197" t="s">
        <v>127</v>
      </c>
      <c r="AP104" s="198" t="s">
        <v>546</v>
      </c>
      <c r="AS104" s="212">
        <v>0</v>
      </c>
      <c r="AT104" s="212">
        <v>2620.6213784468446</v>
      </c>
      <c r="AU104" s="212" t="b">
        <v>0</v>
      </c>
      <c r="AV104" s="212"/>
      <c r="AW104" s="212">
        <v>0</v>
      </c>
      <c r="AX104" s="212">
        <v>0</v>
      </c>
      <c r="BA104" s="212">
        <v>0</v>
      </c>
      <c r="BB104" s="212">
        <v>0</v>
      </c>
      <c r="BC104" s="226">
        <v>0</v>
      </c>
      <c r="BD104" s="226"/>
    </row>
    <row r="105" spans="1:56" ht="39.950000000000003" hidden="1" customHeight="1" x14ac:dyDescent="0.2">
      <c r="A105" s="131" t="s">
        <v>594</v>
      </c>
      <c r="B105" s="132" t="s">
        <v>67</v>
      </c>
      <c r="C105" s="133" t="s">
        <v>588</v>
      </c>
      <c r="D105" s="188" t="s">
        <v>499</v>
      </c>
      <c r="E105" s="193" t="s">
        <v>162</v>
      </c>
      <c r="F105" s="188" t="s">
        <v>233</v>
      </c>
      <c r="G105" s="131" t="s">
        <v>443</v>
      </c>
      <c r="H105" s="131" t="s">
        <v>234</v>
      </c>
      <c r="I105" s="133" t="s">
        <v>589</v>
      </c>
      <c r="J105" s="133" t="s">
        <v>218</v>
      </c>
      <c r="K105" s="168" t="s">
        <v>209</v>
      </c>
      <c r="L105" s="194" t="s">
        <v>191</v>
      </c>
      <c r="M105" s="134" t="s">
        <v>59</v>
      </c>
      <c r="N105" s="167" t="s">
        <v>43</v>
      </c>
      <c r="O105" s="167" t="s">
        <v>538</v>
      </c>
      <c r="P105" s="167" t="s">
        <v>534</v>
      </c>
      <c r="Q105" s="135" t="s">
        <v>9</v>
      </c>
      <c r="R105" s="136">
        <v>20168.3383978272</v>
      </c>
      <c r="S105" s="73">
        <v>15000</v>
      </c>
      <c r="T105" s="136">
        <v>20168.3383978272</v>
      </c>
      <c r="U105" s="136">
        <v>93850.001344555902</v>
      </c>
      <c r="V105" s="136">
        <v>1709424.1939387419</v>
      </c>
      <c r="W105" s="147" t="s">
        <v>11</v>
      </c>
      <c r="X105" s="185">
        <v>4.4999999999999998E-2</v>
      </c>
      <c r="Y105" s="137">
        <v>44372</v>
      </c>
      <c r="Z105" s="137">
        <v>46112</v>
      </c>
      <c r="AA105" s="137">
        <v>46112</v>
      </c>
      <c r="AB105" s="138">
        <v>1741</v>
      </c>
      <c r="AC105" s="139" t="s">
        <v>10</v>
      </c>
      <c r="AD105" s="138">
        <v>1461</v>
      </c>
      <c r="AE105" s="140">
        <v>4.0027397260273974</v>
      </c>
      <c r="AF105" s="184"/>
      <c r="AG105" s="186" t="s">
        <v>1</v>
      </c>
      <c r="AH105" s="186" t="s">
        <v>1</v>
      </c>
      <c r="AI105" s="187" t="s">
        <v>0</v>
      </c>
      <c r="AJ105" s="11" t="s">
        <v>0</v>
      </c>
      <c r="AK105" s="164" t="s">
        <v>271</v>
      </c>
      <c r="AL105" s="188" t="s">
        <v>583</v>
      </c>
      <c r="AO105" s="197" t="s">
        <v>162</v>
      </c>
      <c r="AP105" s="198" t="s">
        <v>233</v>
      </c>
      <c r="AS105" s="212">
        <v>0</v>
      </c>
      <c r="AT105" s="212">
        <v>2420.2006077392639</v>
      </c>
      <c r="AU105" s="212" t="b">
        <v>0</v>
      </c>
      <c r="AV105" s="212"/>
      <c r="AW105" s="212">
        <v>0</v>
      </c>
      <c r="AX105" s="212">
        <v>0</v>
      </c>
      <c r="BA105" s="212">
        <v>0</v>
      </c>
      <c r="BB105" s="212">
        <v>0</v>
      </c>
      <c r="BC105" s="226">
        <v>0</v>
      </c>
      <c r="BD105" s="226"/>
    </row>
    <row r="106" spans="1:56" ht="39.950000000000003" hidden="1" customHeight="1" x14ac:dyDescent="0.2">
      <c r="A106" s="131" t="s">
        <v>595</v>
      </c>
      <c r="B106" s="132" t="s">
        <v>51</v>
      </c>
      <c r="C106" s="192" t="s">
        <v>38</v>
      </c>
      <c r="D106" s="13" t="s">
        <v>540</v>
      </c>
      <c r="E106" s="161" t="s">
        <v>36</v>
      </c>
      <c r="F106" s="188" t="s">
        <v>102</v>
      </c>
      <c r="G106" s="131" t="s">
        <v>102</v>
      </c>
      <c r="H106" s="190" t="s">
        <v>474</v>
      </c>
      <c r="I106" s="133" t="s">
        <v>142</v>
      </c>
      <c r="J106" s="133" t="s">
        <v>218</v>
      </c>
      <c r="K106" s="168" t="s">
        <v>209</v>
      </c>
      <c r="L106" s="194" t="s">
        <v>191</v>
      </c>
      <c r="M106" s="134" t="s">
        <v>323</v>
      </c>
      <c r="N106" s="167" t="s">
        <v>43</v>
      </c>
      <c r="O106" s="167" t="s">
        <v>538</v>
      </c>
      <c r="P106" s="167" t="s">
        <v>534</v>
      </c>
      <c r="Q106" s="135" t="s">
        <v>9</v>
      </c>
      <c r="R106" s="136">
        <v>20168.3383978272</v>
      </c>
      <c r="S106" s="73">
        <v>15000</v>
      </c>
      <c r="T106" s="136">
        <v>20168.3383978272</v>
      </c>
      <c r="U106" s="136">
        <v>40336.676795654399</v>
      </c>
      <c r="V106" s="136">
        <v>2457736.1443515206</v>
      </c>
      <c r="W106" s="147" t="s">
        <v>11</v>
      </c>
      <c r="X106" s="185">
        <v>7.85E-2</v>
      </c>
      <c r="Y106" s="137">
        <v>44377</v>
      </c>
      <c r="Z106" s="137">
        <v>45460</v>
      </c>
      <c r="AA106" s="137">
        <v>45460</v>
      </c>
      <c r="AB106" s="138">
        <v>1084</v>
      </c>
      <c r="AC106" s="139" t="s">
        <v>10</v>
      </c>
      <c r="AD106" s="138">
        <v>809</v>
      </c>
      <c r="AE106" s="140">
        <v>2.2164383561643834</v>
      </c>
      <c r="AF106" s="184"/>
      <c r="AG106" s="186" t="s">
        <v>1</v>
      </c>
      <c r="AH106" s="186" t="s">
        <v>1</v>
      </c>
      <c r="AI106" s="187" t="s">
        <v>0</v>
      </c>
      <c r="AJ106" s="11" t="s">
        <v>0</v>
      </c>
      <c r="AK106" s="164" t="s">
        <v>271</v>
      </c>
      <c r="AL106" s="188" t="s">
        <v>584</v>
      </c>
      <c r="AO106" s="197" t="s">
        <v>36</v>
      </c>
      <c r="AP106" s="198" t="s">
        <v>102</v>
      </c>
      <c r="AS106" s="212">
        <v>0</v>
      </c>
      <c r="AT106" s="212">
        <v>2420.2006077392639</v>
      </c>
      <c r="AU106" s="212" t="b">
        <v>0</v>
      </c>
      <c r="AV106" s="212"/>
      <c r="AW106" s="212">
        <v>0</v>
      </c>
      <c r="AX106" s="212">
        <v>0</v>
      </c>
      <c r="BA106" s="212">
        <v>0</v>
      </c>
      <c r="BB106" s="212">
        <v>0</v>
      </c>
      <c r="BC106" s="226">
        <v>0</v>
      </c>
      <c r="BD106" s="226"/>
    </row>
    <row r="107" spans="1:56" ht="39.950000000000003" hidden="1" customHeight="1" x14ac:dyDescent="0.2">
      <c r="A107" s="131" t="s">
        <v>596</v>
      </c>
      <c r="B107" s="132" t="s">
        <v>24</v>
      </c>
      <c r="C107" s="133" t="s">
        <v>166</v>
      </c>
      <c r="D107" s="188" t="s">
        <v>542</v>
      </c>
      <c r="E107" s="161" t="s">
        <v>166</v>
      </c>
      <c r="F107" s="188" t="s">
        <v>102</v>
      </c>
      <c r="G107" s="131" t="s">
        <v>102</v>
      </c>
      <c r="H107" s="66" t="s">
        <v>103</v>
      </c>
      <c r="I107" s="133" t="s">
        <v>597</v>
      </c>
      <c r="J107" s="192" t="s">
        <v>220</v>
      </c>
      <c r="K107" s="168" t="s">
        <v>209</v>
      </c>
      <c r="L107" s="194" t="s">
        <v>191</v>
      </c>
      <c r="M107" s="134" t="s">
        <v>59</v>
      </c>
      <c r="N107" s="167" t="s">
        <v>43</v>
      </c>
      <c r="O107" s="167" t="s">
        <v>538</v>
      </c>
      <c r="P107" s="167" t="s">
        <v>534</v>
      </c>
      <c r="Q107" s="135" t="s">
        <v>59</v>
      </c>
      <c r="R107" s="136">
        <v>32029.816847683662</v>
      </c>
      <c r="S107" s="73">
        <v>22000</v>
      </c>
      <c r="T107" s="136">
        <v>32029.816847683662</v>
      </c>
      <c r="U107" s="136">
        <v>270215.18213318579</v>
      </c>
      <c r="V107" s="136">
        <v>1583609.7457997263</v>
      </c>
      <c r="W107" s="147" t="s">
        <v>11</v>
      </c>
      <c r="X107" s="185">
        <v>1.4500000000000001E-2</v>
      </c>
      <c r="Y107" s="137">
        <v>44376</v>
      </c>
      <c r="Z107" s="137">
        <v>46565</v>
      </c>
      <c r="AA107" s="137">
        <v>46565</v>
      </c>
      <c r="AB107" s="138">
        <v>2190</v>
      </c>
      <c r="AC107" s="139" t="s">
        <v>10</v>
      </c>
      <c r="AD107" s="138">
        <v>1914</v>
      </c>
      <c r="AE107" s="140">
        <v>5.2438356164383562</v>
      </c>
      <c r="AF107" s="184" t="s">
        <v>436</v>
      </c>
      <c r="AG107" s="186" t="s">
        <v>1</v>
      </c>
      <c r="AH107" s="186" t="s">
        <v>1</v>
      </c>
      <c r="AI107" s="187" t="s">
        <v>0</v>
      </c>
      <c r="AJ107" s="11" t="s">
        <v>0</v>
      </c>
      <c r="AK107" s="164" t="s">
        <v>271</v>
      </c>
      <c r="AL107" s="188" t="s">
        <v>585</v>
      </c>
      <c r="AO107" s="197" t="s">
        <v>166</v>
      </c>
      <c r="AP107" s="198" t="s">
        <v>102</v>
      </c>
      <c r="AS107" s="212">
        <v>0</v>
      </c>
      <c r="AT107" s="212">
        <v>3843.5780217220395</v>
      </c>
      <c r="AU107" s="212">
        <v>768.71560434440789</v>
      </c>
      <c r="AV107" s="212"/>
      <c r="AW107" s="212">
        <v>0</v>
      </c>
      <c r="AX107" s="212">
        <v>0</v>
      </c>
      <c r="BA107" s="212">
        <v>0</v>
      </c>
      <c r="BB107" s="212">
        <v>0</v>
      </c>
      <c r="BC107" s="226">
        <v>0</v>
      </c>
      <c r="BD107" s="226"/>
    </row>
    <row r="108" spans="1:56" ht="39.950000000000003" hidden="1" customHeight="1" x14ac:dyDescent="0.2">
      <c r="A108" s="131" t="s">
        <v>625</v>
      </c>
      <c r="B108" s="132" t="s">
        <v>67</v>
      </c>
      <c r="C108" s="133" t="s">
        <v>127</v>
      </c>
      <c r="D108" s="188" t="s">
        <v>542</v>
      </c>
      <c r="E108" s="161" t="s">
        <v>88</v>
      </c>
      <c r="F108" s="131" t="s">
        <v>233</v>
      </c>
      <c r="G108" s="131" t="s">
        <v>443</v>
      </c>
      <c r="H108" s="131" t="s">
        <v>234</v>
      </c>
      <c r="I108" s="133" t="s">
        <v>165</v>
      </c>
      <c r="J108" s="192" t="s">
        <v>220</v>
      </c>
      <c r="K108" s="168" t="s">
        <v>140</v>
      </c>
      <c r="L108" s="194" t="s">
        <v>191</v>
      </c>
      <c r="M108" s="134" t="s">
        <v>59</v>
      </c>
      <c r="N108" s="167" t="s">
        <v>43</v>
      </c>
      <c r="O108" s="167" t="s">
        <v>538</v>
      </c>
      <c r="P108" s="167" t="s">
        <v>534</v>
      </c>
      <c r="Q108" s="135" t="s">
        <v>59</v>
      </c>
      <c r="R108" s="136">
        <v>14559.007658038028</v>
      </c>
      <c r="S108" s="73">
        <v>10000</v>
      </c>
      <c r="T108" s="136">
        <v>14559.007658038028</v>
      </c>
      <c r="U108" s="136">
        <v>72795.038290190132</v>
      </c>
      <c r="V108" s="136">
        <v>1382170.5005386833</v>
      </c>
      <c r="W108" s="147" t="s">
        <v>11</v>
      </c>
      <c r="X108" s="185">
        <v>2.5000000000000001E-2</v>
      </c>
      <c r="Y108" s="137">
        <v>44341</v>
      </c>
      <c r="Z108" s="137">
        <v>46837</v>
      </c>
      <c r="AA108" s="137">
        <v>46853</v>
      </c>
      <c r="AB108" s="138">
        <v>2513</v>
      </c>
      <c r="AC108" s="139" t="s">
        <v>10</v>
      </c>
      <c r="AD108" s="138">
        <v>2202</v>
      </c>
      <c r="AE108" s="140">
        <v>6.0328767123287674</v>
      </c>
      <c r="AF108" s="184"/>
      <c r="AG108" s="186" t="s">
        <v>1</v>
      </c>
      <c r="AH108" s="186" t="s">
        <v>1</v>
      </c>
      <c r="AI108" s="187" t="s">
        <v>0</v>
      </c>
      <c r="AJ108" s="11" t="s">
        <v>0</v>
      </c>
      <c r="AK108" s="164" t="s">
        <v>271</v>
      </c>
      <c r="AL108" s="188" t="s">
        <v>626</v>
      </c>
      <c r="AO108" s="197" t="s">
        <v>88</v>
      </c>
      <c r="AP108" s="198" t="s">
        <v>233</v>
      </c>
      <c r="AS108" s="212">
        <v>0</v>
      </c>
      <c r="AT108" s="212">
        <v>1747.0809189645634</v>
      </c>
      <c r="AU108" s="212" t="b">
        <v>0</v>
      </c>
      <c r="AV108" s="212"/>
      <c r="AW108" s="212">
        <v>0</v>
      </c>
      <c r="AX108" s="212">
        <v>0</v>
      </c>
      <c r="BA108" s="212">
        <v>0</v>
      </c>
      <c r="BB108" s="212">
        <v>0</v>
      </c>
      <c r="BC108" s="226">
        <v>0</v>
      </c>
      <c r="BD108" s="226"/>
    </row>
    <row r="109" spans="1:56" ht="39.950000000000003" hidden="1" customHeight="1" x14ac:dyDescent="0.2">
      <c r="A109" s="131" t="s">
        <v>630</v>
      </c>
      <c r="B109" s="132" t="s">
        <v>23</v>
      </c>
      <c r="C109" s="133" t="s">
        <v>89</v>
      </c>
      <c r="D109" s="188" t="s">
        <v>542</v>
      </c>
      <c r="E109" s="161" t="s">
        <v>87</v>
      </c>
      <c r="F109" s="188" t="s">
        <v>92</v>
      </c>
      <c r="G109" s="131" t="s">
        <v>134</v>
      </c>
      <c r="H109" s="66" t="s">
        <v>134</v>
      </c>
      <c r="I109" s="133" t="s">
        <v>631</v>
      </c>
      <c r="J109" s="192" t="s">
        <v>256</v>
      </c>
      <c r="K109" s="168" t="s">
        <v>140</v>
      </c>
      <c r="L109" s="194" t="s">
        <v>191</v>
      </c>
      <c r="M109" s="134" t="s">
        <v>59</v>
      </c>
      <c r="N109" s="167" t="s">
        <v>43</v>
      </c>
      <c r="O109" s="167" t="s">
        <v>533</v>
      </c>
      <c r="P109" s="167" t="s">
        <v>534</v>
      </c>
      <c r="Q109" s="135" t="s">
        <v>9</v>
      </c>
      <c r="R109" s="136">
        <v>20168.3383978272</v>
      </c>
      <c r="S109" s="73">
        <v>15000</v>
      </c>
      <c r="T109" s="136">
        <v>20168.3383978272</v>
      </c>
      <c r="U109" s="136">
        <v>168069.48664855998</v>
      </c>
      <c r="V109" s="136">
        <v>731444.88665393821</v>
      </c>
      <c r="W109" s="147" t="s">
        <v>11</v>
      </c>
      <c r="X109" s="185">
        <v>1.9E-2</v>
      </c>
      <c r="Y109" s="137">
        <v>44385</v>
      </c>
      <c r="Z109" s="137">
        <v>46386</v>
      </c>
      <c r="AA109" s="137">
        <v>46386</v>
      </c>
      <c r="AB109" s="138">
        <v>2002</v>
      </c>
      <c r="AC109" s="139" t="s">
        <v>10</v>
      </c>
      <c r="AD109" s="138">
        <v>1735</v>
      </c>
      <c r="AE109" s="140">
        <v>4.7534246575342465</v>
      </c>
      <c r="AF109" s="184"/>
      <c r="AG109" s="186" t="s">
        <v>1</v>
      </c>
      <c r="AH109" s="186" t="s">
        <v>1</v>
      </c>
      <c r="AI109" s="187" t="s">
        <v>0</v>
      </c>
      <c r="AJ109" s="11" t="s">
        <v>0</v>
      </c>
      <c r="AK109" s="164" t="s">
        <v>271</v>
      </c>
      <c r="AL109" s="188" t="s">
        <v>628</v>
      </c>
      <c r="AO109" s="197" t="s">
        <v>87</v>
      </c>
      <c r="AP109" s="198" t="s">
        <v>92</v>
      </c>
      <c r="AS109" s="212">
        <v>0</v>
      </c>
      <c r="AT109" s="212">
        <v>2420.2006077392639</v>
      </c>
      <c r="AU109" s="212" t="b">
        <v>0</v>
      </c>
      <c r="AV109" s="212"/>
      <c r="AW109" s="212">
        <v>0</v>
      </c>
      <c r="AX109" s="212">
        <v>0</v>
      </c>
      <c r="BA109" s="212">
        <v>0</v>
      </c>
      <c r="BB109" s="212">
        <v>0</v>
      </c>
      <c r="BC109" s="226">
        <v>0</v>
      </c>
      <c r="BD109" s="226"/>
    </row>
    <row r="110" spans="1:56" ht="39.950000000000003" hidden="1" customHeight="1" x14ac:dyDescent="0.2">
      <c r="A110" s="131" t="s">
        <v>636</v>
      </c>
      <c r="B110" s="132" t="s">
        <v>243</v>
      </c>
      <c r="C110" s="133" t="s">
        <v>37</v>
      </c>
      <c r="D110" s="188" t="s">
        <v>541</v>
      </c>
      <c r="E110" s="161" t="s">
        <v>152</v>
      </c>
      <c r="F110" s="188" t="s">
        <v>439</v>
      </c>
      <c r="G110" s="131" t="s">
        <v>445</v>
      </c>
      <c r="H110" s="66" t="s">
        <v>463</v>
      </c>
      <c r="I110" s="133" t="s">
        <v>526</v>
      </c>
      <c r="J110" s="192" t="s">
        <v>221</v>
      </c>
      <c r="K110" s="168" t="s">
        <v>140</v>
      </c>
      <c r="L110" s="194" t="s">
        <v>191</v>
      </c>
      <c r="M110" s="134" t="s">
        <v>323</v>
      </c>
      <c r="N110" s="167" t="s">
        <v>43</v>
      </c>
      <c r="O110" s="167" t="s">
        <v>538</v>
      </c>
      <c r="P110" s="167" t="s">
        <v>534</v>
      </c>
      <c r="Q110" s="135" t="s">
        <v>488</v>
      </c>
      <c r="R110" s="136">
        <v>10525.754415871153</v>
      </c>
      <c r="S110" s="136">
        <v>986842.10525999998</v>
      </c>
      <c r="T110" s="136">
        <v>10525.754415871153</v>
      </c>
      <c r="U110" s="136">
        <v>2359021.1935363449</v>
      </c>
      <c r="V110" s="136">
        <v>224309.49261372729</v>
      </c>
      <c r="W110" s="147" t="s">
        <v>11</v>
      </c>
      <c r="X110" s="185">
        <v>2.2499999999999999E-2</v>
      </c>
      <c r="Y110" s="137">
        <v>44418</v>
      </c>
      <c r="Z110" s="137">
        <v>45290</v>
      </c>
      <c r="AA110" s="137">
        <v>45290</v>
      </c>
      <c r="AB110" s="138">
        <v>873</v>
      </c>
      <c r="AC110" s="139" t="s">
        <v>10</v>
      </c>
      <c r="AD110" s="138">
        <v>639</v>
      </c>
      <c r="AE110" s="140">
        <v>1.7506849315068493</v>
      </c>
      <c r="AF110" s="184"/>
      <c r="AG110" s="186" t="s">
        <v>1</v>
      </c>
      <c r="AH110" s="186" t="s">
        <v>1</v>
      </c>
      <c r="AI110" s="187" t="s">
        <v>0</v>
      </c>
      <c r="AJ110" s="11" t="s">
        <v>0</v>
      </c>
      <c r="AK110" s="164" t="s">
        <v>271</v>
      </c>
      <c r="AL110" s="188" t="s">
        <v>632</v>
      </c>
      <c r="AO110" s="197" t="s">
        <v>152</v>
      </c>
      <c r="AP110" s="198" t="s">
        <v>439</v>
      </c>
      <c r="AS110" s="212">
        <v>0</v>
      </c>
      <c r="AT110" s="212">
        <v>1263.0905299045385</v>
      </c>
      <c r="AU110" s="212" t="b">
        <v>0</v>
      </c>
      <c r="AV110" s="212"/>
      <c r="AW110" s="212">
        <v>0</v>
      </c>
      <c r="AX110" s="212">
        <v>0</v>
      </c>
      <c r="BA110" s="212">
        <v>0</v>
      </c>
      <c r="BB110" s="212">
        <v>0</v>
      </c>
      <c r="BC110" s="226">
        <v>0</v>
      </c>
      <c r="BD110" s="226"/>
    </row>
    <row r="111" spans="1:56" ht="39.950000000000003" hidden="1" customHeight="1" x14ac:dyDescent="0.2">
      <c r="A111" s="131" t="s">
        <v>637</v>
      </c>
      <c r="B111" s="132" t="s">
        <v>67</v>
      </c>
      <c r="C111" s="133" t="s">
        <v>38</v>
      </c>
      <c r="D111" s="13" t="s">
        <v>540</v>
      </c>
      <c r="E111" s="161" t="s">
        <v>35</v>
      </c>
      <c r="F111" s="14" t="s">
        <v>546</v>
      </c>
      <c r="G111" s="188" t="s">
        <v>259</v>
      </c>
      <c r="H111" s="188" t="s">
        <v>258</v>
      </c>
      <c r="I111" s="133" t="s">
        <v>638</v>
      </c>
      <c r="J111" s="192" t="s">
        <v>687</v>
      </c>
      <c r="K111" s="168" t="s">
        <v>209</v>
      </c>
      <c r="L111" s="194" t="s">
        <v>191</v>
      </c>
      <c r="M111" s="134" t="s">
        <v>323</v>
      </c>
      <c r="N111" s="167" t="s">
        <v>43</v>
      </c>
      <c r="O111" s="167" t="s">
        <v>538</v>
      </c>
      <c r="P111" s="167" t="s">
        <v>534</v>
      </c>
      <c r="Q111" s="135" t="s">
        <v>9</v>
      </c>
      <c r="R111" s="136">
        <v>13445.5589318848</v>
      </c>
      <c r="S111" s="73">
        <v>10000</v>
      </c>
      <c r="T111" s="136">
        <v>13445.5589318848</v>
      </c>
      <c r="U111" s="136">
        <v>26891.117863769599</v>
      </c>
      <c r="V111" s="136">
        <v>760214.40288272791</v>
      </c>
      <c r="W111" s="147" t="s">
        <v>11</v>
      </c>
      <c r="X111" s="185">
        <v>0.04</v>
      </c>
      <c r="Y111" s="137">
        <v>44425</v>
      </c>
      <c r="Z111" s="137">
        <v>46233</v>
      </c>
      <c r="AA111" s="137">
        <v>46233</v>
      </c>
      <c r="AB111" s="138">
        <v>1809</v>
      </c>
      <c r="AC111" s="139" t="s">
        <v>10</v>
      </c>
      <c r="AD111" s="138">
        <v>1582</v>
      </c>
      <c r="AE111" s="140">
        <v>4.3342465753424655</v>
      </c>
      <c r="AF111" s="184"/>
      <c r="AG111" s="186" t="s">
        <v>1</v>
      </c>
      <c r="AH111" s="186" t="s">
        <v>1</v>
      </c>
      <c r="AI111" s="187" t="s">
        <v>0</v>
      </c>
      <c r="AJ111" s="11" t="s">
        <v>0</v>
      </c>
      <c r="AK111" s="164" t="s">
        <v>271</v>
      </c>
      <c r="AL111" s="188" t="s">
        <v>633</v>
      </c>
      <c r="AO111" s="197" t="s">
        <v>35</v>
      </c>
      <c r="AP111" s="198" t="s">
        <v>546</v>
      </c>
      <c r="AS111" s="212">
        <v>0</v>
      </c>
      <c r="AT111" s="212">
        <v>1613.4670718261759</v>
      </c>
      <c r="AU111" s="212" t="b">
        <v>0</v>
      </c>
      <c r="AV111" s="212"/>
      <c r="AW111" s="212">
        <v>0</v>
      </c>
      <c r="AX111" s="212">
        <v>0</v>
      </c>
      <c r="BA111" s="212">
        <v>0</v>
      </c>
      <c r="BB111" s="212">
        <v>0</v>
      </c>
      <c r="BC111" s="226">
        <v>0</v>
      </c>
      <c r="BD111" s="226"/>
    </row>
    <row r="112" spans="1:56" ht="39.950000000000003" hidden="1" customHeight="1" x14ac:dyDescent="0.2">
      <c r="A112" s="131" t="s">
        <v>639</v>
      </c>
      <c r="B112" s="132" t="s">
        <v>24</v>
      </c>
      <c r="C112" s="133" t="s">
        <v>38</v>
      </c>
      <c r="D112" s="13" t="s">
        <v>540</v>
      </c>
      <c r="E112" s="161" t="s">
        <v>35</v>
      </c>
      <c r="F112" s="14" t="s">
        <v>546</v>
      </c>
      <c r="G112" s="188" t="s">
        <v>259</v>
      </c>
      <c r="H112" s="188" t="s">
        <v>258</v>
      </c>
      <c r="I112" s="133" t="s">
        <v>638</v>
      </c>
      <c r="J112" s="192" t="s">
        <v>687</v>
      </c>
      <c r="K112" s="168" t="s">
        <v>139</v>
      </c>
      <c r="L112" s="194" t="s">
        <v>191</v>
      </c>
      <c r="M112" s="134" t="s">
        <v>323</v>
      </c>
      <c r="N112" s="167" t="s">
        <v>43</v>
      </c>
      <c r="O112" s="167" t="s">
        <v>538</v>
      </c>
      <c r="P112" s="167" t="s">
        <v>534</v>
      </c>
      <c r="Q112" s="135" t="s">
        <v>9</v>
      </c>
      <c r="R112" s="136">
        <v>26891.117863769599</v>
      </c>
      <c r="S112" s="73">
        <v>15000</v>
      </c>
      <c r="T112" s="136">
        <v>20168.3383978272</v>
      </c>
      <c r="U112" s="136">
        <v>53782.235727539199</v>
      </c>
      <c r="V112" s="136">
        <v>1881296.1518810336</v>
      </c>
      <c r="W112" s="147" t="s">
        <v>11</v>
      </c>
      <c r="X112" s="185">
        <v>3.3300000000000003E-2</v>
      </c>
      <c r="Y112" s="137">
        <v>44425</v>
      </c>
      <c r="Z112" s="137">
        <v>46240</v>
      </c>
      <c r="AA112" s="137">
        <v>46270</v>
      </c>
      <c r="AB112" s="138">
        <v>1846</v>
      </c>
      <c r="AC112" s="139" t="s">
        <v>10</v>
      </c>
      <c r="AD112" s="138">
        <v>1619</v>
      </c>
      <c r="AE112" s="140">
        <v>4.4356164383561643</v>
      </c>
      <c r="AF112" s="184" t="s">
        <v>436</v>
      </c>
      <c r="AG112" s="186" t="s">
        <v>1</v>
      </c>
      <c r="AH112" s="186" t="s">
        <v>1</v>
      </c>
      <c r="AI112" s="187" t="s">
        <v>0</v>
      </c>
      <c r="AJ112" s="11" t="s">
        <v>0</v>
      </c>
      <c r="AK112" s="164" t="s">
        <v>271</v>
      </c>
      <c r="AL112" s="188" t="s">
        <v>640</v>
      </c>
      <c r="AO112" s="197" t="s">
        <v>35</v>
      </c>
      <c r="AP112" s="198" t="s">
        <v>546</v>
      </c>
      <c r="AS112" s="212">
        <v>0</v>
      </c>
      <c r="AT112" s="212">
        <v>2420.2006077392639</v>
      </c>
      <c r="AU112" s="212">
        <v>484.04012154785278</v>
      </c>
      <c r="AV112" s="212"/>
      <c r="AW112" s="212">
        <v>0</v>
      </c>
      <c r="AX112" s="212">
        <v>0</v>
      </c>
      <c r="BA112" s="212">
        <v>0</v>
      </c>
      <c r="BB112" s="212">
        <v>0</v>
      </c>
      <c r="BC112" s="226">
        <v>0</v>
      </c>
      <c r="BD112" s="226"/>
    </row>
    <row r="113" spans="1:56" ht="39.950000000000003" hidden="1" customHeight="1" x14ac:dyDescent="0.2">
      <c r="A113" s="131" t="s">
        <v>641</v>
      </c>
      <c r="B113" s="132" t="s">
        <v>51</v>
      </c>
      <c r="C113" s="133" t="s">
        <v>38</v>
      </c>
      <c r="D113" s="13" t="s">
        <v>540</v>
      </c>
      <c r="E113" s="161" t="s">
        <v>35</v>
      </c>
      <c r="F113" s="188" t="s">
        <v>475</v>
      </c>
      <c r="G113" s="131" t="s">
        <v>138</v>
      </c>
      <c r="H113" s="66" t="s">
        <v>138</v>
      </c>
      <c r="I113" s="133" t="s">
        <v>638</v>
      </c>
      <c r="J113" s="192" t="s">
        <v>687</v>
      </c>
      <c r="K113" s="168" t="s">
        <v>209</v>
      </c>
      <c r="L113" s="194" t="s">
        <v>191</v>
      </c>
      <c r="M113" s="134" t="s">
        <v>323</v>
      </c>
      <c r="N113" s="167" t="s">
        <v>43</v>
      </c>
      <c r="O113" s="167" t="s">
        <v>538</v>
      </c>
      <c r="P113" s="167" t="s">
        <v>534</v>
      </c>
      <c r="Q113" s="135" t="s">
        <v>9</v>
      </c>
      <c r="R113" s="136">
        <v>10084.1691989136</v>
      </c>
      <c r="S113" s="73">
        <v>7500</v>
      </c>
      <c r="T113" s="136">
        <v>10084.1691989136</v>
      </c>
      <c r="U113" s="136">
        <v>20168.3383978272</v>
      </c>
      <c r="V113" s="136">
        <v>1457077.7422217443</v>
      </c>
      <c r="W113" s="147" t="s">
        <v>11</v>
      </c>
      <c r="X113" s="185">
        <v>6.7500000000000004E-2</v>
      </c>
      <c r="Y113" s="137">
        <v>44434</v>
      </c>
      <c r="Z113" s="137">
        <v>45791</v>
      </c>
      <c r="AA113" s="137">
        <v>45821</v>
      </c>
      <c r="AB113" s="138">
        <v>1388</v>
      </c>
      <c r="AC113" s="139" t="s">
        <v>10</v>
      </c>
      <c r="AD113" s="138">
        <v>1170</v>
      </c>
      <c r="AE113" s="140">
        <v>3.2054794520547945</v>
      </c>
      <c r="AF113" s="184"/>
      <c r="AG113" s="186" t="s">
        <v>1</v>
      </c>
      <c r="AH113" s="186" t="s">
        <v>1</v>
      </c>
      <c r="AI113" s="187" t="s">
        <v>0</v>
      </c>
      <c r="AJ113" s="11" t="s">
        <v>0</v>
      </c>
      <c r="AK113" s="164" t="s">
        <v>271</v>
      </c>
      <c r="AL113" s="188" t="s">
        <v>634</v>
      </c>
      <c r="AO113" s="197" t="s">
        <v>35</v>
      </c>
      <c r="AP113" s="198" t="s">
        <v>475</v>
      </c>
      <c r="AS113" s="212">
        <v>0</v>
      </c>
      <c r="AT113" s="212">
        <v>1210.1003038696319</v>
      </c>
      <c r="AU113" s="212" t="b">
        <v>0</v>
      </c>
      <c r="AV113" s="212"/>
      <c r="AW113" s="212">
        <v>0</v>
      </c>
      <c r="AX113" s="212">
        <v>0</v>
      </c>
      <c r="BA113" s="212">
        <v>0</v>
      </c>
      <c r="BB113" s="212">
        <v>0</v>
      </c>
      <c r="BC113" s="226">
        <v>0</v>
      </c>
      <c r="BD113" s="226"/>
    </row>
    <row r="114" spans="1:56" ht="39.950000000000003" hidden="1" customHeight="1" x14ac:dyDescent="0.2">
      <c r="A114" s="131" t="s">
        <v>642</v>
      </c>
      <c r="B114" s="132" t="s">
        <v>67</v>
      </c>
      <c r="C114" s="133" t="s">
        <v>588</v>
      </c>
      <c r="D114" s="188" t="s">
        <v>499</v>
      </c>
      <c r="E114" s="161" t="s">
        <v>643</v>
      </c>
      <c r="F114" s="14" t="s">
        <v>546</v>
      </c>
      <c r="G114" s="66" t="s">
        <v>167</v>
      </c>
      <c r="H114" s="66" t="s">
        <v>167</v>
      </c>
      <c r="I114" s="133" t="s">
        <v>589</v>
      </c>
      <c r="J114" s="192" t="s">
        <v>218</v>
      </c>
      <c r="K114" s="168" t="s">
        <v>209</v>
      </c>
      <c r="L114" s="194" t="s">
        <v>191</v>
      </c>
      <c r="M114" s="134" t="s">
        <v>59</v>
      </c>
      <c r="N114" s="167" t="s">
        <v>43</v>
      </c>
      <c r="O114" s="167" t="s">
        <v>538</v>
      </c>
      <c r="P114" s="167" t="s">
        <v>534</v>
      </c>
      <c r="Q114" s="135" t="s">
        <v>644</v>
      </c>
      <c r="R114" s="136">
        <v>15962.031647388081</v>
      </c>
      <c r="S114" s="73">
        <v>15000</v>
      </c>
      <c r="T114" s="136">
        <v>15962.031647388081</v>
      </c>
      <c r="U114" s="136">
        <v>31924.063294776162</v>
      </c>
      <c r="V114" s="136">
        <v>2140110.7232928607</v>
      </c>
      <c r="W114" s="147" t="s">
        <v>11</v>
      </c>
      <c r="X114" s="185">
        <v>5.7500000000000002E-2</v>
      </c>
      <c r="Y114" s="137">
        <v>44433</v>
      </c>
      <c r="Z114" s="137">
        <v>46142</v>
      </c>
      <c r="AA114" s="137">
        <v>46163</v>
      </c>
      <c r="AB114" s="138">
        <v>1731</v>
      </c>
      <c r="AC114" s="139" t="s">
        <v>10</v>
      </c>
      <c r="AD114" s="138">
        <v>1512</v>
      </c>
      <c r="AE114" s="140">
        <v>4.1424657534246574</v>
      </c>
      <c r="AF114" s="184"/>
      <c r="AG114" s="186" t="s">
        <v>1</v>
      </c>
      <c r="AH114" s="186" t="s">
        <v>1</v>
      </c>
      <c r="AI114" s="187" t="s">
        <v>0</v>
      </c>
      <c r="AJ114" s="11" t="s">
        <v>0</v>
      </c>
      <c r="AK114" s="164" t="s">
        <v>271</v>
      </c>
      <c r="AL114" s="188" t="s">
        <v>635</v>
      </c>
      <c r="AO114" s="197" t="s">
        <v>643</v>
      </c>
      <c r="AP114" s="198" t="s">
        <v>546</v>
      </c>
      <c r="AS114" s="212">
        <v>0</v>
      </c>
      <c r="AT114" s="212">
        <v>1915.4437976865697</v>
      </c>
      <c r="AU114" s="212" t="b">
        <v>0</v>
      </c>
      <c r="AV114" s="212"/>
      <c r="AW114" s="212">
        <v>0</v>
      </c>
      <c r="AX114" s="212">
        <v>0</v>
      </c>
      <c r="BA114" s="212">
        <v>0</v>
      </c>
      <c r="BB114" s="212">
        <v>0</v>
      </c>
      <c r="BC114" s="226">
        <v>0</v>
      </c>
      <c r="BD114" s="226"/>
    </row>
    <row r="115" spans="1:56" ht="39.950000000000003" hidden="1" customHeight="1" x14ac:dyDescent="0.2">
      <c r="A115" s="131" t="s">
        <v>646</v>
      </c>
      <c r="B115" s="132" t="s">
        <v>67</v>
      </c>
      <c r="C115" s="133" t="s">
        <v>38</v>
      </c>
      <c r="D115" s="13" t="s">
        <v>540</v>
      </c>
      <c r="E115" s="161" t="s">
        <v>35</v>
      </c>
      <c r="F115" s="14" t="s">
        <v>546</v>
      </c>
      <c r="G115" s="188" t="s">
        <v>259</v>
      </c>
      <c r="H115" s="188" t="s">
        <v>258</v>
      </c>
      <c r="I115" s="133" t="s">
        <v>142</v>
      </c>
      <c r="J115" s="192" t="s">
        <v>218</v>
      </c>
      <c r="K115" s="168" t="s">
        <v>209</v>
      </c>
      <c r="L115" s="194" t="s">
        <v>191</v>
      </c>
      <c r="M115" s="134" t="s">
        <v>323</v>
      </c>
      <c r="N115" s="167" t="s">
        <v>43</v>
      </c>
      <c r="O115" s="167" t="s">
        <v>538</v>
      </c>
      <c r="P115" s="167" t="s">
        <v>534</v>
      </c>
      <c r="Q115" s="135" t="s">
        <v>9</v>
      </c>
      <c r="R115" s="136">
        <v>9277.4356630005113</v>
      </c>
      <c r="S115" s="73">
        <v>6900</v>
      </c>
      <c r="T115" s="136">
        <v>9277.4356630005113</v>
      </c>
      <c r="U115" s="136">
        <v>18554.871326001023</v>
      </c>
      <c r="V115" s="136">
        <v>908673.29980907321</v>
      </c>
      <c r="W115" s="147" t="s">
        <v>11</v>
      </c>
      <c r="X115" s="185">
        <v>0.04</v>
      </c>
      <c r="Y115" s="137">
        <v>44441</v>
      </c>
      <c r="Z115" s="137">
        <v>46217</v>
      </c>
      <c r="AA115" s="137">
        <v>46217</v>
      </c>
      <c r="AB115" s="138">
        <v>1777</v>
      </c>
      <c r="AC115" s="139" t="s">
        <v>10</v>
      </c>
      <c r="AD115" s="138">
        <v>1566</v>
      </c>
      <c r="AE115" s="140">
        <v>4.2904109589041095</v>
      </c>
      <c r="AF115" s="184"/>
      <c r="AG115" s="186" t="s">
        <v>1</v>
      </c>
      <c r="AH115" s="186" t="s">
        <v>1</v>
      </c>
      <c r="AI115" s="187" t="s">
        <v>0</v>
      </c>
      <c r="AJ115" s="11" t="s">
        <v>0</v>
      </c>
      <c r="AK115" s="164" t="s">
        <v>271</v>
      </c>
      <c r="AL115" s="188" t="s">
        <v>645</v>
      </c>
      <c r="AO115" s="197" t="s">
        <v>35</v>
      </c>
      <c r="AP115" s="198" t="s">
        <v>546</v>
      </c>
      <c r="AS115" s="212">
        <v>0</v>
      </c>
      <c r="AT115" s="212">
        <v>1113.2922795600614</v>
      </c>
      <c r="AU115" s="212" t="b">
        <v>0</v>
      </c>
      <c r="AV115" s="212"/>
      <c r="AW115" s="212">
        <v>0</v>
      </c>
      <c r="AX115" s="212">
        <v>0</v>
      </c>
      <c r="BA115" s="212">
        <v>0</v>
      </c>
      <c r="BB115" s="212">
        <v>0</v>
      </c>
      <c r="BC115" s="226">
        <v>0</v>
      </c>
      <c r="BD115" s="226"/>
    </row>
    <row r="116" spans="1:56" ht="39.950000000000003" hidden="1" customHeight="1" x14ac:dyDescent="0.2">
      <c r="A116" s="131" t="s">
        <v>647</v>
      </c>
      <c r="B116" s="132" t="s">
        <v>243</v>
      </c>
      <c r="C116" s="133" t="s">
        <v>38</v>
      </c>
      <c r="D116" s="13" t="s">
        <v>540</v>
      </c>
      <c r="E116" s="161" t="s">
        <v>36</v>
      </c>
      <c r="F116" s="188" t="s">
        <v>102</v>
      </c>
      <c r="G116" s="131" t="s">
        <v>102</v>
      </c>
      <c r="H116" s="66" t="s">
        <v>473</v>
      </c>
      <c r="I116" s="133" t="s">
        <v>142</v>
      </c>
      <c r="J116" s="192" t="s">
        <v>218</v>
      </c>
      <c r="K116" s="168" t="s">
        <v>101</v>
      </c>
      <c r="L116" s="194" t="s">
        <v>191</v>
      </c>
      <c r="M116" s="134" t="s">
        <v>323</v>
      </c>
      <c r="N116" s="167" t="s">
        <v>43</v>
      </c>
      <c r="O116" s="167" t="s">
        <v>538</v>
      </c>
      <c r="P116" s="167" t="s">
        <v>534</v>
      </c>
      <c r="Q116" s="135" t="s">
        <v>9</v>
      </c>
      <c r="R116" s="136">
        <v>20168.3383978272</v>
      </c>
      <c r="S116" s="73">
        <v>15000</v>
      </c>
      <c r="T116" s="136">
        <v>20168.3383978272</v>
      </c>
      <c r="U116" s="136">
        <v>138489.25699841345</v>
      </c>
      <c r="V116" s="136">
        <v>743007.1799284697</v>
      </c>
      <c r="W116" s="147" t="s">
        <v>11</v>
      </c>
      <c r="X116" s="185">
        <v>2.5000000000000001E-2</v>
      </c>
      <c r="Y116" s="137">
        <v>44441</v>
      </c>
      <c r="Z116" s="137">
        <v>45516</v>
      </c>
      <c r="AA116" s="137">
        <v>45516</v>
      </c>
      <c r="AB116" s="138">
        <v>1076</v>
      </c>
      <c r="AC116" s="139" t="s">
        <v>10</v>
      </c>
      <c r="AD116" s="138">
        <v>865</v>
      </c>
      <c r="AE116" s="140">
        <v>2.3698630136986303</v>
      </c>
      <c r="AF116" s="184"/>
      <c r="AG116" s="186" t="s">
        <v>1</v>
      </c>
      <c r="AH116" s="186" t="s">
        <v>1</v>
      </c>
      <c r="AI116" s="187" t="s">
        <v>0</v>
      </c>
      <c r="AJ116" s="11" t="s">
        <v>0</v>
      </c>
      <c r="AK116" s="164" t="s">
        <v>271</v>
      </c>
      <c r="AL116" s="188" t="s">
        <v>648</v>
      </c>
      <c r="AO116" s="197" t="s">
        <v>36</v>
      </c>
      <c r="AP116" s="198" t="s">
        <v>102</v>
      </c>
      <c r="AS116" s="212">
        <v>0</v>
      </c>
      <c r="AT116" s="212">
        <v>2420.2006077392639</v>
      </c>
      <c r="AU116" s="212" t="b">
        <v>0</v>
      </c>
      <c r="AV116" s="212"/>
      <c r="AW116" s="212">
        <v>0</v>
      </c>
      <c r="AX116" s="212">
        <v>0</v>
      </c>
      <c r="BA116" s="212">
        <v>0</v>
      </c>
      <c r="BB116" s="212">
        <v>0</v>
      </c>
      <c r="BC116" s="226">
        <v>0</v>
      </c>
      <c r="BD116" s="226"/>
    </row>
    <row r="117" spans="1:56" ht="39.950000000000003" hidden="1" customHeight="1" x14ac:dyDescent="0.2">
      <c r="A117" s="131" t="s">
        <v>652</v>
      </c>
      <c r="B117" s="132" t="s">
        <v>51</v>
      </c>
      <c r="C117" s="133" t="s">
        <v>38</v>
      </c>
      <c r="D117" s="188" t="s">
        <v>541</v>
      </c>
      <c r="E117" s="161" t="s">
        <v>37</v>
      </c>
      <c r="F117" s="188" t="s">
        <v>544</v>
      </c>
      <c r="G117" s="131" t="s">
        <v>117</v>
      </c>
      <c r="H117" s="66" t="s">
        <v>462</v>
      </c>
      <c r="I117" s="133" t="s">
        <v>142</v>
      </c>
      <c r="J117" s="192" t="s">
        <v>218</v>
      </c>
      <c r="K117" s="168" t="s">
        <v>29</v>
      </c>
      <c r="L117" s="194" t="s">
        <v>191</v>
      </c>
      <c r="M117" s="134" t="s">
        <v>323</v>
      </c>
      <c r="N117" s="167" t="s">
        <v>43</v>
      </c>
      <c r="O117" s="167" t="s">
        <v>538</v>
      </c>
      <c r="P117" s="167" t="s">
        <v>534</v>
      </c>
      <c r="Q117" s="135" t="s">
        <v>9</v>
      </c>
      <c r="R117" s="136">
        <v>10084.1691989136</v>
      </c>
      <c r="S117" s="73">
        <v>7500</v>
      </c>
      <c r="T117" s="136">
        <v>10084.1691989136</v>
      </c>
      <c r="U117" s="136">
        <v>20168.3383978272</v>
      </c>
      <c r="V117" s="136">
        <v>188349.88033452551</v>
      </c>
      <c r="W117" s="147" t="s">
        <v>11</v>
      </c>
      <c r="X117" s="185">
        <v>4.4999999999999998E-2</v>
      </c>
      <c r="Y117" s="137">
        <v>44470</v>
      </c>
      <c r="Z117" s="137">
        <v>44828</v>
      </c>
      <c r="AA117" s="137">
        <v>44828</v>
      </c>
      <c r="AB117" s="138">
        <v>359</v>
      </c>
      <c r="AC117" s="139" t="s">
        <v>10</v>
      </c>
      <c r="AD117" s="138">
        <v>177</v>
      </c>
      <c r="AE117" s="140">
        <v>0.48493150684931507</v>
      </c>
      <c r="AF117" s="184"/>
      <c r="AG117" s="186" t="s">
        <v>1</v>
      </c>
      <c r="AH117" s="186" t="s">
        <v>1</v>
      </c>
      <c r="AI117" s="187" t="s">
        <v>0</v>
      </c>
      <c r="AJ117" s="143" t="s">
        <v>0</v>
      </c>
      <c r="AK117" s="164" t="s">
        <v>271</v>
      </c>
      <c r="AL117" s="188" t="s">
        <v>649</v>
      </c>
      <c r="AO117" s="197" t="s">
        <v>37</v>
      </c>
      <c r="AP117" s="198" t="s">
        <v>544</v>
      </c>
      <c r="AS117" s="212">
        <v>0</v>
      </c>
      <c r="AT117" s="212">
        <v>1210.1003038696319</v>
      </c>
      <c r="AU117" s="212" t="b">
        <v>0</v>
      </c>
      <c r="AV117" s="212"/>
      <c r="AW117" s="212">
        <v>0</v>
      </c>
      <c r="AX117" s="212">
        <v>0</v>
      </c>
      <c r="BA117" s="212">
        <v>0</v>
      </c>
      <c r="BB117" s="212">
        <v>0</v>
      </c>
      <c r="BC117" s="226">
        <v>0</v>
      </c>
      <c r="BD117" s="226"/>
    </row>
    <row r="118" spans="1:56" ht="39.950000000000003" hidden="1" customHeight="1" x14ac:dyDescent="0.2">
      <c r="A118" s="131" t="s">
        <v>655</v>
      </c>
      <c r="B118" s="132" t="s">
        <v>23</v>
      </c>
      <c r="C118" s="133" t="s">
        <v>34</v>
      </c>
      <c r="D118" s="188" t="s">
        <v>34</v>
      </c>
      <c r="E118" s="161" t="s">
        <v>34</v>
      </c>
      <c r="F118" s="188" t="s">
        <v>475</v>
      </c>
      <c r="G118" s="131" t="s">
        <v>227</v>
      </c>
      <c r="H118" s="14" t="s">
        <v>228</v>
      </c>
      <c r="I118" s="133" t="s">
        <v>656</v>
      </c>
      <c r="J118" s="192" t="s">
        <v>656</v>
      </c>
      <c r="K118" s="168" t="s">
        <v>209</v>
      </c>
      <c r="L118" s="194" t="s">
        <v>191</v>
      </c>
      <c r="M118" s="134" t="s">
        <v>323</v>
      </c>
      <c r="N118" s="167" t="s">
        <v>43</v>
      </c>
      <c r="O118" s="167" t="s">
        <v>531</v>
      </c>
      <c r="P118" s="167" t="s">
        <v>534</v>
      </c>
      <c r="Q118" s="135" t="s">
        <v>8</v>
      </c>
      <c r="R118" s="136">
        <v>15000</v>
      </c>
      <c r="S118" s="73">
        <v>25000</v>
      </c>
      <c r="T118" s="136">
        <v>25000</v>
      </c>
      <c r="U118" s="136">
        <v>72688</v>
      </c>
      <c r="V118" s="136">
        <v>1465806.08</v>
      </c>
      <c r="W118" s="147" t="s">
        <v>11</v>
      </c>
      <c r="X118" s="185">
        <v>3.5000000000000003E-2</v>
      </c>
      <c r="Y118" s="137">
        <v>44466</v>
      </c>
      <c r="Z118" s="137">
        <v>45473</v>
      </c>
      <c r="AA118" s="137">
        <v>45473</v>
      </c>
      <c r="AB118" s="138">
        <v>1008</v>
      </c>
      <c r="AC118" s="139" t="s">
        <v>10</v>
      </c>
      <c r="AD118" s="138">
        <v>822</v>
      </c>
      <c r="AE118" s="140">
        <v>2.2520547945205478</v>
      </c>
      <c r="AF118" s="184" t="s">
        <v>436</v>
      </c>
      <c r="AG118" s="186" t="s">
        <v>1</v>
      </c>
      <c r="AH118" s="186" t="s">
        <v>1</v>
      </c>
      <c r="AI118" s="187" t="s">
        <v>0</v>
      </c>
      <c r="AJ118" s="143" t="s">
        <v>0</v>
      </c>
      <c r="AK118" s="164" t="s">
        <v>271</v>
      </c>
      <c r="AL118" s="188" t="s">
        <v>650</v>
      </c>
      <c r="AO118" s="197" t="s">
        <v>34</v>
      </c>
      <c r="AP118" s="198" t="s">
        <v>475</v>
      </c>
      <c r="AS118" s="212">
        <v>0</v>
      </c>
      <c r="AT118" s="212">
        <v>3000</v>
      </c>
      <c r="AU118" s="212">
        <v>600</v>
      </c>
      <c r="AV118" s="212"/>
      <c r="AW118" s="212">
        <v>0</v>
      </c>
      <c r="AX118" s="212">
        <v>0</v>
      </c>
      <c r="BA118" s="212">
        <v>0</v>
      </c>
      <c r="BB118" s="212">
        <v>0</v>
      </c>
      <c r="BC118" s="226">
        <v>0</v>
      </c>
      <c r="BD118" s="226"/>
    </row>
    <row r="119" spans="1:56" ht="39.950000000000003" hidden="1" customHeight="1" x14ac:dyDescent="0.2">
      <c r="A119" s="14" t="s">
        <v>76</v>
      </c>
      <c r="B119" s="65" t="s">
        <v>51</v>
      </c>
      <c r="C119" s="66" t="s">
        <v>34</v>
      </c>
      <c r="D119" s="13" t="s">
        <v>34</v>
      </c>
      <c r="E119" s="77" t="s">
        <v>34</v>
      </c>
      <c r="F119" s="14" t="s">
        <v>104</v>
      </c>
      <c r="G119" s="131" t="s">
        <v>111</v>
      </c>
      <c r="H119" s="66" t="s">
        <v>112</v>
      </c>
      <c r="I119" s="66" t="s">
        <v>232</v>
      </c>
      <c r="J119" s="77" t="s">
        <v>21</v>
      </c>
      <c r="K119" s="13" t="s">
        <v>29</v>
      </c>
      <c r="L119" s="65" t="s">
        <v>191</v>
      </c>
      <c r="M119" s="13" t="s">
        <v>323</v>
      </c>
      <c r="N119" s="13" t="s">
        <v>43</v>
      </c>
      <c r="O119" s="167" t="s">
        <v>533</v>
      </c>
      <c r="P119" s="167" t="s">
        <v>548</v>
      </c>
      <c r="Q119" s="135" t="s">
        <v>9</v>
      </c>
      <c r="R119" s="136">
        <v>26891.117863769599</v>
      </c>
      <c r="S119" s="73">
        <v>20000</v>
      </c>
      <c r="T119" s="136">
        <v>26891.117863769599</v>
      </c>
      <c r="U119" s="136">
        <v>99900.502863904054</v>
      </c>
      <c r="V119" s="136">
        <v>1099984.6586172588</v>
      </c>
      <c r="W119" s="147" t="s">
        <v>11</v>
      </c>
      <c r="X119" s="185">
        <v>1.9E-2</v>
      </c>
      <c r="Y119" s="137">
        <v>44470</v>
      </c>
      <c r="Z119" s="137">
        <v>46203</v>
      </c>
      <c r="AA119" s="137">
        <v>46203</v>
      </c>
      <c r="AB119" s="138">
        <v>1734</v>
      </c>
      <c r="AC119" s="139" t="s">
        <v>10</v>
      </c>
      <c r="AD119" s="138">
        <v>1552</v>
      </c>
      <c r="AE119" s="140">
        <v>4.2520547945205482</v>
      </c>
      <c r="AF119" s="184" t="s">
        <v>436</v>
      </c>
      <c r="AG119" s="186" t="s">
        <v>1</v>
      </c>
      <c r="AH119" s="186" t="s">
        <v>1</v>
      </c>
      <c r="AI119" s="187" t="s">
        <v>0</v>
      </c>
      <c r="AJ119" s="143" t="s">
        <v>0</v>
      </c>
      <c r="AK119" s="164" t="s">
        <v>271</v>
      </c>
      <c r="AL119" s="188" t="s">
        <v>651</v>
      </c>
      <c r="AO119" s="197" t="s">
        <v>34</v>
      </c>
      <c r="AP119" s="198" t="s">
        <v>104</v>
      </c>
      <c r="AS119" s="212">
        <v>0</v>
      </c>
      <c r="AT119" s="212">
        <v>3226.9341436523518</v>
      </c>
      <c r="AU119" s="212">
        <v>645.38682873047037</v>
      </c>
      <c r="AV119" s="212"/>
      <c r="AW119" s="212">
        <v>0</v>
      </c>
      <c r="AX119" s="212">
        <v>0</v>
      </c>
      <c r="BA119" s="212">
        <v>0</v>
      </c>
      <c r="BB119" s="212">
        <v>0</v>
      </c>
      <c r="BC119" s="226">
        <v>0</v>
      </c>
      <c r="BD119" s="226"/>
    </row>
    <row r="120" spans="1:56" ht="39.950000000000003" hidden="1" customHeight="1" x14ac:dyDescent="0.2">
      <c r="A120" s="131" t="s">
        <v>678</v>
      </c>
      <c r="B120" s="132" t="s">
        <v>67</v>
      </c>
      <c r="C120" s="133" t="s">
        <v>127</v>
      </c>
      <c r="D120" s="131" t="s">
        <v>542</v>
      </c>
      <c r="E120" s="161" t="s">
        <v>308</v>
      </c>
      <c r="F120" s="14" t="s">
        <v>546</v>
      </c>
      <c r="G120" s="66" t="s">
        <v>167</v>
      </c>
      <c r="H120" s="66" t="s">
        <v>167</v>
      </c>
      <c r="I120" s="133" t="s">
        <v>677</v>
      </c>
      <c r="J120" s="192" t="s">
        <v>218</v>
      </c>
      <c r="K120" s="168" t="s">
        <v>209</v>
      </c>
      <c r="L120" s="65" t="s">
        <v>191</v>
      </c>
      <c r="M120" s="134" t="s">
        <v>59</v>
      </c>
      <c r="N120" s="13" t="s">
        <v>43</v>
      </c>
      <c r="O120" s="167" t="s">
        <v>538</v>
      </c>
      <c r="P120" s="167" t="s">
        <v>534</v>
      </c>
      <c r="Q120" s="135" t="s">
        <v>487</v>
      </c>
      <c r="R120" s="136">
        <v>29912.375956560998</v>
      </c>
      <c r="S120" s="73">
        <v>198457.14311</v>
      </c>
      <c r="T120" s="136">
        <v>29912.375956560998</v>
      </c>
      <c r="U120" s="136">
        <v>59824.751914758024</v>
      </c>
      <c r="V120" s="136">
        <v>1957899.3291167733</v>
      </c>
      <c r="W120" s="147" t="s">
        <v>11</v>
      </c>
      <c r="X120" s="185">
        <v>0.03</v>
      </c>
      <c r="Y120" s="137">
        <v>44476</v>
      </c>
      <c r="Z120" s="137">
        <v>46251</v>
      </c>
      <c r="AA120" s="137">
        <v>46256</v>
      </c>
      <c r="AB120" s="138">
        <v>1781</v>
      </c>
      <c r="AC120" s="139" t="s">
        <v>10</v>
      </c>
      <c r="AD120" s="138">
        <v>1605</v>
      </c>
      <c r="AE120" s="140">
        <v>4.397260273972603</v>
      </c>
      <c r="AF120" s="184" t="s">
        <v>436</v>
      </c>
      <c r="AG120" s="186" t="s">
        <v>1</v>
      </c>
      <c r="AH120" s="186" t="s">
        <v>1</v>
      </c>
      <c r="AI120" s="187" t="s">
        <v>0</v>
      </c>
      <c r="AJ120" s="143" t="s">
        <v>0</v>
      </c>
      <c r="AK120" s="164" t="s">
        <v>271</v>
      </c>
      <c r="AL120" s="188" t="s">
        <v>673</v>
      </c>
      <c r="AO120" s="197" t="s">
        <v>308</v>
      </c>
      <c r="AP120" s="198" t="s">
        <v>546</v>
      </c>
      <c r="AS120" s="212">
        <v>0</v>
      </c>
      <c r="AT120" s="212">
        <v>3589.4851147873196</v>
      </c>
      <c r="AU120" s="212">
        <v>717.89702295746395</v>
      </c>
      <c r="AV120" s="212"/>
      <c r="AW120" s="212">
        <v>0</v>
      </c>
      <c r="AX120" s="212">
        <v>0</v>
      </c>
      <c r="BA120" s="212">
        <v>0</v>
      </c>
      <c r="BB120" s="212">
        <v>0</v>
      </c>
      <c r="BC120" s="226"/>
      <c r="BD120" s="226"/>
    </row>
    <row r="121" spans="1:56" ht="39.950000000000003" hidden="1" customHeight="1" x14ac:dyDescent="0.2">
      <c r="A121" s="131" t="s">
        <v>679</v>
      </c>
      <c r="B121" s="132" t="s">
        <v>243</v>
      </c>
      <c r="C121" s="133" t="s">
        <v>588</v>
      </c>
      <c r="D121" s="131" t="s">
        <v>542</v>
      </c>
      <c r="E121" s="161" t="s">
        <v>87</v>
      </c>
      <c r="F121" s="131" t="s">
        <v>48</v>
      </c>
      <c r="G121" s="131" t="s">
        <v>95</v>
      </c>
      <c r="H121" s="130" t="s">
        <v>447</v>
      </c>
      <c r="I121" s="133" t="s">
        <v>681</v>
      </c>
      <c r="J121" s="133" t="s">
        <v>680</v>
      </c>
      <c r="K121" s="168" t="s">
        <v>209</v>
      </c>
      <c r="L121" s="65" t="s">
        <v>191</v>
      </c>
      <c r="M121" s="134" t="s">
        <v>59</v>
      </c>
      <c r="N121" s="13" t="s">
        <v>43</v>
      </c>
      <c r="O121" s="167" t="s">
        <v>538</v>
      </c>
      <c r="P121" s="167" t="s">
        <v>534</v>
      </c>
      <c r="Q121" s="135" t="s">
        <v>9</v>
      </c>
      <c r="R121" s="136">
        <v>13445.5589318848</v>
      </c>
      <c r="S121" s="73">
        <v>10000</v>
      </c>
      <c r="T121" s="136">
        <v>13445.5589318848</v>
      </c>
      <c r="U121" s="136">
        <v>383198.42955871677</v>
      </c>
      <c r="V121" s="136">
        <v>621393.22881652194</v>
      </c>
      <c r="W121" s="147" t="s">
        <v>11</v>
      </c>
      <c r="X121" s="185">
        <v>3.2500000000000001E-2</v>
      </c>
      <c r="Y121" s="137">
        <v>44491</v>
      </c>
      <c r="Z121" s="137">
        <v>46714</v>
      </c>
      <c r="AA121" s="137">
        <v>46714</v>
      </c>
      <c r="AB121" s="138">
        <v>2224</v>
      </c>
      <c r="AC121" s="139" t="s">
        <v>10</v>
      </c>
      <c r="AD121" s="138">
        <v>2063</v>
      </c>
      <c r="AE121" s="140">
        <v>5.6520547945205477</v>
      </c>
      <c r="AF121" s="184"/>
      <c r="AG121" s="186" t="s">
        <v>1</v>
      </c>
      <c r="AH121" s="186" t="s">
        <v>1</v>
      </c>
      <c r="AI121" s="187" t="s">
        <v>682</v>
      </c>
      <c r="AJ121" s="143" t="s">
        <v>0</v>
      </c>
      <c r="AK121" s="164" t="s">
        <v>271</v>
      </c>
      <c r="AL121" s="188" t="s">
        <v>674</v>
      </c>
      <c r="AO121" s="197" t="s">
        <v>87</v>
      </c>
      <c r="AP121" s="198" t="s">
        <v>48</v>
      </c>
      <c r="AS121" s="212">
        <v>0</v>
      </c>
      <c r="AT121" s="212">
        <v>1613.4670718261759</v>
      </c>
      <c r="AU121" s="212" t="b">
        <v>0</v>
      </c>
      <c r="AV121" s="212"/>
      <c r="AW121" s="212">
        <v>0</v>
      </c>
      <c r="AX121" s="212">
        <v>0</v>
      </c>
      <c r="BA121" s="212">
        <v>0</v>
      </c>
      <c r="BB121" s="212">
        <v>0</v>
      </c>
      <c r="BC121" s="226"/>
      <c r="BD121" s="226"/>
    </row>
    <row r="122" spans="1:56" ht="39.950000000000003" hidden="1" customHeight="1" x14ac:dyDescent="0.2">
      <c r="A122" s="131" t="s">
        <v>683</v>
      </c>
      <c r="B122" s="132" t="s">
        <v>67</v>
      </c>
      <c r="C122" s="133" t="s">
        <v>684</v>
      </c>
      <c r="D122" s="131" t="s">
        <v>542</v>
      </c>
      <c r="E122" s="161" t="s">
        <v>685</v>
      </c>
      <c r="F122" s="14" t="s">
        <v>546</v>
      </c>
      <c r="G122" s="66" t="s">
        <v>167</v>
      </c>
      <c r="H122" s="66" t="s">
        <v>167</v>
      </c>
      <c r="I122" s="133" t="s">
        <v>165</v>
      </c>
      <c r="J122" s="133" t="s">
        <v>220</v>
      </c>
      <c r="K122" s="223" t="s">
        <v>140</v>
      </c>
      <c r="L122" s="65" t="s">
        <v>191</v>
      </c>
      <c r="M122" s="134" t="s">
        <v>59</v>
      </c>
      <c r="N122" s="13" t="s">
        <v>43</v>
      </c>
      <c r="O122" s="167" t="s">
        <v>531</v>
      </c>
      <c r="P122" s="167" t="s">
        <v>534</v>
      </c>
      <c r="Q122" s="135" t="s">
        <v>59</v>
      </c>
      <c r="R122" s="136">
        <v>7279.5038290190141</v>
      </c>
      <c r="S122" s="73">
        <v>5000</v>
      </c>
      <c r="T122" s="136">
        <v>7279.5038290190141</v>
      </c>
      <c r="U122" s="136">
        <v>34825.146318026964</v>
      </c>
      <c r="V122" s="136">
        <v>556256.00559065887</v>
      </c>
      <c r="W122" s="147" t="s">
        <v>11</v>
      </c>
      <c r="X122" s="185">
        <v>2.75E-2</v>
      </c>
      <c r="Y122" s="137">
        <v>44427</v>
      </c>
      <c r="Z122" s="137">
        <v>46982</v>
      </c>
      <c r="AA122" s="137">
        <v>46982</v>
      </c>
      <c r="AB122" s="138">
        <v>2556</v>
      </c>
      <c r="AC122" s="139" t="s">
        <v>10</v>
      </c>
      <c r="AD122" s="138">
        <v>2331</v>
      </c>
      <c r="AE122" s="140">
        <v>6.3863013698630136</v>
      </c>
      <c r="AF122" s="184"/>
      <c r="AG122" s="186" t="s">
        <v>1</v>
      </c>
      <c r="AH122" s="186" t="s">
        <v>1</v>
      </c>
      <c r="AI122" s="187" t="s">
        <v>0</v>
      </c>
      <c r="AJ122" s="143" t="s">
        <v>0</v>
      </c>
      <c r="AK122" s="164" t="s">
        <v>271</v>
      </c>
      <c r="AL122" s="188" t="s">
        <v>686</v>
      </c>
      <c r="AO122" s="197" t="s">
        <v>685</v>
      </c>
      <c r="AP122" s="198" t="s">
        <v>546</v>
      </c>
      <c r="AS122" s="212">
        <v>0</v>
      </c>
      <c r="AT122" s="212">
        <v>873.54045948228168</v>
      </c>
      <c r="AU122" s="212" t="b">
        <v>0</v>
      </c>
      <c r="AV122" s="212"/>
      <c r="AW122" s="212">
        <v>0</v>
      </c>
      <c r="AX122" s="212">
        <v>0</v>
      </c>
      <c r="BA122" s="212">
        <v>0</v>
      </c>
      <c r="BB122" s="212">
        <v>0</v>
      </c>
      <c r="BC122" s="226"/>
      <c r="BD122" s="226"/>
    </row>
    <row r="123" spans="1:56" ht="39.950000000000003" hidden="1" customHeight="1" x14ac:dyDescent="0.2">
      <c r="A123" s="131" t="s">
        <v>693</v>
      </c>
      <c r="B123" s="132" t="s">
        <v>24</v>
      </c>
      <c r="C123" s="133" t="s">
        <v>34</v>
      </c>
      <c r="D123" s="131" t="s">
        <v>34</v>
      </c>
      <c r="E123" s="161" t="s">
        <v>34</v>
      </c>
      <c r="F123" s="131" t="s">
        <v>475</v>
      </c>
      <c r="G123" s="131" t="s">
        <v>227</v>
      </c>
      <c r="H123" s="14" t="s">
        <v>228</v>
      </c>
      <c r="I123" s="133" t="s">
        <v>70</v>
      </c>
      <c r="J123" s="192" t="s">
        <v>218</v>
      </c>
      <c r="K123" s="168" t="s">
        <v>209</v>
      </c>
      <c r="L123" s="65" t="s">
        <v>191</v>
      </c>
      <c r="M123" s="134" t="s">
        <v>323</v>
      </c>
      <c r="N123" s="13" t="s">
        <v>43</v>
      </c>
      <c r="O123" s="167" t="s">
        <v>538</v>
      </c>
      <c r="P123" s="167" t="s">
        <v>534</v>
      </c>
      <c r="Q123" s="135" t="s">
        <v>8</v>
      </c>
      <c r="R123" s="136">
        <v>15000</v>
      </c>
      <c r="S123" s="73">
        <v>15000</v>
      </c>
      <c r="T123" s="136">
        <v>15000</v>
      </c>
      <c r="U123" s="136">
        <v>41500</v>
      </c>
      <c r="V123" s="136">
        <v>1397273.98</v>
      </c>
      <c r="W123" s="147" t="s">
        <v>11</v>
      </c>
      <c r="X123" s="185">
        <v>0.04</v>
      </c>
      <c r="Y123" s="137">
        <v>44515</v>
      </c>
      <c r="Z123" s="137">
        <v>46309</v>
      </c>
      <c r="AA123" s="137">
        <v>46320</v>
      </c>
      <c r="AB123" s="138">
        <v>1806</v>
      </c>
      <c r="AC123" s="139" t="s">
        <v>10</v>
      </c>
      <c r="AD123" s="138">
        <v>1669</v>
      </c>
      <c r="AE123" s="140">
        <v>4.5726027397260278</v>
      </c>
      <c r="AF123" s="184"/>
      <c r="AG123" s="186" t="s">
        <v>1</v>
      </c>
      <c r="AH123" s="186" t="s">
        <v>1</v>
      </c>
      <c r="AI123" s="187" t="s">
        <v>0</v>
      </c>
      <c r="AJ123" s="143" t="s">
        <v>0</v>
      </c>
      <c r="AK123" s="164" t="s">
        <v>271</v>
      </c>
      <c r="AL123" s="188" t="s">
        <v>689</v>
      </c>
      <c r="AO123" s="197" t="s">
        <v>34</v>
      </c>
      <c r="AP123" s="198" t="s">
        <v>475</v>
      </c>
      <c r="AS123" s="212">
        <v>0</v>
      </c>
      <c r="AT123" s="212">
        <v>1800</v>
      </c>
      <c r="AU123" s="212" t="b">
        <v>0</v>
      </c>
      <c r="AV123" s="212"/>
      <c r="AW123" s="212">
        <v>0</v>
      </c>
      <c r="AX123" s="212">
        <v>0</v>
      </c>
      <c r="BA123" s="212">
        <v>0</v>
      </c>
      <c r="BB123" s="212">
        <v>0</v>
      </c>
      <c r="BC123" s="226"/>
      <c r="BD123" s="226"/>
    </row>
    <row r="124" spans="1:56" ht="39.950000000000003" hidden="1" customHeight="1" x14ac:dyDescent="0.2">
      <c r="A124" s="131" t="s">
        <v>694</v>
      </c>
      <c r="B124" s="132" t="s">
        <v>51</v>
      </c>
      <c r="C124" s="133" t="s">
        <v>38</v>
      </c>
      <c r="D124" s="13" t="s">
        <v>541</v>
      </c>
      <c r="E124" s="161" t="s">
        <v>38</v>
      </c>
      <c r="F124" s="131" t="s">
        <v>546</v>
      </c>
      <c r="G124" s="66" t="s">
        <v>442</v>
      </c>
      <c r="H124" s="66" t="s">
        <v>442</v>
      </c>
      <c r="I124" s="14" t="s">
        <v>50</v>
      </c>
      <c r="J124" s="77" t="s">
        <v>21</v>
      </c>
      <c r="K124" s="168" t="s">
        <v>209</v>
      </c>
      <c r="L124" s="65" t="s">
        <v>191</v>
      </c>
      <c r="M124" s="134" t="s">
        <v>323</v>
      </c>
      <c r="N124" s="13" t="s">
        <v>43</v>
      </c>
      <c r="O124" s="167" t="s">
        <v>531</v>
      </c>
      <c r="P124" s="167" t="s">
        <v>534</v>
      </c>
      <c r="Q124" s="135" t="s">
        <v>9</v>
      </c>
      <c r="R124" s="136">
        <v>6386.6404926452797</v>
      </c>
      <c r="S124" s="73">
        <v>4750</v>
      </c>
      <c r="T124" s="136">
        <v>6386.6404926452797</v>
      </c>
      <c r="U124" s="136">
        <v>12773.280985290559</v>
      </c>
      <c r="V124" s="136">
        <v>530670.32834054914</v>
      </c>
      <c r="W124" s="147" t="s">
        <v>11</v>
      </c>
      <c r="X124" s="185">
        <v>3.2500000000000001E-2</v>
      </c>
      <c r="Y124" s="137">
        <v>44511</v>
      </c>
      <c r="Z124" s="137">
        <v>44511</v>
      </c>
      <c r="AA124" s="137">
        <v>46277</v>
      </c>
      <c r="AB124" s="138">
        <v>1767</v>
      </c>
      <c r="AC124" s="139" t="s">
        <v>10</v>
      </c>
      <c r="AD124" s="138">
        <v>1626</v>
      </c>
      <c r="AE124" s="140">
        <v>4.4547945205479449</v>
      </c>
      <c r="AF124" s="184"/>
      <c r="AG124" s="186" t="s">
        <v>1</v>
      </c>
      <c r="AH124" s="186" t="s">
        <v>1</v>
      </c>
      <c r="AI124" s="187" t="s">
        <v>0</v>
      </c>
      <c r="AJ124" s="143" t="s">
        <v>0</v>
      </c>
      <c r="AK124" s="164" t="s">
        <v>271</v>
      </c>
      <c r="AL124" s="188" t="s">
        <v>690</v>
      </c>
      <c r="AO124" s="197" t="s">
        <v>38</v>
      </c>
      <c r="AP124" s="198" t="s">
        <v>546</v>
      </c>
      <c r="AS124" s="212">
        <v>0</v>
      </c>
      <c r="AT124" s="212">
        <v>766.39685911743356</v>
      </c>
      <c r="AU124" s="212" t="b">
        <v>0</v>
      </c>
      <c r="AV124" s="212"/>
      <c r="AW124" s="212">
        <v>0</v>
      </c>
      <c r="AX124" s="212">
        <v>0</v>
      </c>
      <c r="BA124" s="212">
        <v>0</v>
      </c>
      <c r="BB124" s="212">
        <v>0</v>
      </c>
      <c r="BC124" s="226"/>
      <c r="BD124" s="226"/>
    </row>
    <row r="125" spans="1:56" ht="39.950000000000003" hidden="1" customHeight="1" x14ac:dyDescent="0.2">
      <c r="A125" s="131" t="s">
        <v>695</v>
      </c>
      <c r="B125" s="132" t="s">
        <v>23</v>
      </c>
      <c r="C125" s="133" t="s">
        <v>149</v>
      </c>
      <c r="D125" s="131" t="s">
        <v>542</v>
      </c>
      <c r="E125" s="161" t="s">
        <v>166</v>
      </c>
      <c r="F125" s="188" t="s">
        <v>102</v>
      </c>
      <c r="G125" s="131" t="s">
        <v>102</v>
      </c>
      <c r="H125" s="66" t="s">
        <v>103</v>
      </c>
      <c r="I125" s="133" t="s">
        <v>148</v>
      </c>
      <c r="J125" s="133" t="s">
        <v>148</v>
      </c>
      <c r="K125" s="13" t="s">
        <v>29</v>
      </c>
      <c r="L125" s="65" t="s">
        <v>191</v>
      </c>
      <c r="M125" s="134" t="s">
        <v>59</v>
      </c>
      <c r="N125" s="13" t="s">
        <v>43</v>
      </c>
      <c r="O125" s="167" t="s">
        <v>538</v>
      </c>
      <c r="P125" s="167" t="s">
        <v>534</v>
      </c>
      <c r="Q125" s="135" t="s">
        <v>59</v>
      </c>
      <c r="R125" s="136">
        <v>9099.3797862737665</v>
      </c>
      <c r="S125" s="73">
        <v>6250</v>
      </c>
      <c r="T125" s="136">
        <v>9099.3797862737665</v>
      </c>
      <c r="U125" s="136">
        <v>101913.0536062662</v>
      </c>
      <c r="V125" s="136">
        <v>656861.42736511084</v>
      </c>
      <c r="W125" s="147" t="s">
        <v>11</v>
      </c>
      <c r="X125" s="185">
        <v>1.6500000000000001E-2</v>
      </c>
      <c r="Y125" s="137">
        <v>44498</v>
      </c>
      <c r="Z125" s="137">
        <v>46920</v>
      </c>
      <c r="AA125" s="137">
        <v>46920</v>
      </c>
      <c r="AB125" s="138">
        <v>2423</v>
      </c>
      <c r="AC125" s="139" t="s">
        <v>10</v>
      </c>
      <c r="AD125" s="138">
        <v>2269</v>
      </c>
      <c r="AE125" s="140">
        <v>6.2164383561643834</v>
      </c>
      <c r="AF125" s="184"/>
      <c r="AG125" s="186" t="s">
        <v>1</v>
      </c>
      <c r="AH125" s="186" t="s">
        <v>188</v>
      </c>
      <c r="AI125" s="187" t="s">
        <v>0</v>
      </c>
      <c r="AJ125" s="143" t="s">
        <v>0</v>
      </c>
      <c r="AK125" s="164" t="s">
        <v>271</v>
      </c>
      <c r="AL125" s="188" t="s">
        <v>691</v>
      </c>
      <c r="AO125" s="197" t="s">
        <v>166</v>
      </c>
      <c r="AP125" s="198" t="s">
        <v>102</v>
      </c>
      <c r="AS125" s="212">
        <v>0</v>
      </c>
      <c r="AT125" s="212">
        <v>1091.925574352852</v>
      </c>
      <c r="AU125" s="212" t="b">
        <v>0</v>
      </c>
      <c r="AV125" s="212"/>
      <c r="AW125" s="212">
        <v>0</v>
      </c>
      <c r="AX125" s="212">
        <v>0</v>
      </c>
      <c r="BA125" s="212">
        <v>0</v>
      </c>
      <c r="BB125" s="212">
        <v>0</v>
      </c>
      <c r="BC125" s="226"/>
      <c r="BD125" s="226"/>
    </row>
    <row r="126" spans="1:56" ht="39.950000000000003" hidden="1" customHeight="1" x14ac:dyDescent="0.2">
      <c r="A126" s="131" t="s">
        <v>696</v>
      </c>
      <c r="B126" s="132" t="s">
        <v>24</v>
      </c>
      <c r="C126" s="133" t="s">
        <v>38</v>
      </c>
      <c r="D126" s="13" t="s">
        <v>540</v>
      </c>
      <c r="E126" s="161" t="s">
        <v>49</v>
      </c>
      <c r="F126" s="131" t="s">
        <v>48</v>
      </c>
      <c r="G126" s="131" t="s">
        <v>95</v>
      </c>
      <c r="H126" s="130" t="s">
        <v>447</v>
      </c>
      <c r="I126" s="133" t="s">
        <v>142</v>
      </c>
      <c r="J126" s="192" t="s">
        <v>218</v>
      </c>
      <c r="K126" s="13" t="s">
        <v>29</v>
      </c>
      <c r="L126" s="65" t="s">
        <v>191</v>
      </c>
      <c r="M126" s="134" t="s">
        <v>323</v>
      </c>
      <c r="N126" s="13" t="s">
        <v>43</v>
      </c>
      <c r="O126" s="167" t="s">
        <v>531</v>
      </c>
      <c r="P126" s="167" t="s">
        <v>534</v>
      </c>
      <c r="Q126" s="135" t="s">
        <v>9</v>
      </c>
      <c r="R126" s="136">
        <v>13445.5589318848</v>
      </c>
      <c r="S126" s="73">
        <v>9550</v>
      </c>
      <c r="T126" s="136">
        <v>12840.508779949983</v>
      </c>
      <c r="U126" s="136">
        <v>21128.735458628016</v>
      </c>
      <c r="V126" s="136">
        <v>803381.55807136907</v>
      </c>
      <c r="W126" s="147" t="s">
        <v>11</v>
      </c>
      <c r="X126" s="185">
        <v>0.06</v>
      </c>
      <c r="Y126" s="137">
        <v>44519</v>
      </c>
      <c r="Z126" s="137">
        <v>45882</v>
      </c>
      <c r="AA126" s="137">
        <v>45882</v>
      </c>
      <c r="AB126" s="138">
        <v>1364</v>
      </c>
      <c r="AC126" s="139" t="s">
        <v>10</v>
      </c>
      <c r="AD126" s="138">
        <v>1231</v>
      </c>
      <c r="AE126" s="140">
        <v>3.3726027397260272</v>
      </c>
      <c r="AF126" s="184"/>
      <c r="AG126" s="186" t="s">
        <v>1</v>
      </c>
      <c r="AH126" s="186" t="s">
        <v>1</v>
      </c>
      <c r="AI126" s="187" t="s">
        <v>697</v>
      </c>
      <c r="AJ126" s="143" t="s">
        <v>0</v>
      </c>
      <c r="AK126" s="164" t="s">
        <v>271</v>
      </c>
      <c r="AL126" s="188" t="s">
        <v>748</v>
      </c>
      <c r="AO126" s="197" t="s">
        <v>49</v>
      </c>
      <c r="AP126" s="198" t="s">
        <v>48</v>
      </c>
      <c r="AS126" s="212">
        <v>0</v>
      </c>
      <c r="AT126" s="212">
        <v>1540.8610535939979</v>
      </c>
      <c r="AU126" s="212" t="b">
        <v>0</v>
      </c>
      <c r="AV126" s="212"/>
      <c r="AW126" s="212">
        <v>0</v>
      </c>
      <c r="AX126" s="212">
        <v>0</v>
      </c>
      <c r="BA126" s="212">
        <v>0</v>
      </c>
      <c r="BB126" s="212">
        <v>0</v>
      </c>
      <c r="BC126" s="226"/>
      <c r="BD126" s="226"/>
    </row>
    <row r="127" spans="1:56" ht="39.950000000000003" hidden="1" customHeight="1" x14ac:dyDescent="0.2">
      <c r="A127" s="131" t="s">
        <v>698</v>
      </c>
      <c r="B127" s="132" t="s">
        <v>23</v>
      </c>
      <c r="C127" s="133" t="s">
        <v>37</v>
      </c>
      <c r="D127" s="13" t="s">
        <v>540</v>
      </c>
      <c r="E127" s="161" t="s">
        <v>36</v>
      </c>
      <c r="F127" s="131" t="s">
        <v>543</v>
      </c>
      <c r="G127" s="131" t="s">
        <v>133</v>
      </c>
      <c r="H127" s="131" t="s">
        <v>133</v>
      </c>
      <c r="I127" s="133" t="s">
        <v>236</v>
      </c>
      <c r="J127" s="192" t="s">
        <v>21</v>
      </c>
      <c r="K127" s="13" t="s">
        <v>29</v>
      </c>
      <c r="L127" s="65" t="s">
        <v>191</v>
      </c>
      <c r="M127" s="134" t="s">
        <v>323</v>
      </c>
      <c r="N127" s="13" t="s">
        <v>43</v>
      </c>
      <c r="O127" s="167" t="s">
        <v>538</v>
      </c>
      <c r="P127" s="167" t="s">
        <v>548</v>
      </c>
      <c r="Q127" s="135" t="s">
        <v>9</v>
      </c>
      <c r="R127" s="136">
        <v>20168.3383978272</v>
      </c>
      <c r="S127" s="73">
        <v>15000</v>
      </c>
      <c r="T127" s="136">
        <v>20168.3383978272</v>
      </c>
      <c r="U127" s="136">
        <v>60505.015193481595</v>
      </c>
      <c r="V127" s="136">
        <v>693911.85091564257</v>
      </c>
      <c r="W127" s="147" t="s">
        <v>11</v>
      </c>
      <c r="X127" s="185">
        <v>1.4E-2</v>
      </c>
      <c r="Y127" s="137">
        <v>44524</v>
      </c>
      <c r="Z127" s="137">
        <v>46493</v>
      </c>
      <c r="AA127" s="137">
        <v>46493</v>
      </c>
      <c r="AB127" s="138">
        <v>1970</v>
      </c>
      <c r="AC127" s="139" t="s">
        <v>10</v>
      </c>
      <c r="AD127" s="138">
        <v>1842</v>
      </c>
      <c r="AE127" s="140">
        <v>5.0465753424657533</v>
      </c>
      <c r="AF127" s="184"/>
      <c r="AG127" s="186" t="s">
        <v>1</v>
      </c>
      <c r="AH127" s="186" t="s">
        <v>1</v>
      </c>
      <c r="AI127" s="187" t="s">
        <v>0</v>
      </c>
      <c r="AJ127" s="143" t="s">
        <v>0</v>
      </c>
      <c r="AK127" s="164" t="s">
        <v>271</v>
      </c>
      <c r="AL127" s="188" t="s">
        <v>699</v>
      </c>
      <c r="AO127" s="197" t="s">
        <v>36</v>
      </c>
      <c r="AP127" s="198" t="s">
        <v>543</v>
      </c>
      <c r="AS127" s="212">
        <v>0</v>
      </c>
      <c r="AT127" s="212">
        <v>2420.2006077392639</v>
      </c>
      <c r="AU127" s="212" t="b">
        <v>0</v>
      </c>
      <c r="AV127" s="212"/>
      <c r="AW127" s="212">
        <v>0</v>
      </c>
      <c r="AX127" s="212">
        <v>0</v>
      </c>
      <c r="BA127" s="212">
        <v>0</v>
      </c>
      <c r="BB127" s="212">
        <v>0</v>
      </c>
      <c r="BC127" s="226"/>
      <c r="BD127" s="226"/>
    </row>
    <row r="128" spans="1:56" ht="39.950000000000003" hidden="1" customHeight="1" x14ac:dyDescent="0.2">
      <c r="A128" s="131" t="s">
        <v>701</v>
      </c>
      <c r="B128" s="132" t="s">
        <v>24</v>
      </c>
      <c r="C128" s="133" t="s">
        <v>38</v>
      </c>
      <c r="D128" s="13" t="s">
        <v>540</v>
      </c>
      <c r="E128" s="161" t="s">
        <v>35</v>
      </c>
      <c r="F128" s="14" t="s">
        <v>546</v>
      </c>
      <c r="G128" s="188" t="s">
        <v>259</v>
      </c>
      <c r="H128" s="188" t="s">
        <v>258</v>
      </c>
      <c r="I128" s="133" t="s">
        <v>50</v>
      </c>
      <c r="J128" s="192" t="s">
        <v>21</v>
      </c>
      <c r="K128" s="168" t="s">
        <v>139</v>
      </c>
      <c r="L128" s="194" t="s">
        <v>191</v>
      </c>
      <c r="M128" s="134" t="s">
        <v>323</v>
      </c>
      <c r="N128" s="167" t="s">
        <v>43</v>
      </c>
      <c r="O128" s="167" t="s">
        <v>538</v>
      </c>
      <c r="P128" s="167" t="s">
        <v>534</v>
      </c>
      <c r="Q128" s="135" t="s">
        <v>9</v>
      </c>
      <c r="R128" s="136">
        <v>6722.7794659423998</v>
      </c>
      <c r="S128" s="73">
        <v>5000</v>
      </c>
      <c r="T128" s="136">
        <v>6722.7794659423998</v>
      </c>
      <c r="U128" s="136">
        <v>47059.456261596795</v>
      </c>
      <c r="V128" s="136">
        <v>567796.64936671418</v>
      </c>
      <c r="W128" s="147" t="s">
        <v>11</v>
      </c>
      <c r="X128" s="185">
        <v>3.3300000000000003E-2</v>
      </c>
      <c r="Y128" s="137">
        <v>44526</v>
      </c>
      <c r="Z128" s="137">
        <v>46271</v>
      </c>
      <c r="AA128" s="137">
        <v>46271</v>
      </c>
      <c r="AB128" s="138">
        <v>1746</v>
      </c>
      <c r="AC128" s="139" t="s">
        <v>10</v>
      </c>
      <c r="AD128" s="138">
        <v>1620</v>
      </c>
      <c r="AE128" s="140">
        <v>4.4383561643835616</v>
      </c>
      <c r="AF128" s="184"/>
      <c r="AG128" s="186" t="s">
        <v>1</v>
      </c>
      <c r="AH128" s="186" t="s">
        <v>1</v>
      </c>
      <c r="AI128" s="187" t="s">
        <v>0</v>
      </c>
      <c r="AJ128" s="11" t="s">
        <v>0</v>
      </c>
      <c r="AK128" s="164" t="s">
        <v>271</v>
      </c>
      <c r="AL128" s="188" t="s">
        <v>700</v>
      </c>
      <c r="AO128" s="197" t="s">
        <v>35</v>
      </c>
      <c r="AP128" s="198" t="s">
        <v>546</v>
      </c>
      <c r="AS128" s="212">
        <v>0</v>
      </c>
      <c r="AT128" s="212">
        <v>806.73353591308796</v>
      </c>
      <c r="AU128" s="212" t="b">
        <v>0</v>
      </c>
      <c r="AV128" s="212"/>
      <c r="AW128" s="212">
        <v>0</v>
      </c>
      <c r="AX128" s="212">
        <v>0</v>
      </c>
      <c r="BA128" s="212">
        <v>0</v>
      </c>
      <c r="BB128" s="212">
        <v>0</v>
      </c>
      <c r="BC128" s="226"/>
      <c r="BD128" s="226"/>
    </row>
    <row r="129" spans="1:56" ht="39.950000000000003" hidden="1" customHeight="1" x14ac:dyDescent="0.2">
      <c r="A129" s="131" t="s">
        <v>702</v>
      </c>
      <c r="B129" s="132" t="s">
        <v>67</v>
      </c>
      <c r="C129" s="133" t="s">
        <v>38</v>
      </c>
      <c r="D129" s="131" t="s">
        <v>34</v>
      </c>
      <c r="E129" s="161" t="s">
        <v>34</v>
      </c>
      <c r="F129" s="14" t="s">
        <v>546</v>
      </c>
      <c r="G129" s="66" t="s">
        <v>167</v>
      </c>
      <c r="H129" s="130" t="s">
        <v>167</v>
      </c>
      <c r="I129" s="133" t="s">
        <v>706</v>
      </c>
      <c r="J129" s="192" t="s">
        <v>220</v>
      </c>
      <c r="K129" s="168" t="s">
        <v>209</v>
      </c>
      <c r="L129" s="194" t="s">
        <v>191</v>
      </c>
      <c r="M129" s="134" t="s">
        <v>323</v>
      </c>
      <c r="N129" s="167" t="s">
        <v>43</v>
      </c>
      <c r="O129" s="167" t="s">
        <v>538</v>
      </c>
      <c r="P129" s="167" t="s">
        <v>534</v>
      </c>
      <c r="Q129" s="135" t="s">
        <v>8</v>
      </c>
      <c r="R129" s="136">
        <v>20000</v>
      </c>
      <c r="S129" s="73">
        <v>20000</v>
      </c>
      <c r="T129" s="136">
        <v>20000</v>
      </c>
      <c r="U129" s="136">
        <v>155000</v>
      </c>
      <c r="V129" s="136">
        <v>1137586.8400000001</v>
      </c>
      <c r="W129" s="147" t="s">
        <v>11</v>
      </c>
      <c r="X129" s="185">
        <v>1.9E-2</v>
      </c>
      <c r="Y129" s="137">
        <v>44533</v>
      </c>
      <c r="Z129" s="137">
        <v>46359</v>
      </c>
      <c r="AA129" s="137">
        <v>46359</v>
      </c>
      <c r="AB129" s="138">
        <v>1827</v>
      </c>
      <c r="AC129" s="139" t="s">
        <v>10</v>
      </c>
      <c r="AD129" s="138">
        <v>1708</v>
      </c>
      <c r="AE129" s="140">
        <v>4.6794520547945204</v>
      </c>
      <c r="AF129" s="184"/>
      <c r="AG129" s="186" t="s">
        <v>1</v>
      </c>
      <c r="AH129" s="186" t="s">
        <v>1</v>
      </c>
      <c r="AI129" s="187" t="s">
        <v>0</v>
      </c>
      <c r="AJ129" s="143" t="s">
        <v>0</v>
      </c>
      <c r="AK129" s="164" t="s">
        <v>271</v>
      </c>
      <c r="AL129" s="188" t="s">
        <v>703</v>
      </c>
      <c r="AO129" s="197" t="s">
        <v>34</v>
      </c>
      <c r="AP129" s="198" t="s">
        <v>546</v>
      </c>
      <c r="AS129" s="212">
        <v>0</v>
      </c>
      <c r="AT129" s="212">
        <v>2400</v>
      </c>
      <c r="AU129" s="212" t="b">
        <v>0</v>
      </c>
      <c r="AV129" s="212"/>
      <c r="AW129" s="212">
        <v>0</v>
      </c>
      <c r="AX129" s="212">
        <v>0</v>
      </c>
      <c r="BA129" s="212">
        <v>0</v>
      </c>
      <c r="BB129" s="212">
        <v>0</v>
      </c>
      <c r="BC129" s="226"/>
      <c r="BD129" s="226"/>
    </row>
    <row r="130" spans="1:56" ht="39.950000000000003" hidden="1" customHeight="1" x14ac:dyDescent="0.2">
      <c r="A130" s="131" t="s">
        <v>713</v>
      </c>
      <c r="B130" s="132" t="s">
        <v>24</v>
      </c>
      <c r="C130" s="133" t="s">
        <v>38</v>
      </c>
      <c r="D130" s="131" t="s">
        <v>34</v>
      </c>
      <c r="E130" s="161" t="s">
        <v>295</v>
      </c>
      <c r="F130" s="131" t="s">
        <v>544</v>
      </c>
      <c r="G130" s="131" t="s">
        <v>201</v>
      </c>
      <c r="H130" s="130" t="s">
        <v>200</v>
      </c>
      <c r="I130" s="133" t="s">
        <v>638</v>
      </c>
      <c r="J130" s="192" t="s">
        <v>687</v>
      </c>
      <c r="K130" s="168" t="s">
        <v>209</v>
      </c>
      <c r="L130" s="194" t="s">
        <v>191</v>
      </c>
      <c r="M130" s="134" t="s">
        <v>323</v>
      </c>
      <c r="N130" s="167" t="s">
        <v>43</v>
      </c>
      <c r="O130" s="167" t="s">
        <v>538</v>
      </c>
      <c r="P130" s="167" t="s">
        <v>534</v>
      </c>
      <c r="Q130" s="135" t="s">
        <v>297</v>
      </c>
      <c r="R130" s="136">
        <v>12083.1486</v>
      </c>
      <c r="S130" s="73">
        <v>12083.1486</v>
      </c>
      <c r="T130" s="136">
        <v>12083.1486</v>
      </c>
      <c r="U130" s="136">
        <v>24166.296999999999</v>
      </c>
      <c r="V130" s="136">
        <v>1652428.53</v>
      </c>
      <c r="W130" s="147" t="s">
        <v>11</v>
      </c>
      <c r="X130" s="185">
        <v>4.2500000000000003E-2</v>
      </c>
      <c r="Y130" s="137">
        <v>44540</v>
      </c>
      <c r="Z130" s="137">
        <v>46691</v>
      </c>
      <c r="AA130" s="137">
        <v>46691</v>
      </c>
      <c r="AB130" s="138">
        <v>2152</v>
      </c>
      <c r="AC130" s="139" t="s">
        <v>10</v>
      </c>
      <c r="AD130" s="138">
        <v>2040</v>
      </c>
      <c r="AE130" s="140">
        <v>5.5890410958904111</v>
      </c>
      <c r="AF130" s="184"/>
      <c r="AG130" s="186" t="s">
        <v>1</v>
      </c>
      <c r="AH130" s="186" t="s">
        <v>1</v>
      </c>
      <c r="AI130" s="187" t="s">
        <v>0</v>
      </c>
      <c r="AJ130" s="143" t="s">
        <v>0</v>
      </c>
      <c r="AK130" s="164" t="s">
        <v>563</v>
      </c>
      <c r="AL130" s="188" t="s">
        <v>707</v>
      </c>
      <c r="AO130" s="197" t="s">
        <v>295</v>
      </c>
      <c r="AP130" s="198" t="s">
        <v>544</v>
      </c>
      <c r="AS130" s="212">
        <v>0</v>
      </c>
      <c r="AT130" s="212">
        <v>1449.977832</v>
      </c>
      <c r="AU130" s="212" t="b">
        <v>0</v>
      </c>
      <c r="AV130" s="212"/>
      <c r="AW130" s="212">
        <v>0</v>
      </c>
      <c r="AX130" s="212">
        <v>0</v>
      </c>
      <c r="BA130" s="212">
        <v>0</v>
      </c>
      <c r="BB130" s="212">
        <v>0</v>
      </c>
      <c r="BC130" s="226"/>
      <c r="BD130" s="226"/>
    </row>
    <row r="131" spans="1:56" ht="39.950000000000003" hidden="1" customHeight="1" x14ac:dyDescent="0.2">
      <c r="A131" s="131" t="s">
        <v>718</v>
      </c>
      <c r="B131" s="132" t="s">
        <v>23</v>
      </c>
      <c r="C131" s="133" t="s">
        <v>88</v>
      </c>
      <c r="D131" s="131" t="s">
        <v>499</v>
      </c>
      <c r="E131" s="161" t="s">
        <v>162</v>
      </c>
      <c r="F131" s="131" t="s">
        <v>92</v>
      </c>
      <c r="G131" s="131" t="s">
        <v>134</v>
      </c>
      <c r="H131" s="130" t="s">
        <v>134</v>
      </c>
      <c r="I131" s="133" t="s">
        <v>61</v>
      </c>
      <c r="J131" s="192" t="s">
        <v>220</v>
      </c>
      <c r="K131" s="13" t="s">
        <v>68</v>
      </c>
      <c r="L131" s="194" t="s">
        <v>191</v>
      </c>
      <c r="M131" s="134" t="s">
        <v>59</v>
      </c>
      <c r="N131" s="167" t="s">
        <v>43</v>
      </c>
      <c r="O131" s="167" t="s">
        <v>533</v>
      </c>
      <c r="P131" s="167" t="s">
        <v>548</v>
      </c>
      <c r="Q131" s="135" t="s">
        <v>9</v>
      </c>
      <c r="R131" s="136">
        <v>10084.1691989136</v>
      </c>
      <c r="S131" s="73">
        <v>7200</v>
      </c>
      <c r="T131" s="136">
        <v>9680.8024309570555</v>
      </c>
      <c r="U131" s="136">
        <v>201683.383978272</v>
      </c>
      <c r="V131" s="136">
        <v>310150.0793287977</v>
      </c>
      <c r="W131" s="147" t="s">
        <v>11</v>
      </c>
      <c r="X131" s="185">
        <v>1.375E-2</v>
      </c>
      <c r="Y131" s="137">
        <v>44550</v>
      </c>
      <c r="Z131" s="137">
        <v>46200</v>
      </c>
      <c r="AA131" s="137">
        <v>46200</v>
      </c>
      <c r="AB131" s="138">
        <v>1651</v>
      </c>
      <c r="AC131" s="139" t="s">
        <v>10</v>
      </c>
      <c r="AD131" s="138">
        <v>1549</v>
      </c>
      <c r="AE131" s="140">
        <v>4.2438356164383562</v>
      </c>
      <c r="AF131" s="184"/>
      <c r="AG131" s="186" t="s">
        <v>1</v>
      </c>
      <c r="AH131" s="186" t="s">
        <v>1</v>
      </c>
      <c r="AI131" s="187" t="s">
        <v>719</v>
      </c>
      <c r="AJ131" s="143" t="s">
        <v>0</v>
      </c>
      <c r="AK131" s="164" t="s">
        <v>563</v>
      </c>
      <c r="AL131" s="188" t="s">
        <v>708</v>
      </c>
      <c r="AO131" s="197" t="s">
        <v>162</v>
      </c>
      <c r="AP131" s="198" t="s">
        <v>92</v>
      </c>
      <c r="AS131" s="212">
        <v>0</v>
      </c>
      <c r="AT131" s="212">
        <v>1161.6962917148467</v>
      </c>
      <c r="AU131" s="212" t="b">
        <v>0</v>
      </c>
      <c r="AV131" s="212"/>
      <c r="AW131" s="212">
        <v>0</v>
      </c>
      <c r="AX131" s="212">
        <v>0</v>
      </c>
      <c r="BA131" s="212">
        <v>0</v>
      </c>
      <c r="BB131" s="212">
        <v>0</v>
      </c>
      <c r="BC131" s="226"/>
      <c r="BD131" s="226"/>
    </row>
    <row r="132" spans="1:56" ht="39.950000000000003" hidden="1" customHeight="1" x14ac:dyDescent="0.2">
      <c r="A132" s="131" t="s">
        <v>720</v>
      </c>
      <c r="B132" s="132" t="s">
        <v>67</v>
      </c>
      <c r="C132" s="133" t="s">
        <v>127</v>
      </c>
      <c r="D132" s="131" t="s">
        <v>499</v>
      </c>
      <c r="E132" s="161" t="s">
        <v>162</v>
      </c>
      <c r="F132" s="131" t="s">
        <v>233</v>
      </c>
      <c r="G132" s="131" t="s">
        <v>443</v>
      </c>
      <c r="H132" s="131" t="s">
        <v>234</v>
      </c>
      <c r="I132" s="133" t="s">
        <v>218</v>
      </c>
      <c r="J132" s="192" t="s">
        <v>218</v>
      </c>
      <c r="K132" s="168" t="s">
        <v>209</v>
      </c>
      <c r="L132" s="194" t="s">
        <v>191</v>
      </c>
      <c r="M132" s="134" t="s">
        <v>59</v>
      </c>
      <c r="N132" s="167" t="s">
        <v>43</v>
      </c>
      <c r="O132" s="167" t="s">
        <v>538</v>
      </c>
      <c r="P132" s="167" t="s">
        <v>534</v>
      </c>
      <c r="Q132" s="135" t="s">
        <v>59</v>
      </c>
      <c r="R132" s="136">
        <v>29118.015316076056</v>
      </c>
      <c r="S132" s="73">
        <v>20000</v>
      </c>
      <c r="T132" s="136">
        <v>29118.015316076056</v>
      </c>
      <c r="U132" s="136">
        <v>52248.703470587803</v>
      </c>
      <c r="V132" s="136">
        <v>1335293.6260664472</v>
      </c>
      <c r="W132" s="147" t="s">
        <v>11</v>
      </c>
      <c r="X132" s="185">
        <v>0.03</v>
      </c>
      <c r="Y132" s="137">
        <v>44547</v>
      </c>
      <c r="Z132" s="137">
        <v>46280</v>
      </c>
      <c r="AA132" s="137">
        <v>46285</v>
      </c>
      <c r="AB132" s="138">
        <v>1739</v>
      </c>
      <c r="AC132" s="139" t="s">
        <v>10</v>
      </c>
      <c r="AD132" s="138">
        <v>1634</v>
      </c>
      <c r="AE132" s="140">
        <v>4.4767123287671229</v>
      </c>
      <c r="AF132" s="184"/>
      <c r="AG132" s="186" t="s">
        <v>1</v>
      </c>
      <c r="AH132" s="186" t="s">
        <v>1</v>
      </c>
      <c r="AI132" s="187" t="s">
        <v>0</v>
      </c>
      <c r="AJ132" s="143" t="s">
        <v>0</v>
      </c>
      <c r="AK132" s="164" t="s">
        <v>271</v>
      </c>
      <c r="AL132" s="188" t="s">
        <v>709</v>
      </c>
      <c r="AO132" s="197" t="s">
        <v>162</v>
      </c>
      <c r="AP132" s="198" t="s">
        <v>233</v>
      </c>
      <c r="AS132" s="212">
        <v>0</v>
      </c>
      <c r="AT132" s="212">
        <v>3494.1618379291267</v>
      </c>
      <c r="AU132" s="212" t="b">
        <v>0</v>
      </c>
      <c r="AV132" s="212"/>
      <c r="AW132" s="212">
        <v>0</v>
      </c>
      <c r="AX132" s="212">
        <v>0</v>
      </c>
      <c r="BA132" s="212">
        <v>0</v>
      </c>
      <c r="BB132" s="212">
        <v>0</v>
      </c>
      <c r="BC132" s="226"/>
      <c r="BD132" s="226"/>
    </row>
    <row r="133" spans="1:56" ht="39.950000000000003" hidden="1" customHeight="1" x14ac:dyDescent="0.2">
      <c r="A133" s="131" t="s">
        <v>721</v>
      </c>
      <c r="B133" s="132" t="s">
        <v>24</v>
      </c>
      <c r="C133" s="133" t="s">
        <v>38</v>
      </c>
      <c r="D133" s="13" t="s">
        <v>541</v>
      </c>
      <c r="E133" s="161" t="s">
        <v>37</v>
      </c>
      <c r="F133" s="131" t="s">
        <v>233</v>
      </c>
      <c r="G133" s="131" t="s">
        <v>443</v>
      </c>
      <c r="H133" s="131" t="s">
        <v>234</v>
      </c>
      <c r="I133" s="133" t="s">
        <v>142</v>
      </c>
      <c r="J133" s="192" t="s">
        <v>218</v>
      </c>
      <c r="K133" s="168" t="s">
        <v>209</v>
      </c>
      <c r="L133" s="194" t="s">
        <v>191</v>
      </c>
      <c r="M133" s="134" t="s">
        <v>323</v>
      </c>
      <c r="N133" s="167" t="s">
        <v>43</v>
      </c>
      <c r="O133" s="167" t="s">
        <v>538</v>
      </c>
      <c r="P133" s="167" t="s">
        <v>534</v>
      </c>
      <c r="Q133" s="135" t="s">
        <v>54</v>
      </c>
      <c r="R133" s="136">
        <v>20583.190394511148</v>
      </c>
      <c r="S133" s="73">
        <v>120000</v>
      </c>
      <c r="T133" s="136">
        <v>20583.190394511148</v>
      </c>
      <c r="U133" s="136">
        <v>29404.557632933105</v>
      </c>
      <c r="V133" s="136">
        <v>1102515.7272727273</v>
      </c>
      <c r="W133" s="147" t="s">
        <v>11</v>
      </c>
      <c r="X133" s="185">
        <v>2.1999999999999999E-2</v>
      </c>
      <c r="Y133" s="137">
        <v>44550</v>
      </c>
      <c r="Z133" s="137">
        <v>46316</v>
      </c>
      <c r="AA133" s="137">
        <v>46316</v>
      </c>
      <c r="AB133" s="138">
        <v>1767</v>
      </c>
      <c r="AC133" s="139" t="s">
        <v>10</v>
      </c>
      <c r="AD133" s="138">
        <v>1665</v>
      </c>
      <c r="AE133" s="140">
        <v>4.5616438356164384</v>
      </c>
      <c r="AF133" s="184"/>
      <c r="AG133" s="186" t="s">
        <v>1</v>
      </c>
      <c r="AH133" s="186" t="s">
        <v>1</v>
      </c>
      <c r="AI133" s="187" t="s">
        <v>0</v>
      </c>
      <c r="AJ133" s="143" t="s">
        <v>0</v>
      </c>
      <c r="AK133" s="164" t="s">
        <v>563</v>
      </c>
      <c r="AL133" s="188" t="s">
        <v>722</v>
      </c>
      <c r="AO133" s="197" t="s">
        <v>37</v>
      </c>
      <c r="AP133" s="198" t="s">
        <v>233</v>
      </c>
      <c r="AS133" s="212">
        <v>0</v>
      </c>
      <c r="AT133" s="212">
        <v>2469.9828473413377</v>
      </c>
      <c r="AU133" s="212" t="b">
        <v>0</v>
      </c>
      <c r="AV133" s="212"/>
      <c r="AW133" s="212">
        <v>0</v>
      </c>
      <c r="AX133" s="212">
        <v>0</v>
      </c>
      <c r="BA133" s="212">
        <v>0</v>
      </c>
      <c r="BB133" s="212">
        <v>0</v>
      </c>
      <c r="BC133" s="226"/>
      <c r="BD133" s="226"/>
    </row>
    <row r="134" spans="1:56" ht="39.950000000000003" hidden="1" customHeight="1" x14ac:dyDescent="0.2">
      <c r="A134" s="131" t="s">
        <v>723</v>
      </c>
      <c r="B134" s="132" t="s">
        <v>23</v>
      </c>
      <c r="C134" s="133" t="s">
        <v>127</v>
      </c>
      <c r="D134" s="131" t="s">
        <v>542</v>
      </c>
      <c r="E134" s="161" t="s">
        <v>91</v>
      </c>
      <c r="F134" s="131" t="s">
        <v>233</v>
      </c>
      <c r="G134" s="131" t="s">
        <v>443</v>
      </c>
      <c r="H134" s="131" t="s">
        <v>234</v>
      </c>
      <c r="I134" s="133" t="s">
        <v>165</v>
      </c>
      <c r="J134" s="192" t="s">
        <v>220</v>
      </c>
      <c r="K134" s="223" t="s">
        <v>140</v>
      </c>
      <c r="L134" s="194" t="s">
        <v>191</v>
      </c>
      <c r="M134" s="134" t="s">
        <v>59</v>
      </c>
      <c r="N134" s="167" t="s">
        <v>43</v>
      </c>
      <c r="O134" s="167" t="s">
        <v>538</v>
      </c>
      <c r="P134" s="167" t="s">
        <v>534</v>
      </c>
      <c r="Q134" s="135" t="s">
        <v>59</v>
      </c>
      <c r="R134" s="136">
        <v>10919.25574352852</v>
      </c>
      <c r="S134" s="73">
        <v>7500</v>
      </c>
      <c r="T134" s="136">
        <v>10919.25574352852</v>
      </c>
      <c r="U134" s="136">
        <v>125207.46585912704</v>
      </c>
      <c r="V134" s="136">
        <v>1260386.5057163229</v>
      </c>
      <c r="W134" s="147" t="s">
        <v>11</v>
      </c>
      <c r="X134" s="185">
        <v>2.75E-2</v>
      </c>
      <c r="Y134" s="137">
        <v>44545</v>
      </c>
      <c r="Z134" s="137">
        <v>46951</v>
      </c>
      <c r="AA134" s="137">
        <v>46951</v>
      </c>
      <c r="AB134" s="138">
        <v>2407</v>
      </c>
      <c r="AC134" s="139" t="s">
        <v>10</v>
      </c>
      <c r="AD134" s="138">
        <v>2300</v>
      </c>
      <c r="AE134" s="140">
        <v>6.3013698630136989</v>
      </c>
      <c r="AF134" s="184"/>
      <c r="AG134" s="186" t="s">
        <v>1</v>
      </c>
      <c r="AH134" s="186" t="s">
        <v>1</v>
      </c>
      <c r="AI134" s="187" t="s">
        <v>0</v>
      </c>
      <c r="AJ134" s="143" t="s">
        <v>0</v>
      </c>
      <c r="AK134" s="164" t="s">
        <v>563</v>
      </c>
      <c r="AL134" s="188" t="s">
        <v>710</v>
      </c>
      <c r="AO134" s="197" t="s">
        <v>91</v>
      </c>
      <c r="AP134" s="198" t="s">
        <v>233</v>
      </c>
      <c r="AS134" s="212">
        <v>0</v>
      </c>
      <c r="AT134" s="212">
        <v>1310.3106892234223</v>
      </c>
      <c r="AU134" s="212" t="b">
        <v>0</v>
      </c>
      <c r="AV134" s="212"/>
      <c r="AW134" s="212">
        <v>0</v>
      </c>
      <c r="AX134" s="212">
        <v>0</v>
      </c>
      <c r="BA134" s="212">
        <v>0</v>
      </c>
      <c r="BB134" s="212">
        <v>0</v>
      </c>
      <c r="BC134" s="226"/>
      <c r="BD134" s="226"/>
    </row>
    <row r="135" spans="1:56" ht="39.950000000000003" hidden="1" customHeight="1" x14ac:dyDescent="0.2">
      <c r="A135" s="14" t="s">
        <v>725</v>
      </c>
      <c r="B135" s="65" t="s">
        <v>23</v>
      </c>
      <c r="C135" s="66" t="s">
        <v>37</v>
      </c>
      <c r="D135" s="131" t="s">
        <v>542</v>
      </c>
      <c r="E135" s="77" t="s">
        <v>87</v>
      </c>
      <c r="F135" s="14" t="s">
        <v>102</v>
      </c>
      <c r="G135" s="66" t="s">
        <v>102</v>
      </c>
      <c r="H135" s="14" t="s">
        <v>474</v>
      </c>
      <c r="I135" s="14" t="s">
        <v>79</v>
      </c>
      <c r="J135" s="14" t="s">
        <v>222</v>
      </c>
      <c r="K135" s="168" t="s">
        <v>209</v>
      </c>
      <c r="L135" s="65" t="s">
        <v>191</v>
      </c>
      <c r="M135" s="13" t="s">
        <v>323</v>
      </c>
      <c r="N135" s="13" t="s">
        <v>43</v>
      </c>
      <c r="O135" s="13" t="s">
        <v>531</v>
      </c>
      <c r="P135" s="13" t="s">
        <v>548</v>
      </c>
      <c r="Q135" s="64" t="s">
        <v>9</v>
      </c>
      <c r="R135" s="62">
        <v>26891.117863769599</v>
      </c>
      <c r="S135" s="63">
        <v>20000</v>
      </c>
      <c r="T135" s="62">
        <v>26891.117863769599</v>
      </c>
      <c r="U135" s="62">
        <v>201683.383978272</v>
      </c>
      <c r="V135" s="62">
        <v>1570560.8008174899</v>
      </c>
      <c r="W135" s="61" t="s">
        <v>11</v>
      </c>
      <c r="X135" s="181">
        <v>2.0799999999999999E-2</v>
      </c>
      <c r="Y135" s="60">
        <v>44560</v>
      </c>
      <c r="Z135" s="60">
        <v>46350</v>
      </c>
      <c r="AA135" s="60">
        <v>46350</v>
      </c>
      <c r="AB135" s="58">
        <v>1791</v>
      </c>
      <c r="AC135" s="59" t="s">
        <v>10</v>
      </c>
      <c r="AD135" s="58">
        <v>1699</v>
      </c>
      <c r="AE135" s="57">
        <v>4.6547945205479451</v>
      </c>
      <c r="AF135" s="56" t="s">
        <v>436</v>
      </c>
      <c r="AG135" s="71" t="s">
        <v>1</v>
      </c>
      <c r="AH135" s="71" t="s">
        <v>1</v>
      </c>
      <c r="AI135" s="70" t="s">
        <v>0</v>
      </c>
      <c r="AJ135" s="11" t="s">
        <v>0</v>
      </c>
      <c r="AK135" s="164" t="s">
        <v>271</v>
      </c>
      <c r="AL135" s="14" t="s">
        <v>724</v>
      </c>
      <c r="AM135" s="11">
        <v>5000</v>
      </c>
      <c r="AN135" s="11">
        <v>75000</v>
      </c>
      <c r="AO135" s="197" t="s">
        <v>87</v>
      </c>
      <c r="AP135" s="198" t="s">
        <v>102</v>
      </c>
      <c r="AS135" s="212">
        <v>0</v>
      </c>
      <c r="AT135" s="212">
        <v>3226.9341436523518</v>
      </c>
      <c r="AU135" s="212">
        <v>645.38682873047037</v>
      </c>
      <c r="AV135" s="212"/>
      <c r="AW135" s="212">
        <v>0</v>
      </c>
      <c r="AX135" s="212">
        <v>0</v>
      </c>
      <c r="BA135" s="212">
        <v>0</v>
      </c>
      <c r="BB135" s="212">
        <v>0</v>
      </c>
      <c r="BC135" s="226">
        <v>0</v>
      </c>
      <c r="BD135" s="226"/>
    </row>
    <row r="136" spans="1:56" ht="39.950000000000003" hidden="1" customHeight="1" x14ac:dyDescent="0.2">
      <c r="A136" s="131" t="s">
        <v>726</v>
      </c>
      <c r="B136" s="132" t="s">
        <v>243</v>
      </c>
      <c r="C136" s="133" t="s">
        <v>38</v>
      </c>
      <c r="D136" s="13" t="s">
        <v>540</v>
      </c>
      <c r="E136" s="161" t="s">
        <v>35</v>
      </c>
      <c r="F136" s="131" t="s">
        <v>546</v>
      </c>
      <c r="G136" s="188" t="s">
        <v>259</v>
      </c>
      <c r="H136" s="188" t="s">
        <v>459</v>
      </c>
      <c r="I136" s="133" t="s">
        <v>142</v>
      </c>
      <c r="J136" s="192" t="s">
        <v>218</v>
      </c>
      <c r="K136" s="168" t="s">
        <v>209</v>
      </c>
      <c r="L136" s="194" t="s">
        <v>191</v>
      </c>
      <c r="M136" s="134" t="s">
        <v>323</v>
      </c>
      <c r="N136" s="167" t="s">
        <v>43</v>
      </c>
      <c r="O136" s="167" t="s">
        <v>538</v>
      </c>
      <c r="P136" s="167" t="s">
        <v>534</v>
      </c>
      <c r="Q136" s="135" t="s">
        <v>9</v>
      </c>
      <c r="R136" s="136">
        <v>13445.5589318848</v>
      </c>
      <c r="S136" s="73">
        <v>10000</v>
      </c>
      <c r="T136" s="136">
        <v>13445.5589318848</v>
      </c>
      <c r="U136" s="136">
        <v>22409.263990104071</v>
      </c>
      <c r="V136" s="136">
        <v>1301896.1196116924</v>
      </c>
      <c r="W136" s="147" t="s">
        <v>11</v>
      </c>
      <c r="X136" s="185">
        <v>0.04</v>
      </c>
      <c r="Y136" s="137">
        <v>44559</v>
      </c>
      <c r="Z136" s="137">
        <v>46385</v>
      </c>
      <c r="AA136" s="137">
        <v>46385</v>
      </c>
      <c r="AB136" s="138">
        <v>1827</v>
      </c>
      <c r="AC136" s="139" t="s">
        <v>10</v>
      </c>
      <c r="AD136" s="138">
        <v>1734</v>
      </c>
      <c r="AE136" s="140">
        <v>4.7506849315068491</v>
      </c>
      <c r="AF136" s="184"/>
      <c r="AG136" s="186" t="s">
        <v>1</v>
      </c>
      <c r="AH136" s="186" t="s">
        <v>1</v>
      </c>
      <c r="AI136" s="187" t="s">
        <v>727</v>
      </c>
      <c r="AJ136" s="143" t="s">
        <v>0</v>
      </c>
      <c r="AK136" s="164" t="s">
        <v>563</v>
      </c>
      <c r="AL136" s="188" t="s">
        <v>711</v>
      </c>
      <c r="AO136" s="197" t="s">
        <v>35</v>
      </c>
      <c r="AP136" s="198" t="s">
        <v>546</v>
      </c>
      <c r="AS136" s="212">
        <v>0</v>
      </c>
      <c r="AT136" s="212">
        <v>1613.4670718261759</v>
      </c>
      <c r="AU136" s="212" t="b">
        <v>0</v>
      </c>
      <c r="AV136" s="212"/>
      <c r="AW136" s="212">
        <v>0</v>
      </c>
      <c r="AX136" s="212">
        <v>0</v>
      </c>
      <c r="BA136" s="212">
        <v>0</v>
      </c>
      <c r="BB136" s="212">
        <v>0</v>
      </c>
      <c r="BC136" s="226"/>
      <c r="BD136" s="226"/>
    </row>
    <row r="137" spans="1:56" ht="39.950000000000003" customHeight="1" x14ac:dyDescent="0.2">
      <c r="A137" s="13" t="s">
        <v>729</v>
      </c>
      <c r="B137" s="65" t="s">
        <v>23</v>
      </c>
      <c r="C137" s="66" t="s">
        <v>37</v>
      </c>
      <c r="D137" s="13" t="s">
        <v>540</v>
      </c>
      <c r="E137" s="161" t="s">
        <v>36</v>
      </c>
      <c r="F137" s="66" t="s">
        <v>106</v>
      </c>
      <c r="G137" s="66" t="s">
        <v>106</v>
      </c>
      <c r="H137" s="66" t="s">
        <v>107</v>
      </c>
      <c r="I137" s="14" t="s">
        <v>72</v>
      </c>
      <c r="J137" s="66" t="s">
        <v>219</v>
      </c>
      <c r="K137" s="13" t="s">
        <v>29</v>
      </c>
      <c r="L137" s="65" t="s">
        <v>191</v>
      </c>
      <c r="M137" s="13" t="s">
        <v>323</v>
      </c>
      <c r="N137" s="13" t="s">
        <v>43</v>
      </c>
      <c r="O137" s="167" t="s">
        <v>538</v>
      </c>
      <c r="P137" s="13" t="s">
        <v>548</v>
      </c>
      <c r="Q137" s="64" t="s">
        <v>9</v>
      </c>
      <c r="R137" s="62">
        <v>20168.3383978272</v>
      </c>
      <c r="S137" s="63">
        <v>15000</v>
      </c>
      <c r="T137" s="150">
        <v>20168.3383978272</v>
      </c>
      <c r="U137" s="62">
        <v>161346.7071826176</v>
      </c>
      <c r="V137" s="150">
        <v>1006386.0757791701</v>
      </c>
      <c r="W137" s="61" t="s">
        <v>551</v>
      </c>
      <c r="X137" s="181">
        <v>2.5000000000000001E-2</v>
      </c>
      <c r="Y137" s="60">
        <v>44554</v>
      </c>
      <c r="Z137" s="60">
        <v>45799</v>
      </c>
      <c r="AA137" s="60">
        <v>45799</v>
      </c>
      <c r="AB137" s="58">
        <v>1246</v>
      </c>
      <c r="AC137" s="59" t="s">
        <v>10</v>
      </c>
      <c r="AD137" s="58">
        <v>1148</v>
      </c>
      <c r="AE137" s="57">
        <v>3.1452054794520548</v>
      </c>
      <c r="AF137" s="56"/>
      <c r="AG137" s="71" t="s">
        <v>1</v>
      </c>
      <c r="AH137" s="71" t="s">
        <v>1</v>
      </c>
      <c r="AI137" s="70" t="s">
        <v>730</v>
      </c>
      <c r="AJ137" s="11" t="s">
        <v>0</v>
      </c>
      <c r="AK137" s="164" t="s">
        <v>271</v>
      </c>
      <c r="AL137" s="13" t="s">
        <v>728</v>
      </c>
      <c r="AM137" s="11">
        <v>8921</v>
      </c>
      <c r="AO137" s="197" t="s">
        <v>36</v>
      </c>
      <c r="AP137" s="198" t="s">
        <v>106</v>
      </c>
      <c r="AQ137" s="11">
        <v>1</v>
      </c>
      <c r="AR137" s="214">
        <v>0.25</v>
      </c>
      <c r="AS137" s="212">
        <v>5042.0845994567999</v>
      </c>
      <c r="AT137" s="212">
        <v>2420.2006077392639</v>
      </c>
      <c r="AU137" s="212" t="b">
        <v>0</v>
      </c>
      <c r="AV137" s="212"/>
      <c r="AW137" s="212">
        <v>2420.2006077392639</v>
      </c>
      <c r="AX137" s="212">
        <v>1567.354445017206</v>
      </c>
      <c r="AY137" s="12" t="s">
        <v>774</v>
      </c>
      <c r="BA137" s="212">
        <v>2420.2006077392639</v>
      </c>
      <c r="BB137" s="212">
        <v>1567.354445017206</v>
      </c>
      <c r="BC137" s="226">
        <v>1044.9029633448042</v>
      </c>
      <c r="BD137" s="226">
        <v>0</v>
      </c>
    </row>
    <row r="138" spans="1:56" ht="39.950000000000003" hidden="1" customHeight="1" x14ac:dyDescent="0.2">
      <c r="A138" s="131" t="s">
        <v>732</v>
      </c>
      <c r="B138" s="132" t="s">
        <v>67</v>
      </c>
      <c r="C138" s="133" t="s">
        <v>89</v>
      </c>
      <c r="D138" s="131" t="s">
        <v>542</v>
      </c>
      <c r="E138" s="161" t="s">
        <v>211</v>
      </c>
      <c r="F138" s="131" t="s">
        <v>233</v>
      </c>
      <c r="G138" s="131" t="s">
        <v>443</v>
      </c>
      <c r="H138" s="131" t="s">
        <v>234</v>
      </c>
      <c r="I138" s="133" t="s">
        <v>60</v>
      </c>
      <c r="J138" s="192" t="s">
        <v>220</v>
      </c>
      <c r="K138" s="168" t="s">
        <v>209</v>
      </c>
      <c r="L138" s="194" t="s">
        <v>191</v>
      </c>
      <c r="M138" s="134" t="s">
        <v>59</v>
      </c>
      <c r="N138" s="167" t="s">
        <v>43</v>
      </c>
      <c r="O138" s="167" t="s">
        <v>538</v>
      </c>
      <c r="P138" s="167" t="s">
        <v>534</v>
      </c>
      <c r="Q138" s="135" t="s">
        <v>59</v>
      </c>
      <c r="R138" s="136">
        <v>14559.007658038028</v>
      </c>
      <c r="S138" s="73">
        <v>10000</v>
      </c>
      <c r="T138" s="136">
        <v>14559.007658038028</v>
      </c>
      <c r="U138" s="136">
        <v>58236.030632152113</v>
      </c>
      <c r="V138" s="136">
        <v>1672108.4937250675</v>
      </c>
      <c r="W138" s="147" t="s">
        <v>11</v>
      </c>
      <c r="X138" s="185">
        <v>3.2500000000000001E-2</v>
      </c>
      <c r="Y138" s="137">
        <v>44487</v>
      </c>
      <c r="Z138" s="137">
        <v>46929</v>
      </c>
      <c r="AA138" s="137">
        <v>46929</v>
      </c>
      <c r="AB138" s="138">
        <v>2443</v>
      </c>
      <c r="AC138" s="139" t="s">
        <v>10</v>
      </c>
      <c r="AD138" s="138">
        <v>2278</v>
      </c>
      <c r="AE138" s="140">
        <v>6.2410958904109588</v>
      </c>
      <c r="AF138" s="184"/>
      <c r="AG138" s="186" t="s">
        <v>1</v>
      </c>
      <c r="AH138" s="186" t="s">
        <v>1</v>
      </c>
      <c r="AI138" s="187" t="s">
        <v>0</v>
      </c>
      <c r="AJ138" s="143" t="s">
        <v>0</v>
      </c>
      <c r="AK138" s="164" t="s">
        <v>271</v>
      </c>
      <c r="AL138" s="188" t="s">
        <v>712</v>
      </c>
      <c r="AO138" s="197" t="s">
        <v>211</v>
      </c>
      <c r="AP138" s="198" t="s">
        <v>233</v>
      </c>
      <c r="AS138" s="212">
        <v>0</v>
      </c>
      <c r="AT138" s="212">
        <v>1747.0809189645634</v>
      </c>
      <c r="AU138" s="212" t="b">
        <v>0</v>
      </c>
      <c r="AV138" s="212"/>
      <c r="AW138" s="212">
        <v>0</v>
      </c>
      <c r="AX138" s="212">
        <v>0</v>
      </c>
      <c r="BA138" s="212">
        <v>0</v>
      </c>
      <c r="BB138" s="212">
        <v>0</v>
      </c>
      <c r="BC138" s="226"/>
    </row>
    <row r="139" spans="1:56" ht="39.950000000000003" hidden="1" customHeight="1" x14ac:dyDescent="0.2">
      <c r="A139" s="131" t="s">
        <v>744</v>
      </c>
      <c r="B139" s="132" t="s">
        <v>51</v>
      </c>
      <c r="C139" s="133" t="s">
        <v>119</v>
      </c>
      <c r="D139" s="131" t="s">
        <v>542</v>
      </c>
      <c r="E139" s="161" t="s">
        <v>119</v>
      </c>
      <c r="F139" s="131" t="s">
        <v>102</v>
      </c>
      <c r="G139" s="131" t="s">
        <v>102</v>
      </c>
      <c r="H139" s="131" t="s">
        <v>122</v>
      </c>
      <c r="I139" s="133" t="s">
        <v>745</v>
      </c>
      <c r="J139" s="192" t="s">
        <v>220</v>
      </c>
      <c r="K139" s="168" t="s">
        <v>140</v>
      </c>
      <c r="L139" s="194" t="s">
        <v>191</v>
      </c>
      <c r="M139" s="134" t="s">
        <v>59</v>
      </c>
      <c r="N139" s="167" t="s">
        <v>43</v>
      </c>
      <c r="O139" s="167" t="s">
        <v>538</v>
      </c>
      <c r="P139" s="167" t="s">
        <v>534</v>
      </c>
      <c r="Q139" s="135" t="s">
        <v>59</v>
      </c>
      <c r="R139" s="136">
        <v>14559.007658038028</v>
      </c>
      <c r="S139" s="73">
        <v>10000</v>
      </c>
      <c r="T139" s="136">
        <v>14559.007658038028</v>
      </c>
      <c r="U139" s="136">
        <v>43677.022974114079</v>
      </c>
      <c r="V139" s="136">
        <v>732026.90504615207</v>
      </c>
      <c r="W139" s="147" t="s">
        <v>11</v>
      </c>
      <c r="X139" s="185">
        <v>1.7999999999999999E-2</v>
      </c>
      <c r="Y139" s="137">
        <v>44591</v>
      </c>
      <c r="Z139" s="137">
        <v>46416</v>
      </c>
      <c r="AA139" s="137">
        <v>46416</v>
      </c>
      <c r="AB139" s="138">
        <v>1826</v>
      </c>
      <c r="AC139" s="139" t="s">
        <v>10</v>
      </c>
      <c r="AD139" s="138">
        <v>1765</v>
      </c>
      <c r="AE139" s="140">
        <v>4.8356164383561646</v>
      </c>
      <c r="AF139" s="184"/>
      <c r="AG139" s="186" t="s">
        <v>1</v>
      </c>
      <c r="AH139" s="186" t="s">
        <v>1</v>
      </c>
      <c r="AI139" s="187" t="s">
        <v>0</v>
      </c>
      <c r="AJ139" s="143" t="s">
        <v>0</v>
      </c>
      <c r="AK139" s="164" t="s">
        <v>271</v>
      </c>
      <c r="AL139" s="188" t="s">
        <v>742</v>
      </c>
      <c r="AO139" s="197" t="s">
        <v>119</v>
      </c>
      <c r="AP139" s="198" t="s">
        <v>102</v>
      </c>
      <c r="AS139" s="212">
        <v>0</v>
      </c>
      <c r="AT139" s="212">
        <v>1747.0809189645634</v>
      </c>
      <c r="AU139" s="212" t="b">
        <v>0</v>
      </c>
      <c r="AV139" s="212"/>
      <c r="AW139" s="212">
        <v>0</v>
      </c>
      <c r="AX139" s="212">
        <v>0</v>
      </c>
      <c r="BA139" s="212">
        <v>0</v>
      </c>
      <c r="BB139" s="212">
        <v>0</v>
      </c>
      <c r="BC139" s="226"/>
    </row>
    <row r="140" spans="1:56" ht="39.950000000000003" hidden="1" customHeight="1" x14ac:dyDescent="0.2">
      <c r="A140" s="131" t="s">
        <v>751</v>
      </c>
      <c r="B140" s="132" t="s">
        <v>51</v>
      </c>
      <c r="C140" s="133" t="s">
        <v>746</v>
      </c>
      <c r="D140" s="131" t="s">
        <v>542</v>
      </c>
      <c r="E140" s="133" t="s">
        <v>749</v>
      </c>
      <c r="F140" s="131" t="s">
        <v>106</v>
      </c>
      <c r="G140" s="131" t="s">
        <v>106</v>
      </c>
      <c r="H140" s="131" t="s">
        <v>263</v>
      </c>
      <c r="I140" s="133" t="s">
        <v>747</v>
      </c>
      <c r="J140" s="192" t="s">
        <v>221</v>
      </c>
      <c r="K140" s="168" t="s">
        <v>209</v>
      </c>
      <c r="L140" s="194" t="s">
        <v>191</v>
      </c>
      <c r="M140" s="134" t="s">
        <v>59</v>
      </c>
      <c r="N140" s="167" t="s">
        <v>43</v>
      </c>
      <c r="O140" s="167" t="s">
        <v>538</v>
      </c>
      <c r="P140" s="167" t="s">
        <v>534</v>
      </c>
      <c r="Q140" s="135" t="s">
        <v>59</v>
      </c>
      <c r="R140" s="136">
        <v>11356.025973269661</v>
      </c>
      <c r="S140" s="73">
        <v>7800</v>
      </c>
      <c r="T140" s="230">
        <v>11356.025973269661</v>
      </c>
      <c r="U140" s="136">
        <v>94633.549777247186</v>
      </c>
      <c r="V140" s="136">
        <v>562406.45837579714</v>
      </c>
      <c r="W140" s="147" t="s">
        <v>11</v>
      </c>
      <c r="X140" s="185">
        <v>1.8499999999999999E-2</v>
      </c>
      <c r="Y140" s="137">
        <v>44592</v>
      </c>
      <c r="Z140" s="137">
        <v>46472</v>
      </c>
      <c r="AA140" s="137">
        <v>46472</v>
      </c>
      <c r="AB140" s="138">
        <v>1881</v>
      </c>
      <c r="AC140" s="139" t="s">
        <v>10</v>
      </c>
      <c r="AD140" s="138">
        <v>1821</v>
      </c>
      <c r="AE140" s="140">
        <v>4.9890410958904106</v>
      </c>
      <c r="AF140" s="184"/>
      <c r="AG140" s="186" t="s">
        <v>1</v>
      </c>
      <c r="AH140" s="186" t="s">
        <v>1</v>
      </c>
      <c r="AI140" s="187" t="s">
        <v>0</v>
      </c>
      <c r="AJ140" s="180" t="s">
        <v>0</v>
      </c>
      <c r="AK140" s="164" t="s">
        <v>271</v>
      </c>
      <c r="AL140" s="188" t="s">
        <v>743</v>
      </c>
      <c r="AO140" s="197" t="s">
        <v>749</v>
      </c>
      <c r="AP140" s="198" t="s">
        <v>106</v>
      </c>
      <c r="AS140" s="212">
        <v>0</v>
      </c>
      <c r="AT140" s="212">
        <v>1362.7231167923594</v>
      </c>
      <c r="AU140" s="212" t="b">
        <v>0</v>
      </c>
      <c r="AV140" s="212"/>
      <c r="AW140" s="212">
        <v>0</v>
      </c>
      <c r="AX140" s="212">
        <v>0</v>
      </c>
      <c r="BA140" s="212">
        <v>0</v>
      </c>
      <c r="BB140" s="212"/>
      <c r="BC140" s="226"/>
    </row>
    <row r="141" spans="1:56" ht="39.950000000000003" hidden="1" customHeight="1" x14ac:dyDescent="0.2">
      <c r="A141" s="131" t="s">
        <v>750</v>
      </c>
      <c r="B141" s="132" t="s">
        <v>51</v>
      </c>
      <c r="C141" s="133" t="s">
        <v>746</v>
      </c>
      <c r="D141" s="131" t="s">
        <v>542</v>
      </c>
      <c r="E141" s="133" t="s">
        <v>746</v>
      </c>
      <c r="F141" s="131" t="s">
        <v>106</v>
      </c>
      <c r="G141" s="131" t="s">
        <v>106</v>
      </c>
      <c r="H141" s="131" t="s">
        <v>263</v>
      </c>
      <c r="I141" s="133" t="s">
        <v>747</v>
      </c>
      <c r="J141" s="192" t="s">
        <v>221</v>
      </c>
      <c r="K141" s="168" t="s">
        <v>209</v>
      </c>
      <c r="L141" s="194" t="s">
        <v>191</v>
      </c>
      <c r="M141" s="134" t="s">
        <v>59</v>
      </c>
      <c r="N141" s="167" t="s">
        <v>43</v>
      </c>
      <c r="O141" s="167" t="s">
        <v>538</v>
      </c>
      <c r="P141" s="167" t="s">
        <v>534</v>
      </c>
      <c r="Q141" s="135" t="s">
        <v>59</v>
      </c>
      <c r="R141" s="136">
        <v>10482.48551378738</v>
      </c>
      <c r="S141" s="73">
        <v>7200</v>
      </c>
      <c r="T141" s="136">
        <v>10482.48551378738</v>
      </c>
      <c r="U141" s="136">
        <v>87354.045948228159</v>
      </c>
      <c r="V141" s="136">
        <v>551038.4648982326</v>
      </c>
      <c r="W141" s="147" t="s">
        <v>11</v>
      </c>
      <c r="X141" s="185">
        <v>1.8499999999999999E-2</v>
      </c>
      <c r="Y141" s="137">
        <v>44592</v>
      </c>
      <c r="Z141" s="137">
        <v>46472</v>
      </c>
      <c r="AA141" s="137">
        <v>46472</v>
      </c>
      <c r="AB141" s="138">
        <v>1881</v>
      </c>
      <c r="AC141" s="139" t="s">
        <v>10</v>
      </c>
      <c r="AD141" s="138">
        <v>1821</v>
      </c>
      <c r="AE141" s="140">
        <v>4.9890410958904106</v>
      </c>
      <c r="AF141" s="184"/>
      <c r="AG141" s="186" t="s">
        <v>1</v>
      </c>
      <c r="AH141" s="186" t="s">
        <v>1</v>
      </c>
      <c r="AI141" s="187" t="s">
        <v>0</v>
      </c>
      <c r="AJ141" s="143" t="s">
        <v>0</v>
      </c>
      <c r="AK141" s="164" t="s">
        <v>271</v>
      </c>
      <c r="AL141" s="188" t="s">
        <v>743</v>
      </c>
      <c r="AO141" s="197" t="s">
        <v>746</v>
      </c>
      <c r="AP141" s="198" t="s">
        <v>106</v>
      </c>
      <c r="AS141" s="212">
        <v>0</v>
      </c>
      <c r="AT141" s="212">
        <v>1257.8982616544856</v>
      </c>
      <c r="AU141" s="212" t="b">
        <v>0</v>
      </c>
      <c r="AV141" s="212"/>
      <c r="AW141" s="212">
        <v>0</v>
      </c>
      <c r="AX141" s="212">
        <v>0</v>
      </c>
      <c r="BA141" s="212">
        <v>0</v>
      </c>
      <c r="BB141" s="212"/>
      <c r="BC141" s="226"/>
    </row>
    <row r="142" spans="1:56" ht="39.950000000000003" hidden="1" customHeight="1" x14ac:dyDescent="0.2">
      <c r="A142" s="131" t="s">
        <v>753</v>
      </c>
      <c r="B142" s="132" t="s">
        <v>67</v>
      </c>
      <c r="C142" s="133" t="s">
        <v>588</v>
      </c>
      <c r="D142" s="131" t="s">
        <v>499</v>
      </c>
      <c r="E142" s="133" t="s">
        <v>162</v>
      </c>
      <c r="F142" s="131" t="s">
        <v>546</v>
      </c>
      <c r="G142" s="66" t="s">
        <v>167</v>
      </c>
      <c r="H142" s="131" t="s">
        <v>167</v>
      </c>
      <c r="I142" s="14" t="s">
        <v>298</v>
      </c>
      <c r="J142" s="192" t="s">
        <v>218</v>
      </c>
      <c r="K142" s="168" t="s">
        <v>209</v>
      </c>
      <c r="L142" s="194" t="s">
        <v>191</v>
      </c>
      <c r="M142" s="134" t="s">
        <v>59</v>
      </c>
      <c r="N142" s="167" t="s">
        <v>43</v>
      </c>
      <c r="O142" s="167" t="s">
        <v>531</v>
      </c>
      <c r="P142" s="167" t="s">
        <v>534</v>
      </c>
      <c r="Q142" s="135" t="s">
        <v>9</v>
      </c>
      <c r="R142" s="136">
        <v>26891.117863769599</v>
      </c>
      <c r="S142" s="73">
        <v>20000</v>
      </c>
      <c r="T142" s="136">
        <v>26891.117863769599</v>
      </c>
      <c r="U142" s="136">
        <v>53782.235727539199</v>
      </c>
      <c r="V142" s="136">
        <v>968402.04910318123</v>
      </c>
      <c r="W142" s="147" t="s">
        <v>11</v>
      </c>
      <c r="X142" s="185">
        <v>3.4849999999999999E-2</v>
      </c>
      <c r="Y142" s="137">
        <v>44634</v>
      </c>
      <c r="Z142" s="137">
        <v>45316</v>
      </c>
      <c r="AA142" s="137">
        <v>45337</v>
      </c>
      <c r="AB142" s="138">
        <v>704</v>
      </c>
      <c r="AC142" s="139" t="s">
        <v>10</v>
      </c>
      <c r="AD142" s="138">
        <v>686</v>
      </c>
      <c r="AE142" s="140">
        <v>1.8794520547945206</v>
      </c>
      <c r="AF142" s="184" t="s">
        <v>436</v>
      </c>
      <c r="AG142" s="186" t="s">
        <v>1</v>
      </c>
      <c r="AH142" s="186" t="s">
        <v>1</v>
      </c>
      <c r="AI142" s="187" t="s">
        <v>0</v>
      </c>
      <c r="AJ142" s="143" t="s">
        <v>0</v>
      </c>
      <c r="AK142" s="164" t="s">
        <v>271</v>
      </c>
      <c r="AL142" s="188" t="s">
        <v>755</v>
      </c>
      <c r="AO142" s="197" t="s">
        <v>162</v>
      </c>
      <c r="AP142" s="198" t="s">
        <v>546</v>
      </c>
      <c r="AS142" s="212">
        <v>0</v>
      </c>
      <c r="AT142" s="212">
        <v>3226.9341436523518</v>
      </c>
      <c r="AU142" s="212">
        <v>645.38682873047037</v>
      </c>
      <c r="AV142" s="212"/>
      <c r="AW142" s="212">
        <v>0</v>
      </c>
      <c r="AX142" s="212">
        <v>0</v>
      </c>
      <c r="BA142" s="212">
        <v>0</v>
      </c>
      <c r="BB142" s="212"/>
      <c r="BC142" s="226"/>
    </row>
    <row r="143" spans="1:56" ht="39.950000000000003" hidden="1" customHeight="1" x14ac:dyDescent="0.2">
      <c r="A143" s="131" t="s">
        <v>756</v>
      </c>
      <c r="B143" s="132" t="s">
        <v>67</v>
      </c>
      <c r="C143" s="133" t="s">
        <v>684</v>
      </c>
      <c r="D143" s="131" t="s">
        <v>542</v>
      </c>
      <c r="E143" s="133" t="s">
        <v>308</v>
      </c>
      <c r="F143" s="131" t="s">
        <v>546</v>
      </c>
      <c r="G143" s="66" t="s">
        <v>167</v>
      </c>
      <c r="H143" s="131" t="s">
        <v>167</v>
      </c>
      <c r="I143" s="133" t="s">
        <v>677</v>
      </c>
      <c r="J143" s="192" t="s">
        <v>218</v>
      </c>
      <c r="K143" s="168" t="s">
        <v>209</v>
      </c>
      <c r="L143" s="194" t="s">
        <v>191</v>
      </c>
      <c r="M143" s="134" t="s">
        <v>59</v>
      </c>
      <c r="N143" s="167" t="s">
        <v>43</v>
      </c>
      <c r="O143" s="167" t="s">
        <v>533</v>
      </c>
      <c r="P143" s="167" t="s">
        <v>534</v>
      </c>
      <c r="Q143" s="135" t="s">
        <v>487</v>
      </c>
      <c r="R143" s="136">
        <v>23736.11948257736</v>
      </c>
      <c r="S143" s="73">
        <v>155787.27299999999</v>
      </c>
      <c r="T143" s="136">
        <v>23736.11948257736</v>
      </c>
      <c r="U143" s="136">
        <v>47472.23896515472</v>
      </c>
      <c r="V143" s="136">
        <v>1588383.4443039326</v>
      </c>
      <c r="W143" s="147" t="s">
        <v>11</v>
      </c>
      <c r="X143" s="185">
        <v>2.8500000000000001E-2</v>
      </c>
      <c r="Y143" s="137">
        <v>44651</v>
      </c>
      <c r="Z143" s="137">
        <v>46418</v>
      </c>
      <c r="AA143" s="137">
        <v>46433</v>
      </c>
      <c r="AB143" s="138">
        <v>1783</v>
      </c>
      <c r="AC143" s="139" t="s">
        <v>10</v>
      </c>
      <c r="AD143" s="138">
        <v>1782</v>
      </c>
      <c r="AE143" s="140">
        <v>4.882191780821918</v>
      </c>
      <c r="AF143" s="184" t="s">
        <v>436</v>
      </c>
      <c r="AG143" s="186" t="s">
        <v>1</v>
      </c>
      <c r="AH143" s="186" t="s">
        <v>1</v>
      </c>
      <c r="AI143" s="187" t="s">
        <v>0</v>
      </c>
      <c r="AJ143" s="143" t="s">
        <v>0</v>
      </c>
      <c r="AK143" s="164" t="s">
        <v>271</v>
      </c>
      <c r="AL143" s="188" t="s">
        <v>757</v>
      </c>
      <c r="AO143" s="197" t="s">
        <v>308</v>
      </c>
      <c r="AP143" s="198" t="s">
        <v>546</v>
      </c>
      <c r="AS143" s="212">
        <v>0</v>
      </c>
      <c r="AT143" s="212">
        <v>2848.334337909283</v>
      </c>
      <c r="AU143" s="212">
        <v>569.66686758185665</v>
      </c>
      <c r="AV143" s="212"/>
      <c r="AW143" s="212">
        <v>0</v>
      </c>
      <c r="AX143" s="212">
        <v>0</v>
      </c>
      <c r="BA143" s="212">
        <v>0</v>
      </c>
      <c r="BB143" s="212"/>
      <c r="BC143" s="226"/>
    </row>
    <row r="144" spans="1:56" ht="39.950000000000003" hidden="1" customHeight="1" x14ac:dyDescent="0.2">
      <c r="A144" s="131" t="s">
        <v>758</v>
      </c>
      <c r="B144" s="132" t="s">
        <v>23</v>
      </c>
      <c r="C144" s="133" t="s">
        <v>759</v>
      </c>
      <c r="D144" s="131" t="s">
        <v>34</v>
      </c>
      <c r="E144" s="133" t="s">
        <v>34</v>
      </c>
      <c r="F144" s="131" t="s">
        <v>102</v>
      </c>
      <c r="G144" s="131" t="s">
        <v>102</v>
      </c>
      <c r="H144" s="131" t="s">
        <v>477</v>
      </c>
      <c r="I144" s="14" t="s">
        <v>760</v>
      </c>
      <c r="J144" s="192" t="s">
        <v>33</v>
      </c>
      <c r="K144" s="168" t="s">
        <v>101</v>
      </c>
      <c r="L144" s="194" t="s">
        <v>191</v>
      </c>
      <c r="M144" s="134" t="s">
        <v>323</v>
      </c>
      <c r="N144" s="167" t="s">
        <v>43</v>
      </c>
      <c r="O144" s="167" t="s">
        <v>533</v>
      </c>
      <c r="P144" s="167" t="s">
        <v>534</v>
      </c>
      <c r="Q144" s="135" t="s">
        <v>8</v>
      </c>
      <c r="R144" s="136">
        <v>11100</v>
      </c>
      <c r="S144" s="73">
        <v>11100</v>
      </c>
      <c r="T144" s="136">
        <v>11100</v>
      </c>
      <c r="U144" s="136">
        <v>48000</v>
      </c>
      <c r="V144" s="136">
        <v>417129.53</v>
      </c>
      <c r="W144" s="147" t="s">
        <v>11</v>
      </c>
      <c r="X144" s="185">
        <v>2.1499999999999998E-2</v>
      </c>
      <c r="Y144" s="137">
        <v>44651</v>
      </c>
      <c r="Z144" s="137">
        <v>46386</v>
      </c>
      <c r="AA144" s="137">
        <v>46386</v>
      </c>
      <c r="AB144" s="138">
        <v>1736</v>
      </c>
      <c r="AC144" s="139" t="s">
        <v>10</v>
      </c>
      <c r="AD144" s="138">
        <v>1735</v>
      </c>
      <c r="AE144" s="140">
        <v>4.7534246575342465</v>
      </c>
      <c r="AF144" s="184"/>
      <c r="AG144" s="186" t="s">
        <v>1</v>
      </c>
      <c r="AH144" s="186" t="s">
        <v>1</v>
      </c>
      <c r="AI144" s="187" t="s">
        <v>0</v>
      </c>
      <c r="AJ144" s="143" t="s">
        <v>0</v>
      </c>
      <c r="AK144" s="164" t="s">
        <v>563</v>
      </c>
      <c r="AL144" s="188" t="s">
        <v>761</v>
      </c>
      <c r="AO144" s="197" t="s">
        <v>34</v>
      </c>
      <c r="AP144" s="198" t="s">
        <v>102</v>
      </c>
      <c r="AS144" s="212">
        <v>0</v>
      </c>
      <c r="AT144" s="212">
        <v>1332</v>
      </c>
      <c r="AU144" s="212" t="b">
        <v>0</v>
      </c>
      <c r="AV144" s="212"/>
      <c r="AW144" s="212">
        <v>0</v>
      </c>
      <c r="AX144" s="212">
        <v>0</v>
      </c>
      <c r="BA144" s="212">
        <v>0</v>
      </c>
      <c r="BB144" s="212"/>
      <c r="BC144" s="226"/>
    </row>
    <row r="145" spans="1:56" x14ac:dyDescent="0.2">
      <c r="A145" s="129"/>
      <c r="B145" s="129"/>
      <c r="C145" s="129"/>
      <c r="D145" s="129"/>
      <c r="E145" s="129"/>
      <c r="F145" s="129"/>
      <c r="G145" s="129"/>
      <c r="H145" s="129"/>
      <c r="I145" s="129"/>
      <c r="J145" s="129"/>
      <c r="K145" s="129"/>
      <c r="L145" s="129"/>
      <c r="M145" s="129"/>
      <c r="N145" s="127"/>
      <c r="O145" s="127"/>
      <c r="P145" s="127"/>
      <c r="Q145" s="51" t="s">
        <v>428</v>
      </c>
      <c r="R145" s="50">
        <f>SUMIFS(Table12126[[#All],[Original Limit (A$)]],Table12126[[#All],[Treaty]],"HDI GS")</f>
        <v>2559502.0544312322</v>
      </c>
      <c r="S145" s="50"/>
      <c r="T145" s="50">
        <f>SUMIFS(Table12126[[#All],[Amortised Limit A$ Balance]],Table12126[[#All],[Treaty]],"HDI GS")</f>
        <v>2437338.030699546</v>
      </c>
      <c r="U145" s="50">
        <f>SUMIFS(Table12126[[#All],[Approx. Debt /  Facilities outstanding (Bank Limit)]],Table12126[[#All],[Treaty]],"HDI GS")</f>
        <v>16165158.781399114</v>
      </c>
      <c r="V145" s="50">
        <f>SUMIFS(Table12126[[#All],[Gross Written Premium (pre-tax premium paid to HDI GS) (A$)]],Table12126[[#All],[Treaty]],"HDI GS")</f>
        <v>146450522.910882</v>
      </c>
      <c r="W145" s="49"/>
      <c r="X145" s="183">
        <f>SUMPRODUCT(Table12126[[#All],[Facility Gross Margin]], Table12126[[#All],[Amortised Limit A$ Balance]])/SUM(Table12126[[#All],[Amortised Limit A$ Balance]])</f>
        <v>2.6194588294716294E-2</v>
      </c>
      <c r="Y145" s="48"/>
      <c r="Z145" s="48"/>
      <c r="AA145" s="48" t="s">
        <v>495</v>
      </c>
      <c r="AB145" s="189">
        <f>SUMPRODUCT(Table12126[[Original Tenor ]],Table12126[Original Limit (A$)])/R145</f>
        <v>1809.1565773291943</v>
      </c>
      <c r="AC145" s="47">
        <f>AB145/365</f>
        <v>4.9565933625457381</v>
      </c>
      <c r="AD145" s="189">
        <f>SUMPRODUCT(Table12126[Tenor Remaining Days],Table12126[Amortised Limit A$ Balance])/T145</f>
        <v>1090.055059075135</v>
      </c>
      <c r="AE145" s="46">
        <f>AD145/365</f>
        <v>2.9864522166442056</v>
      </c>
      <c r="AF145" s="45"/>
      <c r="AG145" s="28"/>
      <c r="AH145" s="28"/>
      <c r="AI145" s="44"/>
      <c r="AJ145" s="28"/>
      <c r="AK145" s="28"/>
      <c r="AL145" s="43"/>
      <c r="AO145" s="202"/>
      <c r="AP145" s="202"/>
      <c r="AQ145" s="203" t="e">
        <v>#REF!</v>
      </c>
      <c r="AS145" s="204"/>
      <c r="AT145" s="204"/>
      <c r="AU145" s="204"/>
      <c r="AW145" s="205" t="e">
        <v>#REF!</v>
      </c>
      <c r="AX145" s="205" t="e">
        <v>#REF!</v>
      </c>
      <c r="AY145" s="203"/>
      <c r="BB145" s="226">
        <v>11092.177860270169</v>
      </c>
      <c r="BC145" s="226">
        <v>10786.569252757969</v>
      </c>
      <c r="BD145" s="226">
        <v>8683.7572418259933</v>
      </c>
    </row>
    <row r="146" spans="1:56" s="27" customFormat="1" x14ac:dyDescent="0.2">
      <c r="A146" s="37"/>
      <c r="B146" s="37"/>
      <c r="C146" s="35"/>
      <c r="D146" s="35"/>
      <c r="E146" s="35"/>
      <c r="F146" s="28"/>
      <c r="G146" s="28"/>
      <c r="H146" s="28"/>
      <c r="I146" s="36"/>
      <c r="J146" s="28"/>
      <c r="K146" s="28"/>
      <c r="L146" s="28"/>
      <c r="M146" s="35"/>
      <c r="N146" s="28"/>
      <c r="O146" s="28"/>
      <c r="P146" s="28"/>
      <c r="Q146" s="42" t="s">
        <v>429</v>
      </c>
      <c r="R146" s="41">
        <f>SUMIFS(Table12126[[#All],[Original Limit (A$)]],Table12126[[#All],[Treaty]],"AI - Direct")</f>
        <v>577.64099999999996</v>
      </c>
      <c r="S146" s="41"/>
      <c r="T146" s="41">
        <f>SUMIFS(Table12126[[#All],[Amortised Limit A$ Balance]],Table12126[[#All],[Treaty]],"AI - DIrect")</f>
        <v>577.64099999999996</v>
      </c>
      <c r="U146" s="41">
        <f>SUMIFS(Table12126[[#All],[Approx. Debt /  Facilities outstanding (Bank Limit)]],Table12126[[#All],[Treaty]],"AI - Direct")</f>
        <v>577.64099999999996</v>
      </c>
      <c r="V146" s="41">
        <f>SUMIFS(Table12126[[#All],[Gross Written Premium (pre-tax premium paid to HDI GS) (A$)]],Table12126[[#All],[Treaty]],"AI - Direct")</f>
        <v>14441.029999999999</v>
      </c>
      <c r="W146" s="30"/>
      <c r="X146" s="30"/>
      <c r="Y146" s="30"/>
      <c r="Z146" s="28"/>
      <c r="AA146" s="40" t="s">
        <v>242</v>
      </c>
      <c r="AB146" s="38">
        <f>SUMPRODUCT($AB$40:$AB$86,$R$40:$R$86)/AB148</f>
        <v>1540.0674332509591</v>
      </c>
      <c r="AC146" s="39"/>
      <c r="AD146" s="38">
        <f>SUMPRODUCT($AD$40:$AD$86,$R$40:$R$86)/AB148</f>
        <v>885.63289261881789</v>
      </c>
      <c r="AE146" s="38">
        <f>AD146/365</f>
        <v>2.4263914866268985</v>
      </c>
      <c r="AF146" s="29"/>
      <c r="AG146" s="28"/>
      <c r="AH146" s="28"/>
      <c r="AI146" s="28"/>
      <c r="AJ146" s="28"/>
      <c r="AK146" s="28"/>
      <c r="AL146" s="28"/>
      <c r="AO146" s="206"/>
      <c r="AP146" s="207"/>
      <c r="AQ146" s="204"/>
      <c r="AR146" s="204"/>
      <c r="AS146" s="204"/>
      <c r="AT146" s="204"/>
      <c r="AU146" s="204"/>
      <c r="AV146" s="204"/>
      <c r="AW146" s="204"/>
      <c r="AX146" s="204"/>
      <c r="AY146" s="204"/>
    </row>
    <row r="147" spans="1:56" s="27" customFormat="1" x14ac:dyDescent="0.2">
      <c r="A147" s="37"/>
      <c r="B147" s="37"/>
      <c r="C147" s="35"/>
      <c r="D147" s="35"/>
      <c r="E147" s="35"/>
      <c r="F147" s="28"/>
      <c r="G147" s="28"/>
      <c r="H147" s="28"/>
      <c r="I147" s="36"/>
      <c r="J147" s="28"/>
      <c r="K147" s="28"/>
      <c r="L147" s="28"/>
      <c r="M147" s="35"/>
      <c r="N147" s="28"/>
      <c r="O147" s="28"/>
      <c r="P147" s="28"/>
      <c r="Q147" s="34" t="s">
        <v>6</v>
      </c>
      <c r="R147" s="33">
        <f>SUM(R145:R146)</f>
        <v>2560079.695431232</v>
      </c>
      <c r="S147" s="33"/>
      <c r="T147" s="32">
        <f>SUM(T145:T146)</f>
        <v>2437915.6716995458</v>
      </c>
      <c r="U147" s="31">
        <f>SUM(U145:U146)</f>
        <v>16165736.422399115</v>
      </c>
      <c r="V147" s="31">
        <f>SUM(V145:V146)</f>
        <v>146464963.940882</v>
      </c>
      <c r="W147" s="30"/>
      <c r="X147" s="30"/>
      <c r="Y147" s="30"/>
      <c r="Z147" s="28"/>
      <c r="AA147" s="28"/>
      <c r="AB147" s="28"/>
      <c r="AC147" s="29"/>
      <c r="AD147" s="28"/>
      <c r="AE147" s="28"/>
      <c r="AF147" s="29"/>
      <c r="AG147" s="28"/>
      <c r="AH147" s="28"/>
      <c r="AI147" s="28"/>
      <c r="AJ147" s="28"/>
      <c r="AK147" s="28"/>
      <c r="AL147" s="28"/>
      <c r="AO147" s="206"/>
      <c r="AP147" s="207"/>
      <c r="AQ147" s="204"/>
      <c r="AR147" s="204"/>
      <c r="AS147" s="204"/>
      <c r="AT147" s="204"/>
      <c r="AU147" s="204"/>
      <c r="AV147" s="204"/>
      <c r="AW147" s="204"/>
      <c r="AX147" s="204"/>
      <c r="AY147" s="204"/>
    </row>
    <row r="148" spans="1:56" x14ac:dyDescent="0.2">
      <c r="Q148" s="160"/>
      <c r="R148" s="24"/>
      <c r="S148" s="24"/>
      <c r="T148" s="26"/>
      <c r="W148" s="23"/>
      <c r="X148" s="23"/>
      <c r="Y148" s="23"/>
      <c r="Z148" s="11"/>
      <c r="AA148" s="11" t="s">
        <v>437</v>
      </c>
      <c r="AB148" s="22">
        <v>1037868.6626063626</v>
      </c>
    </row>
    <row r="149" spans="1:56" x14ac:dyDescent="0.2">
      <c r="E149" s="11">
        <f>COUNT(Table12126[[#All],[Amortised Limit A$ Balance]])</f>
        <v>142</v>
      </c>
      <c r="I149" s="11"/>
      <c r="Q149" s="25"/>
      <c r="V149" s="24"/>
      <c r="W149" s="23"/>
      <c r="X149" s="23"/>
      <c r="Y149" s="23"/>
      <c r="Z149" s="11"/>
      <c r="AG149" s="22"/>
    </row>
    <row r="150" spans="1:56" x14ac:dyDescent="0.2">
      <c r="D150" s="11" t="s">
        <v>495</v>
      </c>
      <c r="I150" s="11"/>
      <c r="Q150" s="160"/>
      <c r="R150" s="19"/>
      <c r="S150" s="19"/>
      <c r="T150" s="19"/>
      <c r="U150" s="19"/>
      <c r="V150" s="19"/>
      <c r="W150" s="19"/>
      <c r="X150" s="19"/>
    </row>
    <row r="151" spans="1:56" x14ac:dyDescent="0.2">
      <c r="I151" s="11"/>
      <c r="Q151" s="25"/>
    </row>
    <row r="152" spans="1:56" x14ac:dyDescent="0.2">
      <c r="I152" s="11"/>
      <c r="Q152" s="160"/>
    </row>
    <row r="153" spans="1:56" x14ac:dyDescent="0.2">
      <c r="I153" s="11"/>
      <c r="Q153" s="25"/>
      <c r="T153" s="19"/>
    </row>
    <row r="154" spans="1:56" x14ac:dyDescent="0.2">
      <c r="I154" s="11"/>
      <c r="Q154" s="160"/>
      <c r="T154" s="19"/>
    </row>
    <row r="155" spans="1:56" x14ac:dyDescent="0.2">
      <c r="I155" s="11"/>
      <c r="Q155" s="25"/>
      <c r="T155" s="19"/>
    </row>
    <row r="156" spans="1:56" x14ac:dyDescent="0.2">
      <c r="I156" s="11"/>
      <c r="Q156" s="160"/>
      <c r="T156" s="19"/>
    </row>
    <row r="157" spans="1:56" x14ac:dyDescent="0.2">
      <c r="I157" s="11"/>
      <c r="Q157" s="25"/>
      <c r="T157" s="19"/>
    </row>
    <row r="158" spans="1:56" x14ac:dyDescent="0.2">
      <c r="I158" s="11"/>
      <c r="Q158" s="160"/>
      <c r="T158" s="19"/>
    </row>
    <row r="159" spans="1:56" x14ac:dyDescent="0.2">
      <c r="I159" s="11"/>
      <c r="Q159" s="25"/>
      <c r="T159" s="19"/>
    </row>
    <row r="160" spans="1:56" x14ac:dyDescent="0.2">
      <c r="I160" s="11"/>
      <c r="Q160" s="160"/>
    </row>
    <row r="161" spans="9:17" x14ac:dyDescent="0.2">
      <c r="I161" s="11"/>
      <c r="Q161" s="25"/>
    </row>
    <row r="162" spans="9:17" x14ac:dyDescent="0.2">
      <c r="I162" s="11"/>
      <c r="Q162" s="160"/>
    </row>
    <row r="163" spans="9:17" x14ac:dyDescent="0.2">
      <c r="I163" s="11"/>
    </row>
    <row r="164" spans="9:17" x14ac:dyDescent="0.2">
      <c r="I164" s="11"/>
    </row>
    <row r="165" spans="9:17" x14ac:dyDescent="0.2">
      <c r="I165" s="11"/>
    </row>
    <row r="166" spans="9:17" x14ac:dyDescent="0.2">
      <c r="I166" s="11"/>
    </row>
    <row r="167" spans="9:17" x14ac:dyDescent="0.2">
      <c r="I167" s="11"/>
    </row>
    <row r="168" spans="9:17" x14ac:dyDescent="0.2">
      <c r="I168" s="11"/>
    </row>
    <row r="169" spans="9:17" x14ac:dyDescent="0.2">
      <c r="I169" s="11"/>
    </row>
  </sheetData>
  <conditionalFormatting sqref="AJ129:AJ138 AJ3:AJ24 AJ27:AJ127">
    <cfRule type="containsText" dxfId="475" priority="28" operator="containsText" text="SEND NOTICE">
      <formula>NOT(ISERROR(SEARCH("SEND NOTICE",AJ3)))</formula>
    </cfRule>
  </conditionalFormatting>
  <conditionalFormatting sqref="D86:E86 N84:W84 A84:C84 C85:C86 L85 N85:P85 R87:V87 R92:V92 H84:L84 Y84:AE84 Y85:AB86 Q86:V86 A85:A87 W85:W87 R88:W91 AB87:AB91 AD85:AE92 Y87:AA92">
    <cfRule type="cellIs" dxfId="474" priority="27" operator="equal">
      <formula>#REF!</formula>
    </cfRule>
  </conditionalFormatting>
  <conditionalFormatting sqref="Q85:V85">
    <cfRule type="cellIs" dxfId="473" priority="26" operator="equal">
      <formula>#REF!</formula>
    </cfRule>
  </conditionalFormatting>
  <conditionalFormatting sqref="E84">
    <cfRule type="cellIs" dxfId="472" priority="25" operator="equal">
      <formula>#REF!</formula>
    </cfRule>
  </conditionalFormatting>
  <conditionalFormatting sqref="D84 J86 Q91">
    <cfRule type="cellIs" dxfId="471" priority="24" operator="equal">
      <formula>#REF!</formula>
    </cfRule>
  </conditionalFormatting>
  <conditionalFormatting sqref="J85">
    <cfRule type="cellIs" dxfId="470" priority="23" operator="equal">
      <formula>#REF!</formula>
    </cfRule>
  </conditionalFormatting>
  <conditionalFormatting sqref="L86">
    <cfRule type="cellIs" dxfId="469" priority="22" operator="equal">
      <formula>#REF!</formula>
    </cfRule>
  </conditionalFormatting>
  <conditionalFormatting sqref="AK26">
    <cfRule type="containsText" dxfId="468" priority="21" operator="containsText" text="SEND NOTICE">
      <formula>NOT(ISERROR(SEARCH("SEND NOTICE",AK26)))</formula>
    </cfRule>
  </conditionalFormatting>
  <conditionalFormatting sqref="AJ117:AJ118">
    <cfRule type="containsText" dxfId="467" priority="20" operator="containsText" text="SEND NOTICE">
      <formula>NOT(ISERROR(SEARCH("SEND NOTICE",AJ117)))</formula>
    </cfRule>
  </conditionalFormatting>
  <conditionalFormatting sqref="AJ119">
    <cfRule type="containsText" dxfId="466" priority="19" operator="containsText" text="SEND NOTICE">
      <formula>NOT(ISERROR(SEARCH("SEND NOTICE",AJ119)))</formula>
    </cfRule>
  </conditionalFormatting>
  <conditionalFormatting sqref="AJ120:AJ122">
    <cfRule type="containsText" dxfId="465" priority="18" operator="containsText" text="SEND NOTICE">
      <formula>NOT(ISERROR(SEARCH("SEND NOTICE",AJ120)))</formula>
    </cfRule>
  </conditionalFormatting>
  <conditionalFormatting sqref="AJ120:AJ122">
    <cfRule type="containsText" dxfId="464" priority="17" operator="containsText" text="SEND NOTICE">
      <formula>NOT(ISERROR(SEARCH("SEND NOTICE",AJ120)))</formula>
    </cfRule>
  </conditionalFormatting>
  <conditionalFormatting sqref="AJ123:AJ126">
    <cfRule type="containsText" dxfId="463" priority="16" operator="containsText" text="SEND NOTICE">
      <formula>NOT(ISERROR(SEARCH("SEND NOTICE",AJ123)))</formula>
    </cfRule>
  </conditionalFormatting>
  <conditionalFormatting sqref="AJ123:AJ126">
    <cfRule type="containsText" dxfId="462" priority="15" operator="containsText" text="SEND NOTICE">
      <formula>NOT(ISERROR(SEARCH("SEND NOTICE",AJ123)))</formula>
    </cfRule>
  </conditionalFormatting>
  <conditionalFormatting sqref="AJ123:AJ126">
    <cfRule type="containsText" dxfId="461" priority="14" operator="containsText" text="SEND NOTICE">
      <formula>NOT(ISERROR(SEARCH("SEND NOTICE",AJ123)))</formula>
    </cfRule>
  </conditionalFormatting>
  <conditionalFormatting sqref="AJ127">
    <cfRule type="containsText" dxfId="460" priority="13" operator="containsText" text="SEND NOTICE">
      <formula>NOT(ISERROR(SEARCH("SEND NOTICE",AJ127)))</formula>
    </cfRule>
  </conditionalFormatting>
  <conditionalFormatting sqref="AJ127">
    <cfRule type="containsText" dxfId="459" priority="12" operator="containsText" text="SEND NOTICE">
      <formula>NOT(ISERROR(SEARCH("SEND NOTICE",AJ127)))</formula>
    </cfRule>
  </conditionalFormatting>
  <conditionalFormatting sqref="AJ127">
    <cfRule type="containsText" dxfId="458" priority="11" operator="containsText" text="SEND NOTICE">
      <formula>NOT(ISERROR(SEARCH("SEND NOTICE",AJ127)))</formula>
    </cfRule>
  </conditionalFormatting>
  <conditionalFormatting sqref="AJ127">
    <cfRule type="containsText" dxfId="457" priority="10" operator="containsText" text="SEND NOTICE">
      <formula>NOT(ISERROR(SEARCH("SEND NOTICE",AJ127)))</formula>
    </cfRule>
  </conditionalFormatting>
  <conditionalFormatting sqref="AJ128">
    <cfRule type="containsText" dxfId="456" priority="9" operator="containsText" text="SEND NOTICE">
      <formula>NOT(ISERROR(SEARCH("SEND NOTICE",AJ128)))</formula>
    </cfRule>
  </conditionalFormatting>
  <conditionalFormatting sqref="AJ26">
    <cfRule type="containsText" dxfId="455" priority="8" operator="containsText" text="SEND NOTICE">
      <formula>NOT(ISERROR(SEARCH("SEND NOTICE",AJ26)))</formula>
    </cfRule>
  </conditionalFormatting>
  <conditionalFormatting sqref="AK25">
    <cfRule type="containsText" dxfId="454" priority="7" operator="containsText" text="SEND NOTICE">
      <formula>NOT(ISERROR(SEARCH("SEND NOTICE",AK25)))</formula>
    </cfRule>
  </conditionalFormatting>
  <conditionalFormatting sqref="AJ25">
    <cfRule type="containsText" dxfId="453" priority="6" operator="containsText" text="SEND NOTICE">
      <formula>NOT(ISERROR(SEARCH("SEND NOTICE",AJ25)))</formula>
    </cfRule>
  </conditionalFormatting>
  <conditionalFormatting sqref="AJ139:AJ141">
    <cfRule type="containsText" dxfId="452" priority="5" operator="containsText" text="SEND NOTICE">
      <formula>NOT(ISERROR(SEARCH("SEND NOTICE",AJ139)))</formula>
    </cfRule>
  </conditionalFormatting>
  <conditionalFormatting sqref="AJ140">
    <cfRule type="containsText" dxfId="451" priority="4" operator="containsText" text="SEND NOTICE">
      <formula>NOT(ISERROR(SEARCH("SEND NOTICE",AJ140)))</formula>
    </cfRule>
  </conditionalFormatting>
  <conditionalFormatting sqref="AJ142">
    <cfRule type="containsText" dxfId="450" priority="3" operator="containsText" text="SEND NOTICE">
      <formula>NOT(ISERROR(SEARCH("SEND NOTICE",AJ142)))</formula>
    </cfRule>
  </conditionalFormatting>
  <conditionalFormatting sqref="AJ143">
    <cfRule type="containsText" dxfId="449" priority="2" operator="containsText" text="SEND NOTICE">
      <formula>NOT(ISERROR(SEARCH("SEND NOTICE",AJ143)))</formula>
    </cfRule>
  </conditionalFormatting>
  <conditionalFormatting sqref="AJ144">
    <cfRule type="containsText" dxfId="448" priority="1" operator="containsText" text="SEND NOTICE">
      <formula>NOT(ISERROR(SEARCH("SEND NOTICE",AJ144)))</formula>
    </cfRule>
  </conditionalFormatting>
  <pageMargins left="0.25" right="0.25" top="0.75" bottom="0.75" header="0.3" footer="0.3"/>
  <pageSetup paperSize="9" scale="18" orientation="landscape"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40D6F-AD96-411C-86F5-03698FEA0883}">
  <sheetPr codeName="Sheet6">
    <tabColor theme="9" tint="0.79998168889431442"/>
  </sheetPr>
  <dimension ref="A1:BE177"/>
  <sheetViews>
    <sheetView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2"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11" customWidth="1"/>
    <col min="20" max="20" width="14" style="11" customWidth="1"/>
    <col min="21" max="21" width="14.42578125" style="11" customWidth="1"/>
    <col min="22" max="22" width="17" style="11" customWidth="1"/>
    <col min="23" max="24" width="11.28515625" style="11" customWidth="1"/>
    <col min="25" max="25" width="10.85546875" style="11" customWidth="1"/>
    <col min="26" max="26" width="11.7109375" style="20" customWidth="1"/>
    <col min="27" max="27" width="11.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2" width="3.42578125" style="11" customWidth="1"/>
    <col min="53" max="53" width="7.7109375" style="11" bestFit="1" customWidth="1"/>
    <col min="54" max="16384" width="9.140625" style="11"/>
  </cols>
  <sheetData>
    <row r="1" spans="1:57" x14ac:dyDescent="0.2">
      <c r="A1" s="126">
        <v>44742</v>
      </c>
      <c r="B1" s="125"/>
      <c r="C1" s="124"/>
      <c r="D1" s="233"/>
      <c r="E1" s="124"/>
      <c r="M1" s="124"/>
      <c r="AO1" s="195"/>
      <c r="AP1" s="196"/>
      <c r="AQ1" s="196"/>
      <c r="AR1" s="196"/>
      <c r="AS1" s="196"/>
      <c r="AT1" s="196"/>
      <c r="AU1" s="196"/>
      <c r="AV1" s="196"/>
      <c r="AW1" s="196"/>
      <c r="AX1" s="196"/>
      <c r="AY1" s="196"/>
      <c r="AZ1" s="196"/>
      <c r="BA1" s="196"/>
      <c r="BB1" s="196"/>
      <c r="BC1" s="196"/>
      <c r="BD1" s="196"/>
      <c r="BE1" s="196"/>
    </row>
    <row r="2" spans="1:57" s="112" customFormat="1" ht="63.75" x14ac:dyDescent="0.2">
      <c r="A2" s="123" t="s">
        <v>14</v>
      </c>
      <c r="B2" s="121" t="s">
        <v>63</v>
      </c>
      <c r="C2" s="121" t="s">
        <v>84</v>
      </c>
      <c r="D2" s="121" t="s">
        <v>468</v>
      </c>
      <c r="E2" s="121" t="s">
        <v>467</v>
      </c>
      <c r="F2" s="121" t="s">
        <v>81</v>
      </c>
      <c r="G2" s="121" t="s">
        <v>82</v>
      </c>
      <c r="H2" s="121" t="s">
        <v>83</v>
      </c>
      <c r="I2" s="122" t="s">
        <v>2</v>
      </c>
      <c r="J2" s="121" t="s">
        <v>217</v>
      </c>
      <c r="K2" s="121" t="s">
        <v>39</v>
      </c>
      <c r="L2" s="120" t="s">
        <v>5</v>
      </c>
      <c r="M2" s="118" t="s">
        <v>427</v>
      </c>
      <c r="N2" s="119" t="s">
        <v>41</v>
      </c>
      <c r="O2" s="119" t="s">
        <v>535</v>
      </c>
      <c r="P2" s="119" t="s">
        <v>536</v>
      </c>
      <c r="Q2" s="114" t="s">
        <v>403</v>
      </c>
      <c r="R2" s="117" t="s">
        <v>479</v>
      </c>
      <c r="S2" s="118" t="s">
        <v>430</v>
      </c>
      <c r="T2" s="117" t="s">
        <v>431</v>
      </c>
      <c r="U2" s="117" t="s">
        <v>783</v>
      </c>
      <c r="V2" s="117" t="s">
        <v>754</v>
      </c>
      <c r="W2" s="117" t="s">
        <v>12</v>
      </c>
      <c r="X2" s="117" t="s">
        <v>573</v>
      </c>
      <c r="Y2" s="117" t="s">
        <v>471</v>
      </c>
      <c r="Z2" s="117" t="s">
        <v>433</v>
      </c>
      <c r="AA2" s="117" t="s">
        <v>15</v>
      </c>
      <c r="AB2" s="116" t="s">
        <v>17</v>
      </c>
      <c r="AC2" s="116" t="s">
        <v>18</v>
      </c>
      <c r="AD2" s="116" t="s">
        <v>434</v>
      </c>
      <c r="AE2" s="116" t="s">
        <v>435</v>
      </c>
      <c r="AF2" s="116" t="s">
        <v>436</v>
      </c>
      <c r="AG2" s="115" t="s">
        <v>46</v>
      </c>
      <c r="AH2" s="115" t="s">
        <v>19</v>
      </c>
      <c r="AI2" s="115" t="s">
        <v>20</v>
      </c>
      <c r="AJ2" s="115" t="s">
        <v>170</v>
      </c>
      <c r="AK2" s="115" t="s">
        <v>241</v>
      </c>
      <c r="AL2" s="114" t="s">
        <v>324</v>
      </c>
      <c r="AM2" s="113" t="s">
        <v>482</v>
      </c>
      <c r="AN2" s="113" t="s">
        <v>481</v>
      </c>
      <c r="AO2" s="118" t="s">
        <v>612</v>
      </c>
      <c r="AP2" s="118" t="s">
        <v>613</v>
      </c>
      <c r="AQ2" s="113" t="s">
        <v>614</v>
      </c>
      <c r="AR2" s="113" t="s">
        <v>615</v>
      </c>
      <c r="AS2" s="113" t="s">
        <v>616</v>
      </c>
      <c r="AT2" s="113" t="s">
        <v>617</v>
      </c>
      <c r="AU2" s="113" t="s">
        <v>618</v>
      </c>
      <c r="AV2" s="113" t="s">
        <v>619</v>
      </c>
      <c r="AW2" s="113" t="s">
        <v>620</v>
      </c>
      <c r="AX2" s="113" t="s">
        <v>775</v>
      </c>
      <c r="AY2" s="113" t="s">
        <v>623</v>
      </c>
      <c r="BA2" s="232">
        <v>44713</v>
      </c>
      <c r="BB2" s="232">
        <v>44621</v>
      </c>
      <c r="BC2" s="232">
        <v>44531</v>
      </c>
      <c r="BD2" s="232">
        <v>44440</v>
      </c>
      <c r="BE2" s="232">
        <v>44348</v>
      </c>
    </row>
    <row r="3" spans="1:57" ht="39.950000000000003" customHeight="1" x14ac:dyDescent="0.2">
      <c r="A3" s="111" t="s">
        <v>25</v>
      </c>
      <c r="B3" s="65" t="s">
        <v>24</v>
      </c>
      <c r="C3" s="110" t="s">
        <v>34</v>
      </c>
      <c r="D3" s="111" t="s">
        <v>34</v>
      </c>
      <c r="E3" s="68" t="s">
        <v>34</v>
      </c>
      <c r="F3" s="14" t="s">
        <v>543</v>
      </c>
      <c r="G3" s="14" t="s">
        <v>97</v>
      </c>
      <c r="H3" s="14" t="s">
        <v>186</v>
      </c>
      <c r="I3" s="66" t="s">
        <v>26</v>
      </c>
      <c r="J3" s="66" t="s">
        <v>26</v>
      </c>
      <c r="K3" s="13" t="s">
        <v>45</v>
      </c>
      <c r="L3" s="65" t="s">
        <v>191</v>
      </c>
      <c r="M3" s="65" t="s">
        <v>323</v>
      </c>
      <c r="N3" s="65" t="s">
        <v>43</v>
      </c>
      <c r="O3" s="65" t="s">
        <v>531</v>
      </c>
      <c r="P3" s="65" t="s">
        <v>534</v>
      </c>
      <c r="Q3" s="64" t="s">
        <v>8</v>
      </c>
      <c r="R3" s="62">
        <v>10000</v>
      </c>
      <c r="S3" s="62">
        <v>6345.2479999999996</v>
      </c>
      <c r="T3" s="62">
        <v>6345.2479999999996</v>
      </c>
      <c r="U3" s="62">
        <v>32395.415789999999</v>
      </c>
      <c r="V3" s="62">
        <v>782554.47</v>
      </c>
      <c r="W3" s="61" t="s">
        <v>11</v>
      </c>
      <c r="X3" s="236">
        <v>1.6666666666666666E-2</v>
      </c>
      <c r="Y3" s="105">
        <v>41884</v>
      </c>
      <c r="Z3" s="60">
        <v>44806</v>
      </c>
      <c r="AA3" s="60">
        <v>45173</v>
      </c>
      <c r="AB3" s="58">
        <v>3290</v>
      </c>
      <c r="AC3" s="59" t="s">
        <v>10</v>
      </c>
      <c r="AD3" s="58">
        <v>431</v>
      </c>
      <c r="AE3" s="57">
        <v>1.1808219178082191</v>
      </c>
      <c r="AF3" s="56"/>
      <c r="AG3" s="71" t="s">
        <v>1</v>
      </c>
      <c r="AH3" s="71" t="s">
        <v>1</v>
      </c>
      <c r="AI3" s="71" t="s">
        <v>250</v>
      </c>
      <c r="AJ3" s="11" t="s">
        <v>0</v>
      </c>
      <c r="AK3" s="11" t="s">
        <v>271</v>
      </c>
      <c r="AL3" s="14" t="s">
        <v>327</v>
      </c>
      <c r="AM3" s="11">
        <v>25104.400000000001</v>
      </c>
      <c r="AN3" s="11">
        <v>45000</v>
      </c>
      <c r="AO3" s="197" t="s">
        <v>34</v>
      </c>
      <c r="AP3" s="198" t="s">
        <v>543</v>
      </c>
      <c r="AS3" s="212">
        <v>0</v>
      </c>
      <c r="AT3" s="212">
        <v>761.42975999999987</v>
      </c>
      <c r="AU3" s="212" t="b">
        <v>0</v>
      </c>
      <c r="AV3" s="212"/>
      <c r="AW3" s="212">
        <v>0</v>
      </c>
      <c r="AX3" s="212">
        <v>0</v>
      </c>
      <c r="BA3" s="11">
        <v>0</v>
      </c>
      <c r="BB3" s="212">
        <v>0</v>
      </c>
      <c r="BD3" s="11">
        <v>0</v>
      </c>
    </row>
    <row r="4" spans="1:57" ht="39.950000000000003" customHeight="1" x14ac:dyDescent="0.2">
      <c r="A4" s="13" t="s">
        <v>30</v>
      </c>
      <c r="B4" s="65" t="s">
        <v>24</v>
      </c>
      <c r="C4" s="66" t="s">
        <v>34</v>
      </c>
      <c r="D4" s="14" t="s">
        <v>34</v>
      </c>
      <c r="E4" s="68" t="s">
        <v>34</v>
      </c>
      <c r="F4" s="66" t="s">
        <v>545</v>
      </c>
      <c r="G4" s="66" t="s">
        <v>85</v>
      </c>
      <c r="H4" s="66" t="s">
        <v>99</v>
      </c>
      <c r="I4" s="66" t="s">
        <v>232</v>
      </c>
      <c r="J4" s="66" t="s">
        <v>21</v>
      </c>
      <c r="K4" s="13" t="s">
        <v>139</v>
      </c>
      <c r="L4" s="65" t="s">
        <v>191</v>
      </c>
      <c r="M4" s="65" t="s">
        <v>323</v>
      </c>
      <c r="N4" s="65" t="s">
        <v>43</v>
      </c>
      <c r="O4" s="65" t="s">
        <v>538</v>
      </c>
      <c r="P4" s="65" t="s">
        <v>534</v>
      </c>
      <c r="Q4" s="64" t="s">
        <v>8</v>
      </c>
      <c r="R4" s="62">
        <v>25000</v>
      </c>
      <c r="S4" s="79">
        <v>19100</v>
      </c>
      <c r="T4" s="62">
        <v>19100</v>
      </c>
      <c r="U4" s="62">
        <v>50000</v>
      </c>
      <c r="V4" s="62">
        <v>3042895.94</v>
      </c>
      <c r="W4" s="61" t="s">
        <v>551</v>
      </c>
      <c r="X4" s="236">
        <v>2.7500000000000004E-2</v>
      </c>
      <c r="Y4" s="105">
        <v>42152</v>
      </c>
      <c r="Z4" s="105">
        <v>45441</v>
      </c>
      <c r="AA4" s="60">
        <v>45441</v>
      </c>
      <c r="AB4" s="58">
        <v>3290</v>
      </c>
      <c r="AC4" s="59" t="s">
        <v>10</v>
      </c>
      <c r="AD4" s="58">
        <v>699</v>
      </c>
      <c r="AE4" s="57">
        <v>1.9150684931506849</v>
      </c>
      <c r="AF4" s="56" t="s">
        <v>436</v>
      </c>
      <c r="AG4" s="71" t="s">
        <v>1</v>
      </c>
      <c r="AH4" s="71" t="s">
        <v>1</v>
      </c>
      <c r="AI4" s="71" t="s">
        <v>0</v>
      </c>
      <c r="AJ4" s="11" t="s">
        <v>0</v>
      </c>
      <c r="AK4" s="11" t="s">
        <v>271</v>
      </c>
      <c r="AL4" s="13" t="s">
        <v>328</v>
      </c>
      <c r="AM4" s="11">
        <v>15700</v>
      </c>
      <c r="AN4" s="213">
        <v>50000</v>
      </c>
      <c r="AO4" s="197" t="s">
        <v>34</v>
      </c>
      <c r="AP4" s="198" t="s">
        <v>545</v>
      </c>
      <c r="AQ4" s="199">
        <v>1</v>
      </c>
      <c r="AR4" s="214">
        <v>2.5000000000000001E-2</v>
      </c>
      <c r="AS4" s="212">
        <v>477.5</v>
      </c>
      <c r="AT4" s="212">
        <v>2292</v>
      </c>
      <c r="AU4" s="212">
        <v>458.40000000000003</v>
      </c>
      <c r="AV4" s="212"/>
      <c r="AW4" s="212">
        <v>477.5</v>
      </c>
      <c r="AX4" s="212">
        <v>477.5</v>
      </c>
      <c r="AY4" s="12"/>
      <c r="BA4" s="212">
        <v>477.5</v>
      </c>
      <c r="BB4" s="212">
        <v>477.5</v>
      </c>
      <c r="BC4" s="212">
        <v>1134.7452000000001</v>
      </c>
      <c r="BD4" s="226">
        <v>1134.7452000000001</v>
      </c>
      <c r="BE4" s="226">
        <v>1134.7452000000001</v>
      </c>
    </row>
    <row r="5" spans="1:57" ht="39.950000000000003" customHeight="1" x14ac:dyDescent="0.2">
      <c r="A5" s="14" t="s">
        <v>31</v>
      </c>
      <c r="B5" s="65" t="s">
        <v>23</v>
      </c>
      <c r="C5" s="66" t="s">
        <v>34</v>
      </c>
      <c r="D5" s="14" t="s">
        <v>34</v>
      </c>
      <c r="E5" s="68" t="s">
        <v>34</v>
      </c>
      <c r="F5" s="66" t="s">
        <v>106</v>
      </c>
      <c r="G5" s="66" t="s">
        <v>106</v>
      </c>
      <c r="H5" s="66" t="s">
        <v>129</v>
      </c>
      <c r="I5" s="66" t="s">
        <v>3</v>
      </c>
      <c r="J5" s="66" t="s">
        <v>3</v>
      </c>
      <c r="K5" s="13" t="s">
        <v>13</v>
      </c>
      <c r="L5" s="65" t="s">
        <v>191</v>
      </c>
      <c r="M5" s="65" t="s">
        <v>323</v>
      </c>
      <c r="N5" s="13" t="s">
        <v>42</v>
      </c>
      <c r="O5" s="13" t="s">
        <v>538</v>
      </c>
      <c r="P5" s="13" t="s">
        <v>532</v>
      </c>
      <c r="Q5" s="64" t="s">
        <v>8</v>
      </c>
      <c r="R5" s="62">
        <v>18000</v>
      </c>
      <c r="S5" s="76">
        <v>406.8</v>
      </c>
      <c r="T5" s="79">
        <v>406.8</v>
      </c>
      <c r="U5" s="62">
        <v>406.8</v>
      </c>
      <c r="V5" s="79">
        <v>2716834.5552336448</v>
      </c>
      <c r="W5" s="61" t="s">
        <v>11</v>
      </c>
      <c r="X5" s="236">
        <v>2.75E-2</v>
      </c>
      <c r="Y5" s="60">
        <v>42339</v>
      </c>
      <c r="Z5" s="105">
        <v>43465</v>
      </c>
      <c r="AA5" s="105">
        <v>44946</v>
      </c>
      <c r="AB5" s="58">
        <v>2608</v>
      </c>
      <c r="AC5" s="59" t="s">
        <v>10</v>
      </c>
      <c r="AD5" s="58">
        <v>204</v>
      </c>
      <c r="AE5" s="57">
        <v>0.55890410958904113</v>
      </c>
      <c r="AF5" s="56"/>
      <c r="AG5" s="71" t="s">
        <v>1</v>
      </c>
      <c r="AH5" s="71" t="s">
        <v>1</v>
      </c>
      <c r="AI5" s="71" t="s">
        <v>762</v>
      </c>
      <c r="AJ5" s="11" t="s">
        <v>0</v>
      </c>
      <c r="AK5" s="11" t="s">
        <v>271</v>
      </c>
      <c r="AL5" s="14" t="s">
        <v>329</v>
      </c>
      <c r="AM5" s="11">
        <v>13812.1</v>
      </c>
      <c r="AO5" s="197" t="s">
        <v>34</v>
      </c>
      <c r="AP5" s="198" t="s">
        <v>106</v>
      </c>
      <c r="AS5" s="212">
        <v>0</v>
      </c>
      <c r="AT5" s="212">
        <v>48.816000000000003</v>
      </c>
      <c r="AU5" s="212" t="b">
        <v>0</v>
      </c>
      <c r="AV5" s="212"/>
      <c r="AW5" s="212">
        <v>0</v>
      </c>
      <c r="AX5" s="212">
        <v>0</v>
      </c>
      <c r="BA5" s="212">
        <v>0</v>
      </c>
      <c r="BB5" s="212">
        <v>0</v>
      </c>
      <c r="BC5" s="212">
        <v>0</v>
      </c>
      <c r="BD5" s="226">
        <v>0</v>
      </c>
      <c r="BE5" s="226"/>
    </row>
    <row r="6" spans="1:57" ht="39.950000000000003" customHeight="1" x14ac:dyDescent="0.2">
      <c r="A6" s="13" t="s">
        <v>57</v>
      </c>
      <c r="B6" s="65" t="s">
        <v>24</v>
      </c>
      <c r="C6" s="66" t="s">
        <v>89</v>
      </c>
      <c r="D6" s="14" t="s">
        <v>542</v>
      </c>
      <c r="E6" s="77" t="s">
        <v>89</v>
      </c>
      <c r="F6" s="14" t="s">
        <v>92</v>
      </c>
      <c r="G6" s="14" t="s">
        <v>108</v>
      </c>
      <c r="H6" s="66" t="s">
        <v>109</v>
      </c>
      <c r="I6" s="66" t="s">
        <v>58</v>
      </c>
      <c r="J6" s="66" t="s">
        <v>220</v>
      </c>
      <c r="K6" s="13" t="s">
        <v>29</v>
      </c>
      <c r="L6" s="65" t="s">
        <v>191</v>
      </c>
      <c r="M6" s="13" t="s">
        <v>59</v>
      </c>
      <c r="N6" s="65" t="s">
        <v>43</v>
      </c>
      <c r="O6" s="65" t="s">
        <v>539</v>
      </c>
      <c r="P6" s="65" t="s">
        <v>534</v>
      </c>
      <c r="Q6" s="64" t="s">
        <v>59</v>
      </c>
      <c r="R6" s="62">
        <v>22286.353197147346</v>
      </c>
      <c r="S6" s="63">
        <v>7541.8959999999997</v>
      </c>
      <c r="T6" s="79">
        <v>11395.346307264595</v>
      </c>
      <c r="U6" s="62">
        <v>58684.102067784319</v>
      </c>
      <c r="V6" s="79">
        <v>778552.21805874538</v>
      </c>
      <c r="W6" s="61" t="s">
        <v>11</v>
      </c>
      <c r="X6" s="236">
        <v>1.6666666666666666E-2</v>
      </c>
      <c r="Y6" s="60">
        <v>42877</v>
      </c>
      <c r="Z6" s="60">
        <v>43242</v>
      </c>
      <c r="AA6" s="60">
        <v>44703</v>
      </c>
      <c r="AB6" s="58">
        <v>1827</v>
      </c>
      <c r="AC6" s="59" t="s">
        <v>1</v>
      </c>
      <c r="AD6" s="58">
        <v>-39</v>
      </c>
      <c r="AE6" s="57">
        <v>-0.10684931506849316</v>
      </c>
      <c r="AF6" s="56"/>
      <c r="AG6" s="71" t="s">
        <v>1</v>
      </c>
      <c r="AH6" s="71" t="s">
        <v>1</v>
      </c>
      <c r="AI6" s="71" t="s">
        <v>766</v>
      </c>
      <c r="AJ6" s="11" t="s">
        <v>672</v>
      </c>
      <c r="AK6" s="11" t="s">
        <v>271</v>
      </c>
      <c r="AL6" s="13" t="s">
        <v>330</v>
      </c>
      <c r="AM6" s="11">
        <v>29400</v>
      </c>
      <c r="AN6" s="11">
        <v>60000</v>
      </c>
      <c r="AO6" s="197" t="s">
        <v>89</v>
      </c>
      <c r="AP6" s="198" t="s">
        <v>92</v>
      </c>
      <c r="AS6" s="212">
        <v>0</v>
      </c>
      <c r="AT6" s="212">
        <v>1367.4415568717513</v>
      </c>
      <c r="AU6" s="212" t="b">
        <v>0</v>
      </c>
      <c r="AV6" s="212"/>
      <c r="AW6" s="212">
        <v>0</v>
      </c>
      <c r="AX6" s="212">
        <v>0</v>
      </c>
      <c r="BA6" s="212">
        <v>0</v>
      </c>
      <c r="BB6" s="212">
        <v>0</v>
      </c>
      <c r="BC6" s="212">
        <v>0</v>
      </c>
      <c r="BD6" s="226">
        <v>0</v>
      </c>
      <c r="BE6" s="226"/>
    </row>
    <row r="7" spans="1:57" ht="39.950000000000003" customHeight="1" x14ac:dyDescent="0.2">
      <c r="A7" s="13" t="s">
        <v>62</v>
      </c>
      <c r="B7" s="65" t="s">
        <v>24</v>
      </c>
      <c r="C7" s="66" t="s">
        <v>37</v>
      </c>
      <c r="D7" s="14" t="s">
        <v>540</v>
      </c>
      <c r="E7" s="77" t="s">
        <v>90</v>
      </c>
      <c r="F7" s="14" t="s">
        <v>102</v>
      </c>
      <c r="G7" s="14" t="s">
        <v>102</v>
      </c>
      <c r="H7" s="66" t="s">
        <v>110</v>
      </c>
      <c r="I7" s="66" t="s">
        <v>55</v>
      </c>
      <c r="J7" s="66" t="s">
        <v>218</v>
      </c>
      <c r="K7" s="13" t="s">
        <v>101</v>
      </c>
      <c r="L7" s="65" t="s">
        <v>191</v>
      </c>
      <c r="M7" s="13" t="s">
        <v>323</v>
      </c>
      <c r="N7" s="13" t="s">
        <v>43</v>
      </c>
      <c r="O7" s="13" t="s">
        <v>531</v>
      </c>
      <c r="P7" s="13" t="s">
        <v>534</v>
      </c>
      <c r="Q7" s="64" t="s">
        <v>59</v>
      </c>
      <c r="R7" s="62">
        <v>30218.783996131995</v>
      </c>
      <c r="S7" s="63">
        <v>16680</v>
      </c>
      <c r="T7" s="62">
        <v>25202.465852774087</v>
      </c>
      <c r="U7" s="62">
        <v>126012.32926387043</v>
      </c>
      <c r="V7" s="62">
        <v>2127310.2260365044</v>
      </c>
      <c r="W7" s="61" t="s">
        <v>11</v>
      </c>
      <c r="X7" s="236">
        <v>2.2166666666666668E-2</v>
      </c>
      <c r="Y7" s="60">
        <v>42879</v>
      </c>
      <c r="Z7" s="105">
        <v>45084</v>
      </c>
      <c r="AA7" s="105">
        <v>45084</v>
      </c>
      <c r="AB7" s="58">
        <v>2206</v>
      </c>
      <c r="AC7" s="59" t="s">
        <v>10</v>
      </c>
      <c r="AD7" s="58">
        <v>342</v>
      </c>
      <c r="AE7" s="57">
        <v>0.93698630136986305</v>
      </c>
      <c r="AF7" s="56"/>
      <c r="AG7" s="71" t="s">
        <v>1</v>
      </c>
      <c r="AH7" s="71" t="s">
        <v>1</v>
      </c>
      <c r="AI7" s="71" t="s">
        <v>0</v>
      </c>
      <c r="AJ7" s="11" t="s">
        <v>0</v>
      </c>
      <c r="AK7" s="11" t="s">
        <v>271</v>
      </c>
      <c r="AL7" s="13" t="s">
        <v>331</v>
      </c>
      <c r="AM7" s="11">
        <v>10000</v>
      </c>
      <c r="AN7" s="11">
        <v>120000</v>
      </c>
      <c r="AO7" s="197" t="s">
        <v>90</v>
      </c>
      <c r="AP7" s="198" t="s">
        <v>102</v>
      </c>
      <c r="AS7" s="212">
        <v>0</v>
      </c>
      <c r="AT7" s="212">
        <v>3024.2959023328904</v>
      </c>
      <c r="AU7" s="212" t="b">
        <v>0</v>
      </c>
      <c r="AV7" s="212"/>
      <c r="AW7" s="212">
        <v>0</v>
      </c>
      <c r="AX7" s="212">
        <v>0</v>
      </c>
      <c r="BA7" s="212">
        <v>0</v>
      </c>
      <c r="BB7" s="212">
        <v>0</v>
      </c>
      <c r="BC7" s="212">
        <v>0</v>
      </c>
      <c r="BD7" s="226">
        <v>0</v>
      </c>
      <c r="BE7" s="226"/>
    </row>
    <row r="8" spans="1:57" ht="39.950000000000003" customHeight="1" x14ac:dyDescent="0.2">
      <c r="A8" s="13" t="s">
        <v>64</v>
      </c>
      <c r="B8" s="65" t="s">
        <v>24</v>
      </c>
      <c r="C8" s="66" t="s">
        <v>37</v>
      </c>
      <c r="D8" s="14" t="s">
        <v>34</v>
      </c>
      <c r="E8" s="77" t="s">
        <v>34</v>
      </c>
      <c r="F8" s="14" t="s">
        <v>104</v>
      </c>
      <c r="G8" s="14" t="s">
        <v>111</v>
      </c>
      <c r="H8" s="14" t="s">
        <v>113</v>
      </c>
      <c r="I8" s="146" t="s">
        <v>526</v>
      </c>
      <c r="J8" s="66" t="s">
        <v>221</v>
      </c>
      <c r="K8" s="13" t="s">
        <v>140</v>
      </c>
      <c r="L8" s="65" t="s">
        <v>191</v>
      </c>
      <c r="M8" s="13" t="s">
        <v>323</v>
      </c>
      <c r="N8" s="13" t="s">
        <v>43</v>
      </c>
      <c r="O8" s="13" t="s">
        <v>531</v>
      </c>
      <c r="P8" s="165" t="s">
        <v>534</v>
      </c>
      <c r="Q8" s="237" t="s">
        <v>9</v>
      </c>
      <c r="R8" s="73">
        <v>14721.469791543988</v>
      </c>
      <c r="S8" s="63">
        <v>21266.213</v>
      </c>
      <c r="T8" s="62">
        <v>31306.991226004004</v>
      </c>
      <c r="U8" s="62">
        <v>220822.04687315982</v>
      </c>
      <c r="V8" s="62">
        <v>1362477.9914026617</v>
      </c>
      <c r="W8" s="106" t="s">
        <v>11</v>
      </c>
      <c r="X8" s="236">
        <v>1.6E-2</v>
      </c>
      <c r="Y8" s="60">
        <v>42909</v>
      </c>
      <c r="Z8" s="60">
        <v>45100</v>
      </c>
      <c r="AA8" s="238">
        <v>45152</v>
      </c>
      <c r="AB8" s="58">
        <v>2243</v>
      </c>
      <c r="AC8" s="59" t="s">
        <v>10</v>
      </c>
      <c r="AD8" s="58">
        <v>410</v>
      </c>
      <c r="AE8" s="57">
        <v>1.1232876712328768</v>
      </c>
      <c r="AF8" s="56"/>
      <c r="AG8" s="71" t="s">
        <v>1</v>
      </c>
      <c r="AH8" s="71" t="s">
        <v>1</v>
      </c>
      <c r="AI8" s="70" t="s">
        <v>251</v>
      </c>
      <c r="AJ8" s="11" t="s">
        <v>0</v>
      </c>
      <c r="AK8" s="11" t="s">
        <v>271</v>
      </c>
      <c r="AL8" s="13" t="s">
        <v>332</v>
      </c>
      <c r="AM8" s="11">
        <v>12500</v>
      </c>
      <c r="AN8" s="11">
        <v>90000</v>
      </c>
      <c r="AO8" s="197" t="s">
        <v>34</v>
      </c>
      <c r="AP8" s="198" t="s">
        <v>104</v>
      </c>
      <c r="AS8" s="212">
        <v>0</v>
      </c>
      <c r="AT8" s="212">
        <v>3756.8389471204805</v>
      </c>
      <c r="AU8" s="212" t="b">
        <v>0</v>
      </c>
      <c r="AV8" s="212"/>
      <c r="AW8" s="212">
        <v>0</v>
      </c>
      <c r="AX8" s="212">
        <v>0</v>
      </c>
      <c r="BA8" s="212">
        <v>0</v>
      </c>
      <c r="BB8" s="212">
        <v>0</v>
      </c>
      <c r="BC8" s="212">
        <v>0</v>
      </c>
      <c r="BD8" s="226">
        <v>0</v>
      </c>
      <c r="BE8" s="226"/>
    </row>
    <row r="9" spans="1:57" ht="39.950000000000003" customHeight="1" x14ac:dyDescent="0.2">
      <c r="A9" s="13" t="s">
        <v>65</v>
      </c>
      <c r="B9" s="65" t="s">
        <v>24</v>
      </c>
      <c r="C9" s="66" t="s">
        <v>38</v>
      </c>
      <c r="D9" s="14" t="s">
        <v>540</v>
      </c>
      <c r="E9" s="68" t="s">
        <v>35</v>
      </c>
      <c r="F9" s="14" t="s">
        <v>106</v>
      </c>
      <c r="G9" s="14" t="s">
        <v>106</v>
      </c>
      <c r="H9" s="66" t="s">
        <v>107</v>
      </c>
      <c r="I9" s="14" t="s">
        <v>300</v>
      </c>
      <c r="J9" s="66" t="s">
        <v>218</v>
      </c>
      <c r="K9" s="13" t="s">
        <v>101</v>
      </c>
      <c r="L9" s="65" t="s">
        <v>191</v>
      </c>
      <c r="M9" s="13" t="s">
        <v>323</v>
      </c>
      <c r="N9" s="65" t="s">
        <v>43</v>
      </c>
      <c r="O9" s="65" t="s">
        <v>531</v>
      </c>
      <c r="P9" s="65" t="s">
        <v>534</v>
      </c>
      <c r="Q9" s="64" t="s">
        <v>66</v>
      </c>
      <c r="R9" s="73">
        <v>18545.306183005083</v>
      </c>
      <c r="S9" s="63">
        <v>1000000</v>
      </c>
      <c r="T9" s="79">
        <v>18545.306183005083</v>
      </c>
      <c r="U9" s="62">
        <v>108418.71306987587</v>
      </c>
      <c r="V9" s="79">
        <v>2590649.2340788548</v>
      </c>
      <c r="W9" s="106" t="s">
        <v>551</v>
      </c>
      <c r="X9" s="236">
        <v>5.9166666666666666E-2</v>
      </c>
      <c r="Y9" s="105">
        <v>43013</v>
      </c>
      <c r="Z9" s="60">
        <v>44839</v>
      </c>
      <c r="AA9" s="60">
        <v>44846</v>
      </c>
      <c r="AB9" s="58">
        <v>1833</v>
      </c>
      <c r="AC9" s="59" t="s">
        <v>10</v>
      </c>
      <c r="AD9" s="58">
        <v>104</v>
      </c>
      <c r="AE9" s="57">
        <v>0.28493150684931506</v>
      </c>
      <c r="AF9" s="56"/>
      <c r="AG9" s="71" t="s">
        <v>1</v>
      </c>
      <c r="AH9" s="71" t="s">
        <v>1</v>
      </c>
      <c r="AI9" s="70" t="s">
        <v>600</v>
      </c>
      <c r="AJ9" s="11" t="s">
        <v>0</v>
      </c>
      <c r="AK9" s="11" t="s">
        <v>271</v>
      </c>
      <c r="AL9" s="13" t="s">
        <v>333</v>
      </c>
      <c r="AM9" s="11">
        <v>50222.729999999996</v>
      </c>
      <c r="AO9" s="197" t="s">
        <v>35</v>
      </c>
      <c r="AP9" s="198" t="s">
        <v>106</v>
      </c>
      <c r="AQ9" s="11">
        <v>1</v>
      </c>
      <c r="AR9" s="214">
        <v>0.25</v>
      </c>
      <c r="AS9" s="212">
        <v>4636.3265457512707</v>
      </c>
      <c r="AT9" s="212">
        <v>2225.4367419606097</v>
      </c>
      <c r="AU9" s="212" t="b">
        <v>0</v>
      </c>
      <c r="AV9" s="212"/>
      <c r="AW9" s="212">
        <v>2225.4367419606097</v>
      </c>
      <c r="AX9" s="212">
        <v>2116.5141012751997</v>
      </c>
      <c r="AY9" s="12" t="s">
        <v>819</v>
      </c>
      <c r="BA9" s="212">
        <v>2225.4367419606097</v>
      </c>
      <c r="BB9" s="212">
        <v>2116.5141012751997</v>
      </c>
      <c r="BC9" s="212">
        <v>1404.4154822762766</v>
      </c>
      <c r="BD9" s="226">
        <v>983.09083759339376</v>
      </c>
      <c r="BE9" s="226">
        <v>605.7781919850886</v>
      </c>
    </row>
    <row r="10" spans="1:57" ht="39.950000000000003" customHeight="1" x14ac:dyDescent="0.2">
      <c r="A10" s="14" t="s">
        <v>207</v>
      </c>
      <c r="B10" s="65" t="s">
        <v>51</v>
      </c>
      <c r="C10" s="66" t="s">
        <v>127</v>
      </c>
      <c r="D10" s="14" t="s">
        <v>542</v>
      </c>
      <c r="E10" s="68" t="s">
        <v>127</v>
      </c>
      <c r="F10" s="66" t="s">
        <v>102</v>
      </c>
      <c r="G10" s="66" t="s">
        <v>102</v>
      </c>
      <c r="H10" s="66" t="s">
        <v>122</v>
      </c>
      <c r="I10" s="14" t="s">
        <v>158</v>
      </c>
      <c r="J10" s="66" t="s">
        <v>220</v>
      </c>
      <c r="K10" s="13" t="s">
        <v>101</v>
      </c>
      <c r="L10" s="65" t="s">
        <v>191</v>
      </c>
      <c r="M10" s="65" t="s">
        <v>59</v>
      </c>
      <c r="N10" s="65" t="s">
        <v>43</v>
      </c>
      <c r="O10" s="65" t="s">
        <v>533</v>
      </c>
      <c r="P10" s="65" t="s">
        <v>534</v>
      </c>
      <c r="Q10" s="64" t="s">
        <v>59</v>
      </c>
      <c r="R10" s="62">
        <v>30218.783996131995</v>
      </c>
      <c r="S10" s="63">
        <v>20000</v>
      </c>
      <c r="T10" s="62">
        <v>30218.783996131995</v>
      </c>
      <c r="U10" s="62">
        <v>264414.35996615497</v>
      </c>
      <c r="V10" s="62">
        <v>2304685.4224586003</v>
      </c>
      <c r="W10" s="61" t="s">
        <v>551</v>
      </c>
      <c r="X10" s="236">
        <v>0.01</v>
      </c>
      <c r="Y10" s="105">
        <v>43070</v>
      </c>
      <c r="Z10" s="60">
        <v>46689</v>
      </c>
      <c r="AA10" s="60">
        <v>46689</v>
      </c>
      <c r="AB10" s="58">
        <v>3620</v>
      </c>
      <c r="AC10" s="59" t="s">
        <v>10</v>
      </c>
      <c r="AD10" s="58">
        <v>1947</v>
      </c>
      <c r="AE10" s="57">
        <v>5.3342465753424655</v>
      </c>
      <c r="AF10" s="56"/>
      <c r="AG10" s="71" t="s">
        <v>1</v>
      </c>
      <c r="AH10" s="71" t="s">
        <v>1</v>
      </c>
      <c r="AI10" s="71" t="s">
        <v>0</v>
      </c>
      <c r="AJ10" s="11" t="s">
        <v>0</v>
      </c>
      <c r="AK10" s="11" t="s">
        <v>271</v>
      </c>
      <c r="AL10" s="14" t="s">
        <v>334</v>
      </c>
      <c r="AM10" s="11">
        <v>16300</v>
      </c>
      <c r="AO10" s="197" t="s">
        <v>127</v>
      </c>
      <c r="AP10" s="198" t="s">
        <v>102</v>
      </c>
      <c r="AS10" s="212">
        <v>0</v>
      </c>
      <c r="AT10" s="212">
        <v>3626.2540795358391</v>
      </c>
      <c r="AU10" s="212" t="b">
        <v>0</v>
      </c>
      <c r="AV10" s="212"/>
      <c r="AW10" s="212">
        <v>0</v>
      </c>
      <c r="AX10" s="212">
        <v>0</v>
      </c>
      <c r="BA10" s="212">
        <v>0</v>
      </c>
      <c r="BB10" s="212">
        <v>0</v>
      </c>
      <c r="BC10" s="212">
        <v>0</v>
      </c>
      <c r="BD10" s="226">
        <v>0</v>
      </c>
      <c r="BE10" s="226"/>
    </row>
    <row r="11" spans="1:57" ht="39.950000000000003" customHeight="1" x14ac:dyDescent="0.2">
      <c r="A11" s="14" t="s">
        <v>69</v>
      </c>
      <c r="B11" s="65" t="s">
        <v>23</v>
      </c>
      <c r="C11" s="66" t="s">
        <v>47</v>
      </c>
      <c r="D11" s="14" t="s">
        <v>469</v>
      </c>
      <c r="E11" s="77" t="s">
        <v>128</v>
      </c>
      <c r="F11" s="14" t="s">
        <v>48</v>
      </c>
      <c r="G11" s="14" t="s">
        <v>95</v>
      </c>
      <c r="H11" s="68" t="s">
        <v>447</v>
      </c>
      <c r="I11" s="14" t="s">
        <v>32</v>
      </c>
      <c r="J11" s="14" t="s">
        <v>33</v>
      </c>
      <c r="K11" s="13" t="s">
        <v>140</v>
      </c>
      <c r="L11" s="65" t="s">
        <v>191</v>
      </c>
      <c r="M11" s="13" t="s">
        <v>323</v>
      </c>
      <c r="N11" s="13" t="s">
        <v>43</v>
      </c>
      <c r="O11" s="13" t="s">
        <v>533</v>
      </c>
      <c r="P11" s="13" t="s">
        <v>534</v>
      </c>
      <c r="Q11" s="64" t="s">
        <v>9</v>
      </c>
      <c r="R11" s="62">
        <v>29442.939583087977</v>
      </c>
      <c r="S11" s="63">
        <v>14289.456</v>
      </c>
      <c r="T11" s="79">
        <v>21036.1794841597</v>
      </c>
      <c r="U11" s="62">
        <v>193955.36450359205</v>
      </c>
      <c r="V11" s="79">
        <v>1820950.56530444</v>
      </c>
      <c r="W11" s="61" t="s">
        <v>11</v>
      </c>
      <c r="X11" s="236">
        <v>1.9833333333333331E-2</v>
      </c>
      <c r="Y11" s="60">
        <v>43076</v>
      </c>
      <c r="Z11" s="60">
        <v>46751</v>
      </c>
      <c r="AA11" s="60">
        <v>46751</v>
      </c>
      <c r="AB11" s="58">
        <v>3676</v>
      </c>
      <c r="AC11" s="59" t="s">
        <v>10</v>
      </c>
      <c r="AD11" s="58">
        <v>2009</v>
      </c>
      <c r="AE11" s="57">
        <v>5.5041095890410956</v>
      </c>
      <c r="AF11" s="56"/>
      <c r="AG11" s="71" t="s">
        <v>1</v>
      </c>
      <c r="AH11" s="71" t="s">
        <v>1</v>
      </c>
      <c r="AI11" s="70" t="s">
        <v>569</v>
      </c>
      <c r="AJ11" s="11" t="s">
        <v>0</v>
      </c>
      <c r="AK11" s="11" t="s">
        <v>271</v>
      </c>
      <c r="AL11" s="14" t="s">
        <v>326</v>
      </c>
      <c r="AM11" s="11">
        <v>8817.5</v>
      </c>
      <c r="AO11" s="197" t="s">
        <v>128</v>
      </c>
      <c r="AP11" s="198" t="s">
        <v>48</v>
      </c>
      <c r="AS11" s="212">
        <v>0</v>
      </c>
      <c r="AT11" s="212">
        <v>2524.3415380991642</v>
      </c>
      <c r="AU11" s="212" t="b">
        <v>0</v>
      </c>
      <c r="AV11" s="212"/>
      <c r="AW11" s="212">
        <v>0</v>
      </c>
      <c r="AX11" s="212">
        <v>0</v>
      </c>
      <c r="BA11" s="212">
        <v>0</v>
      </c>
      <c r="BB11" s="212">
        <v>0</v>
      </c>
      <c r="BC11" s="212">
        <v>0</v>
      </c>
      <c r="BD11" s="226">
        <v>0</v>
      </c>
      <c r="BE11" s="226"/>
    </row>
    <row r="12" spans="1:57" ht="39.950000000000003" customHeight="1" x14ac:dyDescent="0.2">
      <c r="A12" s="14" t="s">
        <v>438</v>
      </c>
      <c r="B12" s="65" t="s">
        <v>67</v>
      </c>
      <c r="C12" s="66" t="s">
        <v>87</v>
      </c>
      <c r="D12" s="14" t="s">
        <v>542</v>
      </c>
      <c r="E12" s="77" t="s">
        <v>87</v>
      </c>
      <c r="F12" s="14" t="s">
        <v>102</v>
      </c>
      <c r="G12" s="14" t="s">
        <v>102</v>
      </c>
      <c r="H12" s="66" t="s">
        <v>122</v>
      </c>
      <c r="I12" s="14" t="s">
        <v>78</v>
      </c>
      <c r="J12" s="14" t="s">
        <v>219</v>
      </c>
      <c r="K12" s="13" t="s">
        <v>101</v>
      </c>
      <c r="L12" s="65" t="s">
        <v>191</v>
      </c>
      <c r="M12" s="13" t="s">
        <v>59</v>
      </c>
      <c r="N12" s="13" t="s">
        <v>43</v>
      </c>
      <c r="O12" s="13" t="s">
        <v>538</v>
      </c>
      <c r="P12" s="13" t="s">
        <v>534</v>
      </c>
      <c r="Q12" s="64" t="s">
        <v>156</v>
      </c>
      <c r="R12" s="62">
        <v>26389.866291344122</v>
      </c>
      <c r="S12" s="63">
        <v>15000</v>
      </c>
      <c r="T12" s="79">
        <v>26389.866291344122</v>
      </c>
      <c r="U12" s="62">
        <v>59817.030260380016</v>
      </c>
      <c r="V12" s="76">
        <v>1583883.1280788179</v>
      </c>
      <c r="W12" s="61" t="s">
        <v>11</v>
      </c>
      <c r="X12" s="236">
        <v>1.8499999999999999E-2</v>
      </c>
      <c r="Y12" s="60">
        <v>43228</v>
      </c>
      <c r="Z12" s="60">
        <v>45054</v>
      </c>
      <c r="AA12" s="60">
        <v>45054</v>
      </c>
      <c r="AB12" s="58">
        <v>1827</v>
      </c>
      <c r="AC12" s="84" t="s">
        <v>10</v>
      </c>
      <c r="AD12" s="58">
        <v>312</v>
      </c>
      <c r="AE12" s="57">
        <v>0.85479452054794525</v>
      </c>
      <c r="AF12" s="56"/>
      <c r="AG12" s="71" t="s">
        <v>1</v>
      </c>
      <c r="AH12" s="71" t="s">
        <v>1</v>
      </c>
      <c r="AI12" s="71" t="s">
        <v>0</v>
      </c>
      <c r="AJ12" s="11" t="s">
        <v>0</v>
      </c>
      <c r="AK12" s="11" t="s">
        <v>271</v>
      </c>
      <c r="AL12" s="14" t="s">
        <v>340</v>
      </c>
      <c r="AM12" s="11">
        <v>6427.5</v>
      </c>
      <c r="AO12" s="197" t="s">
        <v>87</v>
      </c>
      <c r="AP12" s="198" t="s">
        <v>102</v>
      </c>
      <c r="AS12" s="212">
        <v>0</v>
      </c>
      <c r="AT12" s="212">
        <v>3166.7839549612945</v>
      </c>
      <c r="AU12" s="212" t="b">
        <v>0</v>
      </c>
      <c r="AV12" s="212"/>
      <c r="AW12" s="212">
        <v>0</v>
      </c>
      <c r="AX12" s="212">
        <v>0</v>
      </c>
      <c r="BA12" s="212">
        <v>0</v>
      </c>
      <c r="BB12" s="212">
        <v>0</v>
      </c>
      <c r="BC12" s="212">
        <v>0</v>
      </c>
      <c r="BD12" s="226">
        <v>0</v>
      </c>
      <c r="BE12" s="226"/>
    </row>
    <row r="13" spans="1:57" ht="39.950000000000003" customHeight="1" x14ac:dyDescent="0.2">
      <c r="A13" s="13" t="s">
        <v>137</v>
      </c>
      <c r="B13" s="65" t="s">
        <v>24</v>
      </c>
      <c r="C13" s="66" t="s">
        <v>34</v>
      </c>
      <c r="D13" s="14" t="s">
        <v>34</v>
      </c>
      <c r="E13" s="77" t="s">
        <v>34</v>
      </c>
      <c r="F13" s="14" t="s">
        <v>475</v>
      </c>
      <c r="G13" s="14" t="s">
        <v>138</v>
      </c>
      <c r="H13" s="14" t="s">
        <v>138</v>
      </c>
      <c r="I13" s="14" t="s">
        <v>70</v>
      </c>
      <c r="J13" s="66" t="s">
        <v>218</v>
      </c>
      <c r="K13" s="14" t="s">
        <v>209</v>
      </c>
      <c r="L13" s="65" t="s">
        <v>191</v>
      </c>
      <c r="M13" s="13" t="s">
        <v>323</v>
      </c>
      <c r="N13" s="13" t="s">
        <v>43</v>
      </c>
      <c r="O13" s="13" t="s">
        <v>531</v>
      </c>
      <c r="P13" s="13" t="s">
        <v>534</v>
      </c>
      <c r="Q13" s="64" t="s">
        <v>8</v>
      </c>
      <c r="R13" s="62">
        <v>20000</v>
      </c>
      <c r="S13" s="63">
        <v>20000</v>
      </c>
      <c r="T13" s="79">
        <v>20000</v>
      </c>
      <c r="U13" s="62">
        <v>40000</v>
      </c>
      <c r="V13" s="79">
        <v>2636444</v>
      </c>
      <c r="W13" s="61" t="s">
        <v>11</v>
      </c>
      <c r="X13" s="236">
        <v>5.3499999999999999E-2</v>
      </c>
      <c r="Y13" s="60">
        <v>43273</v>
      </c>
      <c r="Z13" s="60">
        <v>45210</v>
      </c>
      <c r="AA13" s="60">
        <v>45210</v>
      </c>
      <c r="AB13" s="58">
        <v>1938</v>
      </c>
      <c r="AC13" s="84" t="s">
        <v>10</v>
      </c>
      <c r="AD13" s="58">
        <v>468</v>
      </c>
      <c r="AE13" s="57">
        <v>1.2821917808219179</v>
      </c>
      <c r="AF13" s="56"/>
      <c r="AG13" s="71" t="s">
        <v>1</v>
      </c>
      <c r="AH13" s="71" t="s">
        <v>1</v>
      </c>
      <c r="AI13" s="71" t="s">
        <v>0</v>
      </c>
      <c r="AJ13" s="11" t="s">
        <v>0</v>
      </c>
      <c r="AK13" s="11" t="s">
        <v>271</v>
      </c>
      <c r="AL13" s="13" t="s">
        <v>342</v>
      </c>
      <c r="AM13" s="11">
        <v>12137</v>
      </c>
      <c r="AO13" s="197" t="s">
        <v>34</v>
      </c>
      <c r="AP13" s="198" t="s">
        <v>475</v>
      </c>
      <c r="AS13" s="212">
        <v>0</v>
      </c>
      <c r="AT13" s="212">
        <v>2400</v>
      </c>
      <c r="AU13" s="212" t="b">
        <v>0</v>
      </c>
      <c r="AV13" s="212"/>
      <c r="AW13" s="212">
        <v>0</v>
      </c>
      <c r="AX13" s="212">
        <v>0</v>
      </c>
      <c r="BA13" s="212">
        <v>0</v>
      </c>
      <c r="BB13" s="212">
        <v>0</v>
      </c>
      <c r="BC13" s="212">
        <v>0</v>
      </c>
      <c r="BD13" s="226">
        <v>0</v>
      </c>
      <c r="BE13" s="226"/>
    </row>
    <row r="14" spans="1:57" ht="39.950000000000003" customHeight="1" x14ac:dyDescent="0.2">
      <c r="A14" s="13" t="s">
        <v>144</v>
      </c>
      <c r="B14" s="65" t="s">
        <v>23</v>
      </c>
      <c r="C14" s="66" t="s">
        <v>166</v>
      </c>
      <c r="D14" s="14" t="s">
        <v>540</v>
      </c>
      <c r="E14" s="77" t="s">
        <v>36</v>
      </c>
      <c r="F14" s="14" t="s">
        <v>92</v>
      </c>
      <c r="G14" s="14" t="s">
        <v>100</v>
      </c>
      <c r="H14" s="66" t="s">
        <v>100</v>
      </c>
      <c r="I14" s="14" t="s">
        <v>145</v>
      </c>
      <c r="J14" s="66" t="s">
        <v>221</v>
      </c>
      <c r="K14" s="14" t="s">
        <v>44</v>
      </c>
      <c r="L14" s="65" t="s">
        <v>191</v>
      </c>
      <c r="M14" s="13" t="s">
        <v>59</v>
      </c>
      <c r="N14" s="13" t="s">
        <v>43</v>
      </c>
      <c r="O14" s="13" t="s">
        <v>533</v>
      </c>
      <c r="P14" s="13" t="s">
        <v>534</v>
      </c>
      <c r="Q14" s="64" t="s">
        <v>9</v>
      </c>
      <c r="R14" s="62">
        <v>14721.469791543988</v>
      </c>
      <c r="S14" s="63">
        <v>8500</v>
      </c>
      <c r="T14" s="79">
        <v>12513.249322812389</v>
      </c>
      <c r="U14" s="62">
        <v>176657.63749852785</v>
      </c>
      <c r="V14" s="79">
        <v>655192.86597573897</v>
      </c>
      <c r="W14" s="61" t="s">
        <v>551</v>
      </c>
      <c r="X14" s="236">
        <v>2.1000000000000001E-2</v>
      </c>
      <c r="Y14" s="60">
        <v>43279</v>
      </c>
      <c r="Z14" s="60">
        <v>45503</v>
      </c>
      <c r="AA14" s="60">
        <v>45503</v>
      </c>
      <c r="AB14" s="58">
        <v>2225</v>
      </c>
      <c r="AC14" s="59" t="s">
        <v>10</v>
      </c>
      <c r="AD14" s="58">
        <v>761</v>
      </c>
      <c r="AE14" s="57">
        <v>2.0849315068493151</v>
      </c>
      <c r="AF14" s="56"/>
      <c r="AG14" s="71" t="s">
        <v>1</v>
      </c>
      <c r="AH14" s="71" t="s">
        <v>1</v>
      </c>
      <c r="AI14" s="71" t="s">
        <v>0</v>
      </c>
      <c r="AJ14" s="11" t="s">
        <v>0</v>
      </c>
      <c r="AK14" s="11" t="s">
        <v>271</v>
      </c>
      <c r="AL14" s="13" t="s">
        <v>345</v>
      </c>
      <c r="AO14" s="197" t="s">
        <v>36</v>
      </c>
      <c r="AP14" s="198" t="s">
        <v>92</v>
      </c>
      <c r="AQ14" s="11">
        <v>1</v>
      </c>
      <c r="AR14" s="214">
        <v>0.05</v>
      </c>
      <c r="AS14" s="212">
        <v>625.66246614061947</v>
      </c>
      <c r="AT14" s="212">
        <v>1501.5899187374866</v>
      </c>
      <c r="AU14" s="212" t="b">
        <v>0</v>
      </c>
      <c r="AV14" s="212"/>
      <c r="AW14" s="212">
        <v>625.66246614061947</v>
      </c>
      <c r="AX14" s="212">
        <v>571.43625460510395</v>
      </c>
      <c r="AY14" s="12"/>
      <c r="BA14" s="212">
        <v>625.66246614061947</v>
      </c>
      <c r="BB14" s="212">
        <v>571.43625460510395</v>
      </c>
      <c r="BC14" s="212">
        <v>592.11167922872232</v>
      </c>
      <c r="BD14" s="226">
        <v>592.11167922872232</v>
      </c>
      <c r="BE14" s="226">
        <v>592.11167922872232</v>
      </c>
    </row>
    <row r="15" spans="1:57" ht="39.950000000000003" customHeight="1" x14ac:dyDescent="0.2">
      <c r="A15" s="13" t="s">
        <v>143</v>
      </c>
      <c r="B15" s="65" t="s">
        <v>67</v>
      </c>
      <c r="C15" s="66" t="s">
        <v>34</v>
      </c>
      <c r="D15" s="14" t="s">
        <v>34</v>
      </c>
      <c r="E15" s="77" t="s">
        <v>34</v>
      </c>
      <c r="F15" s="14" t="s">
        <v>104</v>
      </c>
      <c r="G15" s="14" t="s">
        <v>111</v>
      </c>
      <c r="H15" s="14" t="s">
        <v>112</v>
      </c>
      <c r="I15" s="66" t="s">
        <v>70</v>
      </c>
      <c r="J15" s="66" t="s">
        <v>218</v>
      </c>
      <c r="K15" s="14" t="s">
        <v>139</v>
      </c>
      <c r="L15" s="65" t="s">
        <v>191</v>
      </c>
      <c r="M15" s="13" t="s">
        <v>323</v>
      </c>
      <c r="N15" s="13" t="s">
        <v>43</v>
      </c>
      <c r="O15" s="13" t="s">
        <v>538</v>
      </c>
      <c r="P15" s="13" t="s">
        <v>534</v>
      </c>
      <c r="Q15" s="64" t="s">
        <v>8</v>
      </c>
      <c r="R15" s="62">
        <v>20000</v>
      </c>
      <c r="S15" s="63">
        <v>18666.666669999999</v>
      </c>
      <c r="T15" s="62">
        <v>18666.666669999999</v>
      </c>
      <c r="U15" s="62">
        <v>50000</v>
      </c>
      <c r="V15" s="76">
        <v>1549635.99</v>
      </c>
      <c r="W15" s="61" t="s">
        <v>11</v>
      </c>
      <c r="X15" s="236">
        <v>0.05</v>
      </c>
      <c r="Y15" s="60">
        <v>43308</v>
      </c>
      <c r="Z15" s="60">
        <v>44756</v>
      </c>
      <c r="AA15" s="60">
        <v>44756</v>
      </c>
      <c r="AB15" s="58">
        <v>1449</v>
      </c>
      <c r="AC15" s="59" t="s">
        <v>1</v>
      </c>
      <c r="AD15" s="58">
        <v>14</v>
      </c>
      <c r="AE15" s="57">
        <v>3.8356164383561646E-2</v>
      </c>
      <c r="AF15" s="56"/>
      <c r="AG15" s="71" t="s">
        <v>1</v>
      </c>
      <c r="AH15" s="71" t="s">
        <v>1</v>
      </c>
      <c r="AI15" s="71" t="s">
        <v>0</v>
      </c>
      <c r="AJ15" s="11" t="s">
        <v>672</v>
      </c>
      <c r="AK15" s="11" t="s">
        <v>271</v>
      </c>
      <c r="AL15" s="13" t="s">
        <v>344</v>
      </c>
      <c r="AM15" s="11">
        <v>24062.5</v>
      </c>
      <c r="AO15" s="197" t="s">
        <v>34</v>
      </c>
      <c r="AP15" s="198" t="s">
        <v>104</v>
      </c>
      <c r="AS15" s="212">
        <v>0</v>
      </c>
      <c r="AT15" s="212">
        <v>2240.0000003999999</v>
      </c>
      <c r="AU15" s="212" t="b">
        <v>0</v>
      </c>
      <c r="AV15" s="212"/>
      <c r="AW15" s="212">
        <v>0</v>
      </c>
      <c r="AX15" s="212">
        <v>0</v>
      </c>
      <c r="BA15" s="257">
        <v>0</v>
      </c>
      <c r="BB15" s="212">
        <v>0</v>
      </c>
      <c r="BC15" s="212">
        <v>0</v>
      </c>
      <c r="BD15" s="226">
        <v>0</v>
      </c>
      <c r="BE15" s="226"/>
    </row>
    <row r="16" spans="1:57" ht="39.950000000000003" customHeight="1" x14ac:dyDescent="0.2">
      <c r="A16" s="14" t="s">
        <v>146</v>
      </c>
      <c r="B16" s="65" t="s">
        <v>24</v>
      </c>
      <c r="C16" s="66" t="s">
        <v>38</v>
      </c>
      <c r="D16" s="14" t="s">
        <v>34</v>
      </c>
      <c r="E16" s="77" t="s">
        <v>34</v>
      </c>
      <c r="F16" s="14" t="s">
        <v>106</v>
      </c>
      <c r="G16" s="14" t="s">
        <v>106</v>
      </c>
      <c r="H16" s="66" t="s">
        <v>107</v>
      </c>
      <c r="I16" s="66" t="s">
        <v>638</v>
      </c>
      <c r="J16" s="14" t="s">
        <v>687</v>
      </c>
      <c r="K16" s="14" t="s">
        <v>101</v>
      </c>
      <c r="L16" s="65" t="s">
        <v>191</v>
      </c>
      <c r="M16" s="13" t="s">
        <v>323</v>
      </c>
      <c r="N16" s="13" t="s">
        <v>43</v>
      </c>
      <c r="O16" s="13" t="s">
        <v>539</v>
      </c>
      <c r="P16" s="13" t="s">
        <v>534</v>
      </c>
      <c r="Q16" s="64" t="s">
        <v>8</v>
      </c>
      <c r="R16" s="62">
        <v>17500</v>
      </c>
      <c r="S16" s="63">
        <v>22500</v>
      </c>
      <c r="T16" s="62">
        <v>22500</v>
      </c>
      <c r="U16" s="62">
        <v>55000</v>
      </c>
      <c r="V16" s="76">
        <v>2351296.1800000002</v>
      </c>
      <c r="W16" s="61" t="s">
        <v>11</v>
      </c>
      <c r="X16" s="236">
        <v>0.06</v>
      </c>
      <c r="Y16" s="60">
        <v>43320</v>
      </c>
      <c r="Z16" s="60">
        <v>44764</v>
      </c>
      <c r="AA16" s="60">
        <v>44764</v>
      </c>
      <c r="AB16" s="58">
        <v>1445</v>
      </c>
      <c r="AC16" s="59" t="s">
        <v>1</v>
      </c>
      <c r="AD16" s="58">
        <v>22</v>
      </c>
      <c r="AE16" s="57">
        <v>6.0273972602739728E-2</v>
      </c>
      <c r="AF16" s="56"/>
      <c r="AG16" s="71" t="s">
        <v>1</v>
      </c>
      <c r="AH16" s="71" t="s">
        <v>1</v>
      </c>
      <c r="AI16" s="71" t="s">
        <v>0</v>
      </c>
      <c r="AJ16" s="11" t="s">
        <v>672</v>
      </c>
      <c r="AK16" s="11" t="s">
        <v>271</v>
      </c>
      <c r="AL16" s="14" t="s">
        <v>346</v>
      </c>
      <c r="AM16" s="11">
        <v>19560</v>
      </c>
      <c r="AO16" s="197" t="s">
        <v>34</v>
      </c>
      <c r="AP16" s="198" t="s">
        <v>106</v>
      </c>
      <c r="AQ16" s="11">
        <v>1</v>
      </c>
      <c r="AR16" s="214">
        <v>0.05</v>
      </c>
      <c r="AS16" s="212">
        <v>1125</v>
      </c>
      <c r="AT16" s="212">
        <v>2700</v>
      </c>
      <c r="AU16" s="212" t="b">
        <v>0</v>
      </c>
      <c r="AV16" s="212"/>
      <c r="AW16" s="212">
        <v>1125</v>
      </c>
      <c r="AX16" s="212">
        <v>562.5</v>
      </c>
      <c r="AY16" s="12" t="s">
        <v>771</v>
      </c>
      <c r="BA16" s="212">
        <v>1125</v>
      </c>
      <c r="BB16" s="212">
        <v>562.5</v>
      </c>
      <c r="BC16" s="212">
        <v>0</v>
      </c>
      <c r="BD16" s="226">
        <v>0</v>
      </c>
      <c r="BE16" s="226"/>
    </row>
    <row r="17" spans="1:57" ht="39.950000000000003" customHeight="1" x14ac:dyDescent="0.2">
      <c r="A17" s="13" t="s">
        <v>153</v>
      </c>
      <c r="B17" s="65" t="s">
        <v>23</v>
      </c>
      <c r="C17" s="66" t="s">
        <v>89</v>
      </c>
      <c r="D17" s="14" t="s">
        <v>542</v>
      </c>
      <c r="E17" s="77" t="s">
        <v>127</v>
      </c>
      <c r="F17" s="14" t="s">
        <v>92</v>
      </c>
      <c r="G17" s="14" t="s">
        <v>108</v>
      </c>
      <c r="H17" s="66" t="s">
        <v>109</v>
      </c>
      <c r="I17" s="14" t="s">
        <v>220</v>
      </c>
      <c r="J17" s="14" t="s">
        <v>220</v>
      </c>
      <c r="K17" s="14" t="s">
        <v>22</v>
      </c>
      <c r="L17" s="65" t="s">
        <v>191</v>
      </c>
      <c r="M17" s="13" t="s">
        <v>59</v>
      </c>
      <c r="N17" s="13" t="s">
        <v>43</v>
      </c>
      <c r="O17" s="13" t="s">
        <v>531</v>
      </c>
      <c r="P17" s="13" t="s">
        <v>534</v>
      </c>
      <c r="Q17" s="64" t="s">
        <v>9</v>
      </c>
      <c r="R17" s="62">
        <v>4267.5906842539162</v>
      </c>
      <c r="S17" s="63">
        <v>1385.1568400000001</v>
      </c>
      <c r="T17" s="79">
        <v>2039.1544576610531</v>
      </c>
      <c r="U17" s="62">
        <v>23790.132760149576</v>
      </c>
      <c r="V17" s="76">
        <v>220040.33682722884</v>
      </c>
      <c r="W17" s="61" t="s">
        <v>11</v>
      </c>
      <c r="X17" s="236">
        <v>2.2499999999999999E-2</v>
      </c>
      <c r="Y17" s="60">
        <v>43350</v>
      </c>
      <c r="Z17" s="60">
        <v>45894</v>
      </c>
      <c r="AA17" s="60">
        <v>45894</v>
      </c>
      <c r="AB17" s="58">
        <v>2545</v>
      </c>
      <c r="AC17" s="59" t="s">
        <v>10</v>
      </c>
      <c r="AD17" s="58">
        <v>1152</v>
      </c>
      <c r="AE17" s="57">
        <v>3.1561643835616437</v>
      </c>
      <c r="AF17" s="56"/>
      <c r="AG17" s="71" t="s">
        <v>1</v>
      </c>
      <c r="AH17" s="71" t="s">
        <v>1</v>
      </c>
      <c r="AI17" s="70" t="s">
        <v>251</v>
      </c>
      <c r="AJ17" s="11" t="s">
        <v>0</v>
      </c>
      <c r="AK17" s="11" t="s">
        <v>271</v>
      </c>
      <c r="AL17" s="13" t="s">
        <v>347</v>
      </c>
      <c r="AM17" s="11">
        <v>12110</v>
      </c>
      <c r="AO17" s="197" t="s">
        <v>127</v>
      </c>
      <c r="AP17" s="198" t="s">
        <v>92</v>
      </c>
      <c r="AS17" s="212">
        <v>0</v>
      </c>
      <c r="AT17" s="212">
        <v>244.69853491932636</v>
      </c>
      <c r="AU17" s="212" t="b">
        <v>0</v>
      </c>
      <c r="AV17" s="212"/>
      <c r="AW17" s="212">
        <v>0</v>
      </c>
      <c r="AX17" s="212">
        <v>0</v>
      </c>
      <c r="BA17" s="212">
        <v>0</v>
      </c>
      <c r="BB17" s="212">
        <v>0</v>
      </c>
      <c r="BC17" s="212">
        <v>0</v>
      </c>
      <c r="BD17" s="226">
        <v>0</v>
      </c>
      <c r="BE17" s="226"/>
    </row>
    <row r="18" spans="1:57" ht="39.950000000000003" customHeight="1" x14ac:dyDescent="0.2">
      <c r="A18" s="13" t="s">
        <v>150</v>
      </c>
      <c r="B18" s="65" t="s">
        <v>67</v>
      </c>
      <c r="C18" s="66" t="s">
        <v>149</v>
      </c>
      <c r="D18" s="14" t="s">
        <v>34</v>
      </c>
      <c r="E18" s="77" t="s">
        <v>34</v>
      </c>
      <c r="F18" s="14" t="s">
        <v>48</v>
      </c>
      <c r="G18" s="14" t="s">
        <v>95</v>
      </c>
      <c r="H18" s="66" t="s">
        <v>130</v>
      </c>
      <c r="I18" s="14" t="s">
        <v>148</v>
      </c>
      <c r="J18" s="66" t="s">
        <v>148</v>
      </c>
      <c r="K18" s="14" t="s">
        <v>209</v>
      </c>
      <c r="L18" s="65" t="s">
        <v>191</v>
      </c>
      <c r="M18" s="13" t="s">
        <v>59</v>
      </c>
      <c r="N18" s="13" t="s">
        <v>43</v>
      </c>
      <c r="O18" s="13" t="s">
        <v>531</v>
      </c>
      <c r="P18" s="13" t="s">
        <v>534</v>
      </c>
      <c r="Q18" s="64" t="s">
        <v>9</v>
      </c>
      <c r="R18" s="62">
        <v>14721.469791543988</v>
      </c>
      <c r="S18" s="73">
        <v>8467</v>
      </c>
      <c r="T18" s="76">
        <v>12464.668472500294</v>
      </c>
      <c r="U18" s="62">
        <v>93485.013543752197</v>
      </c>
      <c r="V18" s="76">
        <v>1129658.90354493</v>
      </c>
      <c r="W18" s="61" t="s">
        <v>11</v>
      </c>
      <c r="X18" s="236">
        <v>3.7499999999999999E-2</v>
      </c>
      <c r="Y18" s="60">
        <v>43353</v>
      </c>
      <c r="Z18" s="60">
        <v>45199</v>
      </c>
      <c r="AA18" s="60">
        <v>45199</v>
      </c>
      <c r="AB18" s="58">
        <v>1847</v>
      </c>
      <c r="AC18" s="59" t="s">
        <v>10</v>
      </c>
      <c r="AD18" s="58">
        <v>457</v>
      </c>
      <c r="AE18" s="57">
        <v>1.252054794520548</v>
      </c>
      <c r="AF18" s="56"/>
      <c r="AG18" s="71" t="s">
        <v>1</v>
      </c>
      <c r="AH18" s="71" t="s">
        <v>1</v>
      </c>
      <c r="AI18" s="70" t="s">
        <v>598</v>
      </c>
      <c r="AJ18" s="11" t="s">
        <v>0</v>
      </c>
      <c r="AK18" s="11" t="s">
        <v>271</v>
      </c>
      <c r="AL18" s="13" t="s">
        <v>553</v>
      </c>
      <c r="AM18" s="11">
        <v>16582.5</v>
      </c>
      <c r="AO18" s="197" t="s">
        <v>34</v>
      </c>
      <c r="AP18" s="198" t="s">
        <v>48</v>
      </c>
      <c r="AQ18" s="11">
        <v>0</v>
      </c>
      <c r="AR18" s="214">
        <v>0</v>
      </c>
      <c r="AS18" s="212">
        <v>0</v>
      </c>
      <c r="AT18" s="212">
        <v>1495.7602167000352</v>
      </c>
      <c r="AU18" s="212" t="b">
        <v>0</v>
      </c>
      <c r="AV18" s="212"/>
      <c r="AW18" s="212">
        <v>0</v>
      </c>
      <c r="AX18" s="212">
        <v>0</v>
      </c>
      <c r="AY18" s="12"/>
      <c r="BA18" s="212">
        <v>0</v>
      </c>
      <c r="BB18" s="212">
        <v>0</v>
      </c>
      <c r="BC18" s="212">
        <v>0</v>
      </c>
      <c r="BD18" s="226">
        <v>0</v>
      </c>
      <c r="BE18" s="226">
        <v>1172.0653377630122</v>
      </c>
    </row>
    <row r="19" spans="1:57" ht="39.950000000000003" customHeight="1" x14ac:dyDescent="0.2">
      <c r="A19" s="13" t="s">
        <v>202</v>
      </c>
      <c r="B19" s="65" t="s">
        <v>23</v>
      </c>
      <c r="C19" s="66" t="s">
        <v>89</v>
      </c>
      <c r="D19" s="14" t="s">
        <v>542</v>
      </c>
      <c r="E19" s="77" t="s">
        <v>127</v>
      </c>
      <c r="F19" s="14" t="s">
        <v>92</v>
      </c>
      <c r="G19" s="14" t="s">
        <v>108</v>
      </c>
      <c r="H19" s="66" t="s">
        <v>109</v>
      </c>
      <c r="I19" s="14" t="s">
        <v>220</v>
      </c>
      <c r="J19" s="66" t="s">
        <v>220</v>
      </c>
      <c r="K19" s="14" t="s">
        <v>22</v>
      </c>
      <c r="L19" s="65" t="s">
        <v>191</v>
      </c>
      <c r="M19" s="13" t="s">
        <v>59</v>
      </c>
      <c r="N19" s="13" t="s">
        <v>43</v>
      </c>
      <c r="O19" s="13" t="s">
        <v>531</v>
      </c>
      <c r="P19" s="13" t="s">
        <v>534</v>
      </c>
      <c r="Q19" s="64" t="s">
        <v>9</v>
      </c>
      <c r="R19" s="62">
        <v>3590.5664821575788</v>
      </c>
      <c r="S19" s="73">
        <v>1211.096</v>
      </c>
      <c r="T19" s="79">
        <v>1782.9113178659757</v>
      </c>
      <c r="U19" s="62">
        <v>20800.632041769717</v>
      </c>
      <c r="V19" s="76">
        <v>191153.86880226122</v>
      </c>
      <c r="W19" s="61" t="s">
        <v>11</v>
      </c>
      <c r="X19" s="236">
        <v>2.2499999999999999E-2</v>
      </c>
      <c r="Y19" s="60">
        <v>43368</v>
      </c>
      <c r="Z19" s="60">
        <v>45955</v>
      </c>
      <c r="AA19" s="60">
        <v>45955</v>
      </c>
      <c r="AB19" s="58">
        <v>2588</v>
      </c>
      <c r="AC19" s="59" t="s">
        <v>10</v>
      </c>
      <c r="AD19" s="58">
        <v>1213</v>
      </c>
      <c r="AE19" s="57">
        <v>3.3232876712328765</v>
      </c>
      <c r="AF19" s="56"/>
      <c r="AG19" s="71" t="s">
        <v>1</v>
      </c>
      <c r="AH19" s="71" t="s">
        <v>1</v>
      </c>
      <c r="AI19" s="70" t="s">
        <v>658</v>
      </c>
      <c r="AJ19" s="11" t="s">
        <v>0</v>
      </c>
      <c r="AK19" s="11" t="s">
        <v>271</v>
      </c>
      <c r="AL19" s="13" t="s">
        <v>349</v>
      </c>
      <c r="AM19" s="11">
        <v>2242.5</v>
      </c>
      <c r="AO19" s="197" t="s">
        <v>127</v>
      </c>
      <c r="AP19" s="198" t="s">
        <v>92</v>
      </c>
      <c r="AS19" s="212">
        <v>0</v>
      </c>
      <c r="AT19" s="212">
        <v>213.94935814391707</v>
      </c>
      <c r="AU19" s="212" t="b">
        <v>0</v>
      </c>
      <c r="AV19" s="212"/>
      <c r="AW19" s="212">
        <v>0</v>
      </c>
      <c r="AX19" s="212">
        <v>0</v>
      </c>
      <c r="BA19" s="212">
        <v>0</v>
      </c>
      <c r="BB19" s="212">
        <v>0</v>
      </c>
      <c r="BC19" s="212">
        <v>0</v>
      </c>
      <c r="BD19" s="226">
        <v>0</v>
      </c>
      <c r="BE19" s="226"/>
    </row>
    <row r="20" spans="1:57" ht="39.950000000000003" customHeight="1" x14ac:dyDescent="0.2">
      <c r="A20" s="14" t="s">
        <v>164</v>
      </c>
      <c r="B20" s="65" t="s">
        <v>23</v>
      </c>
      <c r="C20" s="66" t="s">
        <v>127</v>
      </c>
      <c r="D20" s="14" t="s">
        <v>542</v>
      </c>
      <c r="E20" s="77" t="s">
        <v>89</v>
      </c>
      <c r="F20" s="14" t="s">
        <v>102</v>
      </c>
      <c r="G20" s="14" t="s">
        <v>102</v>
      </c>
      <c r="H20" s="66" t="s">
        <v>122</v>
      </c>
      <c r="I20" s="14" t="s">
        <v>158</v>
      </c>
      <c r="J20" s="66" t="s">
        <v>220</v>
      </c>
      <c r="K20" s="14" t="s">
        <v>101</v>
      </c>
      <c r="L20" s="65" t="s">
        <v>191</v>
      </c>
      <c r="M20" s="13" t="s">
        <v>59</v>
      </c>
      <c r="N20" s="13" t="s">
        <v>43</v>
      </c>
      <c r="O20" s="13" t="s">
        <v>538</v>
      </c>
      <c r="P20" s="13" t="s">
        <v>534</v>
      </c>
      <c r="Q20" s="64" t="s">
        <v>59</v>
      </c>
      <c r="R20" s="62">
        <v>28707.844796325397</v>
      </c>
      <c r="S20" s="73">
        <v>19000</v>
      </c>
      <c r="T20" s="79">
        <v>28707.844796325397</v>
      </c>
      <c r="U20" s="62">
        <v>262903.42076634837</v>
      </c>
      <c r="V20" s="76">
        <v>959059.95406744839</v>
      </c>
      <c r="W20" s="61" t="s">
        <v>11</v>
      </c>
      <c r="X20" s="236">
        <v>9.5999999999999992E-3</v>
      </c>
      <c r="Y20" s="60">
        <v>43392</v>
      </c>
      <c r="Z20" s="60">
        <v>45534</v>
      </c>
      <c r="AA20" s="60">
        <v>45534</v>
      </c>
      <c r="AB20" s="58">
        <v>2143</v>
      </c>
      <c r="AC20" s="59" t="s">
        <v>10</v>
      </c>
      <c r="AD20" s="58">
        <v>792</v>
      </c>
      <c r="AE20" s="57">
        <v>2.1698630136986301</v>
      </c>
      <c r="AF20" s="56"/>
      <c r="AG20" s="71" t="s">
        <v>1</v>
      </c>
      <c r="AH20" s="71" t="s">
        <v>1</v>
      </c>
      <c r="AI20" s="70" t="s">
        <v>0</v>
      </c>
      <c r="AJ20" s="11" t="s">
        <v>0</v>
      </c>
      <c r="AK20" s="11" t="s">
        <v>271</v>
      </c>
      <c r="AL20" s="14" t="s">
        <v>353</v>
      </c>
      <c r="AM20" s="11">
        <v>6040</v>
      </c>
      <c r="AO20" s="197" t="s">
        <v>89</v>
      </c>
      <c r="AP20" s="198" t="s">
        <v>102</v>
      </c>
      <c r="AS20" s="212">
        <v>0</v>
      </c>
      <c r="AT20" s="212">
        <v>3444.9413755590476</v>
      </c>
      <c r="AU20" s="212" t="b">
        <v>0</v>
      </c>
      <c r="AV20" s="212"/>
      <c r="AW20" s="212">
        <v>0</v>
      </c>
      <c r="AX20" s="212">
        <v>0</v>
      </c>
      <c r="BA20" s="212">
        <v>0</v>
      </c>
      <c r="BB20" s="212">
        <v>0</v>
      </c>
      <c r="BC20" s="212">
        <v>0</v>
      </c>
      <c r="BD20" s="226">
        <v>0</v>
      </c>
      <c r="BE20" s="226"/>
    </row>
    <row r="21" spans="1:57" ht="39.950000000000003" customHeight="1" x14ac:dyDescent="0.2">
      <c r="A21" s="14" t="s">
        <v>184</v>
      </c>
      <c r="B21" s="65" t="s">
        <v>23</v>
      </c>
      <c r="C21" s="66" t="s">
        <v>38</v>
      </c>
      <c r="D21" s="14" t="s">
        <v>540</v>
      </c>
      <c r="E21" s="77" t="s">
        <v>49</v>
      </c>
      <c r="F21" s="14" t="s">
        <v>48</v>
      </c>
      <c r="G21" s="14" t="s">
        <v>95</v>
      </c>
      <c r="H21" s="68" t="s">
        <v>447</v>
      </c>
      <c r="I21" s="77" t="s">
        <v>73</v>
      </c>
      <c r="J21" s="77" t="s">
        <v>221</v>
      </c>
      <c r="K21" s="13" t="s">
        <v>140</v>
      </c>
      <c r="L21" s="65" t="s">
        <v>191</v>
      </c>
      <c r="M21" s="13" t="s">
        <v>323</v>
      </c>
      <c r="N21" s="13" t="s">
        <v>43</v>
      </c>
      <c r="O21" s="13" t="s">
        <v>538</v>
      </c>
      <c r="P21" s="13" t="s">
        <v>534</v>
      </c>
      <c r="Q21" s="64" t="s">
        <v>9</v>
      </c>
      <c r="R21" s="62">
        <v>14721.469791543988</v>
      </c>
      <c r="S21" s="63">
        <v>2988.5169999999998</v>
      </c>
      <c r="T21" s="79">
        <v>4399.5362737015657</v>
      </c>
      <c r="U21" s="62">
        <v>110411.02343657991</v>
      </c>
      <c r="V21" s="79">
        <v>947149.55541161238</v>
      </c>
      <c r="W21" s="61" t="s">
        <v>11</v>
      </c>
      <c r="X21" s="236">
        <v>3.7499999999999999E-2</v>
      </c>
      <c r="Y21" s="60">
        <v>43398</v>
      </c>
      <c r="Z21" s="60">
        <v>45930</v>
      </c>
      <c r="AA21" s="60">
        <v>45930</v>
      </c>
      <c r="AB21" s="58">
        <v>2533</v>
      </c>
      <c r="AC21" s="59" t="s">
        <v>10</v>
      </c>
      <c r="AD21" s="58">
        <v>1188</v>
      </c>
      <c r="AE21" s="57">
        <v>3.2547945205479452</v>
      </c>
      <c r="AF21" s="56"/>
      <c r="AG21" s="71" t="s">
        <v>1</v>
      </c>
      <c r="AH21" s="71" t="s">
        <v>1</v>
      </c>
      <c r="AI21" s="70" t="s">
        <v>252</v>
      </c>
      <c r="AJ21" s="11" t="s">
        <v>0</v>
      </c>
      <c r="AK21" s="11" t="s">
        <v>271</v>
      </c>
      <c r="AL21" s="14" t="s">
        <v>337</v>
      </c>
      <c r="AM21" s="11">
        <v>14500</v>
      </c>
      <c r="AO21" s="197" t="s">
        <v>49</v>
      </c>
      <c r="AP21" s="198" t="s">
        <v>48</v>
      </c>
      <c r="AS21" s="212">
        <v>0</v>
      </c>
      <c r="AT21" s="212">
        <v>527.94435284418785</v>
      </c>
      <c r="AU21" s="212" t="b">
        <v>0</v>
      </c>
      <c r="AV21" s="212"/>
      <c r="AW21" s="212">
        <v>0</v>
      </c>
      <c r="AX21" s="212">
        <v>0</v>
      </c>
      <c r="BA21" s="212">
        <v>0</v>
      </c>
      <c r="BB21" s="212">
        <v>0</v>
      </c>
      <c r="BC21" s="212">
        <v>0</v>
      </c>
      <c r="BD21" s="226">
        <v>0</v>
      </c>
      <c r="BE21" s="226"/>
    </row>
    <row r="22" spans="1:57" ht="39.950000000000003" customHeight="1" x14ac:dyDescent="0.2">
      <c r="A22" s="87" t="s">
        <v>714</v>
      </c>
      <c r="B22" s="100" t="s">
        <v>51</v>
      </c>
      <c r="C22" s="104" t="s">
        <v>34</v>
      </c>
      <c r="D22" s="103" t="s">
        <v>34</v>
      </c>
      <c r="E22" s="102" t="s">
        <v>34</v>
      </c>
      <c r="F22" s="103" t="s">
        <v>543</v>
      </c>
      <c r="G22" s="101" t="s">
        <v>136</v>
      </c>
      <c r="H22" s="101" t="s">
        <v>136</v>
      </c>
      <c r="I22" s="102" t="s">
        <v>52</v>
      </c>
      <c r="J22" s="102" t="s">
        <v>52</v>
      </c>
      <c r="K22" s="101" t="s">
        <v>7</v>
      </c>
      <c r="L22" s="100" t="s">
        <v>40</v>
      </c>
      <c r="M22" s="87"/>
      <c r="N22" s="87" t="s">
        <v>42</v>
      </c>
      <c r="O22" s="87" t="s">
        <v>531</v>
      </c>
      <c r="P22" s="87" t="s">
        <v>532</v>
      </c>
      <c r="Q22" s="99" t="s">
        <v>8</v>
      </c>
      <c r="R22" s="97">
        <v>254.03200000000001</v>
      </c>
      <c r="S22" s="98">
        <v>254.03200000000001</v>
      </c>
      <c r="T22" s="239">
        <v>254.03200000000001</v>
      </c>
      <c r="U22" s="97">
        <v>254.03200000000001</v>
      </c>
      <c r="V22" s="239">
        <v>6350.8</v>
      </c>
      <c r="W22" s="96" t="s">
        <v>11</v>
      </c>
      <c r="X22" s="240">
        <v>2.5000000000000001E-2</v>
      </c>
      <c r="Y22" s="95">
        <v>44531</v>
      </c>
      <c r="Z22" s="95">
        <v>44895</v>
      </c>
      <c r="AA22" s="95">
        <v>44895</v>
      </c>
      <c r="AB22" s="93">
        <v>365</v>
      </c>
      <c r="AC22" s="94" t="s">
        <v>10</v>
      </c>
      <c r="AD22" s="93">
        <v>153</v>
      </c>
      <c r="AE22" s="92">
        <v>0.41917808219178082</v>
      </c>
      <c r="AF22" s="91"/>
      <c r="AG22" s="90" t="s">
        <v>1</v>
      </c>
      <c r="AH22" s="90" t="s">
        <v>1</v>
      </c>
      <c r="AI22" s="89" t="s">
        <v>0</v>
      </c>
      <c r="AJ22" s="88" t="s">
        <v>0</v>
      </c>
      <c r="AK22" s="88" t="s">
        <v>271</v>
      </c>
      <c r="AL22" s="87" t="s">
        <v>716</v>
      </c>
      <c r="AO22" s="197" t="s">
        <v>34</v>
      </c>
      <c r="AP22" s="198" t="s">
        <v>543</v>
      </c>
      <c r="AS22" s="212">
        <v>0</v>
      </c>
      <c r="AT22" s="212">
        <v>30.483840000000001</v>
      </c>
      <c r="AU22" s="212" t="b">
        <v>0</v>
      </c>
      <c r="AV22" s="212"/>
      <c r="AW22" s="212">
        <v>0</v>
      </c>
      <c r="AX22" s="212">
        <v>0</v>
      </c>
      <c r="BA22" s="212">
        <v>0</v>
      </c>
      <c r="BB22" s="212">
        <v>0</v>
      </c>
      <c r="BC22" s="212">
        <v>0</v>
      </c>
      <c r="BD22" s="226">
        <v>0</v>
      </c>
      <c r="BE22" s="226"/>
    </row>
    <row r="23" spans="1:57" ht="39.950000000000003" customHeight="1" x14ac:dyDescent="0.2">
      <c r="A23" s="87" t="s">
        <v>715</v>
      </c>
      <c r="B23" s="100" t="s">
        <v>51</v>
      </c>
      <c r="C23" s="104" t="s">
        <v>34</v>
      </c>
      <c r="D23" s="103" t="s">
        <v>34</v>
      </c>
      <c r="E23" s="102" t="s">
        <v>34</v>
      </c>
      <c r="F23" s="103" t="s">
        <v>543</v>
      </c>
      <c r="G23" s="101" t="s">
        <v>136</v>
      </c>
      <c r="H23" s="101" t="s">
        <v>136</v>
      </c>
      <c r="I23" s="102" t="s">
        <v>52</v>
      </c>
      <c r="J23" s="102" t="s">
        <v>52</v>
      </c>
      <c r="K23" s="101" t="s">
        <v>7</v>
      </c>
      <c r="L23" s="100" t="s">
        <v>40</v>
      </c>
      <c r="M23" s="87"/>
      <c r="N23" s="87" t="s">
        <v>42</v>
      </c>
      <c r="O23" s="87" t="s">
        <v>531</v>
      </c>
      <c r="P23" s="87" t="s">
        <v>532</v>
      </c>
      <c r="Q23" s="99" t="s">
        <v>8</v>
      </c>
      <c r="R23" s="97">
        <v>323.60899999999998</v>
      </c>
      <c r="S23" s="98">
        <v>323.60899999999998</v>
      </c>
      <c r="T23" s="239">
        <v>323.60899999999998</v>
      </c>
      <c r="U23" s="97">
        <v>323.60899999999998</v>
      </c>
      <c r="V23" s="239">
        <v>8090.23</v>
      </c>
      <c r="W23" s="96" t="s">
        <v>11</v>
      </c>
      <c r="X23" s="240">
        <v>2.5000000000000001E-2</v>
      </c>
      <c r="Y23" s="95">
        <v>44531</v>
      </c>
      <c r="Z23" s="95">
        <v>44895</v>
      </c>
      <c r="AA23" s="95">
        <v>44895</v>
      </c>
      <c r="AB23" s="93">
        <v>365</v>
      </c>
      <c r="AC23" s="94" t="s">
        <v>10</v>
      </c>
      <c r="AD23" s="93">
        <v>153</v>
      </c>
      <c r="AE23" s="92">
        <v>0.41917808219178082</v>
      </c>
      <c r="AF23" s="91"/>
      <c r="AG23" s="90" t="s">
        <v>1</v>
      </c>
      <c r="AH23" s="90" t="s">
        <v>1</v>
      </c>
      <c r="AI23" s="89" t="s">
        <v>0</v>
      </c>
      <c r="AJ23" s="88" t="s">
        <v>0</v>
      </c>
      <c r="AK23" s="88" t="s">
        <v>271</v>
      </c>
      <c r="AL23" s="87" t="s">
        <v>717</v>
      </c>
      <c r="AO23" s="197" t="s">
        <v>34</v>
      </c>
      <c r="AP23" s="198" t="s">
        <v>543</v>
      </c>
      <c r="AS23" s="212">
        <v>0</v>
      </c>
      <c r="AT23" s="212">
        <v>38.833079999999995</v>
      </c>
      <c r="AU23" s="212" t="b">
        <v>0</v>
      </c>
      <c r="AV23" s="212"/>
      <c r="AW23" s="212">
        <v>0</v>
      </c>
      <c r="AX23" s="212">
        <v>0</v>
      </c>
      <c r="BA23" s="212">
        <v>0</v>
      </c>
      <c r="BB23" s="212">
        <v>0</v>
      </c>
      <c r="BC23" s="212">
        <v>0</v>
      </c>
      <c r="BD23" s="226">
        <v>0</v>
      </c>
      <c r="BE23" s="226"/>
    </row>
    <row r="24" spans="1:57" ht="39.950000000000003" customHeight="1" x14ac:dyDescent="0.2">
      <c r="A24" s="13" t="s">
        <v>171</v>
      </c>
      <c r="B24" s="65" t="s">
        <v>24</v>
      </c>
      <c r="C24" s="66" t="s">
        <v>87</v>
      </c>
      <c r="D24" s="14" t="s">
        <v>542</v>
      </c>
      <c r="E24" s="77" t="s">
        <v>87</v>
      </c>
      <c r="F24" s="14" t="s">
        <v>173</v>
      </c>
      <c r="G24" s="14" t="s">
        <v>174</v>
      </c>
      <c r="H24" s="14" t="s">
        <v>172</v>
      </c>
      <c r="I24" s="77" t="s">
        <v>75</v>
      </c>
      <c r="J24" s="77" t="s">
        <v>21</v>
      </c>
      <c r="K24" s="14" t="s">
        <v>29</v>
      </c>
      <c r="L24" s="65" t="s">
        <v>191</v>
      </c>
      <c r="M24" s="13" t="s">
        <v>59</v>
      </c>
      <c r="N24" s="13" t="s">
        <v>43</v>
      </c>
      <c r="O24" s="13" t="s">
        <v>538</v>
      </c>
      <c r="P24" s="13" t="s">
        <v>548</v>
      </c>
      <c r="Q24" s="64" t="s">
        <v>9</v>
      </c>
      <c r="R24" s="62">
        <v>36803.674478859968</v>
      </c>
      <c r="S24" s="63">
        <v>25000</v>
      </c>
      <c r="T24" s="79">
        <v>36803.674478859968</v>
      </c>
      <c r="U24" s="62">
        <v>151303.99496525733</v>
      </c>
      <c r="V24" s="79">
        <v>2233753.0326227769</v>
      </c>
      <c r="W24" s="61" t="s">
        <v>11</v>
      </c>
      <c r="X24" s="236">
        <v>1.6299999999999999E-2</v>
      </c>
      <c r="Y24" s="60">
        <v>43448</v>
      </c>
      <c r="Z24" s="60">
        <v>45716</v>
      </c>
      <c r="AA24" s="60">
        <v>45716</v>
      </c>
      <c r="AB24" s="58">
        <v>2269</v>
      </c>
      <c r="AC24" s="75" t="s">
        <v>10</v>
      </c>
      <c r="AD24" s="58">
        <v>974</v>
      </c>
      <c r="AE24" s="57">
        <v>2.6684931506849314</v>
      </c>
      <c r="AF24" s="56"/>
      <c r="AG24" s="71" t="s">
        <v>1</v>
      </c>
      <c r="AH24" s="71" t="s">
        <v>1</v>
      </c>
      <c r="AI24" s="70" t="s">
        <v>302</v>
      </c>
      <c r="AJ24" s="11" t="s">
        <v>0</v>
      </c>
      <c r="AK24" s="11" t="s">
        <v>271</v>
      </c>
      <c r="AL24" s="13" t="s">
        <v>355</v>
      </c>
      <c r="AO24" s="197" t="s">
        <v>87</v>
      </c>
      <c r="AP24" s="198" t="s">
        <v>173</v>
      </c>
      <c r="AS24" s="212">
        <v>0</v>
      </c>
      <c r="AT24" s="212">
        <v>4416.440937463196</v>
      </c>
      <c r="AU24" s="212" t="b">
        <v>0</v>
      </c>
      <c r="AV24" s="212"/>
      <c r="AW24" s="212">
        <v>0</v>
      </c>
      <c r="AX24" s="212">
        <v>0</v>
      </c>
      <c r="BA24" s="212">
        <v>0</v>
      </c>
      <c r="BB24" s="212">
        <v>0</v>
      </c>
      <c r="BC24" s="212">
        <v>0</v>
      </c>
      <c r="BD24" s="226">
        <v>0</v>
      </c>
      <c r="BE24" s="226"/>
    </row>
    <row r="25" spans="1:57" s="12" customFormat="1" ht="39.950000000000003" customHeight="1" x14ac:dyDescent="0.2">
      <c r="A25" s="13" t="s">
        <v>175</v>
      </c>
      <c r="B25" s="65" t="s">
        <v>23</v>
      </c>
      <c r="C25" s="66" t="s">
        <v>34</v>
      </c>
      <c r="D25" s="14" t="s">
        <v>34</v>
      </c>
      <c r="E25" s="77" t="s">
        <v>34</v>
      </c>
      <c r="F25" s="14" t="s">
        <v>544</v>
      </c>
      <c r="G25" s="14" t="s">
        <v>178</v>
      </c>
      <c r="H25" s="14" t="s">
        <v>177</v>
      </c>
      <c r="I25" s="66" t="s">
        <v>232</v>
      </c>
      <c r="J25" s="77" t="s">
        <v>21</v>
      </c>
      <c r="K25" s="14" t="s">
        <v>29</v>
      </c>
      <c r="L25" s="65" t="s">
        <v>191</v>
      </c>
      <c r="M25" s="13" t="s">
        <v>323</v>
      </c>
      <c r="N25" s="13" t="s">
        <v>43</v>
      </c>
      <c r="O25" s="13" t="s">
        <v>531</v>
      </c>
      <c r="P25" s="13" t="s">
        <v>534</v>
      </c>
      <c r="Q25" s="64" t="s">
        <v>8</v>
      </c>
      <c r="R25" s="62">
        <v>20000</v>
      </c>
      <c r="S25" s="63">
        <v>20000</v>
      </c>
      <c r="T25" s="79">
        <v>20000</v>
      </c>
      <c r="U25" s="62">
        <v>95000</v>
      </c>
      <c r="V25" s="79">
        <v>1786247.15</v>
      </c>
      <c r="W25" s="61" t="s">
        <v>11</v>
      </c>
      <c r="X25" s="236">
        <v>1.95E-2</v>
      </c>
      <c r="Y25" s="60">
        <v>43480</v>
      </c>
      <c r="Z25" s="60">
        <v>45169</v>
      </c>
      <c r="AA25" s="60">
        <v>45169</v>
      </c>
      <c r="AB25" s="58">
        <v>1690</v>
      </c>
      <c r="AC25" s="59" t="s">
        <v>10</v>
      </c>
      <c r="AD25" s="58">
        <v>427</v>
      </c>
      <c r="AE25" s="57">
        <v>1.1698630136986301</v>
      </c>
      <c r="AF25" s="56"/>
      <c r="AG25" s="71" t="s">
        <v>1</v>
      </c>
      <c r="AH25" s="71" t="s">
        <v>1</v>
      </c>
      <c r="AI25" s="70" t="s">
        <v>0</v>
      </c>
      <c r="AJ25" s="11" t="s">
        <v>0</v>
      </c>
      <c r="AK25" s="11" t="s">
        <v>271</v>
      </c>
      <c r="AL25" s="13" t="s">
        <v>356</v>
      </c>
      <c r="AM25" s="11">
        <v>7789.99</v>
      </c>
      <c r="AN25" s="11"/>
      <c r="AO25" s="197" t="s">
        <v>34</v>
      </c>
      <c r="AP25" s="198" t="s">
        <v>544</v>
      </c>
      <c r="AQ25" s="11">
        <v>1</v>
      </c>
      <c r="AR25" s="214">
        <v>0.05</v>
      </c>
      <c r="AS25" s="212">
        <v>1000</v>
      </c>
      <c r="AT25" s="212">
        <v>2400</v>
      </c>
      <c r="AU25" s="212" t="b">
        <v>0</v>
      </c>
      <c r="AV25" s="212"/>
      <c r="AW25" s="212">
        <v>1000</v>
      </c>
      <c r="AX25" s="212">
        <v>1000</v>
      </c>
      <c r="BA25" s="258">
        <v>1000</v>
      </c>
      <c r="BB25" s="212">
        <v>1000</v>
      </c>
      <c r="BC25" s="212">
        <v>1250</v>
      </c>
      <c r="BD25" s="227">
        <v>1000</v>
      </c>
      <c r="BE25" s="227">
        <v>1000</v>
      </c>
    </row>
    <row r="26" spans="1:57" ht="39.950000000000003" customHeight="1" x14ac:dyDescent="0.2">
      <c r="A26" s="13" t="s">
        <v>204</v>
      </c>
      <c r="B26" s="65" t="s">
        <v>23</v>
      </c>
      <c r="C26" s="66" t="s">
        <v>89</v>
      </c>
      <c r="D26" s="14" t="s">
        <v>542</v>
      </c>
      <c r="E26" s="77" t="s">
        <v>127</v>
      </c>
      <c r="F26" s="14" t="s">
        <v>92</v>
      </c>
      <c r="G26" s="14" t="s">
        <v>108</v>
      </c>
      <c r="H26" s="14" t="s">
        <v>109</v>
      </c>
      <c r="I26" s="14" t="s">
        <v>220</v>
      </c>
      <c r="J26" s="14" t="s">
        <v>220</v>
      </c>
      <c r="K26" s="14" t="s">
        <v>22</v>
      </c>
      <c r="L26" s="65" t="s">
        <v>191</v>
      </c>
      <c r="M26" s="13" t="s">
        <v>59</v>
      </c>
      <c r="N26" s="13" t="s">
        <v>43</v>
      </c>
      <c r="O26" s="13" t="s">
        <v>531</v>
      </c>
      <c r="P26" s="13" t="s">
        <v>534</v>
      </c>
      <c r="Q26" s="64" t="s">
        <v>9</v>
      </c>
      <c r="R26" s="62">
        <v>3948.2981980920977</v>
      </c>
      <c r="S26" s="63">
        <v>1343.72973</v>
      </c>
      <c r="T26" s="79">
        <v>1978.1676628194559</v>
      </c>
      <c r="U26" s="62">
        <v>23076.410017387141</v>
      </c>
      <c r="V26" s="79">
        <v>181008.45012366035</v>
      </c>
      <c r="W26" s="61" t="s">
        <v>11</v>
      </c>
      <c r="X26" s="236">
        <v>2.2499999999999999E-2</v>
      </c>
      <c r="Y26" s="60">
        <v>43486</v>
      </c>
      <c r="Z26" s="60">
        <v>46041</v>
      </c>
      <c r="AA26" s="60">
        <v>46041</v>
      </c>
      <c r="AB26" s="58">
        <v>2556</v>
      </c>
      <c r="AC26" s="59" t="s">
        <v>10</v>
      </c>
      <c r="AD26" s="58">
        <v>1299</v>
      </c>
      <c r="AE26" s="57">
        <v>3.558904109589041</v>
      </c>
      <c r="AF26" s="56"/>
      <c r="AG26" s="71" t="s">
        <v>1</v>
      </c>
      <c r="AH26" s="71" t="s">
        <v>1</v>
      </c>
      <c r="AI26" s="70" t="s">
        <v>251</v>
      </c>
      <c r="AJ26" s="11" t="s">
        <v>0</v>
      </c>
      <c r="AK26" s="11" t="s">
        <v>271</v>
      </c>
      <c r="AL26" s="13" t="s">
        <v>357</v>
      </c>
      <c r="AM26" s="11">
        <v>2145</v>
      </c>
      <c r="AO26" s="197" t="s">
        <v>127</v>
      </c>
      <c r="AP26" s="198" t="s">
        <v>92</v>
      </c>
      <c r="AS26" s="212">
        <v>0</v>
      </c>
      <c r="AT26" s="212">
        <v>237.3801195383347</v>
      </c>
      <c r="AU26" s="212" t="b">
        <v>0</v>
      </c>
      <c r="AV26" s="212"/>
      <c r="AW26" s="212">
        <v>0</v>
      </c>
      <c r="AX26" s="212">
        <v>0</v>
      </c>
      <c r="BA26" s="212">
        <v>0</v>
      </c>
      <c r="BB26" s="212">
        <v>0</v>
      </c>
      <c r="BC26" s="212">
        <v>0</v>
      </c>
      <c r="BD26" s="226">
        <v>0</v>
      </c>
      <c r="BE26" s="226"/>
    </row>
    <row r="27" spans="1:57" ht="39.950000000000003" customHeight="1" x14ac:dyDescent="0.2">
      <c r="A27" s="14" t="s">
        <v>190</v>
      </c>
      <c r="B27" s="65" t="s">
        <v>23</v>
      </c>
      <c r="C27" s="66" t="s">
        <v>37</v>
      </c>
      <c r="D27" s="14" t="s">
        <v>540</v>
      </c>
      <c r="E27" s="77" t="s">
        <v>36</v>
      </c>
      <c r="F27" s="14" t="s">
        <v>106</v>
      </c>
      <c r="G27" s="14" t="s">
        <v>106</v>
      </c>
      <c r="H27" s="66" t="s">
        <v>107</v>
      </c>
      <c r="I27" s="14" t="s">
        <v>72</v>
      </c>
      <c r="J27" s="14" t="s">
        <v>219</v>
      </c>
      <c r="K27" s="14" t="s">
        <v>29</v>
      </c>
      <c r="L27" s="65" t="s">
        <v>191</v>
      </c>
      <c r="M27" s="13" t="s">
        <v>323</v>
      </c>
      <c r="N27" s="13" t="s">
        <v>43</v>
      </c>
      <c r="O27" s="13" t="s">
        <v>538</v>
      </c>
      <c r="P27" s="13" t="s">
        <v>548</v>
      </c>
      <c r="Q27" s="64" t="s">
        <v>9</v>
      </c>
      <c r="R27" s="62">
        <v>6256.6246614061947</v>
      </c>
      <c r="S27" s="63">
        <v>2125</v>
      </c>
      <c r="T27" s="79">
        <v>3128.3123307030974</v>
      </c>
      <c r="U27" s="62">
        <v>73607.348957719936</v>
      </c>
      <c r="V27" s="79">
        <v>281732.27535037097</v>
      </c>
      <c r="W27" s="61" t="s">
        <v>11</v>
      </c>
      <c r="X27" s="236">
        <v>2.5000000000000001E-2</v>
      </c>
      <c r="Y27" s="60">
        <v>43496</v>
      </c>
      <c r="Z27" s="60">
        <v>44848</v>
      </c>
      <c r="AA27" s="60">
        <v>44848</v>
      </c>
      <c r="AB27" s="58">
        <v>1353</v>
      </c>
      <c r="AC27" s="59" t="s">
        <v>10</v>
      </c>
      <c r="AD27" s="58">
        <v>106</v>
      </c>
      <c r="AE27" s="57">
        <v>0.29041095890410956</v>
      </c>
      <c r="AF27" s="56"/>
      <c r="AG27" s="71" t="s">
        <v>1</v>
      </c>
      <c r="AH27" s="71" t="s">
        <v>1</v>
      </c>
      <c r="AI27" s="70" t="s">
        <v>601</v>
      </c>
      <c r="AJ27" s="11" t="s">
        <v>0</v>
      </c>
      <c r="AK27" s="11" t="s">
        <v>271</v>
      </c>
      <c r="AL27" s="14" t="s">
        <v>361</v>
      </c>
      <c r="AM27" s="11">
        <v>5500</v>
      </c>
      <c r="AO27" s="197" t="s">
        <v>36</v>
      </c>
      <c r="AP27" s="198" t="s">
        <v>106</v>
      </c>
      <c r="AS27" s="212">
        <v>0</v>
      </c>
      <c r="AT27" s="212">
        <v>375.39747968437166</v>
      </c>
      <c r="AU27" s="212" t="b">
        <v>0</v>
      </c>
      <c r="AV27" s="212"/>
      <c r="AW27" s="212">
        <v>0</v>
      </c>
      <c r="AX27" s="212">
        <v>0</v>
      </c>
      <c r="BA27" s="212">
        <v>0</v>
      </c>
      <c r="BB27" s="212">
        <v>0</v>
      </c>
      <c r="BC27" s="212">
        <v>0</v>
      </c>
      <c r="BD27" s="226">
        <v>0</v>
      </c>
      <c r="BE27" s="226"/>
    </row>
    <row r="28" spans="1:57" ht="39.950000000000003" customHeight="1" x14ac:dyDescent="0.2">
      <c r="A28" s="14" t="s">
        <v>185</v>
      </c>
      <c r="B28" s="65" t="s">
        <v>67</v>
      </c>
      <c r="C28" s="66" t="s">
        <v>127</v>
      </c>
      <c r="D28" s="14" t="s">
        <v>542</v>
      </c>
      <c r="E28" s="68" t="s">
        <v>127</v>
      </c>
      <c r="F28" s="14" t="s">
        <v>92</v>
      </c>
      <c r="G28" s="14" t="s">
        <v>93</v>
      </c>
      <c r="H28" s="66" t="s">
        <v>94</v>
      </c>
      <c r="I28" s="14" t="s">
        <v>165</v>
      </c>
      <c r="J28" s="14" t="s">
        <v>220</v>
      </c>
      <c r="K28" s="14" t="s">
        <v>22</v>
      </c>
      <c r="L28" s="65" t="s">
        <v>191</v>
      </c>
      <c r="M28" s="13" t="s">
        <v>59</v>
      </c>
      <c r="N28" s="13" t="s">
        <v>43</v>
      </c>
      <c r="O28" s="13" t="s">
        <v>538</v>
      </c>
      <c r="P28" s="13" t="s">
        <v>534</v>
      </c>
      <c r="Q28" s="64" t="s">
        <v>59</v>
      </c>
      <c r="R28" s="62">
        <v>27196.905596518798</v>
      </c>
      <c r="S28" s="63">
        <v>18000</v>
      </c>
      <c r="T28" s="79">
        <v>27196.905596518798</v>
      </c>
      <c r="U28" s="62">
        <v>264414.35996615497</v>
      </c>
      <c r="V28" s="79">
        <v>1858041.9738909707</v>
      </c>
      <c r="W28" s="61" t="s">
        <v>11</v>
      </c>
      <c r="X28" s="236">
        <v>1.7999999999999999E-2</v>
      </c>
      <c r="Y28" s="60">
        <v>43500</v>
      </c>
      <c r="Z28" s="60">
        <v>46042</v>
      </c>
      <c r="AA28" s="60">
        <v>46042</v>
      </c>
      <c r="AB28" s="58">
        <v>2543</v>
      </c>
      <c r="AC28" s="59" t="s">
        <v>10</v>
      </c>
      <c r="AD28" s="58">
        <v>1300</v>
      </c>
      <c r="AE28" s="57">
        <v>3.5616438356164384</v>
      </c>
      <c r="AF28" s="56" t="s">
        <v>436</v>
      </c>
      <c r="AG28" s="71" t="s">
        <v>1</v>
      </c>
      <c r="AH28" s="71" t="s">
        <v>1</v>
      </c>
      <c r="AI28" s="70" t="s">
        <v>0</v>
      </c>
      <c r="AJ28" s="11" t="s">
        <v>0</v>
      </c>
      <c r="AK28" s="11" t="s">
        <v>271</v>
      </c>
      <c r="AL28" s="14" t="s">
        <v>358</v>
      </c>
      <c r="AM28" s="11">
        <v>23780</v>
      </c>
      <c r="AO28" s="197" t="s">
        <v>127</v>
      </c>
      <c r="AP28" s="198" t="s">
        <v>92</v>
      </c>
      <c r="AS28" s="212">
        <v>0</v>
      </c>
      <c r="AT28" s="212">
        <v>3263.6286715822557</v>
      </c>
      <c r="AU28" s="212">
        <v>652.72573431645117</v>
      </c>
      <c r="AV28" s="212"/>
      <c r="AW28" s="212">
        <v>0</v>
      </c>
      <c r="AX28" s="212">
        <v>0</v>
      </c>
      <c r="BA28" s="212">
        <v>0</v>
      </c>
      <c r="BB28" s="212">
        <v>0</v>
      </c>
      <c r="BC28" s="212">
        <v>0</v>
      </c>
      <c r="BD28" s="226">
        <v>0</v>
      </c>
      <c r="BE28" s="226"/>
    </row>
    <row r="29" spans="1:57" ht="39.950000000000003" customHeight="1" x14ac:dyDescent="0.2">
      <c r="A29" s="241" t="s">
        <v>203</v>
      </c>
      <c r="B29" s="65" t="s">
        <v>23</v>
      </c>
      <c r="C29" s="66" t="s">
        <v>89</v>
      </c>
      <c r="D29" s="14" t="s">
        <v>542</v>
      </c>
      <c r="E29" s="77" t="s">
        <v>127</v>
      </c>
      <c r="F29" s="14" t="s">
        <v>92</v>
      </c>
      <c r="G29" s="14" t="s">
        <v>108</v>
      </c>
      <c r="H29" s="14" t="s">
        <v>109</v>
      </c>
      <c r="I29" s="14" t="s">
        <v>220</v>
      </c>
      <c r="J29" s="14" t="s">
        <v>220</v>
      </c>
      <c r="K29" s="14" t="s">
        <v>22</v>
      </c>
      <c r="L29" s="65" t="s">
        <v>191</v>
      </c>
      <c r="M29" s="13" t="s">
        <v>59</v>
      </c>
      <c r="N29" s="13" t="s">
        <v>43</v>
      </c>
      <c r="O29" s="13" t="s">
        <v>531</v>
      </c>
      <c r="P29" s="13" t="s">
        <v>534</v>
      </c>
      <c r="Q29" s="64" t="s">
        <v>9</v>
      </c>
      <c r="R29" s="62">
        <v>2915.4560711341423</v>
      </c>
      <c r="S29" s="63">
        <v>1092.44814</v>
      </c>
      <c r="T29" s="79">
        <v>1608.2442291838418</v>
      </c>
      <c r="U29" s="62">
        <v>19256.758019742585</v>
      </c>
      <c r="V29" s="79">
        <v>140829.56954422331</v>
      </c>
      <c r="W29" s="61" t="s">
        <v>11</v>
      </c>
      <c r="X29" s="236">
        <v>2.2499999999999999E-2</v>
      </c>
      <c r="Y29" s="60">
        <v>43508</v>
      </c>
      <c r="Z29" s="60">
        <v>46081</v>
      </c>
      <c r="AA29" s="60">
        <v>46081</v>
      </c>
      <c r="AB29" s="58">
        <v>2574</v>
      </c>
      <c r="AC29" s="59" t="s">
        <v>10</v>
      </c>
      <c r="AD29" s="58">
        <v>1339</v>
      </c>
      <c r="AE29" s="57">
        <v>3.6684931506849314</v>
      </c>
      <c r="AF29" s="56"/>
      <c r="AG29" s="71" t="s">
        <v>1</v>
      </c>
      <c r="AH29" s="71" t="s">
        <v>1</v>
      </c>
      <c r="AI29" s="70" t="s">
        <v>251</v>
      </c>
      <c r="AJ29" s="11" t="s">
        <v>0</v>
      </c>
      <c r="AK29" s="11" t="s">
        <v>271</v>
      </c>
      <c r="AL29" s="14" t="s">
        <v>360</v>
      </c>
      <c r="AM29" s="11">
        <v>1555</v>
      </c>
      <c r="AO29" s="197" t="s">
        <v>127</v>
      </c>
      <c r="AP29" s="198" t="s">
        <v>92</v>
      </c>
      <c r="AS29" s="212">
        <v>0</v>
      </c>
      <c r="AT29" s="212">
        <v>192.989307502061</v>
      </c>
      <c r="AU29" s="212" t="b">
        <v>0</v>
      </c>
      <c r="AV29" s="212"/>
      <c r="AW29" s="212">
        <v>0</v>
      </c>
      <c r="AX29" s="212">
        <v>0</v>
      </c>
      <c r="BA29" s="212">
        <v>0</v>
      </c>
      <c r="BB29" s="212">
        <v>0</v>
      </c>
      <c r="BC29" s="212">
        <v>0</v>
      </c>
      <c r="BD29" s="226">
        <v>0</v>
      </c>
      <c r="BE29" s="226"/>
    </row>
    <row r="30" spans="1:57" ht="39.950000000000003" customHeight="1" x14ac:dyDescent="0.2">
      <c r="A30" s="14" t="s">
        <v>187</v>
      </c>
      <c r="B30" s="65" t="s">
        <v>67</v>
      </c>
      <c r="C30" s="66" t="s">
        <v>34</v>
      </c>
      <c r="D30" s="14" t="s">
        <v>34</v>
      </c>
      <c r="E30" s="77" t="s">
        <v>34</v>
      </c>
      <c r="F30" s="14" t="s">
        <v>543</v>
      </c>
      <c r="G30" s="14" t="s">
        <v>97</v>
      </c>
      <c r="H30" s="14" t="s">
        <v>186</v>
      </c>
      <c r="I30" s="14" t="s">
        <v>70</v>
      </c>
      <c r="J30" s="14" t="s">
        <v>218</v>
      </c>
      <c r="K30" s="14" t="s">
        <v>139</v>
      </c>
      <c r="L30" s="65" t="s">
        <v>191</v>
      </c>
      <c r="M30" s="13" t="s">
        <v>323</v>
      </c>
      <c r="N30" s="13" t="s">
        <v>43</v>
      </c>
      <c r="O30" s="13" t="s">
        <v>538</v>
      </c>
      <c r="P30" s="13" t="s">
        <v>534</v>
      </c>
      <c r="Q30" s="15" t="s">
        <v>8</v>
      </c>
      <c r="R30" s="86">
        <v>15000</v>
      </c>
      <c r="S30" s="63">
        <v>15000</v>
      </c>
      <c r="T30" s="242">
        <v>15000</v>
      </c>
      <c r="U30" s="86">
        <v>65000</v>
      </c>
      <c r="V30" s="242">
        <v>1815402.7390411</v>
      </c>
      <c r="W30" s="61" t="s">
        <v>11</v>
      </c>
      <c r="X30" s="236">
        <v>5.2499999999999998E-2</v>
      </c>
      <c r="Y30" s="85">
        <v>43511</v>
      </c>
      <c r="Z30" s="85">
        <v>45392</v>
      </c>
      <c r="AA30" s="85">
        <v>45392</v>
      </c>
      <c r="AB30" s="58">
        <v>1882</v>
      </c>
      <c r="AC30" s="59" t="s">
        <v>10</v>
      </c>
      <c r="AD30" s="58">
        <v>650</v>
      </c>
      <c r="AE30" s="57">
        <v>1.7808219178082192</v>
      </c>
      <c r="AF30" s="56"/>
      <c r="AG30" s="71" t="s">
        <v>1</v>
      </c>
      <c r="AH30" s="71" t="s">
        <v>1</v>
      </c>
      <c r="AI30" s="70" t="s">
        <v>0</v>
      </c>
      <c r="AJ30" s="11" t="s">
        <v>0</v>
      </c>
      <c r="AK30" s="11" t="s">
        <v>271</v>
      </c>
      <c r="AL30" s="14" t="s">
        <v>359</v>
      </c>
      <c r="AM30" s="12">
        <v>5500</v>
      </c>
      <c r="AN30" s="12"/>
      <c r="AO30" s="197" t="s">
        <v>34</v>
      </c>
      <c r="AP30" s="198" t="s">
        <v>543</v>
      </c>
      <c r="AQ30" s="12"/>
      <c r="AS30" s="212">
        <v>0</v>
      </c>
      <c r="AT30" s="212">
        <v>1800</v>
      </c>
      <c r="AU30" s="212" t="b">
        <v>0</v>
      </c>
      <c r="AV30" s="212"/>
      <c r="AW30" s="212">
        <v>0</v>
      </c>
      <c r="AX30" s="212">
        <v>0</v>
      </c>
      <c r="BA30" s="212">
        <v>0</v>
      </c>
      <c r="BB30" s="212">
        <v>0</v>
      </c>
      <c r="BC30" s="212">
        <v>0</v>
      </c>
      <c r="BD30" s="226">
        <v>0</v>
      </c>
      <c r="BE30" s="226"/>
    </row>
    <row r="31" spans="1:57" ht="39.950000000000003" customHeight="1" x14ac:dyDescent="0.2">
      <c r="A31" s="65" t="s">
        <v>194</v>
      </c>
      <c r="B31" s="65" t="s">
        <v>23</v>
      </c>
      <c r="C31" s="66" t="s">
        <v>89</v>
      </c>
      <c r="D31" s="14" t="s">
        <v>542</v>
      </c>
      <c r="E31" s="77" t="s">
        <v>193</v>
      </c>
      <c r="F31" s="14" t="s">
        <v>92</v>
      </c>
      <c r="G31" s="66" t="s">
        <v>134</v>
      </c>
      <c r="H31" s="14" t="s">
        <v>134</v>
      </c>
      <c r="I31" s="14" t="s">
        <v>220</v>
      </c>
      <c r="J31" s="14" t="s">
        <v>220</v>
      </c>
      <c r="K31" s="14" t="s">
        <v>22</v>
      </c>
      <c r="L31" s="65" t="s">
        <v>191</v>
      </c>
      <c r="M31" s="13" t="s">
        <v>59</v>
      </c>
      <c r="N31" s="13" t="s">
        <v>43</v>
      </c>
      <c r="O31" s="13" t="s">
        <v>531</v>
      </c>
      <c r="P31" s="13" t="s">
        <v>534</v>
      </c>
      <c r="Q31" s="64" t="s">
        <v>9</v>
      </c>
      <c r="R31" s="62">
        <v>22082.204687315982</v>
      </c>
      <c r="S31" s="63">
        <v>6923.076</v>
      </c>
      <c r="T31" s="79">
        <v>10191.785419856318</v>
      </c>
      <c r="U31" s="62">
        <v>93084.973501354383</v>
      </c>
      <c r="V31" s="79">
        <v>1126835.7672830056</v>
      </c>
      <c r="W31" s="61" t="s">
        <v>11</v>
      </c>
      <c r="X31" s="236">
        <v>2.8500000000000001E-2</v>
      </c>
      <c r="Y31" s="60">
        <v>43515</v>
      </c>
      <c r="Z31" s="60">
        <v>46042</v>
      </c>
      <c r="AA31" s="60">
        <v>46042</v>
      </c>
      <c r="AB31" s="58">
        <v>2528</v>
      </c>
      <c r="AC31" s="59" t="s">
        <v>10</v>
      </c>
      <c r="AD31" s="58">
        <v>1300</v>
      </c>
      <c r="AE31" s="57">
        <v>3.5616438356164384</v>
      </c>
      <c r="AF31" s="56"/>
      <c r="AG31" s="71" t="s">
        <v>1</v>
      </c>
      <c r="AH31" s="71" t="s">
        <v>1</v>
      </c>
      <c r="AI31" s="70" t="s">
        <v>269</v>
      </c>
      <c r="AJ31" s="11" t="s">
        <v>0</v>
      </c>
      <c r="AK31" s="11" t="s">
        <v>271</v>
      </c>
      <c r="AL31" s="13" t="s">
        <v>362</v>
      </c>
      <c r="AM31" s="11">
        <v>6472.5</v>
      </c>
      <c r="AO31" s="197" t="s">
        <v>193</v>
      </c>
      <c r="AP31" s="198" t="s">
        <v>92</v>
      </c>
      <c r="AS31" s="212">
        <v>0</v>
      </c>
      <c r="AT31" s="212">
        <v>1223.0142503827581</v>
      </c>
      <c r="AU31" s="212" t="b">
        <v>0</v>
      </c>
      <c r="AV31" s="212"/>
      <c r="AW31" s="212">
        <v>0</v>
      </c>
      <c r="AX31" s="212">
        <v>0</v>
      </c>
      <c r="BA31" s="212">
        <v>0</v>
      </c>
      <c r="BB31" s="212">
        <v>0</v>
      </c>
      <c r="BC31" s="212">
        <v>0</v>
      </c>
      <c r="BD31" s="226">
        <v>0</v>
      </c>
      <c r="BE31" s="226"/>
    </row>
    <row r="32" spans="1:57" ht="39.950000000000003" customHeight="1" x14ac:dyDescent="0.2">
      <c r="A32" s="66" t="s">
        <v>192</v>
      </c>
      <c r="B32" s="65" t="s">
        <v>23</v>
      </c>
      <c r="C32" s="66" t="s">
        <v>149</v>
      </c>
      <c r="D32" s="14" t="s">
        <v>541</v>
      </c>
      <c r="E32" s="68" t="s">
        <v>37</v>
      </c>
      <c r="F32" s="14" t="s">
        <v>544</v>
      </c>
      <c r="G32" s="66" t="s">
        <v>178</v>
      </c>
      <c r="H32" s="66" t="s">
        <v>177</v>
      </c>
      <c r="I32" s="14" t="s">
        <v>148</v>
      </c>
      <c r="J32" s="14" t="s">
        <v>148</v>
      </c>
      <c r="K32" s="14" t="s">
        <v>29</v>
      </c>
      <c r="L32" s="65" t="s">
        <v>191</v>
      </c>
      <c r="M32" s="13" t="s">
        <v>59</v>
      </c>
      <c r="N32" s="13" t="s">
        <v>43</v>
      </c>
      <c r="O32" s="13" t="s">
        <v>539</v>
      </c>
      <c r="P32" s="13" t="s">
        <v>534</v>
      </c>
      <c r="Q32" s="64" t="s">
        <v>9</v>
      </c>
      <c r="R32" s="62">
        <v>11041.102343657991</v>
      </c>
      <c r="S32" s="63">
        <v>5025</v>
      </c>
      <c r="T32" s="79">
        <v>7397.5385702508538</v>
      </c>
      <c r="U32" s="62">
        <v>44164.409374631963</v>
      </c>
      <c r="V32" s="79">
        <v>594923.66917913081</v>
      </c>
      <c r="W32" s="61" t="s">
        <v>551</v>
      </c>
      <c r="X32" s="236">
        <v>3.5000000000000003E-2</v>
      </c>
      <c r="Y32" s="60">
        <v>43532</v>
      </c>
      <c r="Z32" s="60">
        <v>45323</v>
      </c>
      <c r="AA32" s="60">
        <v>45323</v>
      </c>
      <c r="AB32" s="58">
        <v>1792</v>
      </c>
      <c r="AC32" s="59" t="s">
        <v>10</v>
      </c>
      <c r="AD32" s="58">
        <v>581</v>
      </c>
      <c r="AE32" s="57">
        <v>1.5917808219178082</v>
      </c>
      <c r="AF32" s="56"/>
      <c r="AG32" s="71" t="s">
        <v>1</v>
      </c>
      <c r="AH32" s="71" t="s">
        <v>1</v>
      </c>
      <c r="AI32" s="71" t="s">
        <v>0</v>
      </c>
      <c r="AJ32" s="11" t="s">
        <v>0</v>
      </c>
      <c r="AK32" s="11" t="s">
        <v>271</v>
      </c>
      <c r="AL32" s="14" t="s">
        <v>363</v>
      </c>
      <c r="AM32" s="11">
        <v>8000</v>
      </c>
      <c r="AO32" s="197" t="s">
        <v>37</v>
      </c>
      <c r="AP32" s="198" t="s">
        <v>544</v>
      </c>
      <c r="AQ32" s="11">
        <v>1</v>
      </c>
      <c r="AR32" s="214">
        <v>0.05</v>
      </c>
      <c r="AS32" s="212">
        <v>369.87692851254269</v>
      </c>
      <c r="AT32" s="212">
        <v>887.70462843010239</v>
      </c>
      <c r="AU32" s="212" t="b">
        <v>0</v>
      </c>
      <c r="AV32" s="212"/>
      <c r="AW32" s="212">
        <v>369.87692851254269</v>
      </c>
      <c r="AX32" s="212">
        <v>337.81966816360563</v>
      </c>
      <c r="AY32" s="12"/>
      <c r="BA32" s="212">
        <v>369.87692851254269</v>
      </c>
      <c r="BB32" s="212">
        <v>337.81966816360563</v>
      </c>
      <c r="BC32" s="212">
        <v>783.67722250860299</v>
      </c>
      <c r="BD32" s="226">
        <v>1044.9029633448042</v>
      </c>
      <c r="BE32" s="226">
        <v>1038.2059800664451</v>
      </c>
    </row>
    <row r="33" spans="1:57" ht="39.950000000000003" customHeight="1" x14ac:dyDescent="0.2">
      <c r="A33" s="241" t="s">
        <v>206</v>
      </c>
      <c r="B33" s="65" t="s">
        <v>23</v>
      </c>
      <c r="C33" s="66" t="s">
        <v>38</v>
      </c>
      <c r="D33" s="14" t="s">
        <v>541</v>
      </c>
      <c r="E33" s="68" t="s">
        <v>37</v>
      </c>
      <c r="F33" s="14" t="s">
        <v>546</v>
      </c>
      <c r="G33" s="66" t="s">
        <v>167</v>
      </c>
      <c r="H33" s="66" t="s">
        <v>167</v>
      </c>
      <c r="I33" s="66" t="s">
        <v>50</v>
      </c>
      <c r="J33" s="66" t="s">
        <v>21</v>
      </c>
      <c r="K33" s="14" t="s">
        <v>29</v>
      </c>
      <c r="L33" s="65" t="s">
        <v>191</v>
      </c>
      <c r="M33" s="13" t="s">
        <v>323</v>
      </c>
      <c r="N33" s="65" t="s">
        <v>43</v>
      </c>
      <c r="O33" s="65" t="s">
        <v>531</v>
      </c>
      <c r="P33" s="13" t="s">
        <v>548</v>
      </c>
      <c r="Q33" s="83" t="s">
        <v>9</v>
      </c>
      <c r="R33" s="62">
        <v>29442.939583087977</v>
      </c>
      <c r="S33" s="243">
        <v>20000</v>
      </c>
      <c r="T33" s="82">
        <v>29442.939583087977</v>
      </c>
      <c r="U33" s="82">
        <v>135437.5220822047</v>
      </c>
      <c r="V33" s="82">
        <v>1155888.5879166175</v>
      </c>
      <c r="W33" s="61" t="s">
        <v>11</v>
      </c>
      <c r="X33" s="236">
        <v>1.4500000000000001E-2</v>
      </c>
      <c r="Y33" s="81">
        <v>43609</v>
      </c>
      <c r="Z33" s="81">
        <v>45044</v>
      </c>
      <c r="AA33" s="81">
        <v>45044</v>
      </c>
      <c r="AB33" s="58">
        <v>1436</v>
      </c>
      <c r="AC33" s="244" t="s">
        <v>10</v>
      </c>
      <c r="AD33" s="80">
        <v>302</v>
      </c>
      <c r="AE33" s="57">
        <v>0.82739726027397265</v>
      </c>
      <c r="AF33" s="56" t="s">
        <v>436</v>
      </c>
      <c r="AG33" s="71" t="s">
        <v>1</v>
      </c>
      <c r="AH33" s="71" t="s">
        <v>1</v>
      </c>
      <c r="AI33" s="71" t="s">
        <v>0</v>
      </c>
      <c r="AJ33" s="11" t="s">
        <v>0</v>
      </c>
      <c r="AK33" s="11" t="s">
        <v>271</v>
      </c>
      <c r="AL33" s="14" t="s">
        <v>367</v>
      </c>
      <c r="AM33" s="11">
        <v>3500</v>
      </c>
      <c r="AO33" s="197" t="s">
        <v>37</v>
      </c>
      <c r="AP33" s="198" t="s">
        <v>546</v>
      </c>
      <c r="AS33" s="212">
        <v>0</v>
      </c>
      <c r="AT33" s="212">
        <v>3533.1527499705571</v>
      </c>
      <c r="AU33" s="212">
        <v>706.63054999411145</v>
      </c>
      <c r="AV33" s="212"/>
      <c r="AW33" s="212">
        <v>0</v>
      </c>
      <c r="AX33" s="212">
        <v>0</v>
      </c>
      <c r="BA33" s="212">
        <v>0</v>
      </c>
      <c r="BB33" s="212">
        <v>0</v>
      </c>
      <c r="BC33" s="212">
        <v>0</v>
      </c>
      <c r="BD33" s="226">
        <v>0</v>
      </c>
      <c r="BE33" s="226"/>
    </row>
    <row r="34" spans="1:57" ht="39.950000000000003" customHeight="1" x14ac:dyDescent="0.2">
      <c r="A34" s="66" t="s">
        <v>205</v>
      </c>
      <c r="B34" s="65" t="s">
        <v>23</v>
      </c>
      <c r="C34" s="66" t="s">
        <v>38</v>
      </c>
      <c r="D34" s="14" t="s">
        <v>540</v>
      </c>
      <c r="E34" s="77" t="s">
        <v>36</v>
      </c>
      <c r="F34" s="14" t="s">
        <v>92</v>
      </c>
      <c r="G34" s="66" t="s">
        <v>134</v>
      </c>
      <c r="H34" s="66" t="s">
        <v>134</v>
      </c>
      <c r="I34" s="66" t="s">
        <v>50</v>
      </c>
      <c r="J34" s="66" t="s">
        <v>21</v>
      </c>
      <c r="K34" s="14" t="s">
        <v>22</v>
      </c>
      <c r="L34" s="65" t="s">
        <v>191</v>
      </c>
      <c r="M34" s="13" t="s">
        <v>323</v>
      </c>
      <c r="N34" s="65" t="s">
        <v>43</v>
      </c>
      <c r="O34" s="65" t="s">
        <v>531</v>
      </c>
      <c r="P34" s="65" t="s">
        <v>534</v>
      </c>
      <c r="Q34" s="83" t="s">
        <v>9</v>
      </c>
      <c r="R34" s="62">
        <v>29810.976327876575</v>
      </c>
      <c r="S34" s="243">
        <v>11979.072920000001</v>
      </c>
      <c r="T34" s="82">
        <v>17634.956012248265</v>
      </c>
      <c r="U34" s="82">
        <v>84299.444048673191</v>
      </c>
      <c r="V34" s="82">
        <v>929386.9979978801</v>
      </c>
      <c r="W34" s="61" t="s">
        <v>11</v>
      </c>
      <c r="X34" s="236">
        <v>1.4E-2</v>
      </c>
      <c r="Y34" s="81">
        <v>43609</v>
      </c>
      <c r="Z34" s="81">
        <v>46457</v>
      </c>
      <c r="AA34" s="81">
        <v>46457</v>
      </c>
      <c r="AB34" s="58">
        <v>2849</v>
      </c>
      <c r="AC34" s="244" t="s">
        <v>10</v>
      </c>
      <c r="AD34" s="80">
        <v>1715</v>
      </c>
      <c r="AE34" s="57">
        <v>4.6986301369863011</v>
      </c>
      <c r="AF34" s="56" t="s">
        <v>436</v>
      </c>
      <c r="AG34" s="71" t="s">
        <v>1</v>
      </c>
      <c r="AH34" s="71" t="s">
        <v>1</v>
      </c>
      <c r="AI34" s="70" t="s">
        <v>733</v>
      </c>
      <c r="AJ34" s="11" t="s">
        <v>0</v>
      </c>
      <c r="AK34" s="11" t="s">
        <v>271</v>
      </c>
      <c r="AL34" s="14" t="s">
        <v>366</v>
      </c>
      <c r="AM34" s="11">
        <v>8100</v>
      </c>
      <c r="AO34" s="197" t="s">
        <v>36</v>
      </c>
      <c r="AP34" s="198" t="s">
        <v>92</v>
      </c>
      <c r="AS34" s="212">
        <v>0</v>
      </c>
      <c r="AT34" s="212">
        <v>2116.1947214697916</v>
      </c>
      <c r="AU34" s="212">
        <v>423.23894429395835</v>
      </c>
      <c r="AV34" s="212"/>
      <c r="AW34" s="212">
        <v>0</v>
      </c>
      <c r="AX34" s="212">
        <v>0</v>
      </c>
      <c r="BA34" s="212">
        <v>0</v>
      </c>
      <c r="BB34" s="212">
        <v>0</v>
      </c>
      <c r="BC34" s="212">
        <v>0</v>
      </c>
      <c r="BD34" s="226">
        <v>0</v>
      </c>
      <c r="BE34" s="226"/>
    </row>
    <row r="35" spans="1:57" ht="39.950000000000003" customHeight="1" x14ac:dyDescent="0.2">
      <c r="A35" s="65" t="s">
        <v>210</v>
      </c>
      <c r="B35" s="65" t="s">
        <v>51</v>
      </c>
      <c r="C35" s="66" t="s">
        <v>211</v>
      </c>
      <c r="D35" s="14" t="s">
        <v>542</v>
      </c>
      <c r="E35" s="77" t="s">
        <v>211</v>
      </c>
      <c r="F35" s="14" t="s">
        <v>102</v>
      </c>
      <c r="G35" s="66" t="s">
        <v>102</v>
      </c>
      <c r="H35" s="66" t="s">
        <v>122</v>
      </c>
      <c r="I35" s="66" t="s">
        <v>212</v>
      </c>
      <c r="J35" s="66" t="s">
        <v>220</v>
      </c>
      <c r="K35" s="14" t="s">
        <v>13</v>
      </c>
      <c r="L35" s="65" t="s">
        <v>191</v>
      </c>
      <c r="M35" s="13" t="s">
        <v>59</v>
      </c>
      <c r="N35" s="65" t="s">
        <v>43</v>
      </c>
      <c r="O35" s="65" t="s">
        <v>538</v>
      </c>
      <c r="P35" s="65" t="s">
        <v>534</v>
      </c>
      <c r="Q35" s="64" t="s">
        <v>59</v>
      </c>
      <c r="R35" s="62">
        <v>12129.064426447479</v>
      </c>
      <c r="S35" s="243">
        <v>8027.5</v>
      </c>
      <c r="T35" s="82">
        <v>12129.064426447479</v>
      </c>
      <c r="U35" s="82">
        <v>24258.128852894959</v>
      </c>
      <c r="V35" s="62">
        <v>740120.9204641605</v>
      </c>
      <c r="W35" s="61" t="s">
        <v>11</v>
      </c>
      <c r="X35" s="236">
        <v>2.5000000000000001E-2</v>
      </c>
      <c r="Y35" s="81">
        <v>43626</v>
      </c>
      <c r="Z35" s="60">
        <v>45301</v>
      </c>
      <c r="AA35" s="238">
        <v>45301</v>
      </c>
      <c r="AB35" s="58">
        <v>1676</v>
      </c>
      <c r="AC35" s="244" t="s">
        <v>10</v>
      </c>
      <c r="AD35" s="80">
        <v>559</v>
      </c>
      <c r="AE35" s="57">
        <v>1.5315068493150685</v>
      </c>
      <c r="AF35" s="56"/>
      <c r="AG35" s="71" t="s">
        <v>1</v>
      </c>
      <c r="AH35" s="71" t="s">
        <v>1</v>
      </c>
      <c r="AI35" s="71" t="s">
        <v>0</v>
      </c>
      <c r="AJ35" s="11" t="s">
        <v>0</v>
      </c>
      <c r="AK35" s="11" t="s">
        <v>271</v>
      </c>
      <c r="AL35" s="14" t="s">
        <v>368</v>
      </c>
      <c r="AM35" s="11">
        <v>11000</v>
      </c>
      <c r="AO35" s="197" t="s">
        <v>211</v>
      </c>
      <c r="AP35" s="198" t="s">
        <v>102</v>
      </c>
      <c r="AS35" s="212">
        <v>0</v>
      </c>
      <c r="AT35" s="212">
        <v>1455.4877311736975</v>
      </c>
      <c r="AU35" s="212" t="b">
        <v>0</v>
      </c>
      <c r="AV35" s="212"/>
      <c r="AW35" s="212">
        <v>0</v>
      </c>
      <c r="AX35" s="212">
        <v>0</v>
      </c>
      <c r="BA35" s="212">
        <v>0</v>
      </c>
      <c r="BB35" s="212">
        <v>0</v>
      </c>
      <c r="BC35" s="212">
        <v>0</v>
      </c>
      <c r="BD35" s="226">
        <v>0</v>
      </c>
      <c r="BE35" s="226"/>
    </row>
    <row r="36" spans="1:57" ht="39.950000000000003" customHeight="1" x14ac:dyDescent="0.2">
      <c r="A36" s="13" t="s">
        <v>213</v>
      </c>
      <c r="B36" s="65" t="s">
        <v>67</v>
      </c>
      <c r="C36" s="66" t="s">
        <v>87</v>
      </c>
      <c r="D36" s="14" t="s">
        <v>34</v>
      </c>
      <c r="E36" s="77" t="s">
        <v>34</v>
      </c>
      <c r="F36" s="14" t="s">
        <v>48</v>
      </c>
      <c r="G36" s="66" t="s">
        <v>120</v>
      </c>
      <c r="H36" s="66" t="s">
        <v>214</v>
      </c>
      <c r="I36" s="14" t="s">
        <v>181</v>
      </c>
      <c r="J36" s="14" t="s">
        <v>33</v>
      </c>
      <c r="K36" s="14" t="s">
        <v>209</v>
      </c>
      <c r="L36" s="65" t="s">
        <v>191</v>
      </c>
      <c r="M36" s="13" t="s">
        <v>59</v>
      </c>
      <c r="N36" s="13" t="s">
        <v>43</v>
      </c>
      <c r="O36" s="13" t="s">
        <v>533</v>
      </c>
      <c r="P36" s="13" t="s">
        <v>532</v>
      </c>
      <c r="Q36" s="64" t="s">
        <v>9</v>
      </c>
      <c r="R36" s="62">
        <v>36803.674478859968</v>
      </c>
      <c r="S36" s="63">
        <v>13837.5</v>
      </c>
      <c r="T36" s="79">
        <v>20370.833824048994</v>
      </c>
      <c r="U36" s="62">
        <v>85557.502061005784</v>
      </c>
      <c r="V36" s="76">
        <v>1590193.0867977859</v>
      </c>
      <c r="W36" s="61" t="s">
        <v>11</v>
      </c>
      <c r="X36" s="236">
        <v>0.02</v>
      </c>
      <c r="Y36" s="60">
        <v>43630</v>
      </c>
      <c r="Z36" s="60">
        <v>45365</v>
      </c>
      <c r="AA36" s="60">
        <v>45365</v>
      </c>
      <c r="AB36" s="58">
        <v>1736</v>
      </c>
      <c r="AC36" s="59" t="s">
        <v>10</v>
      </c>
      <c r="AD36" s="58">
        <v>623</v>
      </c>
      <c r="AE36" s="57">
        <v>1.7068493150684931</v>
      </c>
      <c r="AF36" s="56" t="s">
        <v>436</v>
      </c>
      <c r="AG36" s="71" t="s">
        <v>1</v>
      </c>
      <c r="AH36" s="71" t="s">
        <v>1</v>
      </c>
      <c r="AI36" s="70" t="s">
        <v>719</v>
      </c>
      <c r="AJ36" s="11" t="s">
        <v>0</v>
      </c>
      <c r="AK36" s="11" t="s">
        <v>271</v>
      </c>
      <c r="AL36" s="13" t="s">
        <v>370</v>
      </c>
      <c r="AM36" s="11">
        <v>8500</v>
      </c>
      <c r="AO36" s="197" t="s">
        <v>34</v>
      </c>
      <c r="AP36" s="198" t="s">
        <v>48</v>
      </c>
      <c r="AS36" s="212">
        <v>0</v>
      </c>
      <c r="AT36" s="212">
        <v>2444.5000588858793</v>
      </c>
      <c r="AU36" s="212">
        <v>488.90001177717591</v>
      </c>
      <c r="AV36" s="212"/>
      <c r="AW36" s="212">
        <v>0</v>
      </c>
      <c r="AX36" s="212">
        <v>0</v>
      </c>
      <c r="BA36" s="212">
        <v>0</v>
      </c>
      <c r="BB36" s="212">
        <v>0</v>
      </c>
      <c r="BC36" s="212">
        <v>0</v>
      </c>
      <c r="BD36" s="226">
        <v>0</v>
      </c>
      <c r="BE36" s="226"/>
    </row>
    <row r="37" spans="1:57" ht="39.950000000000003" customHeight="1" x14ac:dyDescent="0.2">
      <c r="A37" s="14" t="s">
        <v>215</v>
      </c>
      <c r="B37" s="65" t="s">
        <v>67</v>
      </c>
      <c r="C37" s="66" t="s">
        <v>38</v>
      </c>
      <c r="D37" s="14" t="s">
        <v>541</v>
      </c>
      <c r="E37" s="77" t="s">
        <v>37</v>
      </c>
      <c r="F37" s="14" t="s">
        <v>102</v>
      </c>
      <c r="G37" s="66" t="s">
        <v>102</v>
      </c>
      <c r="H37" s="14" t="s">
        <v>122</v>
      </c>
      <c r="I37" s="14" t="s">
        <v>142</v>
      </c>
      <c r="J37" s="66" t="s">
        <v>218</v>
      </c>
      <c r="K37" s="14" t="s">
        <v>101</v>
      </c>
      <c r="L37" s="65" t="s">
        <v>191</v>
      </c>
      <c r="M37" s="13" t="s">
        <v>323</v>
      </c>
      <c r="N37" s="13" t="s">
        <v>43</v>
      </c>
      <c r="O37" s="13" t="s">
        <v>531</v>
      </c>
      <c r="P37" s="13" t="s">
        <v>534</v>
      </c>
      <c r="Q37" s="64" t="s">
        <v>54</v>
      </c>
      <c r="R37" s="62">
        <v>36583.71855676292</v>
      </c>
      <c r="S37" s="63">
        <v>158000</v>
      </c>
      <c r="T37" s="62">
        <v>36583.71855676292</v>
      </c>
      <c r="U37" s="62">
        <v>455889.41586119949</v>
      </c>
      <c r="V37" s="76">
        <v>594680.87928498525</v>
      </c>
      <c r="W37" s="61" t="s">
        <v>551</v>
      </c>
      <c r="X37" s="236">
        <v>1.6799999999999999E-2</v>
      </c>
      <c r="Y37" s="60">
        <v>43633</v>
      </c>
      <c r="Z37" s="60">
        <v>45046</v>
      </c>
      <c r="AA37" s="60">
        <v>45046</v>
      </c>
      <c r="AB37" s="58">
        <v>1414</v>
      </c>
      <c r="AC37" s="59" t="s">
        <v>10</v>
      </c>
      <c r="AD37" s="58">
        <v>304</v>
      </c>
      <c r="AE37" s="57">
        <v>0.83287671232876714</v>
      </c>
      <c r="AF37" s="56" t="s">
        <v>436</v>
      </c>
      <c r="AG37" s="71" t="s">
        <v>1</v>
      </c>
      <c r="AH37" s="71" t="s">
        <v>1</v>
      </c>
      <c r="AI37" s="70" t="s">
        <v>0</v>
      </c>
      <c r="AJ37" s="11" t="s">
        <v>0</v>
      </c>
      <c r="AK37" s="11" t="s">
        <v>271</v>
      </c>
      <c r="AL37" s="14" t="s">
        <v>374</v>
      </c>
      <c r="AM37" s="11">
        <v>8500</v>
      </c>
      <c r="AO37" s="197" t="s">
        <v>37</v>
      </c>
      <c r="AP37" s="198" t="s">
        <v>102</v>
      </c>
      <c r="AS37" s="212">
        <v>0</v>
      </c>
      <c r="AT37" s="212">
        <v>4390.0462268115507</v>
      </c>
      <c r="AU37" s="212">
        <v>878.00924536231014</v>
      </c>
      <c r="AV37" s="212"/>
      <c r="AW37" s="212">
        <v>0</v>
      </c>
      <c r="AX37" s="212">
        <v>0</v>
      </c>
      <c r="BA37" s="212">
        <v>0</v>
      </c>
      <c r="BB37" s="212">
        <v>0</v>
      </c>
      <c r="BC37" s="212">
        <v>0</v>
      </c>
      <c r="BD37" s="226">
        <v>0</v>
      </c>
      <c r="BE37" s="226"/>
    </row>
    <row r="38" spans="1:57" ht="39.950000000000003" customHeight="1" x14ac:dyDescent="0.2">
      <c r="A38" s="14" t="s">
        <v>223</v>
      </c>
      <c r="B38" s="65" t="s">
        <v>24</v>
      </c>
      <c r="C38" s="66" t="s">
        <v>38</v>
      </c>
      <c r="D38" s="14" t="s">
        <v>540</v>
      </c>
      <c r="E38" s="77" t="s">
        <v>229</v>
      </c>
      <c r="F38" s="14" t="s">
        <v>92</v>
      </c>
      <c r="G38" s="66" t="s">
        <v>100</v>
      </c>
      <c r="H38" s="14" t="s">
        <v>100</v>
      </c>
      <c r="I38" s="14" t="s">
        <v>230</v>
      </c>
      <c r="J38" s="66" t="s">
        <v>231</v>
      </c>
      <c r="K38" s="14" t="s">
        <v>44</v>
      </c>
      <c r="L38" s="65" t="s">
        <v>191</v>
      </c>
      <c r="M38" s="13" t="s">
        <v>323</v>
      </c>
      <c r="N38" s="13" t="s">
        <v>43</v>
      </c>
      <c r="O38" s="13" t="s">
        <v>539</v>
      </c>
      <c r="P38" s="13" t="s">
        <v>534</v>
      </c>
      <c r="Q38" s="64" t="s">
        <v>9</v>
      </c>
      <c r="R38" s="62">
        <v>16193.616770698387</v>
      </c>
      <c r="S38" s="63">
        <v>9379.8310000000001</v>
      </c>
      <c r="T38" s="62">
        <v>13808.489871628784</v>
      </c>
      <c r="U38" s="62">
        <v>52420.209633729835</v>
      </c>
      <c r="V38" s="76">
        <v>802813.27287716407</v>
      </c>
      <c r="W38" s="61" t="s">
        <v>551</v>
      </c>
      <c r="X38" s="236">
        <v>1.7500000000000002E-2</v>
      </c>
      <c r="Y38" s="60">
        <v>43670</v>
      </c>
      <c r="Z38" s="60">
        <v>47992</v>
      </c>
      <c r="AA38" s="60">
        <v>47992</v>
      </c>
      <c r="AB38" s="58">
        <v>4323</v>
      </c>
      <c r="AC38" s="59" t="s">
        <v>10</v>
      </c>
      <c r="AD38" s="58">
        <v>3250</v>
      </c>
      <c r="AE38" s="57">
        <v>8.9041095890410951</v>
      </c>
      <c r="AF38" s="56"/>
      <c r="AG38" s="71" t="s">
        <v>1</v>
      </c>
      <c r="AH38" s="71" t="s">
        <v>1</v>
      </c>
      <c r="AI38" s="70" t="s">
        <v>661</v>
      </c>
      <c r="AJ38" s="11" t="s">
        <v>0</v>
      </c>
      <c r="AK38" s="11" t="s">
        <v>271</v>
      </c>
      <c r="AL38" s="14" t="s">
        <v>375</v>
      </c>
      <c r="AM38" s="11">
        <v>19997.5</v>
      </c>
      <c r="AO38" s="197" t="s">
        <v>229</v>
      </c>
      <c r="AP38" s="198" t="s">
        <v>92</v>
      </c>
      <c r="AQ38" s="11">
        <v>1</v>
      </c>
      <c r="AR38" s="214">
        <v>7.4999999999999997E-2</v>
      </c>
      <c r="AS38" s="212">
        <v>1035.6367403721588</v>
      </c>
      <c r="AT38" s="212">
        <v>1657.018784595454</v>
      </c>
      <c r="AU38" s="212" t="b">
        <v>0</v>
      </c>
      <c r="AV38" s="212"/>
      <c r="AW38" s="212">
        <v>1035.6367403721588</v>
      </c>
      <c r="AX38" s="212">
        <v>630.58535240809965</v>
      </c>
      <c r="AY38" s="11" t="s">
        <v>820</v>
      </c>
      <c r="BA38" s="212">
        <v>1035.6367403721588</v>
      </c>
      <c r="BB38" s="212">
        <v>630.58535240809965</v>
      </c>
      <c r="BC38" s="212">
        <v>653.40088050489715</v>
      </c>
      <c r="BD38" s="226">
        <v>653.40088050489715</v>
      </c>
      <c r="BE38" s="226">
        <v>0</v>
      </c>
    </row>
    <row r="39" spans="1:57" ht="39.950000000000003" customHeight="1" x14ac:dyDescent="0.2">
      <c r="A39" s="14" t="s">
        <v>226</v>
      </c>
      <c r="B39" s="65" t="s">
        <v>23</v>
      </c>
      <c r="C39" s="66" t="s">
        <v>87</v>
      </c>
      <c r="D39" s="14" t="s">
        <v>496</v>
      </c>
      <c r="E39" s="77" t="s">
        <v>872</v>
      </c>
      <c r="F39" s="14" t="s">
        <v>475</v>
      </c>
      <c r="G39" s="66" t="s">
        <v>227</v>
      </c>
      <c r="H39" s="14" t="s">
        <v>228</v>
      </c>
      <c r="I39" s="14" t="s">
        <v>181</v>
      </c>
      <c r="J39" s="14" t="s">
        <v>33</v>
      </c>
      <c r="K39" s="14" t="s">
        <v>209</v>
      </c>
      <c r="L39" s="65" t="s">
        <v>191</v>
      </c>
      <c r="M39" s="13" t="s">
        <v>59</v>
      </c>
      <c r="N39" s="13" t="s">
        <v>43</v>
      </c>
      <c r="O39" s="13" t="s">
        <v>538</v>
      </c>
      <c r="P39" s="13" t="s">
        <v>534</v>
      </c>
      <c r="Q39" s="64" t="s">
        <v>9</v>
      </c>
      <c r="R39" s="62">
        <v>33123.307030973971</v>
      </c>
      <c r="S39" s="63">
        <v>22500</v>
      </c>
      <c r="T39" s="62">
        <v>33123.307030973971</v>
      </c>
      <c r="U39" s="62">
        <v>220822.04687315982</v>
      </c>
      <c r="V39" s="76">
        <v>970286.1853727476</v>
      </c>
      <c r="W39" s="61" t="s">
        <v>11</v>
      </c>
      <c r="X39" s="236">
        <v>1.8499999999999999E-2</v>
      </c>
      <c r="Y39" s="60">
        <v>43672</v>
      </c>
      <c r="Z39" s="60">
        <v>45197</v>
      </c>
      <c r="AA39" s="60">
        <v>45197</v>
      </c>
      <c r="AB39" s="58">
        <v>1526</v>
      </c>
      <c r="AC39" s="59" t="s">
        <v>10</v>
      </c>
      <c r="AD39" s="58">
        <v>455</v>
      </c>
      <c r="AE39" s="57">
        <v>1.2465753424657535</v>
      </c>
      <c r="AF39" s="56" t="s">
        <v>436</v>
      </c>
      <c r="AG39" s="71" t="s">
        <v>1</v>
      </c>
      <c r="AH39" s="71" t="s">
        <v>1</v>
      </c>
      <c r="AI39" s="70" t="s">
        <v>0</v>
      </c>
      <c r="AJ39" s="11" t="s">
        <v>0</v>
      </c>
      <c r="AK39" s="11" t="s">
        <v>271</v>
      </c>
      <c r="AL39" s="14" t="s">
        <v>350</v>
      </c>
      <c r="AM39" s="11">
        <v>9195</v>
      </c>
      <c r="AO39" s="197" t="s">
        <v>872</v>
      </c>
      <c r="AP39" s="198" t="s">
        <v>475</v>
      </c>
      <c r="AS39" s="212">
        <v>0</v>
      </c>
      <c r="AT39" s="212">
        <v>3974.7968437168765</v>
      </c>
      <c r="AU39" s="212">
        <v>794.95936874337531</v>
      </c>
      <c r="AV39" s="212"/>
      <c r="AW39" s="212">
        <v>0</v>
      </c>
      <c r="AX39" s="212">
        <v>0</v>
      </c>
      <c r="BA39" s="212">
        <v>0</v>
      </c>
      <c r="BB39" s="212">
        <v>0</v>
      </c>
      <c r="BC39" s="212">
        <v>0</v>
      </c>
      <c r="BD39" s="226">
        <v>0</v>
      </c>
      <c r="BE39" s="226"/>
    </row>
    <row r="40" spans="1:57" ht="39.950000000000003" customHeight="1" x14ac:dyDescent="0.2">
      <c r="A40" s="14" t="s">
        <v>247</v>
      </c>
      <c r="B40" s="65" t="s">
        <v>67</v>
      </c>
      <c r="C40" s="66" t="s">
        <v>87</v>
      </c>
      <c r="D40" s="14" t="s">
        <v>542</v>
      </c>
      <c r="E40" s="77" t="s">
        <v>87</v>
      </c>
      <c r="F40" s="14" t="s">
        <v>48</v>
      </c>
      <c r="G40" s="66" t="s">
        <v>95</v>
      </c>
      <c r="H40" s="66" t="s">
        <v>447</v>
      </c>
      <c r="I40" s="14" t="s">
        <v>246</v>
      </c>
      <c r="J40" s="14" t="s">
        <v>219</v>
      </c>
      <c r="K40" s="14" t="s">
        <v>140</v>
      </c>
      <c r="L40" s="65" t="s">
        <v>191</v>
      </c>
      <c r="M40" s="13" t="s">
        <v>59</v>
      </c>
      <c r="N40" s="13" t="s">
        <v>43</v>
      </c>
      <c r="O40" s="13" t="s">
        <v>538</v>
      </c>
      <c r="P40" s="13" t="s">
        <v>534</v>
      </c>
      <c r="Q40" s="64" t="s">
        <v>9</v>
      </c>
      <c r="R40" s="62">
        <v>29442.939583087977</v>
      </c>
      <c r="S40" s="63">
        <v>20000</v>
      </c>
      <c r="T40" s="62">
        <v>29442.939583087977</v>
      </c>
      <c r="U40" s="62">
        <v>147214.69791543987</v>
      </c>
      <c r="V40" s="76">
        <v>2005666.4409374634</v>
      </c>
      <c r="W40" s="61" t="s">
        <v>11</v>
      </c>
      <c r="X40" s="236">
        <v>8.6999999999999994E-3</v>
      </c>
      <c r="Y40" s="60">
        <v>43732</v>
      </c>
      <c r="Z40" s="60">
        <v>46598</v>
      </c>
      <c r="AA40" s="60">
        <v>46598</v>
      </c>
      <c r="AB40" s="58">
        <v>2867</v>
      </c>
      <c r="AC40" s="59" t="s">
        <v>10</v>
      </c>
      <c r="AD40" s="58">
        <v>1856</v>
      </c>
      <c r="AE40" s="57">
        <v>5.0849315068493155</v>
      </c>
      <c r="AF40" s="56" t="s">
        <v>436</v>
      </c>
      <c r="AG40" s="71" t="s">
        <v>1</v>
      </c>
      <c r="AH40" s="71" t="s">
        <v>1</v>
      </c>
      <c r="AI40" s="70" t="s">
        <v>0</v>
      </c>
      <c r="AJ40" s="11" t="s">
        <v>0</v>
      </c>
      <c r="AK40" s="11" t="s">
        <v>271</v>
      </c>
      <c r="AL40" s="14" t="s">
        <v>381</v>
      </c>
      <c r="AM40" s="11">
        <v>13000</v>
      </c>
      <c r="AO40" s="197" t="s">
        <v>87</v>
      </c>
      <c r="AP40" s="198" t="s">
        <v>48</v>
      </c>
      <c r="AS40" s="212">
        <v>0</v>
      </c>
      <c r="AT40" s="212">
        <v>3533.1527499705571</v>
      </c>
      <c r="AU40" s="212">
        <v>706.63054999411145</v>
      </c>
      <c r="AV40" s="212"/>
      <c r="AW40" s="212">
        <v>0</v>
      </c>
      <c r="AX40" s="212">
        <v>0</v>
      </c>
      <c r="BA40" s="212">
        <v>0</v>
      </c>
      <c r="BB40" s="212">
        <v>0</v>
      </c>
      <c r="BC40" s="212">
        <v>0</v>
      </c>
      <c r="BD40" s="226">
        <v>0</v>
      </c>
      <c r="BE40" s="226"/>
    </row>
    <row r="41" spans="1:57" ht="39.950000000000003" customHeight="1" x14ac:dyDescent="0.2">
      <c r="A41" s="14" t="s">
        <v>240</v>
      </c>
      <c r="B41" s="65" t="s">
        <v>51</v>
      </c>
      <c r="C41" s="66" t="s">
        <v>38</v>
      </c>
      <c r="D41" s="14" t="s">
        <v>541</v>
      </c>
      <c r="E41" s="77" t="s">
        <v>38</v>
      </c>
      <c r="F41" s="14" t="s">
        <v>102</v>
      </c>
      <c r="G41" s="66" t="s">
        <v>102</v>
      </c>
      <c r="H41" s="14" t="s">
        <v>474</v>
      </c>
      <c r="I41" s="14" t="s">
        <v>237</v>
      </c>
      <c r="J41" s="14" t="s">
        <v>219</v>
      </c>
      <c r="K41" s="14" t="s">
        <v>101</v>
      </c>
      <c r="L41" s="65" t="s">
        <v>191</v>
      </c>
      <c r="M41" s="13" t="s">
        <v>323</v>
      </c>
      <c r="N41" s="13" t="s">
        <v>43</v>
      </c>
      <c r="O41" s="13" t="s">
        <v>538</v>
      </c>
      <c r="P41" s="13" t="s">
        <v>534</v>
      </c>
      <c r="Q41" s="64" t="s">
        <v>238</v>
      </c>
      <c r="R41" s="62">
        <v>29334.422897612389</v>
      </c>
      <c r="S41" s="63">
        <v>28000</v>
      </c>
      <c r="T41" s="62">
        <v>29334.422897612389</v>
      </c>
      <c r="U41" s="62">
        <v>104765.79606290138</v>
      </c>
      <c r="V41" s="76">
        <v>1323558.6321777666</v>
      </c>
      <c r="W41" s="61" t="s">
        <v>11</v>
      </c>
      <c r="X41" s="236">
        <v>2.0400000000000001E-2</v>
      </c>
      <c r="Y41" s="60">
        <v>43738</v>
      </c>
      <c r="Z41" s="60">
        <v>45148</v>
      </c>
      <c r="AA41" s="60">
        <v>45148</v>
      </c>
      <c r="AB41" s="58">
        <v>1411</v>
      </c>
      <c r="AC41" s="59" t="s">
        <v>10</v>
      </c>
      <c r="AD41" s="58">
        <v>406</v>
      </c>
      <c r="AE41" s="57">
        <v>1.1123287671232878</v>
      </c>
      <c r="AF41" s="56" t="s">
        <v>436</v>
      </c>
      <c r="AG41" s="71" t="s">
        <v>1</v>
      </c>
      <c r="AH41" s="71" t="s">
        <v>1</v>
      </c>
      <c r="AI41" s="70" t="s">
        <v>0</v>
      </c>
      <c r="AJ41" s="11" t="s">
        <v>0</v>
      </c>
      <c r="AK41" s="11" t="s">
        <v>271</v>
      </c>
      <c r="AL41" s="14" t="s">
        <v>379</v>
      </c>
      <c r="AM41" s="11">
        <v>10372.5</v>
      </c>
      <c r="AO41" s="197" t="s">
        <v>38</v>
      </c>
      <c r="AP41" s="198" t="s">
        <v>102</v>
      </c>
      <c r="AS41" s="212">
        <v>0</v>
      </c>
      <c r="AT41" s="212">
        <v>3520.1307477134865</v>
      </c>
      <c r="AU41" s="212">
        <v>704.02614954269734</v>
      </c>
      <c r="AV41" s="212"/>
      <c r="AW41" s="212">
        <v>0</v>
      </c>
      <c r="AX41" s="212">
        <v>0</v>
      </c>
      <c r="BA41" s="212">
        <v>0</v>
      </c>
      <c r="BB41" s="212">
        <v>0</v>
      </c>
      <c r="BC41" s="212">
        <v>0</v>
      </c>
      <c r="BD41" s="226">
        <v>0</v>
      </c>
      <c r="BE41" s="226"/>
    </row>
    <row r="42" spans="1:57" ht="39.950000000000003" customHeight="1" x14ac:dyDescent="0.2">
      <c r="A42" s="14" t="s">
        <v>244</v>
      </c>
      <c r="B42" s="65" t="s">
        <v>23</v>
      </c>
      <c r="C42" s="66" t="s">
        <v>38</v>
      </c>
      <c r="D42" s="14" t="s">
        <v>541</v>
      </c>
      <c r="E42" s="77" t="s">
        <v>38</v>
      </c>
      <c r="F42" s="14" t="s">
        <v>106</v>
      </c>
      <c r="G42" s="66" t="s">
        <v>106</v>
      </c>
      <c r="H42" s="14" t="s">
        <v>245</v>
      </c>
      <c r="I42" s="14" t="s">
        <v>50</v>
      </c>
      <c r="J42" s="14" t="s">
        <v>21</v>
      </c>
      <c r="K42" s="14" t="s">
        <v>101</v>
      </c>
      <c r="L42" s="65" t="s">
        <v>191</v>
      </c>
      <c r="M42" s="13" t="s">
        <v>323</v>
      </c>
      <c r="N42" s="13" t="s">
        <v>43</v>
      </c>
      <c r="O42" s="13" t="s">
        <v>533</v>
      </c>
      <c r="P42" s="13" t="s">
        <v>534</v>
      </c>
      <c r="Q42" s="64" t="s">
        <v>8</v>
      </c>
      <c r="R42" s="62">
        <v>25000</v>
      </c>
      <c r="S42" s="63">
        <v>25000</v>
      </c>
      <c r="T42" s="62">
        <v>25000</v>
      </c>
      <c r="U42" s="62">
        <v>75000</v>
      </c>
      <c r="V42" s="76">
        <v>711986.31</v>
      </c>
      <c r="W42" s="61" t="s">
        <v>11</v>
      </c>
      <c r="X42" s="236">
        <v>1.35E-2</v>
      </c>
      <c r="Y42" s="60">
        <v>43756</v>
      </c>
      <c r="Z42" s="60">
        <v>45520</v>
      </c>
      <c r="AA42" s="60">
        <v>45520</v>
      </c>
      <c r="AB42" s="58">
        <v>1765</v>
      </c>
      <c r="AC42" s="59" t="s">
        <v>10</v>
      </c>
      <c r="AD42" s="58">
        <v>778</v>
      </c>
      <c r="AE42" s="57">
        <v>2.1315068493150684</v>
      </c>
      <c r="AF42" s="56" t="s">
        <v>436</v>
      </c>
      <c r="AG42" s="71" t="s">
        <v>1</v>
      </c>
      <c r="AH42" s="71" t="s">
        <v>1</v>
      </c>
      <c r="AI42" s="70" t="s">
        <v>0</v>
      </c>
      <c r="AJ42" s="11" t="s">
        <v>0</v>
      </c>
      <c r="AK42" s="11" t="s">
        <v>271</v>
      </c>
      <c r="AL42" s="14" t="s">
        <v>371</v>
      </c>
      <c r="AM42" s="11">
        <v>6000</v>
      </c>
      <c r="AO42" s="197" t="s">
        <v>38</v>
      </c>
      <c r="AP42" s="198" t="s">
        <v>106</v>
      </c>
      <c r="AS42" s="212">
        <v>0</v>
      </c>
      <c r="AT42" s="212">
        <v>3000</v>
      </c>
      <c r="AU42" s="212">
        <v>600</v>
      </c>
      <c r="AV42" s="212"/>
      <c r="AW42" s="212">
        <v>0</v>
      </c>
      <c r="AX42" s="212">
        <v>0</v>
      </c>
      <c r="BA42" s="212">
        <v>0</v>
      </c>
      <c r="BB42" s="212">
        <v>0</v>
      </c>
      <c r="BC42" s="212">
        <v>0</v>
      </c>
      <c r="BD42" s="226">
        <v>0</v>
      </c>
      <c r="BE42" s="226"/>
    </row>
    <row r="43" spans="1:57" ht="39.950000000000003" customHeight="1" x14ac:dyDescent="0.2">
      <c r="A43" s="14" t="s">
        <v>248</v>
      </c>
      <c r="B43" s="65" t="s">
        <v>24</v>
      </c>
      <c r="C43" s="66" t="s">
        <v>127</v>
      </c>
      <c r="D43" s="14" t="s">
        <v>542</v>
      </c>
      <c r="E43" s="77" t="s">
        <v>127</v>
      </c>
      <c r="F43" s="14" t="s">
        <v>546</v>
      </c>
      <c r="G43" s="66" t="s">
        <v>249</v>
      </c>
      <c r="H43" s="14" t="s">
        <v>767</v>
      </c>
      <c r="I43" s="14" t="s">
        <v>158</v>
      </c>
      <c r="J43" s="14" t="s">
        <v>220</v>
      </c>
      <c r="K43" s="14" t="s">
        <v>29</v>
      </c>
      <c r="L43" s="65" t="s">
        <v>191</v>
      </c>
      <c r="M43" s="13" t="s">
        <v>59</v>
      </c>
      <c r="N43" s="13" t="s">
        <v>43</v>
      </c>
      <c r="O43" s="13" t="s">
        <v>538</v>
      </c>
      <c r="P43" s="13" t="s">
        <v>534</v>
      </c>
      <c r="Q43" s="64" t="s">
        <v>59</v>
      </c>
      <c r="R43" s="62">
        <v>15109.391998065998</v>
      </c>
      <c r="S43" s="63">
        <v>10000</v>
      </c>
      <c r="T43" s="62">
        <v>15109.391998065998</v>
      </c>
      <c r="U43" s="62">
        <v>198785.74882146739</v>
      </c>
      <c r="V43" s="76">
        <v>790006.08908497531</v>
      </c>
      <c r="W43" s="61" t="s">
        <v>11</v>
      </c>
      <c r="X43" s="236">
        <v>1.7500000000000002E-2</v>
      </c>
      <c r="Y43" s="60">
        <v>43784</v>
      </c>
      <c r="Z43" s="60">
        <v>45627</v>
      </c>
      <c r="AA43" s="60">
        <v>45627</v>
      </c>
      <c r="AB43" s="58">
        <v>1844</v>
      </c>
      <c r="AC43" s="59" t="s">
        <v>10</v>
      </c>
      <c r="AD43" s="58">
        <v>885</v>
      </c>
      <c r="AE43" s="57">
        <v>2.4246575342465753</v>
      </c>
      <c r="AF43" s="56"/>
      <c r="AG43" s="71" t="s">
        <v>1</v>
      </c>
      <c r="AH43" s="71" t="s">
        <v>1</v>
      </c>
      <c r="AI43" s="70" t="s">
        <v>0</v>
      </c>
      <c r="AJ43" s="11" t="s">
        <v>0</v>
      </c>
      <c r="AK43" s="11" t="s">
        <v>271</v>
      </c>
      <c r="AL43" s="14" t="s">
        <v>372</v>
      </c>
      <c r="AM43" s="11">
        <v>8100</v>
      </c>
      <c r="AO43" s="197" t="s">
        <v>127</v>
      </c>
      <c r="AP43" s="198" t="s">
        <v>546</v>
      </c>
      <c r="AS43" s="212">
        <v>0</v>
      </c>
      <c r="AT43" s="212">
        <v>1813.1270397679195</v>
      </c>
      <c r="AU43" s="212" t="b">
        <v>0</v>
      </c>
      <c r="AV43" s="212"/>
      <c r="AW43" s="212">
        <v>0</v>
      </c>
      <c r="AX43" s="212">
        <v>0</v>
      </c>
      <c r="BA43" s="212">
        <v>0</v>
      </c>
      <c r="BB43" s="212">
        <v>0</v>
      </c>
      <c r="BC43" s="212">
        <v>0</v>
      </c>
      <c r="BD43" s="226">
        <v>0</v>
      </c>
      <c r="BE43" s="226"/>
    </row>
    <row r="44" spans="1:57" ht="39.950000000000003" customHeight="1" x14ac:dyDescent="0.2">
      <c r="A44" s="14" t="s">
        <v>260</v>
      </c>
      <c r="B44" s="65" t="s">
        <v>51</v>
      </c>
      <c r="C44" s="66" t="s">
        <v>119</v>
      </c>
      <c r="D44" s="14" t="s">
        <v>542</v>
      </c>
      <c r="E44" s="77" t="s">
        <v>119</v>
      </c>
      <c r="F44" s="14" t="s">
        <v>106</v>
      </c>
      <c r="G44" s="66" t="s">
        <v>106</v>
      </c>
      <c r="H44" s="14" t="s">
        <v>263</v>
      </c>
      <c r="I44" s="14" t="s">
        <v>264</v>
      </c>
      <c r="J44" s="14" t="s">
        <v>221</v>
      </c>
      <c r="K44" s="14" t="s">
        <v>13</v>
      </c>
      <c r="L44" s="65" t="s">
        <v>191</v>
      </c>
      <c r="M44" s="13" t="s">
        <v>59</v>
      </c>
      <c r="N44" s="13" t="s">
        <v>43</v>
      </c>
      <c r="O44" s="13" t="s">
        <v>538</v>
      </c>
      <c r="P44" s="13" t="s">
        <v>534</v>
      </c>
      <c r="Q44" s="64" t="s">
        <v>59</v>
      </c>
      <c r="R44" s="62">
        <v>22664.087997098999</v>
      </c>
      <c r="S44" s="63">
        <v>15000</v>
      </c>
      <c r="T44" s="62">
        <v>22664.087997098999</v>
      </c>
      <c r="U44" s="62">
        <v>73431.645110600744</v>
      </c>
      <c r="V44" s="76">
        <v>878601.98839598685</v>
      </c>
      <c r="W44" s="61" t="s">
        <v>11</v>
      </c>
      <c r="X44" s="236">
        <v>2.1999999999999999E-2</v>
      </c>
      <c r="Y44" s="60">
        <v>43805</v>
      </c>
      <c r="Z44" s="60">
        <v>45306</v>
      </c>
      <c r="AA44" s="60">
        <v>45306</v>
      </c>
      <c r="AB44" s="58">
        <v>1502</v>
      </c>
      <c r="AC44" s="59" t="s">
        <v>10</v>
      </c>
      <c r="AD44" s="58">
        <v>564</v>
      </c>
      <c r="AE44" s="57">
        <v>1.5452054794520549</v>
      </c>
      <c r="AF44" s="56"/>
      <c r="AG44" s="71" t="s">
        <v>1</v>
      </c>
      <c r="AH44" s="71" t="s">
        <v>1</v>
      </c>
      <c r="AI44" s="70" t="s">
        <v>0</v>
      </c>
      <c r="AJ44" s="11" t="s">
        <v>0</v>
      </c>
      <c r="AK44" s="11" t="s">
        <v>271</v>
      </c>
      <c r="AL44" s="14" t="s">
        <v>380</v>
      </c>
      <c r="AM44" s="11">
        <v>7250</v>
      </c>
      <c r="AO44" s="197" t="s">
        <v>119</v>
      </c>
      <c r="AP44" s="198" t="s">
        <v>106</v>
      </c>
      <c r="AS44" s="212">
        <v>0</v>
      </c>
      <c r="AT44" s="212">
        <v>2719.69055965188</v>
      </c>
      <c r="AU44" s="212" t="b">
        <v>0</v>
      </c>
      <c r="AV44" s="212"/>
      <c r="AW44" s="212">
        <v>0</v>
      </c>
      <c r="AX44" s="212">
        <v>0</v>
      </c>
      <c r="BA44" s="212">
        <v>0</v>
      </c>
      <c r="BB44" s="212">
        <v>0</v>
      </c>
      <c r="BC44" s="212">
        <v>0</v>
      </c>
      <c r="BD44" s="226">
        <v>0</v>
      </c>
      <c r="BE44" s="226"/>
    </row>
    <row r="45" spans="1:57" ht="39.950000000000003" customHeight="1" x14ac:dyDescent="0.2">
      <c r="A45" s="14" t="s">
        <v>261</v>
      </c>
      <c r="B45" s="65" t="s">
        <v>51</v>
      </c>
      <c r="C45" s="66" t="s">
        <v>119</v>
      </c>
      <c r="D45" s="14" t="s">
        <v>542</v>
      </c>
      <c r="E45" s="77" t="s">
        <v>119</v>
      </c>
      <c r="F45" s="14" t="s">
        <v>106</v>
      </c>
      <c r="G45" s="66" t="s">
        <v>106</v>
      </c>
      <c r="H45" s="14" t="s">
        <v>263</v>
      </c>
      <c r="I45" s="14" t="s">
        <v>264</v>
      </c>
      <c r="J45" s="14" t="s">
        <v>221</v>
      </c>
      <c r="K45" s="14" t="s">
        <v>13</v>
      </c>
      <c r="L45" s="65" t="s">
        <v>191</v>
      </c>
      <c r="M45" s="13" t="s">
        <v>59</v>
      </c>
      <c r="N45" s="13" t="s">
        <v>43</v>
      </c>
      <c r="O45" s="13" t="s">
        <v>538</v>
      </c>
      <c r="P45" s="13" t="s">
        <v>534</v>
      </c>
      <c r="Q45" s="64" t="s">
        <v>59</v>
      </c>
      <c r="R45" s="62">
        <v>30218.783996131995</v>
      </c>
      <c r="S45" s="63">
        <v>20000</v>
      </c>
      <c r="T45" s="62">
        <v>30218.783996131995</v>
      </c>
      <c r="U45" s="62">
        <v>136362.26278254564</v>
      </c>
      <c r="V45" s="76">
        <v>723494.80236915266</v>
      </c>
      <c r="W45" s="61" t="s">
        <v>11</v>
      </c>
      <c r="X45" s="236">
        <v>1.7999999999999999E-2</v>
      </c>
      <c r="Y45" s="60">
        <v>43809</v>
      </c>
      <c r="Z45" s="60">
        <v>45674</v>
      </c>
      <c r="AA45" s="60">
        <v>44943</v>
      </c>
      <c r="AB45" s="58">
        <v>1135</v>
      </c>
      <c r="AC45" s="59" t="s">
        <v>10</v>
      </c>
      <c r="AD45" s="58">
        <v>201</v>
      </c>
      <c r="AE45" s="57">
        <v>0.55068493150684927</v>
      </c>
      <c r="AF45" s="56" t="s">
        <v>436</v>
      </c>
      <c r="AG45" s="71" t="s">
        <v>1</v>
      </c>
      <c r="AH45" s="71" t="s">
        <v>1</v>
      </c>
      <c r="AI45" s="70" t="s">
        <v>0</v>
      </c>
      <c r="AJ45" s="11" t="s">
        <v>0</v>
      </c>
      <c r="AK45" s="11" t="s">
        <v>271</v>
      </c>
      <c r="AL45" s="14" t="s">
        <v>383</v>
      </c>
      <c r="AM45" s="11">
        <v>5937.5</v>
      </c>
      <c r="AO45" s="197" t="s">
        <v>119</v>
      </c>
      <c r="AP45" s="198" t="s">
        <v>106</v>
      </c>
      <c r="AS45" s="212">
        <v>0</v>
      </c>
      <c r="AT45" s="212">
        <v>3626.2540795358391</v>
      </c>
      <c r="AU45" s="212">
        <v>725.25081590716786</v>
      </c>
      <c r="AV45" s="212"/>
      <c r="AW45" s="212">
        <v>0</v>
      </c>
      <c r="AX45" s="212">
        <v>0</v>
      </c>
      <c r="BA45" s="212">
        <v>0</v>
      </c>
      <c r="BB45" s="212">
        <v>0</v>
      </c>
      <c r="BC45" s="212">
        <v>0</v>
      </c>
      <c r="BD45" s="226">
        <v>0</v>
      </c>
      <c r="BE45" s="226"/>
    </row>
    <row r="46" spans="1:57" ht="39.950000000000003" customHeight="1" x14ac:dyDescent="0.2">
      <c r="A46" s="14" t="s">
        <v>262</v>
      </c>
      <c r="B46" s="65" t="s">
        <v>51</v>
      </c>
      <c r="C46" s="66" t="s">
        <v>127</v>
      </c>
      <c r="D46" s="14" t="s">
        <v>499</v>
      </c>
      <c r="E46" s="77" t="s">
        <v>162</v>
      </c>
      <c r="F46" s="14" t="s">
        <v>547</v>
      </c>
      <c r="G46" s="66" t="s">
        <v>265</v>
      </c>
      <c r="H46" s="14" t="s">
        <v>266</v>
      </c>
      <c r="I46" s="14" t="s">
        <v>158</v>
      </c>
      <c r="J46" s="14" t="s">
        <v>220</v>
      </c>
      <c r="K46" s="14" t="s">
        <v>29</v>
      </c>
      <c r="L46" s="65" t="s">
        <v>191</v>
      </c>
      <c r="M46" s="13" t="s">
        <v>59</v>
      </c>
      <c r="N46" s="13" t="s">
        <v>43</v>
      </c>
      <c r="O46" s="13" t="s">
        <v>538</v>
      </c>
      <c r="P46" s="13" t="s">
        <v>534</v>
      </c>
      <c r="Q46" s="64" t="s">
        <v>9</v>
      </c>
      <c r="R46" s="62">
        <v>29442.939583087977</v>
      </c>
      <c r="S46" s="63">
        <v>20000</v>
      </c>
      <c r="T46" s="62">
        <v>29442.939583087977</v>
      </c>
      <c r="U46" s="62">
        <v>184018.37239429986</v>
      </c>
      <c r="V46" s="76">
        <v>885358.43834648456</v>
      </c>
      <c r="W46" s="61" t="s">
        <v>551</v>
      </c>
      <c r="X46" s="236">
        <v>2.2499999999999999E-2</v>
      </c>
      <c r="Y46" s="60">
        <v>43819</v>
      </c>
      <c r="Z46" s="60">
        <v>44791</v>
      </c>
      <c r="AA46" s="60">
        <v>44791</v>
      </c>
      <c r="AB46" s="58">
        <v>973</v>
      </c>
      <c r="AC46" s="59" t="s">
        <v>1</v>
      </c>
      <c r="AD46" s="58">
        <v>49</v>
      </c>
      <c r="AE46" s="57">
        <v>0.13424657534246576</v>
      </c>
      <c r="AF46" s="56" t="s">
        <v>436</v>
      </c>
      <c r="AG46" s="71" t="s">
        <v>1</v>
      </c>
      <c r="AH46" s="71" t="s">
        <v>1</v>
      </c>
      <c r="AI46" s="70" t="s">
        <v>0</v>
      </c>
      <c r="AJ46" s="11" t="s">
        <v>672</v>
      </c>
      <c r="AK46" s="11" t="s">
        <v>271</v>
      </c>
      <c r="AL46" s="14" t="s">
        <v>384</v>
      </c>
      <c r="AM46" s="11">
        <v>7012.5</v>
      </c>
      <c r="AO46" s="197" t="s">
        <v>162</v>
      </c>
      <c r="AP46" s="198" t="s">
        <v>547</v>
      </c>
      <c r="AS46" s="212">
        <v>0</v>
      </c>
      <c r="AT46" s="212">
        <v>3533.1527499705571</v>
      </c>
      <c r="AU46" s="212">
        <v>706.63054999411145</v>
      </c>
      <c r="AV46" s="212"/>
      <c r="AW46" s="212">
        <v>0</v>
      </c>
      <c r="AX46" s="212">
        <v>0</v>
      </c>
      <c r="BA46" s="212">
        <v>0</v>
      </c>
      <c r="BB46" s="212">
        <v>0</v>
      </c>
      <c r="BC46" s="212">
        <v>0</v>
      </c>
      <c r="BD46" s="226">
        <v>0</v>
      </c>
      <c r="BE46" s="226"/>
    </row>
    <row r="47" spans="1:57" ht="39.950000000000003" customHeight="1" x14ac:dyDescent="0.2">
      <c r="A47" s="14" t="s">
        <v>276</v>
      </c>
      <c r="B47" s="65" t="s">
        <v>51</v>
      </c>
      <c r="C47" s="66" t="s">
        <v>38</v>
      </c>
      <c r="D47" s="14" t="s">
        <v>540</v>
      </c>
      <c r="E47" s="77" t="s">
        <v>274</v>
      </c>
      <c r="F47" s="14" t="s">
        <v>48</v>
      </c>
      <c r="G47" s="66" t="s">
        <v>95</v>
      </c>
      <c r="H47" s="14" t="s">
        <v>275</v>
      </c>
      <c r="I47" s="14" t="s">
        <v>50</v>
      </c>
      <c r="J47" s="14" t="s">
        <v>21</v>
      </c>
      <c r="K47" s="14" t="s">
        <v>45</v>
      </c>
      <c r="L47" s="65" t="s">
        <v>191</v>
      </c>
      <c r="M47" s="13" t="s">
        <v>323</v>
      </c>
      <c r="N47" s="13" t="s">
        <v>43</v>
      </c>
      <c r="O47" s="13" t="s">
        <v>538</v>
      </c>
      <c r="P47" s="13" t="s">
        <v>548</v>
      </c>
      <c r="Q47" s="64" t="s">
        <v>9</v>
      </c>
      <c r="R47" s="62">
        <v>29442.939583087977</v>
      </c>
      <c r="S47" s="63">
        <v>20000</v>
      </c>
      <c r="T47" s="62">
        <v>29442.939583087977</v>
      </c>
      <c r="U47" s="62">
        <v>175000</v>
      </c>
      <c r="V47" s="76">
        <v>737341.00812625128</v>
      </c>
      <c r="W47" s="61" t="s">
        <v>11</v>
      </c>
      <c r="X47" s="236">
        <v>1.77E-2</v>
      </c>
      <c r="Y47" s="60">
        <v>43850</v>
      </c>
      <c r="Z47" s="60">
        <v>45562</v>
      </c>
      <c r="AA47" s="60">
        <v>45562</v>
      </c>
      <c r="AB47" s="58">
        <v>1713</v>
      </c>
      <c r="AC47" s="59" t="s">
        <v>10</v>
      </c>
      <c r="AD47" s="58">
        <v>820</v>
      </c>
      <c r="AE47" s="57">
        <v>2.2465753424657535</v>
      </c>
      <c r="AF47" s="56" t="s">
        <v>436</v>
      </c>
      <c r="AG47" s="71" t="s">
        <v>1</v>
      </c>
      <c r="AH47" s="71" t="s">
        <v>1</v>
      </c>
      <c r="AI47" s="70" t="s">
        <v>0</v>
      </c>
      <c r="AJ47" s="11" t="s">
        <v>0</v>
      </c>
      <c r="AK47" s="11" t="s">
        <v>271</v>
      </c>
      <c r="AL47" s="14" t="s">
        <v>385</v>
      </c>
      <c r="AM47" s="11">
        <v>6697.5</v>
      </c>
      <c r="AN47" s="11">
        <v>7000</v>
      </c>
      <c r="AO47" s="197" t="s">
        <v>274</v>
      </c>
      <c r="AP47" s="198" t="s">
        <v>48</v>
      </c>
      <c r="AS47" s="212">
        <v>0</v>
      </c>
      <c r="AT47" s="212">
        <v>3533.1527499705571</v>
      </c>
      <c r="AU47" s="212">
        <v>706.63054999411145</v>
      </c>
      <c r="AV47" s="212"/>
      <c r="AW47" s="212">
        <v>0</v>
      </c>
      <c r="AX47" s="212">
        <v>0</v>
      </c>
      <c r="BA47" s="212">
        <v>0</v>
      </c>
      <c r="BB47" s="212">
        <v>0</v>
      </c>
      <c r="BC47" s="212">
        <v>0</v>
      </c>
      <c r="BD47" s="226">
        <v>0</v>
      </c>
      <c r="BE47" s="226"/>
    </row>
    <row r="48" spans="1:57" ht="39.950000000000003" customHeight="1" x14ac:dyDescent="0.2">
      <c r="A48" s="14" t="s">
        <v>284</v>
      </c>
      <c r="B48" s="65" t="s">
        <v>24</v>
      </c>
      <c r="C48" s="66" t="s">
        <v>127</v>
      </c>
      <c r="D48" s="14" t="s">
        <v>542</v>
      </c>
      <c r="E48" s="77" t="s">
        <v>88</v>
      </c>
      <c r="F48" s="14" t="s">
        <v>104</v>
      </c>
      <c r="G48" s="66" t="s">
        <v>105</v>
      </c>
      <c r="H48" s="14" t="s">
        <v>285</v>
      </c>
      <c r="I48" s="14" t="s">
        <v>286</v>
      </c>
      <c r="J48" s="14" t="s">
        <v>220</v>
      </c>
      <c r="K48" s="14" t="s">
        <v>209</v>
      </c>
      <c r="L48" s="65" t="s">
        <v>191</v>
      </c>
      <c r="M48" s="13" t="s">
        <v>59</v>
      </c>
      <c r="N48" s="13" t="s">
        <v>43</v>
      </c>
      <c r="O48" s="13" t="s">
        <v>538</v>
      </c>
      <c r="P48" s="13" t="s">
        <v>548</v>
      </c>
      <c r="Q48" s="64" t="s">
        <v>59</v>
      </c>
      <c r="R48" s="62">
        <v>22664.087997098999</v>
      </c>
      <c r="S48" s="76">
        <v>13175.674999999999</v>
      </c>
      <c r="T48" s="62">
        <v>19907.64384141182</v>
      </c>
      <c r="U48" s="62">
        <v>181312.70397679199</v>
      </c>
      <c r="V48" s="62">
        <v>858889.47479753417</v>
      </c>
      <c r="W48" s="61" t="s">
        <v>11</v>
      </c>
      <c r="X48" s="236">
        <v>0.01</v>
      </c>
      <c r="Y48" s="60">
        <v>43861</v>
      </c>
      <c r="Z48" s="60">
        <v>45868</v>
      </c>
      <c r="AA48" s="60">
        <v>45868</v>
      </c>
      <c r="AB48" s="58">
        <v>2008</v>
      </c>
      <c r="AC48" s="75" t="s">
        <v>10</v>
      </c>
      <c r="AD48" s="58">
        <v>1126</v>
      </c>
      <c r="AE48" s="57">
        <v>3.0849315068493151</v>
      </c>
      <c r="AF48" s="56"/>
      <c r="AG48" s="71" t="s">
        <v>1</v>
      </c>
      <c r="AH48" s="71" t="s">
        <v>1</v>
      </c>
      <c r="AI48" s="70" t="s">
        <v>735</v>
      </c>
      <c r="AJ48" s="11" t="s">
        <v>0</v>
      </c>
      <c r="AK48" s="11" t="s">
        <v>271</v>
      </c>
      <c r="AL48" s="14" t="s">
        <v>389</v>
      </c>
      <c r="AM48" s="11">
        <v>10000</v>
      </c>
      <c r="AN48" s="11">
        <v>30000</v>
      </c>
      <c r="AO48" s="197" t="s">
        <v>88</v>
      </c>
      <c r="AP48" s="198" t="s">
        <v>104</v>
      </c>
      <c r="AS48" s="212">
        <v>0</v>
      </c>
      <c r="AT48" s="212">
        <v>2388.9172609694183</v>
      </c>
      <c r="AU48" s="212" t="b">
        <v>0</v>
      </c>
      <c r="AV48" s="212"/>
      <c r="AW48" s="212">
        <v>0</v>
      </c>
      <c r="AX48" s="212">
        <v>0</v>
      </c>
      <c r="BA48" s="212">
        <v>0</v>
      </c>
      <c r="BB48" s="212">
        <v>0</v>
      </c>
      <c r="BC48" s="212">
        <v>0</v>
      </c>
      <c r="BD48" s="226">
        <v>0</v>
      </c>
      <c r="BE48" s="226"/>
    </row>
    <row r="49" spans="1:57" ht="39.950000000000003" customHeight="1" x14ac:dyDescent="0.2">
      <c r="A49" s="14" t="s">
        <v>289</v>
      </c>
      <c r="B49" s="65" t="s">
        <v>24</v>
      </c>
      <c r="C49" s="66" t="s">
        <v>38</v>
      </c>
      <c r="D49" s="14" t="s">
        <v>540</v>
      </c>
      <c r="E49" s="77" t="s">
        <v>35</v>
      </c>
      <c r="F49" s="14" t="s">
        <v>546</v>
      </c>
      <c r="G49" s="66" t="s">
        <v>259</v>
      </c>
      <c r="H49" s="14" t="s">
        <v>258</v>
      </c>
      <c r="I49" s="66" t="s">
        <v>638</v>
      </c>
      <c r="J49" s="14" t="s">
        <v>687</v>
      </c>
      <c r="K49" s="14" t="s">
        <v>209</v>
      </c>
      <c r="L49" s="65" t="s">
        <v>191</v>
      </c>
      <c r="M49" s="13" t="s">
        <v>323</v>
      </c>
      <c r="N49" s="13" t="s">
        <v>43</v>
      </c>
      <c r="O49" s="13" t="s">
        <v>531</v>
      </c>
      <c r="P49" s="13" t="s">
        <v>534</v>
      </c>
      <c r="Q49" s="64" t="s">
        <v>9</v>
      </c>
      <c r="R49" s="62">
        <v>14721.469791543988</v>
      </c>
      <c r="S49" s="73">
        <v>10000</v>
      </c>
      <c r="T49" s="62">
        <v>14721.469791543988</v>
      </c>
      <c r="U49" s="62">
        <v>44164.409374631963</v>
      </c>
      <c r="V49" s="62">
        <v>2411123.9400541745</v>
      </c>
      <c r="W49" s="61" t="s">
        <v>11</v>
      </c>
      <c r="X49" s="236">
        <v>0.04</v>
      </c>
      <c r="Y49" s="60">
        <v>44629</v>
      </c>
      <c r="Z49" s="60">
        <v>46442</v>
      </c>
      <c r="AA49" s="60">
        <v>46486</v>
      </c>
      <c r="AB49" s="58">
        <v>1858</v>
      </c>
      <c r="AC49" s="59" t="s">
        <v>10</v>
      </c>
      <c r="AD49" s="58">
        <v>1744</v>
      </c>
      <c r="AE49" s="57">
        <v>4.7780821917808218</v>
      </c>
      <c r="AF49" s="56"/>
      <c r="AG49" s="71" t="s">
        <v>1</v>
      </c>
      <c r="AH49" s="71" t="s">
        <v>1</v>
      </c>
      <c r="AI49" s="70" t="s">
        <v>752</v>
      </c>
      <c r="AJ49" s="11" t="s">
        <v>0</v>
      </c>
      <c r="AK49" s="11" t="s">
        <v>563</v>
      </c>
      <c r="AL49" s="14" t="s">
        <v>386</v>
      </c>
      <c r="AM49" s="11">
        <v>10000</v>
      </c>
      <c r="AN49" s="11">
        <v>66600</v>
      </c>
      <c r="AO49" s="197" t="s">
        <v>35</v>
      </c>
      <c r="AP49" s="198" t="s">
        <v>546</v>
      </c>
      <c r="AS49" s="212">
        <v>0</v>
      </c>
      <c r="AT49" s="212">
        <v>1766.5763749852786</v>
      </c>
      <c r="AU49" s="212" t="b">
        <v>0</v>
      </c>
      <c r="AV49" s="212"/>
      <c r="AW49" s="212">
        <v>0</v>
      </c>
      <c r="AX49" s="212">
        <v>0</v>
      </c>
      <c r="BA49" s="212">
        <v>0</v>
      </c>
      <c r="BB49" s="212">
        <v>0</v>
      </c>
      <c r="BC49" s="212">
        <v>0</v>
      </c>
      <c r="BD49" s="226">
        <v>0</v>
      </c>
      <c r="BE49" s="226"/>
    </row>
    <row r="50" spans="1:57" ht="39.950000000000003" customHeight="1" x14ac:dyDescent="0.2">
      <c r="A50" s="14" t="s">
        <v>280</v>
      </c>
      <c r="B50" s="65" t="s">
        <v>23</v>
      </c>
      <c r="C50" s="66" t="s">
        <v>89</v>
      </c>
      <c r="D50" s="14" t="s">
        <v>542</v>
      </c>
      <c r="E50" s="77" t="s">
        <v>89</v>
      </c>
      <c r="F50" s="14" t="s">
        <v>546</v>
      </c>
      <c r="G50" s="66" t="s">
        <v>249</v>
      </c>
      <c r="H50" s="14" t="s">
        <v>767</v>
      </c>
      <c r="I50" s="14" t="s">
        <v>281</v>
      </c>
      <c r="J50" s="14" t="s">
        <v>256</v>
      </c>
      <c r="K50" s="14" t="s">
        <v>29</v>
      </c>
      <c r="L50" s="65" t="s">
        <v>191</v>
      </c>
      <c r="M50" s="13" t="s">
        <v>59</v>
      </c>
      <c r="N50" s="65" t="s">
        <v>43</v>
      </c>
      <c r="O50" s="65" t="s">
        <v>538</v>
      </c>
      <c r="P50" s="65" t="s">
        <v>534</v>
      </c>
      <c r="Q50" s="64" t="s">
        <v>9</v>
      </c>
      <c r="R50" s="62">
        <v>11041.102343657991</v>
      </c>
      <c r="S50" s="63">
        <v>7500</v>
      </c>
      <c r="T50" s="62">
        <v>11041.102343657991</v>
      </c>
      <c r="U50" s="62">
        <v>168413.61441526323</v>
      </c>
      <c r="V50" s="62">
        <v>491027.29360499355</v>
      </c>
      <c r="W50" s="61" t="s">
        <v>11</v>
      </c>
      <c r="X50" s="236">
        <v>2.2499999999999999E-2</v>
      </c>
      <c r="Y50" s="60">
        <v>43872</v>
      </c>
      <c r="Z50" s="60">
        <v>45558</v>
      </c>
      <c r="AA50" s="60">
        <v>45558</v>
      </c>
      <c r="AB50" s="58">
        <v>1687</v>
      </c>
      <c r="AC50" s="59" t="s">
        <v>10</v>
      </c>
      <c r="AD50" s="58">
        <v>816</v>
      </c>
      <c r="AE50" s="57">
        <v>2.2356164383561645</v>
      </c>
      <c r="AF50" s="56"/>
      <c r="AG50" s="71" t="s">
        <v>1</v>
      </c>
      <c r="AH50" s="71" t="s">
        <v>1</v>
      </c>
      <c r="AI50" s="70" t="s">
        <v>0</v>
      </c>
      <c r="AJ50" s="11" t="s">
        <v>0</v>
      </c>
      <c r="AK50" s="11" t="s">
        <v>271</v>
      </c>
      <c r="AL50" s="14" t="s">
        <v>387</v>
      </c>
      <c r="AM50" s="11">
        <v>7255</v>
      </c>
      <c r="AN50" s="11">
        <v>25000</v>
      </c>
      <c r="AO50" s="197" t="s">
        <v>89</v>
      </c>
      <c r="AP50" s="198" t="s">
        <v>546</v>
      </c>
      <c r="AS50" s="212">
        <v>0</v>
      </c>
      <c r="AT50" s="212">
        <v>1324.9322812389589</v>
      </c>
      <c r="AU50" s="212" t="b">
        <v>0</v>
      </c>
      <c r="AV50" s="212"/>
      <c r="AW50" s="212">
        <v>0</v>
      </c>
      <c r="AX50" s="212">
        <v>0</v>
      </c>
      <c r="BA50" s="212">
        <v>0</v>
      </c>
      <c r="BB50" s="212">
        <v>0</v>
      </c>
      <c r="BC50" s="212">
        <v>0</v>
      </c>
      <c r="BD50" s="226">
        <v>0</v>
      </c>
      <c r="BE50" s="226"/>
    </row>
    <row r="51" spans="1:57" ht="39.950000000000003" customHeight="1" x14ac:dyDescent="0.2">
      <c r="A51" s="14" t="s">
        <v>282</v>
      </c>
      <c r="B51" s="65" t="s">
        <v>23</v>
      </c>
      <c r="C51" s="66" t="s">
        <v>88</v>
      </c>
      <c r="D51" s="14" t="s">
        <v>540</v>
      </c>
      <c r="E51" s="77" t="s">
        <v>49</v>
      </c>
      <c r="F51" s="14" t="s">
        <v>104</v>
      </c>
      <c r="G51" s="66" t="s">
        <v>111</v>
      </c>
      <c r="H51" s="14" t="s">
        <v>135</v>
      </c>
      <c r="I51" s="14" t="s">
        <v>283</v>
      </c>
      <c r="J51" s="14" t="s">
        <v>148</v>
      </c>
      <c r="K51" s="14" t="s">
        <v>140</v>
      </c>
      <c r="L51" s="65" t="s">
        <v>191</v>
      </c>
      <c r="M51" s="13" t="s">
        <v>59</v>
      </c>
      <c r="N51" s="13" t="s">
        <v>43</v>
      </c>
      <c r="O51" s="13" t="s">
        <v>531</v>
      </c>
      <c r="P51" s="13" t="s">
        <v>534</v>
      </c>
      <c r="Q51" s="64" t="s">
        <v>9</v>
      </c>
      <c r="R51" s="62">
        <v>11041.102343657991</v>
      </c>
      <c r="S51" s="63">
        <v>7500</v>
      </c>
      <c r="T51" s="62">
        <v>11041.102343657991</v>
      </c>
      <c r="U51" s="62">
        <v>22082.204687315982</v>
      </c>
      <c r="V51" s="62">
        <v>1382830.0553527263</v>
      </c>
      <c r="W51" s="61" t="s">
        <v>11</v>
      </c>
      <c r="X51" s="236">
        <v>3.0700000000000002E-2</v>
      </c>
      <c r="Y51" s="60">
        <v>43878</v>
      </c>
      <c r="Z51" s="60">
        <v>47382</v>
      </c>
      <c r="AA51" s="60">
        <v>47382</v>
      </c>
      <c r="AB51" s="58">
        <v>3505</v>
      </c>
      <c r="AC51" s="59" t="s">
        <v>10</v>
      </c>
      <c r="AD51" s="58">
        <v>2640</v>
      </c>
      <c r="AE51" s="57">
        <v>7.2328767123287667</v>
      </c>
      <c r="AF51" s="56"/>
      <c r="AG51" s="71" t="s">
        <v>1</v>
      </c>
      <c r="AH51" s="71" t="s">
        <v>1</v>
      </c>
      <c r="AI51" s="70" t="s">
        <v>0</v>
      </c>
      <c r="AJ51" s="11" t="s">
        <v>0</v>
      </c>
      <c r="AK51" s="11" t="s">
        <v>271</v>
      </c>
      <c r="AL51" s="14" t="s">
        <v>388</v>
      </c>
      <c r="AM51" s="11">
        <v>7700</v>
      </c>
      <c r="AN51" s="11">
        <v>50000</v>
      </c>
      <c r="AO51" s="197" t="s">
        <v>49</v>
      </c>
      <c r="AP51" s="198" t="s">
        <v>104</v>
      </c>
      <c r="AS51" s="212">
        <v>0</v>
      </c>
      <c r="AT51" s="212">
        <v>1324.9322812389589</v>
      </c>
      <c r="AU51" s="212" t="b">
        <v>0</v>
      </c>
      <c r="AV51" s="212"/>
      <c r="AW51" s="212">
        <v>0</v>
      </c>
      <c r="AX51" s="212">
        <v>0</v>
      </c>
      <c r="BA51" s="212">
        <v>0</v>
      </c>
      <c r="BB51" s="212">
        <v>0</v>
      </c>
      <c r="BC51" s="212">
        <v>0</v>
      </c>
      <c r="BD51" s="226">
        <v>0</v>
      </c>
      <c r="BE51" s="226"/>
    </row>
    <row r="52" spans="1:57" ht="39.950000000000003" customHeight="1" x14ac:dyDescent="0.2">
      <c r="A52" s="13" t="s">
        <v>317</v>
      </c>
      <c r="B52" s="65" t="s">
        <v>23</v>
      </c>
      <c r="C52" s="66" t="s">
        <v>34</v>
      </c>
      <c r="D52" s="14" t="s">
        <v>34</v>
      </c>
      <c r="E52" s="77" t="s">
        <v>34</v>
      </c>
      <c r="F52" s="14" t="s">
        <v>48</v>
      </c>
      <c r="G52" s="66" t="s">
        <v>95</v>
      </c>
      <c r="H52" s="14" t="s">
        <v>130</v>
      </c>
      <c r="I52" s="14" t="s">
        <v>321</v>
      </c>
      <c r="J52" s="14" t="s">
        <v>26</v>
      </c>
      <c r="K52" s="14" t="s">
        <v>29</v>
      </c>
      <c r="L52" s="65" t="s">
        <v>191</v>
      </c>
      <c r="M52" s="13" t="s">
        <v>323</v>
      </c>
      <c r="N52" s="13" t="s">
        <v>43</v>
      </c>
      <c r="O52" s="13" t="s">
        <v>537</v>
      </c>
      <c r="P52" s="13" t="s">
        <v>534</v>
      </c>
      <c r="Q52" s="64" t="s">
        <v>8</v>
      </c>
      <c r="R52" s="62">
        <v>7000</v>
      </c>
      <c r="S52" s="62">
        <v>7000</v>
      </c>
      <c r="T52" s="62">
        <v>7000</v>
      </c>
      <c r="U52" s="62">
        <v>50000</v>
      </c>
      <c r="V52" s="62">
        <v>454461.66</v>
      </c>
      <c r="W52" s="61" t="s">
        <v>11</v>
      </c>
      <c r="X52" s="236">
        <v>2.1499999999999998E-2</v>
      </c>
      <c r="Y52" s="60">
        <v>43886</v>
      </c>
      <c r="Z52" s="60">
        <v>45152</v>
      </c>
      <c r="AA52" s="60">
        <v>45152</v>
      </c>
      <c r="AB52" s="58">
        <v>1267</v>
      </c>
      <c r="AC52" s="59" t="s">
        <v>10</v>
      </c>
      <c r="AD52" s="58">
        <v>410</v>
      </c>
      <c r="AE52" s="57">
        <v>1.1232876712328768</v>
      </c>
      <c r="AF52" s="56"/>
      <c r="AG52" s="71" t="s">
        <v>1</v>
      </c>
      <c r="AH52" s="71" t="s">
        <v>1</v>
      </c>
      <c r="AI52" s="70" t="s">
        <v>0</v>
      </c>
      <c r="AJ52" s="11" t="s">
        <v>0</v>
      </c>
      <c r="AK52" s="11" t="s">
        <v>271</v>
      </c>
      <c r="AL52" s="78" t="s">
        <v>399</v>
      </c>
      <c r="AO52" s="197" t="s">
        <v>34</v>
      </c>
      <c r="AP52" s="198" t="s">
        <v>48</v>
      </c>
      <c r="AS52" s="212">
        <v>0</v>
      </c>
      <c r="AT52" s="212">
        <v>840</v>
      </c>
      <c r="AU52" s="212" t="b">
        <v>0</v>
      </c>
      <c r="AV52" s="212"/>
      <c r="AW52" s="212">
        <v>0</v>
      </c>
      <c r="AX52" s="212">
        <v>0</v>
      </c>
      <c r="BA52" s="212">
        <v>0</v>
      </c>
      <c r="BB52" s="212">
        <v>0</v>
      </c>
      <c r="BC52" s="212">
        <v>0</v>
      </c>
      <c r="BD52" s="226">
        <v>0</v>
      </c>
      <c r="BE52" s="226"/>
    </row>
    <row r="53" spans="1:57" ht="39.950000000000003" customHeight="1" x14ac:dyDescent="0.2">
      <c r="A53" s="14" t="s">
        <v>312</v>
      </c>
      <c r="B53" s="65" t="s">
        <v>67</v>
      </c>
      <c r="C53" s="66" t="s">
        <v>149</v>
      </c>
      <c r="D53" s="14" t="s">
        <v>540</v>
      </c>
      <c r="E53" s="77" t="s">
        <v>229</v>
      </c>
      <c r="F53" s="14" t="s">
        <v>104</v>
      </c>
      <c r="G53" s="66" t="s">
        <v>292</v>
      </c>
      <c r="H53" s="14" t="s">
        <v>292</v>
      </c>
      <c r="I53" s="14" t="s">
        <v>148</v>
      </c>
      <c r="J53" s="14" t="s">
        <v>148</v>
      </c>
      <c r="K53" s="14" t="s">
        <v>29</v>
      </c>
      <c r="L53" s="65" t="s">
        <v>191</v>
      </c>
      <c r="M53" s="65" t="s">
        <v>59</v>
      </c>
      <c r="N53" s="13" t="s">
        <v>43</v>
      </c>
      <c r="O53" s="13" t="s">
        <v>538</v>
      </c>
      <c r="P53" s="13" t="s">
        <v>534</v>
      </c>
      <c r="Q53" s="64" t="s">
        <v>9</v>
      </c>
      <c r="R53" s="62">
        <v>4600.459309857496</v>
      </c>
      <c r="S53" s="63">
        <v>2343.75</v>
      </c>
      <c r="T53" s="62">
        <v>3450.3444823931222</v>
      </c>
      <c r="U53" s="62">
        <v>9200.918619714992</v>
      </c>
      <c r="V53" s="62">
        <v>245441.76186550464</v>
      </c>
      <c r="W53" s="61" t="s">
        <v>11</v>
      </c>
      <c r="X53" s="236">
        <v>3.5000000000000003E-2</v>
      </c>
      <c r="Y53" s="60">
        <v>43908</v>
      </c>
      <c r="Z53" s="60">
        <v>45412</v>
      </c>
      <c r="AA53" s="60">
        <v>45412</v>
      </c>
      <c r="AB53" s="58">
        <v>1505</v>
      </c>
      <c r="AC53" s="59" t="s">
        <v>10</v>
      </c>
      <c r="AD53" s="58">
        <v>670</v>
      </c>
      <c r="AE53" s="57">
        <v>1.8356164383561644</v>
      </c>
      <c r="AF53" s="56"/>
      <c r="AG53" s="71" t="s">
        <v>1</v>
      </c>
      <c r="AH53" s="71" t="s">
        <v>1</v>
      </c>
      <c r="AI53" s="70" t="s">
        <v>734</v>
      </c>
      <c r="AJ53" s="11" t="s">
        <v>0</v>
      </c>
      <c r="AK53" s="11" t="s">
        <v>271</v>
      </c>
      <c r="AL53" s="14" t="s">
        <v>351</v>
      </c>
      <c r="AM53" s="11">
        <v>7500</v>
      </c>
      <c r="AN53" s="11">
        <v>12750</v>
      </c>
      <c r="AO53" s="197" t="s">
        <v>229</v>
      </c>
      <c r="AP53" s="198" t="s">
        <v>104</v>
      </c>
      <c r="AS53" s="212">
        <v>0</v>
      </c>
      <c r="AT53" s="212">
        <v>414.04133788717468</v>
      </c>
      <c r="AU53" s="212" t="b">
        <v>0</v>
      </c>
      <c r="AV53" s="212"/>
      <c r="AW53" s="212">
        <v>0</v>
      </c>
      <c r="AX53" s="212">
        <v>0</v>
      </c>
      <c r="BA53" s="212">
        <v>0</v>
      </c>
      <c r="BB53" s="212">
        <v>0</v>
      </c>
      <c r="BC53" s="212">
        <v>0</v>
      </c>
      <c r="BD53" s="226">
        <v>0</v>
      </c>
      <c r="BE53" s="226"/>
    </row>
    <row r="54" spans="1:57" ht="39.950000000000003" customHeight="1" x14ac:dyDescent="0.2">
      <c r="A54" s="14" t="s">
        <v>294</v>
      </c>
      <c r="B54" s="65" t="s">
        <v>24</v>
      </c>
      <c r="C54" s="66" t="s">
        <v>295</v>
      </c>
      <c r="D54" s="14" t="s">
        <v>34</v>
      </c>
      <c r="E54" s="77" t="s">
        <v>295</v>
      </c>
      <c r="F54" s="14" t="s">
        <v>106</v>
      </c>
      <c r="G54" s="66" t="s">
        <v>106</v>
      </c>
      <c r="H54" s="66" t="s">
        <v>107</v>
      </c>
      <c r="I54" s="66" t="s">
        <v>296</v>
      </c>
      <c r="J54" s="66" t="s">
        <v>687</v>
      </c>
      <c r="K54" s="14" t="s">
        <v>101</v>
      </c>
      <c r="L54" s="65" t="s">
        <v>191</v>
      </c>
      <c r="M54" s="65" t="s">
        <v>323</v>
      </c>
      <c r="N54" s="13" t="s">
        <v>43</v>
      </c>
      <c r="O54" s="13" t="s">
        <v>531</v>
      </c>
      <c r="P54" s="13" t="s">
        <v>534</v>
      </c>
      <c r="Q54" s="64" t="s">
        <v>297</v>
      </c>
      <c r="R54" s="62">
        <v>31206.027869819798</v>
      </c>
      <c r="S54" s="63">
        <v>34375</v>
      </c>
      <c r="T54" s="62">
        <v>31206.027869819798</v>
      </c>
      <c r="U54" s="62">
        <v>56738.232490581453</v>
      </c>
      <c r="V54" s="62">
        <v>722289.51931369433</v>
      </c>
      <c r="W54" s="61" t="s">
        <v>11</v>
      </c>
      <c r="X54" s="236">
        <v>2.5000000000000001E-2</v>
      </c>
      <c r="Y54" s="60">
        <v>43910</v>
      </c>
      <c r="Z54" s="60">
        <v>44830</v>
      </c>
      <c r="AA54" s="60">
        <v>44830</v>
      </c>
      <c r="AB54" s="58">
        <v>921</v>
      </c>
      <c r="AC54" s="59" t="s">
        <v>10</v>
      </c>
      <c r="AD54" s="58">
        <v>88</v>
      </c>
      <c r="AE54" s="57">
        <v>0.24109589041095891</v>
      </c>
      <c r="AF54" s="56" t="s">
        <v>436</v>
      </c>
      <c r="AG54" s="71" t="s">
        <v>1</v>
      </c>
      <c r="AH54" s="71" t="s">
        <v>1</v>
      </c>
      <c r="AI54" s="70" t="s">
        <v>0</v>
      </c>
      <c r="AJ54" s="11" t="s">
        <v>0</v>
      </c>
      <c r="AK54" s="11" t="s">
        <v>271</v>
      </c>
      <c r="AL54" s="14" t="s">
        <v>391</v>
      </c>
      <c r="AM54" s="11">
        <v>13000</v>
      </c>
      <c r="AN54" s="11">
        <v>60000</v>
      </c>
      <c r="AO54" s="197" t="s">
        <v>295</v>
      </c>
      <c r="AP54" s="198" t="s">
        <v>106</v>
      </c>
      <c r="AS54" s="212">
        <v>0</v>
      </c>
      <c r="AT54" s="212">
        <v>3744.7233443783757</v>
      </c>
      <c r="AU54" s="212">
        <v>748.94466887567523</v>
      </c>
      <c r="AV54" s="212"/>
      <c r="AW54" s="212">
        <v>0</v>
      </c>
      <c r="AX54" s="212">
        <v>0</v>
      </c>
      <c r="BA54" s="212">
        <v>0</v>
      </c>
      <c r="BB54" s="212">
        <v>0</v>
      </c>
      <c r="BC54" s="212">
        <v>0</v>
      </c>
      <c r="BD54" s="226">
        <v>0</v>
      </c>
      <c r="BE54" s="226"/>
    </row>
    <row r="55" spans="1:57" ht="39.950000000000003" customHeight="1" x14ac:dyDescent="0.2">
      <c r="A55" s="14" t="s">
        <v>313</v>
      </c>
      <c r="B55" s="65" t="s">
        <v>67</v>
      </c>
      <c r="C55" s="66" t="s">
        <v>87</v>
      </c>
      <c r="D55" s="14" t="s">
        <v>499</v>
      </c>
      <c r="E55" s="77" t="s">
        <v>162</v>
      </c>
      <c r="F55" s="14" t="s">
        <v>546</v>
      </c>
      <c r="G55" s="66" t="s">
        <v>167</v>
      </c>
      <c r="H55" s="66" t="s">
        <v>167</v>
      </c>
      <c r="I55" s="14" t="s">
        <v>298</v>
      </c>
      <c r="J55" s="66" t="s">
        <v>218</v>
      </c>
      <c r="K55" s="14" t="s">
        <v>209</v>
      </c>
      <c r="L55" s="65" t="s">
        <v>191</v>
      </c>
      <c r="M55" s="65" t="s">
        <v>59</v>
      </c>
      <c r="N55" s="13" t="s">
        <v>43</v>
      </c>
      <c r="O55" s="13" t="s">
        <v>531</v>
      </c>
      <c r="P55" s="13" t="s">
        <v>534</v>
      </c>
      <c r="Q55" s="64" t="s">
        <v>9</v>
      </c>
      <c r="R55" s="62">
        <v>22082.204687315982</v>
      </c>
      <c r="S55" s="76">
        <v>15000</v>
      </c>
      <c r="T55" s="62">
        <v>22082.204687315982</v>
      </c>
      <c r="U55" s="62">
        <v>44164.409374631963</v>
      </c>
      <c r="V55" s="62">
        <v>4122624.9705570606</v>
      </c>
      <c r="W55" s="61" t="s">
        <v>11</v>
      </c>
      <c r="X55" s="236">
        <v>5.3800000000000001E-2</v>
      </c>
      <c r="Y55" s="60">
        <v>43915</v>
      </c>
      <c r="Z55" s="60">
        <v>46372</v>
      </c>
      <c r="AA55" s="60">
        <v>46372</v>
      </c>
      <c r="AB55" s="58">
        <v>2458</v>
      </c>
      <c r="AC55" s="75" t="s">
        <v>10</v>
      </c>
      <c r="AD55" s="58">
        <v>1630</v>
      </c>
      <c r="AE55" s="57">
        <v>4.4657534246575343</v>
      </c>
      <c r="AF55" s="56"/>
      <c r="AG55" s="71" t="s">
        <v>182</v>
      </c>
      <c r="AH55" s="71" t="s">
        <v>182</v>
      </c>
      <c r="AI55" s="70" t="s">
        <v>0</v>
      </c>
      <c r="AJ55" s="11" t="s">
        <v>0</v>
      </c>
      <c r="AK55" s="11" t="s">
        <v>271</v>
      </c>
      <c r="AL55" s="14" t="s">
        <v>392</v>
      </c>
      <c r="AM55" s="11">
        <v>12000</v>
      </c>
      <c r="AN55" s="11">
        <v>250000</v>
      </c>
      <c r="AO55" s="197" t="s">
        <v>162</v>
      </c>
      <c r="AP55" s="198" t="s">
        <v>546</v>
      </c>
      <c r="AS55" s="212">
        <v>0</v>
      </c>
      <c r="AT55" s="212">
        <v>2649.8645624779178</v>
      </c>
      <c r="AU55" s="212" t="b">
        <v>0</v>
      </c>
      <c r="AV55" s="212"/>
      <c r="AW55" s="212">
        <v>0</v>
      </c>
      <c r="AX55" s="212">
        <v>0</v>
      </c>
      <c r="BA55" s="212">
        <v>0</v>
      </c>
      <c r="BB55" s="212">
        <v>0</v>
      </c>
      <c r="BC55" s="212">
        <v>0</v>
      </c>
      <c r="BD55" s="226">
        <v>0</v>
      </c>
      <c r="BE55" s="226"/>
    </row>
    <row r="56" spans="1:57" ht="39.950000000000003" customHeight="1" x14ac:dyDescent="0.2">
      <c r="A56" s="13" t="s">
        <v>301</v>
      </c>
      <c r="B56" s="65" t="s">
        <v>24</v>
      </c>
      <c r="C56" s="66" t="s">
        <v>37</v>
      </c>
      <c r="D56" s="14" t="s">
        <v>542</v>
      </c>
      <c r="E56" s="68" t="s">
        <v>87</v>
      </c>
      <c r="F56" s="14" t="s">
        <v>102</v>
      </c>
      <c r="G56" s="66" t="s">
        <v>102</v>
      </c>
      <c r="H56" s="66" t="s">
        <v>110</v>
      </c>
      <c r="I56" s="14" t="s">
        <v>55</v>
      </c>
      <c r="J56" s="66" t="s">
        <v>218</v>
      </c>
      <c r="K56" s="14" t="s">
        <v>101</v>
      </c>
      <c r="L56" s="65" t="s">
        <v>191</v>
      </c>
      <c r="M56" s="13" t="s">
        <v>323</v>
      </c>
      <c r="N56" s="13" t="s">
        <v>43</v>
      </c>
      <c r="O56" s="13" t="s">
        <v>538</v>
      </c>
      <c r="P56" s="13" t="s">
        <v>534</v>
      </c>
      <c r="Q56" s="15" t="s">
        <v>59</v>
      </c>
      <c r="R56" s="62">
        <v>27833.129511650928</v>
      </c>
      <c r="S56" s="63">
        <v>18421.07843599105</v>
      </c>
      <c r="T56" s="62">
        <v>27833.129511650928</v>
      </c>
      <c r="U56" s="62">
        <v>37110.852279608123</v>
      </c>
      <c r="V56" s="62">
        <v>966746.57450989808</v>
      </c>
      <c r="W56" s="61" t="s">
        <v>11</v>
      </c>
      <c r="X56" s="236">
        <v>2.6499999999999999E-2</v>
      </c>
      <c r="Y56" s="60">
        <v>43915</v>
      </c>
      <c r="Z56" s="60">
        <v>44970</v>
      </c>
      <c r="AA56" s="60">
        <v>44970</v>
      </c>
      <c r="AB56" s="58">
        <v>1056</v>
      </c>
      <c r="AC56" s="59" t="s">
        <v>10</v>
      </c>
      <c r="AD56" s="58">
        <v>228</v>
      </c>
      <c r="AE56" s="57">
        <v>0.62465753424657533</v>
      </c>
      <c r="AF56" s="56" t="s">
        <v>436</v>
      </c>
      <c r="AG56" s="71" t="s">
        <v>1</v>
      </c>
      <c r="AH56" s="71" t="s">
        <v>1</v>
      </c>
      <c r="AI56" s="70" t="s">
        <v>0</v>
      </c>
      <c r="AJ56" s="11" t="s">
        <v>0</v>
      </c>
      <c r="AK56" s="11" t="s">
        <v>271</v>
      </c>
      <c r="AL56" s="14" t="s">
        <v>394</v>
      </c>
      <c r="AM56" s="11">
        <v>6000</v>
      </c>
      <c r="AN56" s="11">
        <v>55000</v>
      </c>
      <c r="AO56" s="197" t="s">
        <v>87</v>
      </c>
      <c r="AP56" s="198" t="s">
        <v>102</v>
      </c>
      <c r="AS56" s="212">
        <v>0</v>
      </c>
      <c r="AT56" s="212">
        <v>3339.9755413981111</v>
      </c>
      <c r="AU56" s="212">
        <v>667.99510827962229</v>
      </c>
      <c r="AV56" s="212"/>
      <c r="AW56" s="212">
        <v>0</v>
      </c>
      <c r="AX56" s="212">
        <v>0</v>
      </c>
      <c r="BA56" s="212">
        <v>0</v>
      </c>
      <c r="BB56" s="212">
        <v>0</v>
      </c>
      <c r="BC56" s="212">
        <v>0</v>
      </c>
      <c r="BD56" s="226">
        <v>0</v>
      </c>
      <c r="BE56" s="226"/>
    </row>
    <row r="57" spans="1:57" ht="39.950000000000003" customHeight="1" x14ac:dyDescent="0.2">
      <c r="A57" s="13" t="s">
        <v>305</v>
      </c>
      <c r="B57" s="65" t="s">
        <v>23</v>
      </c>
      <c r="C57" s="66" t="s">
        <v>88</v>
      </c>
      <c r="D57" s="14" t="s">
        <v>542</v>
      </c>
      <c r="E57" s="68" t="s">
        <v>127</v>
      </c>
      <c r="F57" s="14" t="s">
        <v>92</v>
      </c>
      <c r="G57" s="66" t="s">
        <v>134</v>
      </c>
      <c r="H57" s="66" t="s">
        <v>134</v>
      </c>
      <c r="I57" s="66" t="s">
        <v>61</v>
      </c>
      <c r="J57" s="66" t="s">
        <v>220</v>
      </c>
      <c r="K57" s="14" t="s">
        <v>68</v>
      </c>
      <c r="L57" s="65" t="s">
        <v>191</v>
      </c>
      <c r="M57" s="13" t="s">
        <v>59</v>
      </c>
      <c r="N57" s="13" t="s">
        <v>43</v>
      </c>
      <c r="O57" s="13" t="s">
        <v>531</v>
      </c>
      <c r="P57" s="13" t="s">
        <v>534</v>
      </c>
      <c r="Q57" s="64" t="s">
        <v>9</v>
      </c>
      <c r="R57" s="62">
        <v>22082.204687315982</v>
      </c>
      <c r="S57" s="76">
        <v>15000</v>
      </c>
      <c r="T57" s="62">
        <v>22082.204687315982</v>
      </c>
      <c r="U57" s="62">
        <v>154575.43281121188</v>
      </c>
      <c r="V57" s="62">
        <v>381874.92639265105</v>
      </c>
      <c r="W57" s="61" t="s">
        <v>11</v>
      </c>
      <c r="X57" s="236">
        <v>1.3100000000000001E-2</v>
      </c>
      <c r="Y57" s="60">
        <v>43920</v>
      </c>
      <c r="Z57" s="60">
        <v>45125</v>
      </c>
      <c r="AA57" s="60">
        <v>45125</v>
      </c>
      <c r="AB57" s="58">
        <v>1206</v>
      </c>
      <c r="AC57" s="59" t="s">
        <v>10</v>
      </c>
      <c r="AD57" s="58">
        <v>383</v>
      </c>
      <c r="AE57" s="57">
        <v>1.0493150684931507</v>
      </c>
      <c r="AF57" s="56"/>
      <c r="AG57" s="71" t="s">
        <v>1</v>
      </c>
      <c r="AH57" s="71" t="s">
        <v>1</v>
      </c>
      <c r="AI57" s="70" t="s">
        <v>0</v>
      </c>
      <c r="AJ57" s="11" t="s">
        <v>0</v>
      </c>
      <c r="AK57" s="11" t="s">
        <v>271</v>
      </c>
      <c r="AL57" s="14" t="s">
        <v>397</v>
      </c>
      <c r="AM57" s="11">
        <v>6500</v>
      </c>
      <c r="AN57" s="11">
        <v>15000</v>
      </c>
      <c r="AO57" s="197" t="s">
        <v>127</v>
      </c>
      <c r="AP57" s="198" t="s">
        <v>92</v>
      </c>
      <c r="AS57" s="212">
        <v>0</v>
      </c>
      <c r="AT57" s="212">
        <v>2649.8645624779178</v>
      </c>
      <c r="AU57" s="212" t="b">
        <v>0</v>
      </c>
      <c r="AV57" s="212"/>
      <c r="AW57" s="212">
        <v>0</v>
      </c>
      <c r="AX57" s="212">
        <v>0</v>
      </c>
      <c r="BA57" s="212">
        <v>0</v>
      </c>
      <c r="BB57" s="212">
        <v>0</v>
      </c>
      <c r="BC57" s="212">
        <v>0</v>
      </c>
      <c r="BD57" s="226">
        <v>0</v>
      </c>
      <c r="BE57" s="226"/>
    </row>
    <row r="58" spans="1:57" ht="39.950000000000003" customHeight="1" x14ac:dyDescent="0.2">
      <c r="A58" s="13" t="s">
        <v>306</v>
      </c>
      <c r="B58" s="65" t="s">
        <v>243</v>
      </c>
      <c r="C58" s="66" t="s">
        <v>89</v>
      </c>
      <c r="D58" s="14" t="s">
        <v>542</v>
      </c>
      <c r="E58" s="68" t="s">
        <v>308</v>
      </c>
      <c r="F58" s="14" t="s">
        <v>92</v>
      </c>
      <c r="G58" s="66" t="s">
        <v>134</v>
      </c>
      <c r="H58" s="66" t="s">
        <v>134</v>
      </c>
      <c r="I58" s="66" t="s">
        <v>311</v>
      </c>
      <c r="J58" s="66" t="s">
        <v>256</v>
      </c>
      <c r="K58" s="14" t="s">
        <v>68</v>
      </c>
      <c r="L58" s="65" t="s">
        <v>191</v>
      </c>
      <c r="M58" s="65" t="s">
        <v>59</v>
      </c>
      <c r="N58" s="13" t="s">
        <v>43</v>
      </c>
      <c r="O58" s="13" t="s">
        <v>538</v>
      </c>
      <c r="P58" s="13" t="s">
        <v>534</v>
      </c>
      <c r="Q58" s="64" t="s">
        <v>9</v>
      </c>
      <c r="R58" s="62">
        <v>11777.175833235191</v>
      </c>
      <c r="S58" s="63">
        <v>3333.33295</v>
      </c>
      <c r="T58" s="62">
        <v>4907.1560328583209</v>
      </c>
      <c r="U58" s="62">
        <v>61879.244685549405</v>
      </c>
      <c r="V58" s="62">
        <v>405401.5280885644</v>
      </c>
      <c r="W58" s="61" t="s">
        <v>11</v>
      </c>
      <c r="X58" s="236">
        <v>0.02</v>
      </c>
      <c r="Y58" s="60">
        <v>43921</v>
      </c>
      <c r="Z58" s="60">
        <v>45660</v>
      </c>
      <c r="AA58" s="60">
        <v>45660</v>
      </c>
      <c r="AB58" s="58">
        <v>1740</v>
      </c>
      <c r="AC58" s="59" t="s">
        <v>10</v>
      </c>
      <c r="AD58" s="58">
        <v>918</v>
      </c>
      <c r="AE58" s="57">
        <v>2.515068493150685</v>
      </c>
      <c r="AF58" s="56"/>
      <c r="AG58" s="71" t="s">
        <v>1</v>
      </c>
      <c r="AH58" s="71" t="s">
        <v>1</v>
      </c>
      <c r="AI58" s="70" t="s">
        <v>659</v>
      </c>
      <c r="AJ58" s="11" t="s">
        <v>0</v>
      </c>
      <c r="AK58" s="11" t="s">
        <v>271</v>
      </c>
      <c r="AL58" s="13" t="s">
        <v>396</v>
      </c>
      <c r="AM58" s="11">
        <v>10480</v>
      </c>
      <c r="AN58" s="11">
        <v>31210</v>
      </c>
      <c r="AO58" s="197" t="s">
        <v>308</v>
      </c>
      <c r="AP58" s="198" t="s">
        <v>92</v>
      </c>
      <c r="AS58" s="212">
        <v>0</v>
      </c>
      <c r="AT58" s="212">
        <v>588.85872394299849</v>
      </c>
      <c r="AU58" s="212" t="b">
        <v>0</v>
      </c>
      <c r="AV58" s="212"/>
      <c r="AW58" s="212">
        <v>0</v>
      </c>
      <c r="AX58" s="212">
        <v>0</v>
      </c>
      <c r="BA58" s="212">
        <v>0</v>
      </c>
      <c r="BB58" s="212">
        <v>0</v>
      </c>
      <c r="BC58" s="212">
        <v>0</v>
      </c>
      <c r="BD58" s="226">
        <v>0</v>
      </c>
      <c r="BE58" s="226"/>
    </row>
    <row r="59" spans="1:57" ht="39.950000000000003" customHeight="1" x14ac:dyDescent="0.2">
      <c r="A59" s="13" t="s">
        <v>303</v>
      </c>
      <c r="B59" s="65" t="s">
        <v>23</v>
      </c>
      <c r="C59" s="66" t="s">
        <v>38</v>
      </c>
      <c r="D59" s="14" t="s">
        <v>540</v>
      </c>
      <c r="E59" s="68" t="s">
        <v>49</v>
      </c>
      <c r="F59" s="14" t="s">
        <v>544</v>
      </c>
      <c r="G59" s="66" t="s">
        <v>304</v>
      </c>
      <c r="H59" s="14" t="s">
        <v>310</v>
      </c>
      <c r="I59" s="66" t="s">
        <v>142</v>
      </c>
      <c r="J59" s="66" t="s">
        <v>218</v>
      </c>
      <c r="K59" s="14" t="s">
        <v>29</v>
      </c>
      <c r="L59" s="65" t="s">
        <v>191</v>
      </c>
      <c r="M59" s="65" t="s">
        <v>323</v>
      </c>
      <c r="N59" s="13" t="s">
        <v>43</v>
      </c>
      <c r="O59" s="13" t="s">
        <v>538</v>
      </c>
      <c r="P59" s="13" t="s">
        <v>534</v>
      </c>
      <c r="Q59" s="64" t="s">
        <v>59</v>
      </c>
      <c r="R59" s="62">
        <v>11332.0439985495</v>
      </c>
      <c r="S59" s="63">
        <v>7387.5</v>
      </c>
      <c r="T59" s="62">
        <v>11162.063338571255</v>
      </c>
      <c r="U59" s="62">
        <v>15109.391998065998</v>
      </c>
      <c r="V59" s="62">
        <v>615541.30907772272</v>
      </c>
      <c r="W59" s="61" t="s">
        <v>11</v>
      </c>
      <c r="X59" s="236">
        <v>2.7E-2</v>
      </c>
      <c r="Y59" s="60">
        <v>43921</v>
      </c>
      <c r="Z59" s="60">
        <v>45691</v>
      </c>
      <c r="AA59" s="60">
        <v>45691</v>
      </c>
      <c r="AB59" s="58">
        <v>1771</v>
      </c>
      <c r="AC59" s="59" t="s">
        <v>10</v>
      </c>
      <c r="AD59" s="58">
        <v>949</v>
      </c>
      <c r="AE59" s="57">
        <v>2.6</v>
      </c>
      <c r="AF59" s="56"/>
      <c r="AG59" s="71" t="s">
        <v>1</v>
      </c>
      <c r="AH59" s="71" t="s">
        <v>1</v>
      </c>
      <c r="AI59" s="70" t="s">
        <v>663</v>
      </c>
      <c r="AJ59" s="11" t="s">
        <v>0</v>
      </c>
      <c r="AK59" s="11" t="s">
        <v>271</v>
      </c>
      <c r="AL59" s="14" t="s">
        <v>395</v>
      </c>
      <c r="AM59" s="11">
        <v>10000</v>
      </c>
      <c r="AN59" s="11">
        <v>45000</v>
      </c>
      <c r="AO59" s="197" t="s">
        <v>49</v>
      </c>
      <c r="AP59" s="198" t="s">
        <v>544</v>
      </c>
      <c r="AQ59" s="11">
        <v>1</v>
      </c>
      <c r="AR59" s="214">
        <v>0.1</v>
      </c>
      <c r="AS59" s="212">
        <v>1116.2063338571256</v>
      </c>
      <c r="AT59" s="212">
        <v>1339.4476006285506</v>
      </c>
      <c r="AU59" s="212" t="b">
        <v>0</v>
      </c>
      <c r="AV59" s="212"/>
      <c r="AW59" s="212">
        <v>1116.2063338571256</v>
      </c>
      <c r="AX59" s="212">
        <v>1081.0063186093237</v>
      </c>
      <c r="AY59" s="12"/>
      <c r="BA59" s="212">
        <v>1116.2063338571256</v>
      </c>
      <c r="BB59" s="212">
        <v>1081.0063186093237</v>
      </c>
      <c r="BC59" s="212">
        <v>1411.5699873896597</v>
      </c>
      <c r="BD59" s="226">
        <v>1411.5699873896597</v>
      </c>
      <c r="BE59" s="226">
        <v>1198.713532738429</v>
      </c>
    </row>
    <row r="60" spans="1:57" ht="39.950000000000003" customHeight="1" x14ac:dyDescent="0.2">
      <c r="A60" s="13" t="s">
        <v>320</v>
      </c>
      <c r="B60" s="65" t="s">
        <v>51</v>
      </c>
      <c r="C60" s="66" t="s">
        <v>87</v>
      </c>
      <c r="D60" s="14" t="s">
        <v>542</v>
      </c>
      <c r="E60" s="68" t="s">
        <v>87</v>
      </c>
      <c r="F60" s="14" t="s">
        <v>173</v>
      </c>
      <c r="G60" s="66" t="s">
        <v>316</v>
      </c>
      <c r="H60" s="14" t="s">
        <v>197</v>
      </c>
      <c r="I60" s="77" t="s">
        <v>75</v>
      </c>
      <c r="J60" s="66" t="s">
        <v>21</v>
      </c>
      <c r="K60" s="14" t="s">
        <v>29</v>
      </c>
      <c r="L60" s="65" t="s">
        <v>191</v>
      </c>
      <c r="M60" s="65" t="s">
        <v>59</v>
      </c>
      <c r="N60" s="13" t="s">
        <v>43</v>
      </c>
      <c r="O60" s="13" t="s">
        <v>538</v>
      </c>
      <c r="P60" s="13" t="s">
        <v>548</v>
      </c>
      <c r="Q60" s="64" t="s">
        <v>156</v>
      </c>
      <c r="R60" s="62">
        <v>17593.244194229417</v>
      </c>
      <c r="S60" s="63">
        <v>6500</v>
      </c>
      <c r="T60" s="62">
        <v>11435.60872624912</v>
      </c>
      <c r="U60" s="62">
        <v>140745.95355383534</v>
      </c>
      <c r="V60" s="62">
        <v>308568.68402533425</v>
      </c>
      <c r="W60" s="61" t="s">
        <v>11</v>
      </c>
      <c r="X60" s="236">
        <v>7.7000000000000002E-3</v>
      </c>
      <c r="Y60" s="60">
        <v>43927</v>
      </c>
      <c r="Z60" s="60">
        <v>46081</v>
      </c>
      <c r="AA60" s="60">
        <v>46081</v>
      </c>
      <c r="AB60" s="58">
        <v>2155</v>
      </c>
      <c r="AC60" s="75" t="s">
        <v>10</v>
      </c>
      <c r="AD60" s="58">
        <v>1339</v>
      </c>
      <c r="AE60" s="57">
        <v>3.6684931506849314</v>
      </c>
      <c r="AF60" s="56"/>
      <c r="AG60" s="71" t="s">
        <v>1</v>
      </c>
      <c r="AH60" s="71" t="s">
        <v>1</v>
      </c>
      <c r="AI60" s="70" t="s">
        <v>0</v>
      </c>
      <c r="AJ60" s="11" t="s">
        <v>0</v>
      </c>
      <c r="AK60" s="11" t="s">
        <v>271</v>
      </c>
      <c r="AL60" s="13" t="s">
        <v>398</v>
      </c>
      <c r="AM60" s="11">
        <v>10230</v>
      </c>
      <c r="AO60" s="197" t="s">
        <v>87</v>
      </c>
      <c r="AP60" s="198" t="s">
        <v>173</v>
      </c>
      <c r="AS60" s="212">
        <v>0</v>
      </c>
      <c r="AT60" s="212">
        <v>1372.2730471498944</v>
      </c>
      <c r="AU60" s="212" t="b">
        <v>0</v>
      </c>
      <c r="AV60" s="212"/>
      <c r="AW60" s="212">
        <v>0</v>
      </c>
      <c r="AX60" s="212">
        <v>0</v>
      </c>
      <c r="BA60" s="212">
        <v>0</v>
      </c>
      <c r="BB60" s="212">
        <v>0</v>
      </c>
      <c r="BC60" s="212">
        <v>0</v>
      </c>
      <c r="BD60" s="226">
        <v>0</v>
      </c>
      <c r="BE60" s="226"/>
    </row>
    <row r="61" spans="1:57" ht="39.950000000000003" customHeight="1" x14ac:dyDescent="0.2">
      <c r="A61" s="13" t="s">
        <v>550</v>
      </c>
      <c r="B61" s="65" t="s">
        <v>23</v>
      </c>
      <c r="C61" s="66" t="s">
        <v>37</v>
      </c>
      <c r="D61" s="14" t="s">
        <v>540</v>
      </c>
      <c r="E61" s="77" t="s">
        <v>36</v>
      </c>
      <c r="F61" s="14" t="s">
        <v>104</v>
      </c>
      <c r="G61" s="66" t="s">
        <v>111</v>
      </c>
      <c r="H61" s="66" t="s">
        <v>135</v>
      </c>
      <c r="I61" s="14" t="s">
        <v>77</v>
      </c>
      <c r="J61" s="66" t="s">
        <v>220</v>
      </c>
      <c r="K61" s="14" t="s">
        <v>29</v>
      </c>
      <c r="L61" s="65" t="s">
        <v>191</v>
      </c>
      <c r="M61" s="13" t="s">
        <v>323</v>
      </c>
      <c r="N61" s="13" t="s">
        <v>43</v>
      </c>
      <c r="O61" s="13" t="s">
        <v>531</v>
      </c>
      <c r="P61" s="13" t="s">
        <v>548</v>
      </c>
      <c r="Q61" s="64" t="s">
        <v>9</v>
      </c>
      <c r="R61" s="62">
        <v>10305.028854080792</v>
      </c>
      <c r="S61" s="63">
        <v>7000</v>
      </c>
      <c r="T61" s="62">
        <v>10305.028854080792</v>
      </c>
      <c r="U61" s="62">
        <v>272347.19114356377</v>
      </c>
      <c r="V61" s="62">
        <v>884117.16817807092</v>
      </c>
      <c r="W61" s="61" t="s">
        <v>11</v>
      </c>
      <c r="X61" s="236">
        <v>3.7499999999999999E-2</v>
      </c>
      <c r="Y61" s="60">
        <v>43938</v>
      </c>
      <c r="Z61" s="60">
        <v>45063</v>
      </c>
      <c r="AA61" s="60">
        <v>45063</v>
      </c>
      <c r="AB61" s="58">
        <v>1126</v>
      </c>
      <c r="AC61" s="59" t="s">
        <v>10</v>
      </c>
      <c r="AD61" s="58">
        <v>321</v>
      </c>
      <c r="AE61" s="57">
        <v>0.8794520547945206</v>
      </c>
      <c r="AF61" s="56"/>
      <c r="AG61" s="71" t="s">
        <v>1</v>
      </c>
      <c r="AH61" s="71" t="s">
        <v>1</v>
      </c>
      <c r="AI61" s="70" t="s">
        <v>608</v>
      </c>
      <c r="AJ61" s="11" t="s">
        <v>0</v>
      </c>
      <c r="AK61" s="11" t="s">
        <v>271</v>
      </c>
      <c r="AL61" s="13" t="s">
        <v>401</v>
      </c>
      <c r="AM61" s="11">
        <v>12225</v>
      </c>
      <c r="AO61" s="197" t="s">
        <v>36</v>
      </c>
      <c r="AP61" s="198" t="s">
        <v>104</v>
      </c>
      <c r="AS61" s="212">
        <v>0</v>
      </c>
      <c r="AT61" s="212">
        <v>1236.6034624896949</v>
      </c>
      <c r="AU61" s="212" t="b">
        <v>0</v>
      </c>
      <c r="AV61" s="212"/>
      <c r="AW61" s="212">
        <v>0</v>
      </c>
      <c r="AX61" s="212">
        <v>0</v>
      </c>
      <c r="BA61" s="212">
        <v>0</v>
      </c>
      <c r="BB61" s="212">
        <v>0</v>
      </c>
      <c r="BC61" s="212">
        <v>0</v>
      </c>
      <c r="BD61" s="226">
        <v>0</v>
      </c>
      <c r="BE61" s="226"/>
    </row>
    <row r="62" spans="1:57" ht="39.950000000000003" customHeight="1" x14ac:dyDescent="0.2">
      <c r="A62" s="13" t="s">
        <v>319</v>
      </c>
      <c r="B62" s="65" t="s">
        <v>23</v>
      </c>
      <c r="C62" s="66" t="s">
        <v>89</v>
      </c>
      <c r="D62" s="14" t="s">
        <v>542</v>
      </c>
      <c r="E62" s="68" t="s">
        <v>166</v>
      </c>
      <c r="F62" s="14" t="s">
        <v>92</v>
      </c>
      <c r="G62" s="66" t="s">
        <v>134</v>
      </c>
      <c r="H62" s="14" t="s">
        <v>134</v>
      </c>
      <c r="I62" s="66" t="s">
        <v>58</v>
      </c>
      <c r="J62" s="14" t="s">
        <v>220</v>
      </c>
      <c r="K62" s="14" t="s">
        <v>68</v>
      </c>
      <c r="L62" s="65" t="s">
        <v>191</v>
      </c>
      <c r="M62" s="65" t="s">
        <v>59</v>
      </c>
      <c r="N62" s="13" t="s">
        <v>43</v>
      </c>
      <c r="O62" s="13" t="s">
        <v>539</v>
      </c>
      <c r="P62" s="13" t="s">
        <v>534</v>
      </c>
      <c r="Q62" s="64" t="s">
        <v>9</v>
      </c>
      <c r="R62" s="62">
        <v>29442.939583087977</v>
      </c>
      <c r="S62" s="63">
        <v>13035.504489999999</v>
      </c>
      <c r="T62" s="62">
        <v>19190.178556707102</v>
      </c>
      <c r="U62" s="62">
        <v>78612.648686844899</v>
      </c>
      <c r="V62" s="62">
        <v>1304385.5258509009</v>
      </c>
      <c r="W62" s="61" t="s">
        <v>11</v>
      </c>
      <c r="X62" s="236">
        <v>2.1999999999999999E-2</v>
      </c>
      <c r="Y62" s="60">
        <v>43943</v>
      </c>
      <c r="Z62" s="60">
        <v>45860</v>
      </c>
      <c r="AA62" s="60">
        <v>45860</v>
      </c>
      <c r="AB62" s="58">
        <v>1918</v>
      </c>
      <c r="AC62" s="59" t="s">
        <v>10</v>
      </c>
      <c r="AD62" s="58">
        <v>1118</v>
      </c>
      <c r="AE62" s="57">
        <v>3.0630136986301371</v>
      </c>
      <c r="AF62" s="56" t="s">
        <v>436</v>
      </c>
      <c r="AG62" s="71" t="s">
        <v>1</v>
      </c>
      <c r="AH62" s="71" t="s">
        <v>1</v>
      </c>
      <c r="AI62" s="70" t="s">
        <v>664</v>
      </c>
      <c r="AJ62" s="11" t="s">
        <v>0</v>
      </c>
      <c r="AK62" s="11" t="s">
        <v>271</v>
      </c>
      <c r="AL62" s="13" t="s">
        <v>402</v>
      </c>
      <c r="AM62" s="11">
        <v>6000</v>
      </c>
      <c r="AO62" s="197" t="s">
        <v>166</v>
      </c>
      <c r="AP62" s="198" t="s">
        <v>92</v>
      </c>
      <c r="AS62" s="212">
        <v>0</v>
      </c>
      <c r="AT62" s="212">
        <v>2302.8214268048523</v>
      </c>
      <c r="AU62" s="212">
        <v>460.56428536097047</v>
      </c>
      <c r="AV62" s="212"/>
      <c r="AW62" s="212">
        <v>0</v>
      </c>
      <c r="AX62" s="212">
        <v>0</v>
      </c>
      <c r="BA62" s="212">
        <v>0</v>
      </c>
      <c r="BB62" s="212">
        <v>0</v>
      </c>
      <c r="BC62" s="212">
        <v>0</v>
      </c>
      <c r="BD62" s="226">
        <v>0</v>
      </c>
      <c r="BE62" s="226"/>
    </row>
    <row r="63" spans="1:57" ht="39.950000000000003" customHeight="1" x14ac:dyDescent="0.2">
      <c r="A63" s="13" t="s">
        <v>318</v>
      </c>
      <c r="B63" s="65" t="s">
        <v>24</v>
      </c>
      <c r="C63" s="66" t="s">
        <v>38</v>
      </c>
      <c r="D63" s="14" t="s">
        <v>540</v>
      </c>
      <c r="E63" s="77" t="s">
        <v>36</v>
      </c>
      <c r="F63" s="14" t="s">
        <v>102</v>
      </c>
      <c r="G63" s="14" t="s">
        <v>102</v>
      </c>
      <c r="H63" s="68" t="s">
        <v>473</v>
      </c>
      <c r="I63" s="66" t="s">
        <v>706</v>
      </c>
      <c r="J63" s="14" t="s">
        <v>220</v>
      </c>
      <c r="K63" s="14" t="s">
        <v>101</v>
      </c>
      <c r="L63" s="65" t="s">
        <v>191</v>
      </c>
      <c r="M63" s="65" t="s">
        <v>323</v>
      </c>
      <c r="N63" s="13" t="s">
        <v>43</v>
      </c>
      <c r="O63" s="13" t="s">
        <v>531</v>
      </c>
      <c r="P63" s="13" t="s">
        <v>534</v>
      </c>
      <c r="Q63" s="64" t="s">
        <v>238</v>
      </c>
      <c r="R63" s="62">
        <v>14771.977244869096</v>
      </c>
      <c r="S63" s="63">
        <v>14100</v>
      </c>
      <c r="T63" s="62">
        <v>14771.977244869096</v>
      </c>
      <c r="U63" s="62">
        <v>54163.916564520019</v>
      </c>
      <c r="V63" s="62">
        <v>819804.23463347682</v>
      </c>
      <c r="W63" s="61" t="s">
        <v>11</v>
      </c>
      <c r="X63" s="236">
        <v>2.3E-2</v>
      </c>
      <c r="Y63" s="60">
        <v>43948</v>
      </c>
      <c r="Z63" s="60">
        <v>45748</v>
      </c>
      <c r="AA63" s="60">
        <v>45748</v>
      </c>
      <c r="AB63" s="58">
        <v>1801</v>
      </c>
      <c r="AC63" s="59" t="s">
        <v>10</v>
      </c>
      <c r="AD63" s="58">
        <v>1006</v>
      </c>
      <c r="AE63" s="57">
        <v>2.7561643835616438</v>
      </c>
      <c r="AF63" s="56"/>
      <c r="AG63" s="71" t="s">
        <v>1</v>
      </c>
      <c r="AH63" s="71" t="s">
        <v>1</v>
      </c>
      <c r="AI63" s="70" t="s">
        <v>0</v>
      </c>
      <c r="AJ63" s="11" t="s">
        <v>0</v>
      </c>
      <c r="AK63" s="11" t="s">
        <v>271</v>
      </c>
      <c r="AL63" s="14" t="s">
        <v>400</v>
      </c>
      <c r="AM63" s="11">
        <v>15933</v>
      </c>
      <c r="AO63" s="197" t="s">
        <v>36</v>
      </c>
      <c r="AP63" s="198" t="s">
        <v>102</v>
      </c>
      <c r="AS63" s="212">
        <v>0</v>
      </c>
      <c r="AT63" s="212">
        <v>1772.6372693842916</v>
      </c>
      <c r="AU63" s="212" t="b">
        <v>0</v>
      </c>
      <c r="AV63" s="212"/>
      <c r="AW63" s="212">
        <v>0</v>
      </c>
      <c r="AX63" s="212">
        <v>0</v>
      </c>
      <c r="BA63" s="212">
        <v>0</v>
      </c>
      <c r="BB63" s="212">
        <v>0</v>
      </c>
      <c r="BC63" s="212">
        <v>0</v>
      </c>
      <c r="BD63" s="226">
        <v>0</v>
      </c>
      <c r="BE63" s="226"/>
    </row>
    <row r="64" spans="1:57" ht="39.950000000000003" customHeight="1" x14ac:dyDescent="0.2">
      <c r="A64" s="13" t="s">
        <v>404</v>
      </c>
      <c r="B64" s="65" t="s">
        <v>67</v>
      </c>
      <c r="C64" s="66" t="s">
        <v>87</v>
      </c>
      <c r="D64" s="14" t="s">
        <v>34</v>
      </c>
      <c r="E64" s="68" t="s">
        <v>34</v>
      </c>
      <c r="F64" s="14" t="s">
        <v>546</v>
      </c>
      <c r="G64" s="66" t="s">
        <v>167</v>
      </c>
      <c r="H64" s="14" t="s">
        <v>167</v>
      </c>
      <c r="I64" s="66" t="s">
        <v>298</v>
      </c>
      <c r="J64" s="14" t="s">
        <v>218</v>
      </c>
      <c r="K64" s="14" t="s">
        <v>209</v>
      </c>
      <c r="L64" s="65" t="s">
        <v>191</v>
      </c>
      <c r="M64" s="65" t="s">
        <v>59</v>
      </c>
      <c r="N64" s="13" t="s">
        <v>43</v>
      </c>
      <c r="O64" s="13" t="s">
        <v>531</v>
      </c>
      <c r="P64" s="13" t="s">
        <v>534</v>
      </c>
      <c r="Q64" s="64" t="s">
        <v>8</v>
      </c>
      <c r="R64" s="62">
        <v>30000</v>
      </c>
      <c r="S64" s="63">
        <v>30000</v>
      </c>
      <c r="T64" s="62">
        <v>30000</v>
      </c>
      <c r="U64" s="62">
        <v>60000</v>
      </c>
      <c r="V64" s="62">
        <v>2983002.6799999997</v>
      </c>
      <c r="W64" s="61" t="s">
        <v>11</v>
      </c>
      <c r="X64" s="236">
        <v>4.4999999999999998E-2</v>
      </c>
      <c r="Y64" s="60">
        <v>43955</v>
      </c>
      <c r="Z64" s="60">
        <v>45768</v>
      </c>
      <c r="AA64" s="60">
        <v>45768</v>
      </c>
      <c r="AB64" s="58">
        <v>1814</v>
      </c>
      <c r="AC64" s="59" t="s">
        <v>10</v>
      </c>
      <c r="AD64" s="58">
        <v>1026</v>
      </c>
      <c r="AE64" s="57">
        <v>2.8109589041095893</v>
      </c>
      <c r="AF64" s="56" t="s">
        <v>436</v>
      </c>
      <c r="AG64" s="71" t="s">
        <v>1</v>
      </c>
      <c r="AH64" s="71" t="s">
        <v>1</v>
      </c>
      <c r="AI64" s="70" t="s">
        <v>0</v>
      </c>
      <c r="AJ64" s="11" t="s">
        <v>0</v>
      </c>
      <c r="AK64" s="11" t="s">
        <v>271</v>
      </c>
      <c r="AL64" s="13" t="s">
        <v>406</v>
      </c>
      <c r="AM64" s="11">
        <v>12267.5</v>
      </c>
      <c r="AO64" s="197" t="s">
        <v>34</v>
      </c>
      <c r="AP64" s="198" t="s">
        <v>546</v>
      </c>
      <c r="AS64" s="212">
        <v>0</v>
      </c>
      <c r="AT64" s="212">
        <v>3600</v>
      </c>
      <c r="AU64" s="212">
        <v>720</v>
      </c>
      <c r="AV64" s="212"/>
      <c r="AW64" s="212">
        <v>0</v>
      </c>
      <c r="AX64" s="212">
        <v>0</v>
      </c>
      <c r="BA64" s="212">
        <v>0</v>
      </c>
      <c r="BB64" s="212">
        <v>0</v>
      </c>
      <c r="BC64" s="212">
        <v>0</v>
      </c>
      <c r="BD64" s="226">
        <v>0</v>
      </c>
      <c r="BE64" s="226"/>
    </row>
    <row r="65" spans="1:57" ht="39.950000000000003" customHeight="1" x14ac:dyDescent="0.2">
      <c r="A65" s="13" t="s">
        <v>405</v>
      </c>
      <c r="B65" s="65" t="s">
        <v>67</v>
      </c>
      <c r="C65" s="66" t="s">
        <v>34</v>
      </c>
      <c r="D65" s="14" t="s">
        <v>34</v>
      </c>
      <c r="E65" s="68" t="s">
        <v>34</v>
      </c>
      <c r="F65" s="14" t="s">
        <v>106</v>
      </c>
      <c r="G65" s="14" t="s">
        <v>106</v>
      </c>
      <c r="H65" s="14" t="s">
        <v>245</v>
      </c>
      <c r="I65" s="66" t="s">
        <v>409</v>
      </c>
      <c r="J65" s="14" t="s">
        <v>408</v>
      </c>
      <c r="K65" s="14" t="s">
        <v>29</v>
      </c>
      <c r="L65" s="65" t="s">
        <v>191</v>
      </c>
      <c r="M65" s="13" t="s">
        <v>323</v>
      </c>
      <c r="N65" s="13" t="s">
        <v>43</v>
      </c>
      <c r="O65" s="13" t="s">
        <v>533</v>
      </c>
      <c r="P65" s="13" t="s">
        <v>534</v>
      </c>
      <c r="Q65" s="64" t="s">
        <v>8</v>
      </c>
      <c r="R65" s="62">
        <v>25000</v>
      </c>
      <c r="S65" s="63">
        <v>25000</v>
      </c>
      <c r="T65" s="62">
        <v>25000</v>
      </c>
      <c r="U65" s="62">
        <v>50000</v>
      </c>
      <c r="V65" s="62">
        <v>1429880.14</v>
      </c>
      <c r="W65" s="61" t="s">
        <v>11</v>
      </c>
      <c r="X65" s="236">
        <v>2.1999999999999999E-2</v>
      </c>
      <c r="Y65" s="60">
        <v>43957</v>
      </c>
      <c r="Z65" s="60">
        <v>45628</v>
      </c>
      <c r="AA65" s="60">
        <v>45628</v>
      </c>
      <c r="AB65" s="58">
        <v>1672</v>
      </c>
      <c r="AC65" s="59" t="s">
        <v>10</v>
      </c>
      <c r="AD65" s="58">
        <v>886</v>
      </c>
      <c r="AE65" s="57">
        <v>2.4273972602739726</v>
      </c>
      <c r="AF65" s="56" t="s">
        <v>436</v>
      </c>
      <c r="AG65" s="71" t="s">
        <v>1</v>
      </c>
      <c r="AH65" s="71" t="s">
        <v>1</v>
      </c>
      <c r="AI65" s="70" t="s">
        <v>0</v>
      </c>
      <c r="AJ65" s="11" t="s">
        <v>0</v>
      </c>
      <c r="AK65" s="11" t="s">
        <v>271</v>
      </c>
      <c r="AL65" s="13" t="s">
        <v>407</v>
      </c>
      <c r="AM65" s="11">
        <v>4500</v>
      </c>
      <c r="AO65" s="197" t="s">
        <v>34</v>
      </c>
      <c r="AP65" s="198" t="s">
        <v>106</v>
      </c>
      <c r="AS65" s="212">
        <v>0</v>
      </c>
      <c r="AT65" s="212">
        <v>3000</v>
      </c>
      <c r="AU65" s="212">
        <v>600</v>
      </c>
      <c r="AV65" s="212"/>
      <c r="AW65" s="212">
        <v>0</v>
      </c>
      <c r="AX65" s="212">
        <v>0</v>
      </c>
      <c r="BA65" s="212">
        <v>0</v>
      </c>
      <c r="BB65" s="212">
        <v>0</v>
      </c>
      <c r="BC65" s="212">
        <v>0</v>
      </c>
      <c r="BD65" s="226">
        <v>0</v>
      </c>
      <c r="BE65" s="226"/>
    </row>
    <row r="66" spans="1:57" ht="39.950000000000003" customHeight="1" x14ac:dyDescent="0.2">
      <c r="A66" s="13" t="s">
        <v>412</v>
      </c>
      <c r="B66" s="65" t="s">
        <v>243</v>
      </c>
      <c r="C66" s="66" t="s">
        <v>87</v>
      </c>
      <c r="D66" s="14" t="s">
        <v>469</v>
      </c>
      <c r="E66" s="68" t="s">
        <v>413</v>
      </c>
      <c r="F66" s="14" t="s">
        <v>48</v>
      </c>
      <c r="G66" s="14" t="s">
        <v>95</v>
      </c>
      <c r="H66" s="68" t="s">
        <v>521</v>
      </c>
      <c r="I66" s="14" t="s">
        <v>181</v>
      </c>
      <c r="J66" s="14" t="s">
        <v>33</v>
      </c>
      <c r="K66" s="14" t="s">
        <v>140</v>
      </c>
      <c r="L66" s="65" t="s">
        <v>191</v>
      </c>
      <c r="M66" s="13" t="s">
        <v>59</v>
      </c>
      <c r="N66" s="13" t="s">
        <v>43</v>
      </c>
      <c r="O66" s="13" t="s">
        <v>538</v>
      </c>
      <c r="P66" s="13" t="s">
        <v>534</v>
      </c>
      <c r="Q66" s="64" t="s">
        <v>9</v>
      </c>
      <c r="R66" s="62">
        <v>11041.102343657991</v>
      </c>
      <c r="S66" s="63">
        <v>7500</v>
      </c>
      <c r="T66" s="62">
        <v>11041.102343657991</v>
      </c>
      <c r="U66" s="62">
        <v>36803.674478859968</v>
      </c>
      <c r="V66" s="62">
        <v>1339238.6644682605</v>
      </c>
      <c r="W66" s="61" t="s">
        <v>11</v>
      </c>
      <c r="X66" s="236">
        <v>3.7499999999999999E-2</v>
      </c>
      <c r="Y66" s="60">
        <v>43965</v>
      </c>
      <c r="Z66" s="60">
        <v>47238</v>
      </c>
      <c r="AA66" s="60">
        <v>47238</v>
      </c>
      <c r="AB66" s="58">
        <v>3274</v>
      </c>
      <c r="AC66" s="59" t="s">
        <v>10</v>
      </c>
      <c r="AD66" s="58">
        <v>2496</v>
      </c>
      <c r="AE66" s="57">
        <v>6.838356164383562</v>
      </c>
      <c r="AF66" s="56"/>
      <c r="AG66" s="71" t="s">
        <v>1</v>
      </c>
      <c r="AH66" s="71" t="s">
        <v>1</v>
      </c>
      <c r="AI66" s="70" t="s">
        <v>0</v>
      </c>
      <c r="AJ66" s="11" t="s">
        <v>0</v>
      </c>
      <c r="AK66" s="11" t="s">
        <v>271</v>
      </c>
      <c r="AL66" s="13" t="s">
        <v>416</v>
      </c>
      <c r="AM66" s="11">
        <v>10237</v>
      </c>
      <c r="AO66" s="197" t="s">
        <v>413</v>
      </c>
      <c r="AP66" s="198" t="s">
        <v>48</v>
      </c>
      <c r="AS66" s="212">
        <v>0</v>
      </c>
      <c r="AT66" s="212">
        <v>1324.9322812389589</v>
      </c>
      <c r="AU66" s="212" t="b">
        <v>0</v>
      </c>
      <c r="AV66" s="212"/>
      <c r="AW66" s="212">
        <v>0</v>
      </c>
      <c r="AX66" s="212">
        <v>0</v>
      </c>
      <c r="BA66" s="212">
        <v>0</v>
      </c>
      <c r="BB66" s="212">
        <v>0</v>
      </c>
      <c r="BC66" s="212">
        <v>0</v>
      </c>
      <c r="BD66" s="226">
        <v>0</v>
      </c>
      <c r="BE66" s="226"/>
    </row>
    <row r="67" spans="1:57" ht="39.950000000000003" customHeight="1" x14ac:dyDescent="0.2">
      <c r="A67" s="13" t="s">
        <v>410</v>
      </c>
      <c r="B67" s="65" t="s">
        <v>23</v>
      </c>
      <c r="C67" s="66" t="s">
        <v>34</v>
      </c>
      <c r="D67" s="14" t="s">
        <v>34</v>
      </c>
      <c r="E67" s="68" t="s">
        <v>34</v>
      </c>
      <c r="F67" s="14" t="s">
        <v>543</v>
      </c>
      <c r="G67" s="14" t="s">
        <v>133</v>
      </c>
      <c r="H67" s="68" t="s">
        <v>133</v>
      </c>
      <c r="I67" s="66" t="s">
        <v>232</v>
      </c>
      <c r="J67" s="14" t="s">
        <v>21</v>
      </c>
      <c r="K67" s="14" t="s">
        <v>44</v>
      </c>
      <c r="L67" s="65" t="s">
        <v>191</v>
      </c>
      <c r="M67" s="13" t="s">
        <v>323</v>
      </c>
      <c r="N67" s="13" t="s">
        <v>43</v>
      </c>
      <c r="O67" s="13" t="s">
        <v>533</v>
      </c>
      <c r="P67" s="13" t="s">
        <v>534</v>
      </c>
      <c r="Q67" s="64" t="s">
        <v>9</v>
      </c>
      <c r="R67" s="62">
        <v>29442.939583087977</v>
      </c>
      <c r="S67" s="63">
        <v>20000</v>
      </c>
      <c r="T67" s="62">
        <v>29442.939583087977</v>
      </c>
      <c r="U67" s="62">
        <v>68749.263926510423</v>
      </c>
      <c r="V67" s="62">
        <v>972913.46720056538</v>
      </c>
      <c r="W67" s="61" t="s">
        <v>11</v>
      </c>
      <c r="X67" s="236">
        <v>2.1000000000000001E-2</v>
      </c>
      <c r="Y67" s="60">
        <v>43966</v>
      </c>
      <c r="Z67" s="60">
        <v>45823</v>
      </c>
      <c r="AA67" s="60">
        <v>45823</v>
      </c>
      <c r="AB67" s="72">
        <v>1858</v>
      </c>
      <c r="AC67" s="59" t="s">
        <v>10</v>
      </c>
      <c r="AD67" s="58">
        <v>1081</v>
      </c>
      <c r="AE67" s="57">
        <v>2.9616438356164383</v>
      </c>
      <c r="AF67" s="56" t="s">
        <v>436</v>
      </c>
      <c r="AG67" s="71" t="s">
        <v>1</v>
      </c>
      <c r="AH67" s="71" t="s">
        <v>1</v>
      </c>
      <c r="AI67" s="70" t="s">
        <v>0</v>
      </c>
      <c r="AJ67" s="11" t="s">
        <v>0</v>
      </c>
      <c r="AK67" s="11" t="s">
        <v>271</v>
      </c>
      <c r="AL67" s="13" t="s">
        <v>418</v>
      </c>
      <c r="AM67" s="11">
        <v>6000</v>
      </c>
      <c r="AO67" s="197" t="s">
        <v>34</v>
      </c>
      <c r="AP67" s="198" t="s">
        <v>543</v>
      </c>
      <c r="AS67" s="212">
        <v>0</v>
      </c>
      <c r="AT67" s="212">
        <v>3533.1527499705571</v>
      </c>
      <c r="AU67" s="212">
        <v>706.63054999411145</v>
      </c>
      <c r="AV67" s="212"/>
      <c r="AW67" s="212">
        <v>0</v>
      </c>
      <c r="AX67" s="212">
        <v>0</v>
      </c>
      <c r="BA67" s="212">
        <v>0</v>
      </c>
      <c r="BB67" s="212">
        <v>0</v>
      </c>
      <c r="BC67" s="212">
        <v>0</v>
      </c>
      <c r="BD67" s="226">
        <v>0</v>
      </c>
      <c r="BE67" s="226"/>
    </row>
    <row r="68" spans="1:57" ht="39.950000000000003" customHeight="1" x14ac:dyDescent="0.2">
      <c r="A68" s="13" t="s">
        <v>414</v>
      </c>
      <c r="B68" s="65" t="s">
        <v>24</v>
      </c>
      <c r="C68" s="66" t="s">
        <v>166</v>
      </c>
      <c r="D68" s="14" t="s">
        <v>542</v>
      </c>
      <c r="E68" s="68" t="s">
        <v>166</v>
      </c>
      <c r="F68" s="14" t="s">
        <v>102</v>
      </c>
      <c r="G68" s="14" t="s">
        <v>102</v>
      </c>
      <c r="H68" s="68" t="s">
        <v>122</v>
      </c>
      <c r="I68" s="66" t="s">
        <v>704</v>
      </c>
      <c r="J68" s="14" t="s">
        <v>220</v>
      </c>
      <c r="K68" s="14" t="s">
        <v>101</v>
      </c>
      <c r="L68" s="65" t="s">
        <v>191</v>
      </c>
      <c r="M68" s="13" t="s">
        <v>59</v>
      </c>
      <c r="N68" s="13" t="s">
        <v>43</v>
      </c>
      <c r="O68" s="13" t="s">
        <v>531</v>
      </c>
      <c r="P68" s="13" t="s">
        <v>534</v>
      </c>
      <c r="Q68" s="64" t="s">
        <v>59</v>
      </c>
      <c r="R68" s="62">
        <v>22664.087997098999</v>
      </c>
      <c r="S68" s="63">
        <v>15000</v>
      </c>
      <c r="T68" s="62">
        <v>22664.087997098999</v>
      </c>
      <c r="U68" s="62">
        <v>80079.777589749792</v>
      </c>
      <c r="V68" s="62">
        <v>872522.05971231719</v>
      </c>
      <c r="W68" s="61" t="s">
        <v>11</v>
      </c>
      <c r="X68" s="236">
        <v>1.2E-2</v>
      </c>
      <c r="Y68" s="60">
        <v>43966</v>
      </c>
      <c r="Z68" s="60">
        <v>46523</v>
      </c>
      <c r="AA68" s="60">
        <v>46523</v>
      </c>
      <c r="AB68" s="58">
        <v>2558</v>
      </c>
      <c r="AC68" s="59" t="s">
        <v>10</v>
      </c>
      <c r="AD68" s="58">
        <v>1781</v>
      </c>
      <c r="AE68" s="57">
        <v>4.8794520547945206</v>
      </c>
      <c r="AF68" s="56"/>
      <c r="AG68" s="71" t="s">
        <v>1</v>
      </c>
      <c r="AH68" s="71" t="s">
        <v>1</v>
      </c>
      <c r="AI68" s="70" t="s">
        <v>0</v>
      </c>
      <c r="AJ68" s="11" t="s">
        <v>0</v>
      </c>
      <c r="AK68" s="11" t="s">
        <v>271</v>
      </c>
      <c r="AL68" s="13" t="s">
        <v>415</v>
      </c>
      <c r="AM68" s="11">
        <v>8850</v>
      </c>
      <c r="AO68" s="197" t="s">
        <v>166</v>
      </c>
      <c r="AP68" s="198" t="s">
        <v>102</v>
      </c>
      <c r="AS68" s="212">
        <v>0</v>
      </c>
      <c r="AT68" s="212">
        <v>2719.69055965188</v>
      </c>
      <c r="AU68" s="212" t="b">
        <v>0</v>
      </c>
      <c r="AV68" s="212"/>
      <c r="AW68" s="212">
        <v>0</v>
      </c>
      <c r="AX68" s="212">
        <v>0</v>
      </c>
      <c r="BA68" s="212">
        <v>0</v>
      </c>
      <c r="BB68" s="212">
        <v>0</v>
      </c>
      <c r="BC68" s="212">
        <v>0</v>
      </c>
      <c r="BD68" s="226">
        <v>0</v>
      </c>
      <c r="BE68" s="226"/>
    </row>
    <row r="69" spans="1:57" ht="39.950000000000003" customHeight="1" x14ac:dyDescent="0.2">
      <c r="A69" s="13" t="s">
        <v>419</v>
      </c>
      <c r="B69" s="65" t="s">
        <v>51</v>
      </c>
      <c r="C69" s="66" t="s">
        <v>166</v>
      </c>
      <c r="D69" s="14" t="s">
        <v>542</v>
      </c>
      <c r="E69" s="68" t="s">
        <v>166</v>
      </c>
      <c r="F69" s="14" t="s">
        <v>102</v>
      </c>
      <c r="G69" s="14" t="s">
        <v>102</v>
      </c>
      <c r="H69" s="68" t="s">
        <v>110</v>
      </c>
      <c r="I69" s="66" t="s">
        <v>145</v>
      </c>
      <c r="J69" s="14" t="s">
        <v>221</v>
      </c>
      <c r="K69" s="14" t="s">
        <v>209</v>
      </c>
      <c r="L69" s="65" t="s">
        <v>191</v>
      </c>
      <c r="M69" s="13" t="s">
        <v>59</v>
      </c>
      <c r="N69" s="13" t="s">
        <v>43</v>
      </c>
      <c r="O69" s="13" t="s">
        <v>538</v>
      </c>
      <c r="P69" s="13" t="s">
        <v>534</v>
      </c>
      <c r="Q69" s="64" t="s">
        <v>59</v>
      </c>
      <c r="R69" s="62">
        <v>30218.783996131995</v>
      </c>
      <c r="S69" s="63">
        <v>20000</v>
      </c>
      <c r="T69" s="62">
        <v>30218.783996131995</v>
      </c>
      <c r="U69" s="62">
        <v>98211.047987428989</v>
      </c>
      <c r="V69" s="62">
        <v>1188452.3449776382</v>
      </c>
      <c r="W69" s="61" t="s">
        <v>551</v>
      </c>
      <c r="X69" s="236">
        <v>2.5000000000000001E-2</v>
      </c>
      <c r="Y69" s="60">
        <v>43971</v>
      </c>
      <c r="Z69" s="60">
        <v>45046</v>
      </c>
      <c r="AA69" s="60">
        <v>45046</v>
      </c>
      <c r="AB69" s="58">
        <v>1076</v>
      </c>
      <c r="AC69" s="59" t="s">
        <v>10</v>
      </c>
      <c r="AD69" s="58">
        <v>304</v>
      </c>
      <c r="AE69" s="57">
        <v>0.83287671232876714</v>
      </c>
      <c r="AF69" s="56" t="s">
        <v>436</v>
      </c>
      <c r="AG69" s="71" t="s">
        <v>1</v>
      </c>
      <c r="AH69" s="71" t="s">
        <v>1</v>
      </c>
      <c r="AI69" s="70" t="s">
        <v>0</v>
      </c>
      <c r="AJ69" s="11" t="s">
        <v>0</v>
      </c>
      <c r="AK69" s="11" t="s">
        <v>271</v>
      </c>
      <c r="AL69" s="13" t="s">
        <v>420</v>
      </c>
      <c r="AM69" s="11">
        <v>3367.5</v>
      </c>
      <c r="AO69" s="197" t="s">
        <v>166</v>
      </c>
      <c r="AP69" s="198" t="s">
        <v>102</v>
      </c>
      <c r="AS69" s="212">
        <v>0</v>
      </c>
      <c r="AT69" s="212">
        <v>3626.2540795358391</v>
      </c>
      <c r="AU69" s="212">
        <v>725.25081590716786</v>
      </c>
      <c r="AV69" s="212"/>
      <c r="AW69" s="212">
        <v>0</v>
      </c>
      <c r="AX69" s="212">
        <v>0</v>
      </c>
      <c r="BA69" s="212">
        <v>0</v>
      </c>
      <c r="BB69" s="212">
        <v>0</v>
      </c>
      <c r="BC69" s="212">
        <v>0</v>
      </c>
      <c r="BD69" s="226">
        <v>0</v>
      </c>
      <c r="BE69" s="226"/>
    </row>
    <row r="70" spans="1:57" ht="39.950000000000003" customHeight="1" x14ac:dyDescent="0.2">
      <c r="A70" s="13" t="s">
        <v>421</v>
      </c>
      <c r="B70" s="69" t="s">
        <v>51</v>
      </c>
      <c r="C70" s="66" t="s">
        <v>127</v>
      </c>
      <c r="D70" s="14" t="s">
        <v>499</v>
      </c>
      <c r="E70" s="68" t="s">
        <v>162</v>
      </c>
      <c r="F70" s="14" t="s">
        <v>475</v>
      </c>
      <c r="G70" s="14" t="s">
        <v>227</v>
      </c>
      <c r="H70" s="68" t="s">
        <v>422</v>
      </c>
      <c r="I70" s="14" t="s">
        <v>158</v>
      </c>
      <c r="J70" s="14" t="s">
        <v>220</v>
      </c>
      <c r="K70" s="14" t="s">
        <v>209</v>
      </c>
      <c r="L70" s="65" t="s">
        <v>191</v>
      </c>
      <c r="M70" s="13" t="s">
        <v>59</v>
      </c>
      <c r="N70" s="13" t="s">
        <v>43</v>
      </c>
      <c r="O70" s="13" t="s">
        <v>533</v>
      </c>
      <c r="P70" s="13" t="s">
        <v>534</v>
      </c>
      <c r="Q70" s="64" t="s">
        <v>9</v>
      </c>
      <c r="R70" s="62">
        <v>29442.939583087977</v>
      </c>
      <c r="S70" s="63">
        <v>25000</v>
      </c>
      <c r="T70" s="62">
        <v>36803.674478859968</v>
      </c>
      <c r="U70" s="62">
        <v>515251.44270403957</v>
      </c>
      <c r="V70" s="62">
        <v>1566607.9083735719</v>
      </c>
      <c r="W70" s="61" t="s">
        <v>11</v>
      </c>
      <c r="X70" s="236">
        <v>1.7500000000000002E-2</v>
      </c>
      <c r="Y70" s="60">
        <v>44530</v>
      </c>
      <c r="Z70" s="60">
        <v>46386</v>
      </c>
      <c r="AA70" s="60">
        <v>46386</v>
      </c>
      <c r="AB70" s="72">
        <v>1857</v>
      </c>
      <c r="AC70" s="59" t="s">
        <v>10</v>
      </c>
      <c r="AD70" s="58">
        <v>1644</v>
      </c>
      <c r="AE70" s="57">
        <v>4.5041095890410956</v>
      </c>
      <c r="AF70" s="56" t="s">
        <v>436</v>
      </c>
      <c r="AG70" s="71" t="s">
        <v>1</v>
      </c>
      <c r="AH70" s="71" t="s">
        <v>1</v>
      </c>
      <c r="AI70" s="70" t="s">
        <v>731</v>
      </c>
      <c r="AJ70" s="11" t="s">
        <v>0</v>
      </c>
      <c r="AK70" s="11" t="s">
        <v>271</v>
      </c>
      <c r="AL70" s="13" t="s">
        <v>423</v>
      </c>
      <c r="AM70" s="11">
        <v>8500</v>
      </c>
      <c r="AO70" s="197" t="s">
        <v>162</v>
      </c>
      <c r="AP70" s="198" t="s">
        <v>475</v>
      </c>
      <c r="AS70" s="212">
        <v>0</v>
      </c>
      <c r="AT70" s="212">
        <v>4416.440937463196</v>
      </c>
      <c r="AU70" s="212">
        <v>883.28818749263928</v>
      </c>
      <c r="AV70" s="212"/>
      <c r="AW70" s="212">
        <v>0</v>
      </c>
      <c r="AX70" s="212">
        <v>0</v>
      </c>
      <c r="BA70" s="212">
        <v>0</v>
      </c>
      <c r="BB70" s="212">
        <v>0</v>
      </c>
      <c r="BC70" s="212">
        <v>0</v>
      </c>
      <c r="BD70" s="226">
        <v>0</v>
      </c>
      <c r="BE70" s="226"/>
    </row>
    <row r="71" spans="1:57" s="21" customFormat="1" ht="39.950000000000003" customHeight="1" x14ac:dyDescent="0.2">
      <c r="A71" s="13" t="s">
        <v>424</v>
      </c>
      <c r="B71" s="74" t="s">
        <v>67</v>
      </c>
      <c r="C71" s="66" t="s">
        <v>87</v>
      </c>
      <c r="D71" s="14" t="s">
        <v>541</v>
      </c>
      <c r="E71" s="68" t="s">
        <v>425</v>
      </c>
      <c r="F71" s="14" t="s">
        <v>439</v>
      </c>
      <c r="G71" s="14" t="s">
        <v>445</v>
      </c>
      <c r="H71" s="68" t="s">
        <v>463</v>
      </c>
      <c r="I71" s="66" t="s">
        <v>298</v>
      </c>
      <c r="J71" s="66" t="s">
        <v>218</v>
      </c>
      <c r="K71" s="65" t="s">
        <v>45</v>
      </c>
      <c r="L71" s="65" t="s">
        <v>191</v>
      </c>
      <c r="M71" s="65" t="s">
        <v>59</v>
      </c>
      <c r="N71" s="13" t="s">
        <v>43</v>
      </c>
      <c r="O71" s="13" t="s">
        <v>538</v>
      </c>
      <c r="P71" s="13" t="s">
        <v>534</v>
      </c>
      <c r="Q71" s="64" t="s">
        <v>9</v>
      </c>
      <c r="R71" s="62">
        <v>14721.469791543988</v>
      </c>
      <c r="S71" s="73">
        <v>9995.66</v>
      </c>
      <c r="T71" s="62">
        <v>14721.469791543988</v>
      </c>
      <c r="U71" s="62">
        <v>85384.524790955125</v>
      </c>
      <c r="V71" s="62">
        <v>650520.22729949362</v>
      </c>
      <c r="W71" s="61" t="s">
        <v>11</v>
      </c>
      <c r="X71" s="236">
        <v>2.2499999999999999E-2</v>
      </c>
      <c r="Y71" s="60">
        <v>44006</v>
      </c>
      <c r="Z71" s="60">
        <v>47634</v>
      </c>
      <c r="AA71" s="60">
        <v>47634</v>
      </c>
      <c r="AB71" s="72">
        <v>3629</v>
      </c>
      <c r="AC71" s="59" t="s">
        <v>10</v>
      </c>
      <c r="AD71" s="58">
        <v>2892</v>
      </c>
      <c r="AE71" s="57">
        <v>7.9232876712328766</v>
      </c>
      <c r="AF71" s="56"/>
      <c r="AG71" s="71" t="s">
        <v>1</v>
      </c>
      <c r="AH71" s="71" t="s">
        <v>1</v>
      </c>
      <c r="AI71" s="70" t="s">
        <v>527</v>
      </c>
      <c r="AJ71" s="11" t="s">
        <v>0</v>
      </c>
      <c r="AK71" s="11" t="s">
        <v>271</v>
      </c>
      <c r="AL71" s="13" t="s">
        <v>426</v>
      </c>
      <c r="AM71" s="11">
        <v>8075</v>
      </c>
      <c r="AN71" s="11"/>
      <c r="AO71" s="197" t="s">
        <v>425</v>
      </c>
      <c r="AP71" s="198" t="s">
        <v>439</v>
      </c>
      <c r="AQ71" s="11">
        <v>1</v>
      </c>
      <c r="AR71" s="214">
        <v>7.4999999999999997E-2</v>
      </c>
      <c r="AS71" s="212">
        <v>1104.110234365799</v>
      </c>
      <c r="AT71" s="212">
        <v>1766.5763749852786</v>
      </c>
      <c r="AU71" s="212" t="b">
        <v>0</v>
      </c>
      <c r="AV71" s="212"/>
      <c r="AW71" s="212">
        <v>1104.110234365799</v>
      </c>
      <c r="AX71" s="212">
        <v>1008.41691989136</v>
      </c>
      <c r="AY71" s="12"/>
      <c r="BA71" s="259">
        <v>1104.110234365799</v>
      </c>
      <c r="BB71" s="212">
        <v>1008.41691989136</v>
      </c>
      <c r="BC71" s="212">
        <v>1044.902963344804</v>
      </c>
      <c r="BD71" s="228">
        <v>1671.8447413516865</v>
      </c>
      <c r="BE71" s="228">
        <v>692.13732004429676</v>
      </c>
    </row>
    <row r="72" spans="1:57" ht="39.950000000000003" customHeight="1" x14ac:dyDescent="0.2">
      <c r="A72" s="13" t="s">
        <v>465</v>
      </c>
      <c r="B72" s="74" t="s">
        <v>24</v>
      </c>
      <c r="C72" s="66" t="s">
        <v>34</v>
      </c>
      <c r="D72" s="14" t="s">
        <v>34</v>
      </c>
      <c r="E72" s="68" t="s">
        <v>34</v>
      </c>
      <c r="F72" s="14" t="s">
        <v>233</v>
      </c>
      <c r="G72" s="14" t="s">
        <v>443</v>
      </c>
      <c r="H72" s="14" t="s">
        <v>234</v>
      </c>
      <c r="I72" s="66" t="s">
        <v>706</v>
      </c>
      <c r="J72" s="66" t="s">
        <v>220</v>
      </c>
      <c r="K72" s="65" t="s">
        <v>29</v>
      </c>
      <c r="L72" s="65" t="s">
        <v>191</v>
      </c>
      <c r="M72" s="65" t="s">
        <v>323</v>
      </c>
      <c r="N72" s="13" t="s">
        <v>43</v>
      </c>
      <c r="O72" s="13" t="s">
        <v>538</v>
      </c>
      <c r="P72" s="13" t="s">
        <v>534</v>
      </c>
      <c r="Q72" s="64" t="s">
        <v>8</v>
      </c>
      <c r="R72" s="62">
        <v>15000</v>
      </c>
      <c r="S72" s="73">
        <v>15000</v>
      </c>
      <c r="T72" s="62">
        <v>15000</v>
      </c>
      <c r="U72" s="62">
        <v>95000</v>
      </c>
      <c r="V72" s="62">
        <v>426028.14</v>
      </c>
      <c r="W72" s="61" t="s">
        <v>11</v>
      </c>
      <c r="X72" s="236">
        <v>1.2500000000000001E-2</v>
      </c>
      <c r="Y72" s="60">
        <v>44014</v>
      </c>
      <c r="Z72" s="60">
        <v>45478</v>
      </c>
      <c r="AA72" s="60">
        <v>45478</v>
      </c>
      <c r="AB72" s="72">
        <v>1465</v>
      </c>
      <c r="AC72" s="59" t="s">
        <v>10</v>
      </c>
      <c r="AD72" s="58">
        <v>736</v>
      </c>
      <c r="AE72" s="57">
        <v>2.0164383561643837</v>
      </c>
      <c r="AF72" s="56"/>
      <c r="AG72" s="71" t="s">
        <v>1</v>
      </c>
      <c r="AH72" s="71" t="s">
        <v>1</v>
      </c>
      <c r="AI72" s="70" t="s">
        <v>0</v>
      </c>
      <c r="AJ72" s="11" t="s">
        <v>0</v>
      </c>
      <c r="AK72" s="11" t="s">
        <v>271</v>
      </c>
      <c r="AL72" s="13" t="s">
        <v>466</v>
      </c>
      <c r="AM72" s="11">
        <v>8000</v>
      </c>
      <c r="AO72" s="197" t="s">
        <v>34</v>
      </c>
      <c r="AP72" s="198" t="s">
        <v>233</v>
      </c>
      <c r="AS72" s="212">
        <v>0</v>
      </c>
      <c r="AT72" s="212">
        <v>1800</v>
      </c>
      <c r="AU72" s="212" t="b">
        <v>0</v>
      </c>
      <c r="AV72" s="212"/>
      <c r="AW72" s="212">
        <v>0</v>
      </c>
      <c r="AX72" s="212">
        <v>0</v>
      </c>
      <c r="BA72" s="212">
        <v>0</v>
      </c>
      <c r="BB72" s="212">
        <v>0</v>
      </c>
      <c r="BC72" s="212">
        <v>0</v>
      </c>
      <c r="BD72" s="226">
        <v>0</v>
      </c>
      <c r="BE72" s="226"/>
    </row>
    <row r="73" spans="1:57" ht="39.950000000000003" customHeight="1" x14ac:dyDescent="0.2">
      <c r="A73" s="13" t="s">
        <v>520</v>
      </c>
      <c r="B73" s="13" t="s">
        <v>243</v>
      </c>
      <c r="C73" s="66" t="s">
        <v>87</v>
      </c>
      <c r="D73" s="14" t="s">
        <v>469</v>
      </c>
      <c r="E73" s="68" t="s">
        <v>413</v>
      </c>
      <c r="F73" s="66" t="s">
        <v>48</v>
      </c>
      <c r="G73" s="14" t="s">
        <v>95</v>
      </c>
      <c r="H73" s="68" t="s">
        <v>521</v>
      </c>
      <c r="I73" s="77" t="s">
        <v>522</v>
      </c>
      <c r="J73" s="66" t="s">
        <v>219</v>
      </c>
      <c r="K73" s="66" t="s">
        <v>45</v>
      </c>
      <c r="L73" s="65" t="s">
        <v>191</v>
      </c>
      <c r="M73" s="65" t="s">
        <v>59</v>
      </c>
      <c r="N73" s="13" t="s">
        <v>43</v>
      </c>
      <c r="O73" s="13" t="s">
        <v>538</v>
      </c>
      <c r="P73" s="13" t="s">
        <v>534</v>
      </c>
      <c r="Q73" s="64" t="s">
        <v>9</v>
      </c>
      <c r="R73" s="62">
        <v>14721.469791543988</v>
      </c>
      <c r="S73" s="73">
        <v>10000</v>
      </c>
      <c r="T73" s="62">
        <v>14721.469791543988</v>
      </c>
      <c r="U73" s="62">
        <v>147214.69791543987</v>
      </c>
      <c r="V73" s="62">
        <v>1394802</v>
      </c>
      <c r="W73" s="61" t="s">
        <v>11</v>
      </c>
      <c r="X73" s="236">
        <v>3.7499999999999999E-2</v>
      </c>
      <c r="Y73" s="60">
        <v>44039</v>
      </c>
      <c r="Z73" s="60">
        <v>47238</v>
      </c>
      <c r="AA73" s="60">
        <v>47238</v>
      </c>
      <c r="AB73" s="58">
        <v>3200</v>
      </c>
      <c r="AC73" s="59" t="s">
        <v>10</v>
      </c>
      <c r="AD73" s="58">
        <v>2496</v>
      </c>
      <c r="AE73" s="57">
        <v>6.838356164383562</v>
      </c>
      <c r="AF73" s="56"/>
      <c r="AG73" s="71" t="s">
        <v>1</v>
      </c>
      <c r="AH73" s="71" t="s">
        <v>1</v>
      </c>
      <c r="AI73" s="70" t="s">
        <v>523</v>
      </c>
      <c r="AJ73" s="11" t="s">
        <v>0</v>
      </c>
      <c r="AK73" s="11" t="s">
        <v>271</v>
      </c>
      <c r="AL73" s="13" t="s">
        <v>519</v>
      </c>
      <c r="AN73" s="52"/>
      <c r="AO73" s="197" t="s">
        <v>413</v>
      </c>
      <c r="AP73" s="198" t="s">
        <v>48</v>
      </c>
      <c r="AQ73" s="201"/>
      <c r="AS73" s="212">
        <v>0</v>
      </c>
      <c r="AT73" s="212">
        <v>1766.5763749852786</v>
      </c>
      <c r="AU73" s="212" t="b">
        <v>0</v>
      </c>
      <c r="AV73" s="212"/>
      <c r="AW73" s="212">
        <v>0</v>
      </c>
      <c r="AX73" s="212">
        <v>0</v>
      </c>
      <c r="BA73" s="212">
        <v>0</v>
      </c>
      <c r="BB73" s="212">
        <v>0</v>
      </c>
      <c r="BC73" s="212">
        <v>0</v>
      </c>
      <c r="BD73" s="226">
        <v>0</v>
      </c>
      <c r="BE73" s="226"/>
    </row>
    <row r="74" spans="1:57" ht="39.950000000000003" customHeight="1" x14ac:dyDescent="0.2">
      <c r="A74" s="13" t="s">
        <v>492</v>
      </c>
      <c r="B74" s="74" t="s">
        <v>24</v>
      </c>
      <c r="C74" s="66" t="s">
        <v>34</v>
      </c>
      <c r="D74" s="14" t="s">
        <v>34</v>
      </c>
      <c r="E74" s="68" t="s">
        <v>34</v>
      </c>
      <c r="F74" s="14" t="s">
        <v>102</v>
      </c>
      <c r="G74" s="14" t="s">
        <v>102</v>
      </c>
      <c r="H74" s="68" t="s">
        <v>122</v>
      </c>
      <c r="I74" s="66" t="s">
        <v>70</v>
      </c>
      <c r="J74" s="66" t="s">
        <v>218</v>
      </c>
      <c r="K74" s="65" t="s">
        <v>101</v>
      </c>
      <c r="L74" s="65" t="s">
        <v>191</v>
      </c>
      <c r="M74" s="65" t="s">
        <v>323</v>
      </c>
      <c r="N74" s="13" t="s">
        <v>43</v>
      </c>
      <c r="O74" s="13" t="s">
        <v>531</v>
      </c>
      <c r="P74" s="13" t="s">
        <v>534</v>
      </c>
      <c r="Q74" s="64" t="s">
        <v>8</v>
      </c>
      <c r="R74" s="62">
        <v>25000</v>
      </c>
      <c r="S74" s="73">
        <v>25000</v>
      </c>
      <c r="T74" s="62">
        <v>25000</v>
      </c>
      <c r="U74" s="62">
        <v>50000</v>
      </c>
      <c r="V74" s="62">
        <v>1166537.21</v>
      </c>
      <c r="W74" s="61" t="s">
        <v>11</v>
      </c>
      <c r="X74" s="236">
        <v>1.7999999999999999E-2</v>
      </c>
      <c r="Y74" s="60">
        <v>44064</v>
      </c>
      <c r="Z74" s="60">
        <v>45674</v>
      </c>
      <c r="AA74" s="60">
        <v>45674</v>
      </c>
      <c r="AB74" s="72">
        <v>1611</v>
      </c>
      <c r="AC74" s="59" t="s">
        <v>10</v>
      </c>
      <c r="AD74" s="58">
        <v>932</v>
      </c>
      <c r="AE74" s="57">
        <v>2.5534246575342467</v>
      </c>
      <c r="AF74" s="56" t="s">
        <v>436</v>
      </c>
      <c r="AG74" s="71" t="s">
        <v>1</v>
      </c>
      <c r="AH74" s="71" t="s">
        <v>1</v>
      </c>
      <c r="AI74" s="70" t="s">
        <v>0</v>
      </c>
      <c r="AJ74" s="11" t="s">
        <v>0</v>
      </c>
      <c r="AK74" s="11" t="s">
        <v>271</v>
      </c>
      <c r="AL74" s="13" t="s">
        <v>478</v>
      </c>
      <c r="AM74" s="11">
        <v>8815</v>
      </c>
      <c r="AN74" s="52">
        <v>125000</v>
      </c>
      <c r="AO74" s="197" t="s">
        <v>34</v>
      </c>
      <c r="AP74" s="198" t="s">
        <v>102</v>
      </c>
      <c r="AQ74" s="201"/>
      <c r="AS74" s="212">
        <v>0</v>
      </c>
      <c r="AT74" s="212">
        <v>3000</v>
      </c>
      <c r="AU74" s="212">
        <v>600</v>
      </c>
      <c r="AV74" s="212"/>
      <c r="AW74" s="212">
        <v>0</v>
      </c>
      <c r="AX74" s="212">
        <v>0</v>
      </c>
      <c r="BA74" s="212">
        <v>0</v>
      </c>
      <c r="BB74" s="212">
        <v>0</v>
      </c>
      <c r="BC74" s="212">
        <v>0</v>
      </c>
      <c r="BD74" s="226">
        <v>0</v>
      </c>
      <c r="BE74" s="226"/>
    </row>
    <row r="75" spans="1:57" ht="39.950000000000003" customHeight="1" x14ac:dyDescent="0.2">
      <c r="A75" s="14" t="s">
        <v>501</v>
      </c>
      <c r="B75" s="13" t="s">
        <v>51</v>
      </c>
      <c r="C75" s="66" t="s">
        <v>38</v>
      </c>
      <c r="D75" s="14" t="s">
        <v>541</v>
      </c>
      <c r="E75" s="66" t="s">
        <v>38</v>
      </c>
      <c r="F75" s="14" t="s">
        <v>547</v>
      </c>
      <c r="G75" s="14" t="s">
        <v>124</v>
      </c>
      <c r="H75" s="68" t="s">
        <v>123</v>
      </c>
      <c r="I75" s="66" t="s">
        <v>502</v>
      </c>
      <c r="J75" s="66" t="s">
        <v>219</v>
      </c>
      <c r="K75" s="65" t="s">
        <v>29</v>
      </c>
      <c r="L75" s="65" t="s">
        <v>191</v>
      </c>
      <c r="M75" s="66" t="s">
        <v>323</v>
      </c>
      <c r="N75" s="14" t="s">
        <v>43</v>
      </c>
      <c r="O75" s="14" t="s">
        <v>533</v>
      </c>
      <c r="P75" s="14" t="s">
        <v>532</v>
      </c>
      <c r="Q75" s="64" t="s">
        <v>9</v>
      </c>
      <c r="R75" s="62">
        <v>20168.413614415262</v>
      </c>
      <c r="S75" s="73">
        <v>13700</v>
      </c>
      <c r="T75" s="62">
        <v>20168.413614415262</v>
      </c>
      <c r="U75" s="62">
        <v>125132.4932281239</v>
      </c>
      <c r="V75" s="62">
        <v>257418.60499352255</v>
      </c>
      <c r="W75" s="61" t="s">
        <v>11</v>
      </c>
      <c r="X75" s="236">
        <v>1.0999999999999999E-2</v>
      </c>
      <c r="Y75" s="60">
        <v>44084</v>
      </c>
      <c r="Z75" s="60">
        <v>45208</v>
      </c>
      <c r="AA75" s="60">
        <v>45208</v>
      </c>
      <c r="AB75" s="72">
        <v>1125</v>
      </c>
      <c r="AC75" s="59" t="s">
        <v>10</v>
      </c>
      <c r="AD75" s="58">
        <v>466</v>
      </c>
      <c r="AE75" s="57">
        <v>1.2767123287671234</v>
      </c>
      <c r="AF75" s="56"/>
      <c r="AG75" s="71" t="s">
        <v>1</v>
      </c>
      <c r="AH75" s="71" t="s">
        <v>182</v>
      </c>
      <c r="AI75" s="70" t="s">
        <v>503</v>
      </c>
      <c r="AJ75" s="11" t="s">
        <v>0</v>
      </c>
      <c r="AK75" s="11" t="s">
        <v>271</v>
      </c>
      <c r="AL75" s="13" t="s">
        <v>504</v>
      </c>
      <c r="AN75" s="52">
        <v>22082.204687315982</v>
      </c>
      <c r="AO75" s="197" t="s">
        <v>38</v>
      </c>
      <c r="AP75" s="198" t="s">
        <v>547</v>
      </c>
      <c r="AQ75" s="201"/>
      <c r="AS75" s="212">
        <v>0</v>
      </c>
      <c r="AT75" s="212">
        <v>2420.2096337298312</v>
      </c>
      <c r="AU75" s="212" t="b">
        <v>0</v>
      </c>
      <c r="AV75" s="212"/>
      <c r="AW75" s="212">
        <v>0</v>
      </c>
      <c r="AX75" s="212">
        <v>0</v>
      </c>
      <c r="BA75" s="212">
        <v>0</v>
      </c>
      <c r="BB75" s="212">
        <v>0</v>
      </c>
      <c r="BC75" s="212">
        <v>0</v>
      </c>
      <c r="BD75" s="226">
        <v>0</v>
      </c>
      <c r="BE75" s="226"/>
    </row>
    <row r="76" spans="1:57" ht="39.950000000000003" customHeight="1" x14ac:dyDescent="0.2">
      <c r="A76" s="13" t="s">
        <v>491</v>
      </c>
      <c r="B76" s="74" t="s">
        <v>67</v>
      </c>
      <c r="C76" s="66" t="s">
        <v>87</v>
      </c>
      <c r="D76" s="14" t="s">
        <v>499</v>
      </c>
      <c r="E76" s="68" t="s">
        <v>162</v>
      </c>
      <c r="F76" s="14" t="s">
        <v>546</v>
      </c>
      <c r="G76" s="14" t="s">
        <v>167</v>
      </c>
      <c r="H76" s="68" t="s">
        <v>167</v>
      </c>
      <c r="I76" s="66" t="s">
        <v>298</v>
      </c>
      <c r="J76" s="14" t="s">
        <v>218</v>
      </c>
      <c r="K76" s="65" t="s">
        <v>209</v>
      </c>
      <c r="L76" s="65" t="s">
        <v>191</v>
      </c>
      <c r="M76" s="65" t="s">
        <v>59</v>
      </c>
      <c r="N76" s="13" t="s">
        <v>43</v>
      </c>
      <c r="O76" s="13" t="s">
        <v>538</v>
      </c>
      <c r="P76" s="13" t="s">
        <v>534</v>
      </c>
      <c r="Q76" s="64" t="s">
        <v>9</v>
      </c>
      <c r="R76" s="62">
        <v>29442.939583087977</v>
      </c>
      <c r="S76" s="73">
        <v>20000</v>
      </c>
      <c r="T76" s="62">
        <v>29442.939583087977</v>
      </c>
      <c r="U76" s="62">
        <v>110411.02343657991</v>
      </c>
      <c r="V76" s="62">
        <v>1225107.4667294782</v>
      </c>
      <c r="W76" s="61" t="s">
        <v>11</v>
      </c>
      <c r="X76" s="236">
        <v>3.5000000000000003E-2</v>
      </c>
      <c r="Y76" s="60">
        <v>44088</v>
      </c>
      <c r="Z76" s="60">
        <v>45151</v>
      </c>
      <c r="AA76" s="60">
        <v>45151</v>
      </c>
      <c r="AB76" s="72">
        <v>1064</v>
      </c>
      <c r="AC76" s="59" t="s">
        <v>10</v>
      </c>
      <c r="AD76" s="58">
        <v>409</v>
      </c>
      <c r="AE76" s="57">
        <v>1.1205479452054794</v>
      </c>
      <c r="AF76" s="56" t="s">
        <v>436</v>
      </c>
      <c r="AG76" s="71" t="s">
        <v>1</v>
      </c>
      <c r="AH76" s="71" t="s">
        <v>1</v>
      </c>
      <c r="AI76" s="70" t="s">
        <v>0</v>
      </c>
      <c r="AJ76" s="11" t="s">
        <v>0</v>
      </c>
      <c r="AK76" s="11" t="s">
        <v>271</v>
      </c>
      <c r="AL76" s="13" t="s">
        <v>484</v>
      </c>
      <c r="AM76" s="11">
        <v>9855</v>
      </c>
      <c r="AN76" s="52">
        <v>100000</v>
      </c>
      <c r="AO76" s="197" t="s">
        <v>162</v>
      </c>
      <c r="AP76" s="198" t="s">
        <v>546</v>
      </c>
      <c r="AQ76" s="201"/>
      <c r="AS76" s="212">
        <v>0</v>
      </c>
      <c r="AT76" s="212">
        <v>3533.1527499705571</v>
      </c>
      <c r="AU76" s="212">
        <v>706.63054999411145</v>
      </c>
      <c r="AV76" s="212"/>
      <c r="AW76" s="212">
        <v>0</v>
      </c>
      <c r="AX76" s="212">
        <v>0</v>
      </c>
      <c r="BA76" s="212">
        <v>0</v>
      </c>
      <c r="BB76" s="212">
        <v>0</v>
      </c>
      <c r="BC76" s="212">
        <v>0</v>
      </c>
      <c r="BD76" s="226">
        <v>0</v>
      </c>
      <c r="BE76" s="226"/>
    </row>
    <row r="77" spans="1:57" ht="39.950000000000003" customHeight="1" x14ac:dyDescent="0.2">
      <c r="A77" s="13" t="s">
        <v>493</v>
      </c>
      <c r="B77" s="69" t="s">
        <v>243</v>
      </c>
      <c r="C77" s="66" t="s">
        <v>87</v>
      </c>
      <c r="D77" s="14" t="s">
        <v>542</v>
      </c>
      <c r="E77" s="68" t="s">
        <v>308</v>
      </c>
      <c r="F77" s="14" t="s">
        <v>102</v>
      </c>
      <c r="G77" s="14" t="s">
        <v>102</v>
      </c>
      <c r="H77" s="67" t="s">
        <v>473</v>
      </c>
      <c r="I77" s="66" t="s">
        <v>298</v>
      </c>
      <c r="J77" s="66" t="s">
        <v>218</v>
      </c>
      <c r="K77" s="128" t="s">
        <v>101</v>
      </c>
      <c r="L77" s="65" t="s">
        <v>191</v>
      </c>
      <c r="M77" s="65" t="s">
        <v>59</v>
      </c>
      <c r="N77" s="13" t="s">
        <v>43</v>
      </c>
      <c r="O77" s="13" t="s">
        <v>533</v>
      </c>
      <c r="P77" s="13" t="s">
        <v>534</v>
      </c>
      <c r="Q77" s="64" t="s">
        <v>487</v>
      </c>
      <c r="R77" s="62">
        <v>23481.3904494382</v>
      </c>
      <c r="S77" s="63">
        <v>160500</v>
      </c>
      <c r="T77" s="62">
        <v>23481.3904494382</v>
      </c>
      <c r="U77" s="62">
        <v>144838.48314606742</v>
      </c>
      <c r="V77" s="62">
        <v>1391068.8787453182</v>
      </c>
      <c r="W77" s="61" t="s">
        <v>11</v>
      </c>
      <c r="X77" s="236">
        <v>2.5000000000000001E-2</v>
      </c>
      <c r="Y77" s="60">
        <v>44091</v>
      </c>
      <c r="Z77" s="60">
        <v>45595</v>
      </c>
      <c r="AA77" s="60">
        <v>45595</v>
      </c>
      <c r="AB77" s="58">
        <v>1505</v>
      </c>
      <c r="AC77" s="59" t="s">
        <v>10</v>
      </c>
      <c r="AD77" s="58">
        <v>853</v>
      </c>
      <c r="AE77" s="57">
        <v>2.3369863013698629</v>
      </c>
      <c r="AF77" s="56" t="s">
        <v>436</v>
      </c>
      <c r="AG77" s="55" t="s">
        <v>1</v>
      </c>
      <c r="AH77" s="55" t="s">
        <v>1</v>
      </c>
      <c r="AI77" s="54" t="s">
        <v>0</v>
      </c>
      <c r="AJ77" s="11" t="s">
        <v>0</v>
      </c>
      <c r="AK77" s="53" t="s">
        <v>271</v>
      </c>
      <c r="AL77" s="13" t="s">
        <v>483</v>
      </c>
      <c r="AM77" s="11">
        <v>900</v>
      </c>
      <c r="AN77" s="52"/>
      <c r="AO77" s="197" t="s">
        <v>308</v>
      </c>
      <c r="AP77" s="198" t="s">
        <v>102</v>
      </c>
      <c r="AQ77" s="201"/>
      <c r="AS77" s="212">
        <v>0</v>
      </c>
      <c r="AT77" s="212">
        <v>2817.7668539325841</v>
      </c>
      <c r="AU77" s="212">
        <v>563.55337078651689</v>
      </c>
      <c r="AV77" s="212"/>
      <c r="AW77" s="212">
        <v>0</v>
      </c>
      <c r="AX77" s="212">
        <v>0</v>
      </c>
      <c r="BA77" s="212">
        <v>0</v>
      </c>
      <c r="BB77" s="212">
        <v>0</v>
      </c>
      <c r="BC77" s="212">
        <v>0</v>
      </c>
      <c r="BD77" s="226">
        <v>0</v>
      </c>
      <c r="BE77" s="226"/>
    </row>
    <row r="78" spans="1:57" ht="39.950000000000003" customHeight="1" x14ac:dyDescent="0.2">
      <c r="A78" s="13" t="s">
        <v>497</v>
      </c>
      <c r="B78" s="69" t="s">
        <v>24</v>
      </c>
      <c r="C78" s="66" t="s">
        <v>34</v>
      </c>
      <c r="D78" s="14" t="s">
        <v>34</v>
      </c>
      <c r="E78" s="14" t="s">
        <v>34</v>
      </c>
      <c r="F78" s="14" t="s">
        <v>92</v>
      </c>
      <c r="G78" s="14" t="s">
        <v>100</v>
      </c>
      <c r="H78" s="14" t="s">
        <v>100</v>
      </c>
      <c r="I78" s="66" t="s">
        <v>232</v>
      </c>
      <c r="J78" s="66" t="s">
        <v>21</v>
      </c>
      <c r="K78" s="65" t="s">
        <v>44</v>
      </c>
      <c r="L78" s="65" t="s">
        <v>191</v>
      </c>
      <c r="M78" s="65" t="s">
        <v>323</v>
      </c>
      <c r="N78" s="13" t="s">
        <v>43</v>
      </c>
      <c r="O78" s="13" t="s">
        <v>531</v>
      </c>
      <c r="P78" s="13" t="s">
        <v>534</v>
      </c>
      <c r="Q78" s="64" t="s">
        <v>8</v>
      </c>
      <c r="R78" s="62">
        <v>25000</v>
      </c>
      <c r="S78" s="63">
        <v>25000</v>
      </c>
      <c r="T78" s="62">
        <v>25000</v>
      </c>
      <c r="U78" s="62">
        <v>93608.577000000005</v>
      </c>
      <c r="V78" s="62">
        <v>1139545</v>
      </c>
      <c r="W78" s="61" t="s">
        <v>551</v>
      </c>
      <c r="X78" s="236">
        <v>3.5000000000000003E-2</v>
      </c>
      <c r="Y78" s="60">
        <v>44097</v>
      </c>
      <c r="Z78" s="60">
        <v>45277</v>
      </c>
      <c r="AA78" s="60">
        <v>45277</v>
      </c>
      <c r="AB78" s="58">
        <v>1181</v>
      </c>
      <c r="AC78" s="59" t="s">
        <v>10</v>
      </c>
      <c r="AD78" s="58">
        <v>535</v>
      </c>
      <c r="AE78" s="57">
        <v>1.4657534246575343</v>
      </c>
      <c r="AF78" s="56"/>
      <c r="AG78" s="55" t="s">
        <v>1</v>
      </c>
      <c r="AH78" s="55" t="s">
        <v>1</v>
      </c>
      <c r="AI78" s="54" t="s">
        <v>0</v>
      </c>
      <c r="AJ78" s="11" t="s">
        <v>0</v>
      </c>
      <c r="AK78" s="53" t="s">
        <v>271</v>
      </c>
      <c r="AL78" s="13" t="s">
        <v>486</v>
      </c>
      <c r="AM78" s="11">
        <v>17910</v>
      </c>
      <c r="AN78" s="52">
        <v>35000</v>
      </c>
      <c r="AO78" s="197" t="s">
        <v>34</v>
      </c>
      <c r="AP78" s="198" t="s">
        <v>92</v>
      </c>
      <c r="AQ78" s="199">
        <v>1</v>
      </c>
      <c r="AR78" s="214">
        <v>2.5000000000000001E-2</v>
      </c>
      <c r="AS78" s="212">
        <v>625</v>
      </c>
      <c r="AT78" s="212">
        <v>3000</v>
      </c>
      <c r="AU78" s="212" t="b">
        <v>0</v>
      </c>
      <c r="AV78" s="212"/>
      <c r="AW78" s="212">
        <v>625</v>
      </c>
      <c r="AX78" s="212">
        <v>1250</v>
      </c>
      <c r="AY78" s="12" t="s">
        <v>821</v>
      </c>
      <c r="BA78" s="212">
        <v>625</v>
      </c>
      <c r="BB78" s="212">
        <v>1250</v>
      </c>
      <c r="BC78" s="212">
        <v>1250</v>
      </c>
      <c r="BD78" s="226">
        <v>1250</v>
      </c>
      <c r="BE78" s="226">
        <v>1250</v>
      </c>
    </row>
    <row r="79" spans="1:57" ht="39.950000000000003" customHeight="1" x14ac:dyDescent="0.2">
      <c r="A79" s="13" t="s">
        <v>494</v>
      </c>
      <c r="B79" s="69" t="s">
        <v>243</v>
      </c>
      <c r="C79" s="66" t="s">
        <v>87</v>
      </c>
      <c r="D79" s="14" t="s">
        <v>541</v>
      </c>
      <c r="E79" s="68" t="s">
        <v>152</v>
      </c>
      <c r="F79" s="14" t="s">
        <v>439</v>
      </c>
      <c r="G79" s="14" t="s">
        <v>445</v>
      </c>
      <c r="H79" s="14" t="s">
        <v>463</v>
      </c>
      <c r="I79" s="14" t="s">
        <v>298</v>
      </c>
      <c r="J79" s="66" t="s">
        <v>218</v>
      </c>
      <c r="K79" s="65" t="s">
        <v>209</v>
      </c>
      <c r="L79" s="65" t="s">
        <v>191</v>
      </c>
      <c r="M79" s="13" t="s">
        <v>59</v>
      </c>
      <c r="N79" s="65" t="s">
        <v>43</v>
      </c>
      <c r="O79" s="65" t="s">
        <v>531</v>
      </c>
      <c r="P79" s="65" t="s">
        <v>534</v>
      </c>
      <c r="Q79" s="64" t="s">
        <v>488</v>
      </c>
      <c r="R79" s="62">
        <v>20028.788701792506</v>
      </c>
      <c r="S79" s="63">
        <v>1843650</v>
      </c>
      <c r="T79" s="62">
        <v>20028.788701792506</v>
      </c>
      <c r="U79" s="62">
        <v>150787.6154263987</v>
      </c>
      <c r="V79" s="62">
        <v>388804.41064638784</v>
      </c>
      <c r="W79" s="61" t="s">
        <v>11</v>
      </c>
      <c r="X79" s="236">
        <v>0.02</v>
      </c>
      <c r="Y79" s="60">
        <v>44099</v>
      </c>
      <c r="Z79" s="60">
        <v>45539</v>
      </c>
      <c r="AA79" s="60">
        <v>45539</v>
      </c>
      <c r="AB79" s="58">
        <v>1441</v>
      </c>
      <c r="AC79" s="59" t="s">
        <v>10</v>
      </c>
      <c r="AD79" s="58">
        <v>797</v>
      </c>
      <c r="AE79" s="57">
        <v>2.1835616438356165</v>
      </c>
      <c r="AF79" s="56" t="s">
        <v>436</v>
      </c>
      <c r="AG79" s="55" t="s">
        <v>1</v>
      </c>
      <c r="AH79" s="55" t="s">
        <v>1</v>
      </c>
      <c r="AI79" s="54" t="s">
        <v>0</v>
      </c>
      <c r="AJ79" s="11" t="s">
        <v>0</v>
      </c>
      <c r="AK79" s="53" t="s">
        <v>271</v>
      </c>
      <c r="AL79" s="13" t="s">
        <v>485</v>
      </c>
      <c r="AN79" s="52"/>
      <c r="AO79" s="197" t="s">
        <v>152</v>
      </c>
      <c r="AP79" s="198" t="s">
        <v>439</v>
      </c>
      <c r="AQ79" s="201"/>
      <c r="AS79" s="212">
        <v>0</v>
      </c>
      <c r="AT79" s="212">
        <v>2403.4546442151004</v>
      </c>
      <c r="AU79" s="212">
        <v>480.69092884302012</v>
      </c>
      <c r="AV79" s="212"/>
      <c r="AW79" s="212">
        <v>0</v>
      </c>
      <c r="AX79" s="212">
        <v>0</v>
      </c>
      <c r="BA79" s="212">
        <v>0</v>
      </c>
      <c r="BB79" s="212">
        <v>0</v>
      </c>
      <c r="BC79" s="212">
        <v>0</v>
      </c>
      <c r="BD79" s="226">
        <v>0</v>
      </c>
      <c r="BE79" s="226"/>
    </row>
    <row r="80" spans="1:57" ht="39.950000000000003" customHeight="1" x14ac:dyDescent="0.2">
      <c r="A80" s="14" t="s">
        <v>505</v>
      </c>
      <c r="B80" s="13" t="s">
        <v>24</v>
      </c>
      <c r="C80" s="66" t="s">
        <v>162</v>
      </c>
      <c r="D80" s="14" t="s">
        <v>499</v>
      </c>
      <c r="E80" s="68" t="s">
        <v>162</v>
      </c>
      <c r="F80" s="14" t="s">
        <v>48</v>
      </c>
      <c r="G80" s="14" t="s">
        <v>95</v>
      </c>
      <c r="H80" s="68" t="s">
        <v>447</v>
      </c>
      <c r="I80" s="14" t="s">
        <v>506</v>
      </c>
      <c r="J80" s="14" t="s">
        <v>221</v>
      </c>
      <c r="K80" s="65" t="s">
        <v>209</v>
      </c>
      <c r="L80" s="65" t="s">
        <v>191</v>
      </c>
      <c r="M80" s="65" t="s">
        <v>59</v>
      </c>
      <c r="N80" s="13" t="s">
        <v>43</v>
      </c>
      <c r="O80" s="13" t="s">
        <v>538</v>
      </c>
      <c r="P80" s="13" t="s">
        <v>534</v>
      </c>
      <c r="Q80" s="64" t="s">
        <v>9</v>
      </c>
      <c r="R80" s="62">
        <v>14721.469791543988</v>
      </c>
      <c r="S80" s="73">
        <v>10000</v>
      </c>
      <c r="T80" s="62">
        <v>14721.469791543988</v>
      </c>
      <c r="U80" s="62">
        <v>137351.3131551054</v>
      </c>
      <c r="V80" s="62">
        <v>340068.89647862443</v>
      </c>
      <c r="W80" s="61" t="s">
        <v>11</v>
      </c>
      <c r="X80" s="236">
        <v>2.5000000000000001E-2</v>
      </c>
      <c r="Y80" s="60">
        <v>44136</v>
      </c>
      <c r="Z80" s="60">
        <v>45504</v>
      </c>
      <c r="AA80" s="60">
        <v>45504</v>
      </c>
      <c r="AB80" s="58">
        <v>1369</v>
      </c>
      <c r="AC80" s="59" t="s">
        <v>10</v>
      </c>
      <c r="AD80" s="58">
        <v>762</v>
      </c>
      <c r="AE80" s="57">
        <v>2.0876712328767124</v>
      </c>
      <c r="AF80" s="56"/>
      <c r="AG80" s="71" t="s">
        <v>1</v>
      </c>
      <c r="AH80" s="71" t="s">
        <v>1</v>
      </c>
      <c r="AI80" s="70" t="s">
        <v>0</v>
      </c>
      <c r="AJ80" s="11" t="s">
        <v>0</v>
      </c>
      <c r="AK80" s="11" t="s">
        <v>271</v>
      </c>
      <c r="AL80" s="13" t="s">
        <v>507</v>
      </c>
      <c r="AN80" s="52"/>
      <c r="AO80" s="197" t="s">
        <v>162</v>
      </c>
      <c r="AP80" s="198" t="s">
        <v>48</v>
      </c>
      <c r="AQ80" s="201"/>
      <c r="AS80" s="212">
        <v>0</v>
      </c>
      <c r="AT80" s="212">
        <v>1766.5763749852786</v>
      </c>
      <c r="AU80" s="212" t="b">
        <v>0</v>
      </c>
      <c r="AV80" s="212"/>
      <c r="AW80" s="212">
        <v>0</v>
      </c>
      <c r="AX80" s="212">
        <v>0</v>
      </c>
      <c r="BA80" s="212">
        <v>0</v>
      </c>
      <c r="BB80" s="212">
        <v>0</v>
      </c>
      <c r="BC80" s="212">
        <v>0</v>
      </c>
      <c r="BD80" s="226">
        <v>0</v>
      </c>
      <c r="BE80" s="226"/>
    </row>
    <row r="81" spans="1:57" ht="39.950000000000003" customHeight="1" x14ac:dyDescent="0.2">
      <c r="A81" s="14" t="s">
        <v>511</v>
      </c>
      <c r="B81" s="13" t="s">
        <v>67</v>
      </c>
      <c r="C81" s="66" t="s">
        <v>127</v>
      </c>
      <c r="D81" s="14" t="s">
        <v>542</v>
      </c>
      <c r="E81" s="77" t="s">
        <v>127</v>
      </c>
      <c r="F81" s="14" t="s">
        <v>546</v>
      </c>
      <c r="G81" s="14" t="s">
        <v>259</v>
      </c>
      <c r="H81" s="14" t="s">
        <v>258</v>
      </c>
      <c r="I81" s="66" t="s">
        <v>158</v>
      </c>
      <c r="J81" s="66" t="s">
        <v>220</v>
      </c>
      <c r="K81" s="13" t="s">
        <v>45</v>
      </c>
      <c r="L81" s="65" t="s">
        <v>191</v>
      </c>
      <c r="M81" s="65" t="s">
        <v>59</v>
      </c>
      <c r="N81" s="13" t="s">
        <v>43</v>
      </c>
      <c r="O81" s="13" t="s">
        <v>533</v>
      </c>
      <c r="P81" s="13" t="s">
        <v>548</v>
      </c>
      <c r="Q81" s="64" t="s">
        <v>59</v>
      </c>
      <c r="R81" s="62">
        <v>22664.087997098999</v>
      </c>
      <c r="S81" s="73">
        <v>15000</v>
      </c>
      <c r="T81" s="62">
        <v>22664.087997098999</v>
      </c>
      <c r="U81" s="62">
        <v>320319.11035899917</v>
      </c>
      <c r="V81" s="62">
        <v>880126.87356460781</v>
      </c>
      <c r="W81" s="61" t="s">
        <v>11</v>
      </c>
      <c r="X81" s="236">
        <v>1.17E-2</v>
      </c>
      <c r="Y81" s="60">
        <v>44146</v>
      </c>
      <c r="Z81" s="60">
        <v>46275</v>
      </c>
      <c r="AA81" s="60">
        <v>46275</v>
      </c>
      <c r="AB81" s="58">
        <v>2130</v>
      </c>
      <c r="AC81" s="59" t="s">
        <v>10</v>
      </c>
      <c r="AD81" s="58">
        <v>1533</v>
      </c>
      <c r="AE81" s="57">
        <v>4.2</v>
      </c>
      <c r="AF81" s="56"/>
      <c r="AG81" s="71" t="s">
        <v>1</v>
      </c>
      <c r="AH81" s="71" t="s">
        <v>1</v>
      </c>
      <c r="AI81" s="70" t="s">
        <v>0</v>
      </c>
      <c r="AJ81" s="11" t="s">
        <v>0</v>
      </c>
      <c r="AK81" s="11" t="s">
        <v>271</v>
      </c>
      <c r="AL81" s="13" t="s">
        <v>512</v>
      </c>
      <c r="AN81" s="52"/>
      <c r="AO81" s="197" t="s">
        <v>127</v>
      </c>
      <c r="AP81" s="198" t="s">
        <v>546</v>
      </c>
      <c r="AQ81" s="201"/>
      <c r="AS81" s="212">
        <v>0</v>
      </c>
      <c r="AT81" s="212">
        <v>2719.69055965188</v>
      </c>
      <c r="AU81" s="212" t="b">
        <v>0</v>
      </c>
      <c r="AV81" s="212"/>
      <c r="AW81" s="212">
        <v>0</v>
      </c>
      <c r="AX81" s="212">
        <v>0</v>
      </c>
      <c r="BA81" s="212">
        <v>0</v>
      </c>
      <c r="BB81" s="212">
        <v>0</v>
      </c>
      <c r="BC81" s="212">
        <v>0</v>
      </c>
      <c r="BD81" s="226">
        <v>0</v>
      </c>
      <c r="BE81" s="226"/>
    </row>
    <row r="82" spans="1:57" ht="39.950000000000003" customHeight="1" x14ac:dyDescent="0.2">
      <c r="A82" s="14" t="s">
        <v>508</v>
      </c>
      <c r="B82" s="13" t="s">
        <v>243</v>
      </c>
      <c r="C82" s="66" t="s">
        <v>162</v>
      </c>
      <c r="D82" s="14" t="s">
        <v>499</v>
      </c>
      <c r="E82" s="68" t="s">
        <v>162</v>
      </c>
      <c r="F82" s="14" t="s">
        <v>102</v>
      </c>
      <c r="G82" s="14" t="s">
        <v>102</v>
      </c>
      <c r="H82" s="68" t="s">
        <v>103</v>
      </c>
      <c r="I82" s="14" t="s">
        <v>509</v>
      </c>
      <c r="J82" s="66" t="s">
        <v>222</v>
      </c>
      <c r="K82" s="65" t="s">
        <v>101</v>
      </c>
      <c r="L82" s="65" t="s">
        <v>191</v>
      </c>
      <c r="M82" s="65" t="s">
        <v>59</v>
      </c>
      <c r="N82" s="13" t="s">
        <v>43</v>
      </c>
      <c r="O82" s="13" t="s">
        <v>531</v>
      </c>
      <c r="P82" s="13" t="s">
        <v>534</v>
      </c>
      <c r="Q82" s="64" t="s">
        <v>9</v>
      </c>
      <c r="R82" s="62">
        <v>29442.939583087977</v>
      </c>
      <c r="S82" s="73">
        <v>20000</v>
      </c>
      <c r="T82" s="62">
        <v>29442.939583087977</v>
      </c>
      <c r="U82" s="62">
        <v>110411.02343657991</v>
      </c>
      <c r="V82" s="62">
        <v>764347</v>
      </c>
      <c r="W82" s="61" t="s">
        <v>11</v>
      </c>
      <c r="X82" s="236">
        <v>1.6E-2</v>
      </c>
      <c r="Y82" s="60">
        <v>44148</v>
      </c>
      <c r="Z82" s="60">
        <v>45734</v>
      </c>
      <c r="AA82" s="60">
        <v>45734</v>
      </c>
      <c r="AB82" s="58">
        <v>1587</v>
      </c>
      <c r="AC82" s="59" t="s">
        <v>10</v>
      </c>
      <c r="AD82" s="58">
        <v>992</v>
      </c>
      <c r="AE82" s="57">
        <v>2.7178082191780821</v>
      </c>
      <c r="AF82" s="56" t="s">
        <v>436</v>
      </c>
      <c r="AG82" s="71" t="s">
        <v>1</v>
      </c>
      <c r="AH82" s="71" t="s">
        <v>1</v>
      </c>
      <c r="AI82" s="70" t="s">
        <v>0</v>
      </c>
      <c r="AJ82" s="11" t="s">
        <v>0</v>
      </c>
      <c r="AK82" s="11" t="s">
        <v>271</v>
      </c>
      <c r="AL82" s="13" t="s">
        <v>510</v>
      </c>
      <c r="AN82" s="52"/>
      <c r="AO82" s="197" t="s">
        <v>162</v>
      </c>
      <c r="AP82" s="198" t="s">
        <v>102</v>
      </c>
      <c r="AQ82" s="201"/>
      <c r="AS82" s="212">
        <v>0</v>
      </c>
      <c r="AT82" s="212">
        <v>3533.1527499705571</v>
      </c>
      <c r="AU82" s="212">
        <v>706.63054999411145</v>
      </c>
      <c r="AV82" s="212"/>
      <c r="AW82" s="212">
        <v>0</v>
      </c>
      <c r="AX82" s="212">
        <v>0</v>
      </c>
      <c r="BA82" s="212">
        <v>0</v>
      </c>
      <c r="BB82" s="212">
        <v>0</v>
      </c>
      <c r="BC82" s="212">
        <v>0</v>
      </c>
      <c r="BD82" s="226">
        <v>0</v>
      </c>
      <c r="BE82" s="226"/>
    </row>
    <row r="83" spans="1:57" ht="39.950000000000003" customHeight="1" x14ac:dyDescent="0.2">
      <c r="A83" s="13" t="s">
        <v>513</v>
      </c>
      <c r="B83" s="13" t="s">
        <v>51</v>
      </c>
      <c r="C83" s="66" t="s">
        <v>88</v>
      </c>
      <c r="D83" s="14" t="s">
        <v>542</v>
      </c>
      <c r="E83" s="68" t="s">
        <v>88</v>
      </c>
      <c r="F83" s="66" t="s">
        <v>106</v>
      </c>
      <c r="G83" s="14" t="s">
        <v>106</v>
      </c>
      <c r="H83" s="66" t="s">
        <v>107</v>
      </c>
      <c r="I83" s="66" t="s">
        <v>61</v>
      </c>
      <c r="J83" s="66" t="s">
        <v>220</v>
      </c>
      <c r="K83" s="14" t="s">
        <v>101</v>
      </c>
      <c r="L83" s="65" t="s">
        <v>191</v>
      </c>
      <c r="M83" s="65" t="s">
        <v>59</v>
      </c>
      <c r="N83" s="13" t="s">
        <v>43</v>
      </c>
      <c r="O83" s="13" t="s">
        <v>533</v>
      </c>
      <c r="P83" s="13" t="s">
        <v>548</v>
      </c>
      <c r="Q83" s="64" t="s">
        <v>59</v>
      </c>
      <c r="R83" s="62">
        <v>4532.8175994197991</v>
      </c>
      <c r="S83" s="73">
        <v>3000</v>
      </c>
      <c r="T83" s="62">
        <v>4532.8175994197991</v>
      </c>
      <c r="U83" s="62">
        <v>30218.783996131995</v>
      </c>
      <c r="V83" s="62">
        <v>115993</v>
      </c>
      <c r="W83" s="61" t="s">
        <v>11</v>
      </c>
      <c r="X83" s="236">
        <v>0.01</v>
      </c>
      <c r="Y83" s="60">
        <v>44159</v>
      </c>
      <c r="Z83" s="60">
        <v>45792</v>
      </c>
      <c r="AA83" s="60">
        <v>45792</v>
      </c>
      <c r="AB83" s="58">
        <v>1634</v>
      </c>
      <c r="AC83" s="59" t="s">
        <v>10</v>
      </c>
      <c r="AD83" s="58">
        <v>1050</v>
      </c>
      <c r="AE83" s="57">
        <v>2.8767123287671232</v>
      </c>
      <c r="AF83" s="56"/>
      <c r="AG83" s="71" t="s">
        <v>1</v>
      </c>
      <c r="AH83" s="71" t="s">
        <v>1</v>
      </c>
      <c r="AI83" s="245" t="s">
        <v>0</v>
      </c>
      <c r="AJ83" s="11" t="s">
        <v>0</v>
      </c>
      <c r="AK83" s="11" t="s">
        <v>271</v>
      </c>
      <c r="AL83" s="13" t="s">
        <v>514</v>
      </c>
      <c r="AN83" s="52"/>
      <c r="AO83" s="197" t="s">
        <v>88</v>
      </c>
      <c r="AP83" s="198" t="s">
        <v>106</v>
      </c>
      <c r="AQ83" s="201"/>
      <c r="AS83" s="212">
        <v>0</v>
      </c>
      <c r="AT83" s="212">
        <v>543.93811193037584</v>
      </c>
      <c r="AU83" s="212" t="b">
        <v>0</v>
      </c>
      <c r="AV83" s="212"/>
      <c r="AW83" s="212">
        <v>0</v>
      </c>
      <c r="AX83" s="212">
        <v>0</v>
      </c>
      <c r="BA83" s="212">
        <v>0</v>
      </c>
      <c r="BB83" s="212">
        <v>0</v>
      </c>
      <c r="BC83" s="212">
        <v>0</v>
      </c>
      <c r="BD83" s="226">
        <v>0</v>
      </c>
      <c r="BE83" s="226"/>
    </row>
    <row r="84" spans="1:57" ht="39.950000000000003" customHeight="1" x14ac:dyDescent="0.2">
      <c r="A84" s="13" t="s">
        <v>524</v>
      </c>
      <c r="B84" s="13" t="s">
        <v>24</v>
      </c>
      <c r="C84" s="66" t="s">
        <v>37</v>
      </c>
      <c r="D84" s="14" t="s">
        <v>541</v>
      </c>
      <c r="E84" s="68" t="s">
        <v>152</v>
      </c>
      <c r="F84" s="14" t="s">
        <v>102</v>
      </c>
      <c r="G84" s="14" t="s">
        <v>102</v>
      </c>
      <c r="H84" s="68" t="s">
        <v>473</v>
      </c>
      <c r="I84" s="146" t="s">
        <v>526</v>
      </c>
      <c r="J84" s="66" t="s">
        <v>221</v>
      </c>
      <c r="K84" s="14" t="s">
        <v>101</v>
      </c>
      <c r="L84" s="65" t="s">
        <v>191</v>
      </c>
      <c r="M84" s="65" t="s">
        <v>323</v>
      </c>
      <c r="N84" s="13" t="s">
        <v>43</v>
      </c>
      <c r="O84" s="13" t="s">
        <v>533</v>
      </c>
      <c r="P84" s="13" t="s">
        <v>534</v>
      </c>
      <c r="Q84" s="64" t="s">
        <v>488</v>
      </c>
      <c r="R84" s="62">
        <v>28245.518739815318</v>
      </c>
      <c r="S84" s="73">
        <v>2600000</v>
      </c>
      <c r="T84" s="62">
        <v>28245.518739815318</v>
      </c>
      <c r="U84" s="62">
        <v>76045.627376425851</v>
      </c>
      <c r="V84" s="62">
        <v>597625.07332971215</v>
      </c>
      <c r="W84" s="61" t="s">
        <v>11</v>
      </c>
      <c r="X84" s="236">
        <v>0.01</v>
      </c>
      <c r="Y84" s="60">
        <v>44166</v>
      </c>
      <c r="Z84" s="60">
        <v>45504</v>
      </c>
      <c r="AA84" s="60">
        <v>45504</v>
      </c>
      <c r="AB84" s="58">
        <v>1339</v>
      </c>
      <c r="AC84" s="59" t="s">
        <v>10</v>
      </c>
      <c r="AD84" s="58">
        <v>762</v>
      </c>
      <c r="AE84" s="57">
        <v>2.0876712328767124</v>
      </c>
      <c r="AF84" s="56" t="s">
        <v>436</v>
      </c>
      <c r="AG84" s="71" t="s">
        <v>1</v>
      </c>
      <c r="AH84" s="71" t="s">
        <v>1</v>
      </c>
      <c r="AI84" s="245" t="s">
        <v>0</v>
      </c>
      <c r="AJ84" s="11" t="s">
        <v>0</v>
      </c>
      <c r="AK84" s="11" t="s">
        <v>271</v>
      </c>
      <c r="AL84" s="13" t="s">
        <v>525</v>
      </c>
      <c r="AN84" s="52"/>
      <c r="AO84" s="197" t="s">
        <v>152</v>
      </c>
      <c r="AP84" s="198" t="s">
        <v>102</v>
      </c>
      <c r="AQ84" s="201"/>
      <c r="AS84" s="212">
        <v>0</v>
      </c>
      <c r="AT84" s="212">
        <v>3389.4622487778379</v>
      </c>
      <c r="AU84" s="212">
        <v>677.89244975556767</v>
      </c>
      <c r="AV84" s="212"/>
      <c r="AW84" s="212">
        <v>0</v>
      </c>
      <c r="AX84" s="212">
        <v>0</v>
      </c>
      <c r="BA84" s="212">
        <v>0</v>
      </c>
      <c r="BB84" s="212">
        <v>0</v>
      </c>
      <c r="BC84" s="212">
        <v>0</v>
      </c>
      <c r="BD84" s="226">
        <v>0</v>
      </c>
      <c r="BE84" s="226"/>
    </row>
    <row r="85" spans="1:57" ht="39.950000000000003" customHeight="1" x14ac:dyDescent="0.2">
      <c r="A85" s="14" t="s">
        <v>155</v>
      </c>
      <c r="B85" s="13" t="s">
        <v>51</v>
      </c>
      <c r="C85" s="66" t="s">
        <v>87</v>
      </c>
      <c r="D85" s="14" t="s">
        <v>542</v>
      </c>
      <c r="E85" s="68" t="s">
        <v>87</v>
      </c>
      <c r="F85" s="14" t="s">
        <v>102</v>
      </c>
      <c r="G85" s="14" t="s">
        <v>102</v>
      </c>
      <c r="H85" s="68" t="s">
        <v>122</v>
      </c>
      <c r="I85" s="66" t="s">
        <v>705</v>
      </c>
      <c r="J85" s="66" t="s">
        <v>220</v>
      </c>
      <c r="K85" s="66" t="s">
        <v>101</v>
      </c>
      <c r="L85" s="65" t="s">
        <v>191</v>
      </c>
      <c r="M85" s="65" t="s">
        <v>59</v>
      </c>
      <c r="N85" s="13" t="s">
        <v>43</v>
      </c>
      <c r="O85" s="13" t="s">
        <v>533</v>
      </c>
      <c r="P85" s="13" t="s">
        <v>534</v>
      </c>
      <c r="Q85" s="64" t="s">
        <v>156</v>
      </c>
      <c r="R85" s="62">
        <v>8796.6220971147086</v>
      </c>
      <c r="S85" s="73">
        <v>5000</v>
      </c>
      <c r="T85" s="62">
        <v>8796.6220971147086</v>
      </c>
      <c r="U85" s="62">
        <v>63335.679099225898</v>
      </c>
      <c r="V85" s="62">
        <v>419370.16185784654</v>
      </c>
      <c r="W85" s="61" t="s">
        <v>11</v>
      </c>
      <c r="X85" s="236">
        <v>1.7999999999999999E-2</v>
      </c>
      <c r="Y85" s="60">
        <v>44211</v>
      </c>
      <c r="Z85" s="60">
        <v>46029</v>
      </c>
      <c r="AA85" s="60">
        <v>46029</v>
      </c>
      <c r="AB85" s="58">
        <v>1819</v>
      </c>
      <c r="AC85" s="244" t="s">
        <v>10</v>
      </c>
      <c r="AD85" s="58">
        <v>1287</v>
      </c>
      <c r="AE85" s="57">
        <v>3.526027397260274</v>
      </c>
      <c r="AF85" s="56"/>
      <c r="AG85" s="71" t="s">
        <v>1</v>
      </c>
      <c r="AH85" s="71" t="s">
        <v>1</v>
      </c>
      <c r="AI85" s="245" t="s">
        <v>0</v>
      </c>
      <c r="AJ85" s="11" t="s">
        <v>0</v>
      </c>
      <c r="AK85" s="11" t="s">
        <v>271</v>
      </c>
      <c r="AL85" s="14" t="s">
        <v>348</v>
      </c>
      <c r="AM85" s="11">
        <v>6807.5</v>
      </c>
      <c r="AO85" s="197" t="s">
        <v>87</v>
      </c>
      <c r="AP85" s="198" t="s">
        <v>102</v>
      </c>
      <c r="AS85" s="212">
        <v>0</v>
      </c>
      <c r="AT85" s="212">
        <v>1055.5946516537649</v>
      </c>
      <c r="AU85" s="212" t="b">
        <v>0</v>
      </c>
      <c r="AV85" s="212"/>
      <c r="AW85" s="212">
        <v>0</v>
      </c>
      <c r="AX85" s="212">
        <v>0</v>
      </c>
      <c r="BA85" s="212">
        <v>0</v>
      </c>
      <c r="BB85" s="212">
        <v>0</v>
      </c>
      <c r="BC85" s="212">
        <v>0</v>
      </c>
      <c r="BD85" s="226">
        <v>0</v>
      </c>
      <c r="BE85" s="226"/>
    </row>
    <row r="86" spans="1:57" ht="39.950000000000003" customHeight="1" x14ac:dyDescent="0.2">
      <c r="A86" s="13" t="s">
        <v>528</v>
      </c>
      <c r="B86" s="13" t="s">
        <v>24</v>
      </c>
      <c r="C86" s="66" t="s">
        <v>34</v>
      </c>
      <c r="D86" s="14" t="s">
        <v>34</v>
      </c>
      <c r="E86" s="77" t="s">
        <v>34</v>
      </c>
      <c r="F86" s="14" t="s">
        <v>102</v>
      </c>
      <c r="G86" s="14" t="s">
        <v>102</v>
      </c>
      <c r="H86" s="66" t="s">
        <v>103</v>
      </c>
      <c r="I86" s="66" t="s">
        <v>70</v>
      </c>
      <c r="J86" s="66" t="s">
        <v>218</v>
      </c>
      <c r="K86" s="13" t="s">
        <v>101</v>
      </c>
      <c r="L86" s="65" t="s">
        <v>191</v>
      </c>
      <c r="M86" s="65" t="s">
        <v>323</v>
      </c>
      <c r="N86" s="13" t="s">
        <v>43</v>
      </c>
      <c r="O86" s="13" t="s">
        <v>533</v>
      </c>
      <c r="P86" s="13" t="s">
        <v>534</v>
      </c>
      <c r="Q86" s="64" t="s">
        <v>8</v>
      </c>
      <c r="R86" s="62">
        <v>30000</v>
      </c>
      <c r="S86" s="73">
        <v>29059.561000000002</v>
      </c>
      <c r="T86" s="62">
        <v>30000</v>
      </c>
      <c r="U86" s="62">
        <v>319000</v>
      </c>
      <c r="V86" s="62">
        <v>1021098</v>
      </c>
      <c r="W86" s="61" t="s">
        <v>11</v>
      </c>
      <c r="X86" s="236">
        <v>3.15E-2</v>
      </c>
      <c r="Y86" s="60">
        <v>44218</v>
      </c>
      <c r="Z86" s="60">
        <v>44962</v>
      </c>
      <c r="AA86" s="60">
        <v>44962</v>
      </c>
      <c r="AB86" s="58">
        <v>745</v>
      </c>
      <c r="AC86" s="59" t="s">
        <v>10</v>
      </c>
      <c r="AD86" s="58">
        <v>220</v>
      </c>
      <c r="AE86" s="57">
        <v>0.60273972602739723</v>
      </c>
      <c r="AF86" s="56" t="s">
        <v>436</v>
      </c>
      <c r="AG86" s="71" t="s">
        <v>1</v>
      </c>
      <c r="AH86" s="71" t="s">
        <v>1</v>
      </c>
      <c r="AI86" s="70" t="s">
        <v>764</v>
      </c>
      <c r="AJ86" s="11" t="s">
        <v>0</v>
      </c>
      <c r="AK86" s="11" t="s">
        <v>271</v>
      </c>
      <c r="AL86" s="13" t="s">
        <v>529</v>
      </c>
      <c r="AN86" s="52"/>
      <c r="AO86" s="197" t="s">
        <v>34</v>
      </c>
      <c r="AP86" s="198" t="s">
        <v>102</v>
      </c>
      <c r="AQ86" s="201"/>
      <c r="AS86" s="212">
        <v>0</v>
      </c>
      <c r="AT86" s="212">
        <v>3600</v>
      </c>
      <c r="AU86" s="212">
        <v>720</v>
      </c>
      <c r="AV86" s="212"/>
      <c r="AW86" s="212">
        <v>0</v>
      </c>
      <c r="AX86" s="212">
        <v>0</v>
      </c>
      <c r="BA86" s="212">
        <v>0</v>
      </c>
      <c r="BB86" s="212">
        <v>0</v>
      </c>
      <c r="BC86" s="212">
        <v>0</v>
      </c>
      <c r="BD86" s="226">
        <v>0</v>
      </c>
      <c r="BE86" s="226"/>
    </row>
    <row r="87" spans="1:57" ht="39.950000000000003" customHeight="1" x14ac:dyDescent="0.2">
      <c r="A87" s="14" t="s">
        <v>554</v>
      </c>
      <c r="B87" s="13" t="s">
        <v>51</v>
      </c>
      <c r="C87" s="66" t="s">
        <v>88</v>
      </c>
      <c r="D87" s="14" t="s">
        <v>542</v>
      </c>
      <c r="E87" s="66" t="s">
        <v>88</v>
      </c>
      <c r="F87" s="14" t="s">
        <v>102</v>
      </c>
      <c r="G87" s="14" t="s">
        <v>102</v>
      </c>
      <c r="H87" s="66" t="s">
        <v>474</v>
      </c>
      <c r="I87" s="66" t="s">
        <v>555</v>
      </c>
      <c r="J87" s="66" t="s">
        <v>220</v>
      </c>
      <c r="K87" s="14" t="s">
        <v>101</v>
      </c>
      <c r="L87" s="65" t="s">
        <v>191</v>
      </c>
      <c r="M87" s="65" t="s">
        <v>59</v>
      </c>
      <c r="N87" s="13" t="s">
        <v>43</v>
      </c>
      <c r="O87" s="13" t="s">
        <v>533</v>
      </c>
      <c r="P87" s="13" t="s">
        <v>548</v>
      </c>
      <c r="Q87" s="64" t="s">
        <v>59</v>
      </c>
      <c r="R87" s="62">
        <v>15109.391998065998</v>
      </c>
      <c r="S87" s="73">
        <v>10000</v>
      </c>
      <c r="T87" s="62">
        <v>15109.391998065998</v>
      </c>
      <c r="U87" s="62">
        <v>25000</v>
      </c>
      <c r="V87" s="62">
        <v>399888.94596881425</v>
      </c>
      <c r="W87" s="61" t="s">
        <v>11</v>
      </c>
      <c r="X87" s="236">
        <v>1.35E-2</v>
      </c>
      <c r="Y87" s="60">
        <v>44225</v>
      </c>
      <c r="Z87" s="60">
        <v>45337</v>
      </c>
      <c r="AA87" s="60">
        <v>45337</v>
      </c>
      <c r="AB87" s="58">
        <v>1113</v>
      </c>
      <c r="AC87" s="59" t="s">
        <v>10</v>
      </c>
      <c r="AD87" s="58">
        <v>595</v>
      </c>
      <c r="AE87" s="57">
        <v>1.6301369863013699</v>
      </c>
      <c r="AF87" s="56"/>
      <c r="AG87" s="71" t="s">
        <v>1</v>
      </c>
      <c r="AH87" s="71" t="s">
        <v>1</v>
      </c>
      <c r="AI87" s="245" t="s">
        <v>0</v>
      </c>
      <c r="AJ87" s="11" t="s">
        <v>0</v>
      </c>
      <c r="AK87" s="11" t="s">
        <v>271</v>
      </c>
      <c r="AL87" s="14" t="s">
        <v>556</v>
      </c>
      <c r="AO87" s="197" t="s">
        <v>88</v>
      </c>
      <c r="AP87" s="198" t="s">
        <v>102</v>
      </c>
      <c r="AS87" s="212">
        <v>0</v>
      </c>
      <c r="AT87" s="212">
        <v>1813.1270397679195</v>
      </c>
      <c r="AU87" s="212" t="b">
        <v>0</v>
      </c>
      <c r="AV87" s="212"/>
      <c r="AW87" s="212">
        <v>0</v>
      </c>
      <c r="AX87" s="212">
        <v>0</v>
      </c>
      <c r="BA87" s="212">
        <v>0</v>
      </c>
      <c r="BB87" s="212">
        <v>0</v>
      </c>
      <c r="BC87" s="212">
        <v>0</v>
      </c>
      <c r="BD87" s="226">
        <v>0</v>
      </c>
      <c r="BE87" s="226"/>
    </row>
    <row r="88" spans="1:57" ht="39.950000000000003" customHeight="1" x14ac:dyDescent="0.2">
      <c r="A88" s="14" t="s">
        <v>557</v>
      </c>
      <c r="B88" s="13" t="s">
        <v>51</v>
      </c>
      <c r="C88" s="66" t="s">
        <v>89</v>
      </c>
      <c r="D88" s="14" t="s">
        <v>542</v>
      </c>
      <c r="E88" s="77" t="s">
        <v>89</v>
      </c>
      <c r="F88" s="14" t="s">
        <v>547</v>
      </c>
      <c r="G88" s="14" t="s">
        <v>124</v>
      </c>
      <c r="H88" s="68" t="s">
        <v>123</v>
      </c>
      <c r="I88" s="66" t="s">
        <v>220</v>
      </c>
      <c r="J88" s="66" t="s">
        <v>220</v>
      </c>
      <c r="K88" s="14" t="s">
        <v>29</v>
      </c>
      <c r="L88" s="65" t="s">
        <v>191</v>
      </c>
      <c r="M88" s="65" t="s">
        <v>59</v>
      </c>
      <c r="N88" s="13" t="s">
        <v>43</v>
      </c>
      <c r="O88" s="13" t="s">
        <v>538</v>
      </c>
      <c r="P88" s="13" t="s">
        <v>534</v>
      </c>
      <c r="Q88" s="64" t="s">
        <v>59</v>
      </c>
      <c r="R88" s="62">
        <v>15109.391998065998</v>
      </c>
      <c r="S88" s="73">
        <v>7070</v>
      </c>
      <c r="T88" s="62">
        <v>10682.34014263266</v>
      </c>
      <c r="U88" s="62">
        <v>84159.313429227608</v>
      </c>
      <c r="V88" s="62">
        <v>274990.93436480116</v>
      </c>
      <c r="W88" s="61" t="s">
        <v>11</v>
      </c>
      <c r="X88" s="236">
        <v>1.2999999999999999E-2</v>
      </c>
      <c r="Y88" s="60">
        <v>44236</v>
      </c>
      <c r="Z88" s="60">
        <v>45657</v>
      </c>
      <c r="AA88" s="60">
        <v>45657</v>
      </c>
      <c r="AB88" s="58">
        <v>1422</v>
      </c>
      <c r="AC88" s="59" t="s">
        <v>10</v>
      </c>
      <c r="AD88" s="58">
        <v>915</v>
      </c>
      <c r="AE88" s="57">
        <v>2.506849315068493</v>
      </c>
      <c r="AF88" s="56"/>
      <c r="AG88" s="71" t="s">
        <v>1</v>
      </c>
      <c r="AH88" s="71" t="s">
        <v>1</v>
      </c>
      <c r="AI88" s="245" t="s">
        <v>0</v>
      </c>
      <c r="AJ88" s="11" t="s">
        <v>0</v>
      </c>
      <c r="AK88" s="11" t="s">
        <v>271</v>
      </c>
      <c r="AL88" s="14" t="s">
        <v>558</v>
      </c>
      <c r="AO88" s="197" t="s">
        <v>89</v>
      </c>
      <c r="AP88" s="198" t="s">
        <v>547</v>
      </c>
      <c r="AS88" s="212">
        <v>0</v>
      </c>
      <c r="AT88" s="212">
        <v>1281.8808171159192</v>
      </c>
      <c r="AU88" s="212" t="b">
        <v>0</v>
      </c>
      <c r="AV88" s="212"/>
      <c r="AW88" s="212">
        <v>0</v>
      </c>
      <c r="AX88" s="212">
        <v>0</v>
      </c>
      <c r="BA88" s="212">
        <v>0</v>
      </c>
      <c r="BB88" s="212">
        <v>0</v>
      </c>
      <c r="BC88" s="212">
        <v>0</v>
      </c>
      <c r="BD88" s="226">
        <v>0</v>
      </c>
      <c r="BE88" s="226"/>
    </row>
    <row r="89" spans="1:57" ht="39.950000000000003" customHeight="1" x14ac:dyDescent="0.2">
      <c r="A89" s="14" t="s">
        <v>559</v>
      </c>
      <c r="B89" s="13" t="s">
        <v>243</v>
      </c>
      <c r="C89" s="66" t="s">
        <v>560</v>
      </c>
      <c r="D89" s="14" t="s">
        <v>499</v>
      </c>
      <c r="E89" s="77" t="s">
        <v>162</v>
      </c>
      <c r="F89" s="14" t="s">
        <v>48</v>
      </c>
      <c r="G89" s="14" t="s">
        <v>120</v>
      </c>
      <c r="H89" s="66" t="s">
        <v>121</v>
      </c>
      <c r="I89" s="66" t="s">
        <v>561</v>
      </c>
      <c r="J89" s="66" t="s">
        <v>220</v>
      </c>
      <c r="K89" s="14" t="s">
        <v>29</v>
      </c>
      <c r="L89" s="65" t="s">
        <v>191</v>
      </c>
      <c r="M89" s="65" t="s">
        <v>59</v>
      </c>
      <c r="N89" s="13" t="s">
        <v>43</v>
      </c>
      <c r="O89" s="13" t="s">
        <v>533</v>
      </c>
      <c r="P89" s="13" t="s">
        <v>534</v>
      </c>
      <c r="Q89" s="64" t="s">
        <v>9</v>
      </c>
      <c r="R89" s="62">
        <v>14721.469791543988</v>
      </c>
      <c r="S89" s="73">
        <v>9375</v>
      </c>
      <c r="T89" s="62">
        <v>13801.377929572489</v>
      </c>
      <c r="U89" s="62">
        <v>89800.965728418319</v>
      </c>
      <c r="V89" s="62">
        <v>1474164.5713107998</v>
      </c>
      <c r="W89" s="61" t="s">
        <v>11</v>
      </c>
      <c r="X89" s="236">
        <v>3.8100000000000002E-2</v>
      </c>
      <c r="Y89" s="60">
        <v>44246</v>
      </c>
      <c r="Z89" s="60">
        <v>46079</v>
      </c>
      <c r="AA89" s="60">
        <v>46079</v>
      </c>
      <c r="AB89" s="58">
        <v>1834</v>
      </c>
      <c r="AC89" s="59" t="s">
        <v>10</v>
      </c>
      <c r="AD89" s="58">
        <v>1337</v>
      </c>
      <c r="AE89" s="57">
        <v>3.6630136986301371</v>
      </c>
      <c r="AF89" s="56"/>
      <c r="AG89" s="71" t="s">
        <v>1</v>
      </c>
      <c r="AH89" s="71" t="s">
        <v>1</v>
      </c>
      <c r="AI89" s="70" t="s">
        <v>763</v>
      </c>
      <c r="AJ89" s="11" t="s">
        <v>0</v>
      </c>
      <c r="AK89" s="11" t="s">
        <v>271</v>
      </c>
      <c r="AL89" s="14" t="s">
        <v>562</v>
      </c>
      <c r="AO89" s="197" t="s">
        <v>162</v>
      </c>
      <c r="AP89" s="198" t="s">
        <v>48</v>
      </c>
      <c r="AS89" s="212">
        <v>0</v>
      </c>
      <c r="AT89" s="212">
        <v>1656.1653515486987</v>
      </c>
      <c r="AU89" s="212" t="b">
        <v>0</v>
      </c>
      <c r="AV89" s="212"/>
      <c r="AW89" s="212">
        <v>0</v>
      </c>
      <c r="AX89" s="212">
        <v>0</v>
      </c>
      <c r="BA89" s="212">
        <v>0</v>
      </c>
      <c r="BB89" s="212">
        <v>0</v>
      </c>
      <c r="BC89" s="212">
        <v>0</v>
      </c>
      <c r="BD89" s="226">
        <v>0</v>
      </c>
      <c r="BE89" s="226"/>
    </row>
    <row r="90" spans="1:57" ht="39.950000000000003" customHeight="1" x14ac:dyDescent="0.2">
      <c r="A90" s="14" t="s">
        <v>566</v>
      </c>
      <c r="B90" s="13" t="s">
        <v>23</v>
      </c>
      <c r="C90" s="66" t="s">
        <v>88</v>
      </c>
      <c r="D90" s="14" t="s">
        <v>542</v>
      </c>
      <c r="E90" s="77" t="s">
        <v>166</v>
      </c>
      <c r="F90" s="14" t="s">
        <v>92</v>
      </c>
      <c r="G90" s="14" t="s">
        <v>134</v>
      </c>
      <c r="H90" s="66" t="s">
        <v>134</v>
      </c>
      <c r="I90" s="66" t="s">
        <v>61</v>
      </c>
      <c r="J90" s="66" t="s">
        <v>220</v>
      </c>
      <c r="K90" s="14" t="s">
        <v>68</v>
      </c>
      <c r="L90" s="65" t="s">
        <v>191</v>
      </c>
      <c r="M90" s="65" t="s">
        <v>59</v>
      </c>
      <c r="N90" s="13" t="s">
        <v>43</v>
      </c>
      <c r="O90" s="13" t="s">
        <v>538</v>
      </c>
      <c r="P90" s="13" t="s">
        <v>548</v>
      </c>
      <c r="Q90" s="64" t="s">
        <v>9</v>
      </c>
      <c r="R90" s="62">
        <v>7360.7348957719942</v>
      </c>
      <c r="S90" s="73">
        <v>5000</v>
      </c>
      <c r="T90" s="62">
        <v>7360.7348957719942</v>
      </c>
      <c r="U90" s="62">
        <v>139853.96301966789</v>
      </c>
      <c r="V90" s="62">
        <v>244821.01637027442</v>
      </c>
      <c r="W90" s="61" t="s">
        <v>11</v>
      </c>
      <c r="X90" s="236">
        <v>3.4000000000000002E-2</v>
      </c>
      <c r="Y90" s="60">
        <v>44274</v>
      </c>
      <c r="Z90" s="60">
        <v>45545</v>
      </c>
      <c r="AA90" s="60">
        <v>45545</v>
      </c>
      <c r="AB90" s="246">
        <v>1272</v>
      </c>
      <c r="AC90" s="176" t="s">
        <v>10</v>
      </c>
      <c r="AD90" s="246">
        <v>803</v>
      </c>
      <c r="AE90" s="247">
        <v>2.2000000000000002</v>
      </c>
      <c r="AF90" s="173"/>
      <c r="AG90" s="248" t="s">
        <v>1</v>
      </c>
      <c r="AH90" s="248" t="s">
        <v>1</v>
      </c>
      <c r="AI90" s="245" t="s">
        <v>0</v>
      </c>
      <c r="AJ90" s="11" t="s">
        <v>0</v>
      </c>
      <c r="AK90" s="11" t="s">
        <v>271</v>
      </c>
      <c r="AL90" s="217" t="s">
        <v>567</v>
      </c>
      <c r="AM90" s="11">
        <v>6000</v>
      </c>
      <c r="AO90" s="197" t="s">
        <v>166</v>
      </c>
      <c r="AP90" s="198" t="s">
        <v>92</v>
      </c>
      <c r="AS90" s="212">
        <v>0</v>
      </c>
      <c r="AT90" s="212">
        <v>883.28818749263928</v>
      </c>
      <c r="AU90" s="212" t="b">
        <v>0</v>
      </c>
      <c r="AV90" s="212"/>
      <c r="AW90" s="212">
        <v>0</v>
      </c>
      <c r="AX90" s="212">
        <v>0</v>
      </c>
      <c r="BA90" s="212">
        <v>0</v>
      </c>
      <c r="BB90" s="212">
        <v>0</v>
      </c>
      <c r="BC90" s="212">
        <v>0</v>
      </c>
      <c r="BD90" s="226">
        <v>0</v>
      </c>
      <c r="BE90" s="226"/>
    </row>
    <row r="91" spans="1:57" ht="39.950000000000003" customHeight="1" x14ac:dyDescent="0.2">
      <c r="A91" s="14" t="s">
        <v>575</v>
      </c>
      <c r="B91" s="13" t="s">
        <v>23</v>
      </c>
      <c r="C91" s="66" t="s">
        <v>37</v>
      </c>
      <c r="D91" s="14" t="s">
        <v>540</v>
      </c>
      <c r="E91" s="77" t="s">
        <v>36</v>
      </c>
      <c r="F91" s="14" t="s">
        <v>104</v>
      </c>
      <c r="G91" s="14" t="s">
        <v>111</v>
      </c>
      <c r="H91" s="66" t="s">
        <v>135</v>
      </c>
      <c r="I91" s="66" t="s">
        <v>77</v>
      </c>
      <c r="J91" s="66" t="s">
        <v>220</v>
      </c>
      <c r="K91" s="14" t="s">
        <v>29</v>
      </c>
      <c r="L91" s="65" t="s">
        <v>191</v>
      </c>
      <c r="M91" s="65" t="s">
        <v>323</v>
      </c>
      <c r="N91" s="13" t="s">
        <v>43</v>
      </c>
      <c r="O91" s="13" t="s">
        <v>531</v>
      </c>
      <c r="P91" s="13" t="s">
        <v>548</v>
      </c>
      <c r="Q91" s="64" t="s">
        <v>9</v>
      </c>
      <c r="R91" s="62">
        <v>16193.616770698387</v>
      </c>
      <c r="S91" s="73">
        <v>11000</v>
      </c>
      <c r="T91" s="62">
        <v>16193.616770698387</v>
      </c>
      <c r="U91" s="62">
        <v>73607.348957719936</v>
      </c>
      <c r="V91" s="62">
        <v>993554.94052526203</v>
      </c>
      <c r="W91" s="61" t="s">
        <v>11</v>
      </c>
      <c r="X91" s="236">
        <v>3.7999999999999999E-2</v>
      </c>
      <c r="Y91" s="60">
        <v>44285</v>
      </c>
      <c r="Z91" s="60">
        <v>45413</v>
      </c>
      <c r="AA91" s="249">
        <v>45413</v>
      </c>
      <c r="AB91" s="246">
        <v>1129</v>
      </c>
      <c r="AC91" s="176" t="s">
        <v>10</v>
      </c>
      <c r="AD91" s="246">
        <v>671</v>
      </c>
      <c r="AE91" s="247">
        <v>1.8383561643835618</v>
      </c>
      <c r="AF91" s="173"/>
      <c r="AG91" s="248" t="s">
        <v>1</v>
      </c>
      <c r="AH91" s="248" t="s">
        <v>1</v>
      </c>
      <c r="AI91" s="218" t="s">
        <v>817</v>
      </c>
      <c r="AJ91" s="11" t="s">
        <v>0</v>
      </c>
      <c r="AK91" s="11" t="s">
        <v>271</v>
      </c>
      <c r="AL91" s="217" t="s">
        <v>576</v>
      </c>
      <c r="AM91" s="11">
        <v>12225</v>
      </c>
      <c r="AO91" s="197" t="s">
        <v>36</v>
      </c>
      <c r="AP91" s="198" t="s">
        <v>104</v>
      </c>
      <c r="AS91" s="212">
        <v>0</v>
      </c>
      <c r="AT91" s="212">
        <v>1943.2340124838063</v>
      </c>
      <c r="AU91" s="212" t="b">
        <v>0</v>
      </c>
      <c r="AV91" s="212"/>
      <c r="AW91" s="212">
        <v>0</v>
      </c>
      <c r="AX91" s="212">
        <v>0</v>
      </c>
      <c r="BA91" s="212">
        <v>0</v>
      </c>
      <c r="BB91" s="212">
        <v>0</v>
      </c>
      <c r="BC91" s="212">
        <v>0</v>
      </c>
      <c r="BD91" s="226">
        <v>0</v>
      </c>
      <c r="BE91" s="226"/>
    </row>
    <row r="92" spans="1:57" ht="39.950000000000003" customHeight="1" x14ac:dyDescent="0.2">
      <c r="A92" s="14" t="s">
        <v>578</v>
      </c>
      <c r="B92" s="13" t="s">
        <v>23</v>
      </c>
      <c r="C92" s="66" t="s">
        <v>149</v>
      </c>
      <c r="D92" s="14" t="s">
        <v>496</v>
      </c>
      <c r="E92" s="77" t="s">
        <v>125</v>
      </c>
      <c r="F92" s="14" t="s">
        <v>104</v>
      </c>
      <c r="G92" s="14" t="s">
        <v>111</v>
      </c>
      <c r="H92" s="66" t="s">
        <v>450</v>
      </c>
      <c r="I92" s="66" t="s">
        <v>283</v>
      </c>
      <c r="J92" s="66" t="s">
        <v>148</v>
      </c>
      <c r="K92" s="14" t="s">
        <v>209</v>
      </c>
      <c r="L92" s="65" t="s">
        <v>191</v>
      </c>
      <c r="M92" s="65" t="s">
        <v>59</v>
      </c>
      <c r="N92" s="13" t="s">
        <v>43</v>
      </c>
      <c r="O92" s="13" t="s">
        <v>531</v>
      </c>
      <c r="P92" s="13" t="s">
        <v>548</v>
      </c>
      <c r="Q92" s="64" t="s">
        <v>9</v>
      </c>
      <c r="R92" s="62">
        <v>22082.204687315982</v>
      </c>
      <c r="S92" s="73">
        <v>15000</v>
      </c>
      <c r="T92" s="62">
        <v>22082.204687315982</v>
      </c>
      <c r="U92" s="62">
        <v>117771.75833235191</v>
      </c>
      <c r="V92" s="62">
        <v>1159667.8247556237</v>
      </c>
      <c r="W92" s="61" t="s">
        <v>11</v>
      </c>
      <c r="X92" s="250">
        <v>0.03</v>
      </c>
      <c r="Y92" s="60">
        <v>44328</v>
      </c>
      <c r="Z92" s="60">
        <v>46505</v>
      </c>
      <c r="AA92" s="60">
        <v>46505</v>
      </c>
      <c r="AB92" s="246">
        <v>2178</v>
      </c>
      <c r="AC92" s="176" t="s">
        <v>10</v>
      </c>
      <c r="AD92" s="58">
        <v>1763</v>
      </c>
      <c r="AE92" s="57">
        <v>4.8301369863013699</v>
      </c>
      <c r="AF92" s="184"/>
      <c r="AG92" s="251" t="s">
        <v>1</v>
      </c>
      <c r="AH92" s="251" t="s">
        <v>1</v>
      </c>
      <c r="AI92" s="245" t="s">
        <v>0</v>
      </c>
      <c r="AJ92" s="11" t="s">
        <v>0</v>
      </c>
      <c r="AK92" s="11" t="s">
        <v>271</v>
      </c>
      <c r="AL92" s="14" t="s">
        <v>579</v>
      </c>
      <c r="AO92" s="197" t="s">
        <v>125</v>
      </c>
      <c r="AP92" s="198" t="s">
        <v>104</v>
      </c>
      <c r="AS92" s="212">
        <v>0</v>
      </c>
      <c r="AT92" s="212">
        <v>2649.8645624779178</v>
      </c>
      <c r="AU92" s="212" t="b">
        <v>0</v>
      </c>
      <c r="AV92" s="212"/>
      <c r="AW92" s="212">
        <v>0</v>
      </c>
      <c r="AX92" s="212">
        <v>0</v>
      </c>
      <c r="BA92" s="212">
        <v>0</v>
      </c>
      <c r="BB92" s="212">
        <v>0</v>
      </c>
      <c r="BC92" s="212">
        <v>0</v>
      </c>
      <c r="BD92" s="226">
        <v>0</v>
      </c>
      <c r="BE92" s="226"/>
    </row>
    <row r="93" spans="1:57" ht="39.950000000000003" customHeight="1" x14ac:dyDescent="0.2">
      <c r="A93" s="14" t="s">
        <v>586</v>
      </c>
      <c r="B93" s="13" t="s">
        <v>67</v>
      </c>
      <c r="C93" s="66" t="s">
        <v>38</v>
      </c>
      <c r="D93" s="14" t="s">
        <v>540</v>
      </c>
      <c r="E93" s="77" t="s">
        <v>229</v>
      </c>
      <c r="F93" s="14" t="s">
        <v>102</v>
      </c>
      <c r="G93" s="14" t="s">
        <v>102</v>
      </c>
      <c r="H93" s="66" t="s">
        <v>474</v>
      </c>
      <c r="I93" s="66" t="s">
        <v>142</v>
      </c>
      <c r="J93" s="66" t="s">
        <v>218</v>
      </c>
      <c r="K93" s="14" t="s">
        <v>209</v>
      </c>
      <c r="L93" s="65" t="s">
        <v>191</v>
      </c>
      <c r="M93" s="65" t="s">
        <v>323</v>
      </c>
      <c r="N93" s="13" t="s">
        <v>43</v>
      </c>
      <c r="O93" s="13" t="s">
        <v>531</v>
      </c>
      <c r="P93" s="13" t="s">
        <v>534</v>
      </c>
      <c r="Q93" s="64" t="s">
        <v>9</v>
      </c>
      <c r="R93" s="62">
        <v>11041.102343657991</v>
      </c>
      <c r="S93" s="73">
        <v>7500</v>
      </c>
      <c r="T93" s="62">
        <v>11041.102343657991</v>
      </c>
      <c r="U93" s="62">
        <v>13801.377929572489</v>
      </c>
      <c r="V93" s="62">
        <v>1021163.9530090684</v>
      </c>
      <c r="W93" s="61" t="s">
        <v>11</v>
      </c>
      <c r="X93" s="250">
        <v>0.06</v>
      </c>
      <c r="Y93" s="60">
        <v>44349</v>
      </c>
      <c r="Z93" s="60">
        <v>45419</v>
      </c>
      <c r="AA93" s="60">
        <v>45419</v>
      </c>
      <c r="AB93" s="246">
        <v>1071</v>
      </c>
      <c r="AC93" s="176" t="s">
        <v>10</v>
      </c>
      <c r="AD93" s="58">
        <v>677</v>
      </c>
      <c r="AE93" s="57">
        <v>1.8547945205479452</v>
      </c>
      <c r="AF93" s="184"/>
      <c r="AG93" s="251" t="s">
        <v>1</v>
      </c>
      <c r="AH93" s="251" t="s">
        <v>1</v>
      </c>
      <c r="AI93" s="245" t="s">
        <v>0</v>
      </c>
      <c r="AJ93" s="11" t="s">
        <v>0</v>
      </c>
      <c r="AK93" s="11" t="s">
        <v>271</v>
      </c>
      <c r="AL93" s="14" t="s">
        <v>580</v>
      </c>
      <c r="AO93" s="197" t="s">
        <v>229</v>
      </c>
      <c r="AP93" s="198" t="s">
        <v>102</v>
      </c>
      <c r="AS93" s="212">
        <v>0</v>
      </c>
      <c r="AT93" s="212">
        <v>1324.9322812389589</v>
      </c>
      <c r="AU93" s="212" t="b">
        <v>0</v>
      </c>
      <c r="AV93" s="212"/>
      <c r="AW93" s="212">
        <v>0</v>
      </c>
      <c r="AX93" s="212">
        <v>0</v>
      </c>
      <c r="BA93" s="212">
        <v>0</v>
      </c>
      <c r="BB93" s="212">
        <v>0</v>
      </c>
      <c r="BC93" s="212">
        <v>0</v>
      </c>
      <c r="BD93" s="226">
        <v>0</v>
      </c>
      <c r="BE93" s="226"/>
    </row>
    <row r="94" spans="1:57" ht="39.950000000000003" customHeight="1" x14ac:dyDescent="0.2">
      <c r="A94" s="14" t="s">
        <v>587</v>
      </c>
      <c r="B94" s="13" t="s">
        <v>67</v>
      </c>
      <c r="C94" s="66" t="s">
        <v>588</v>
      </c>
      <c r="D94" s="14" t="s">
        <v>499</v>
      </c>
      <c r="E94" s="77" t="s">
        <v>162</v>
      </c>
      <c r="F94" s="14" t="s">
        <v>233</v>
      </c>
      <c r="G94" s="14" t="s">
        <v>443</v>
      </c>
      <c r="H94" s="14" t="s">
        <v>234</v>
      </c>
      <c r="I94" s="66" t="s">
        <v>589</v>
      </c>
      <c r="J94" s="66" t="s">
        <v>218</v>
      </c>
      <c r="K94" s="14" t="s">
        <v>209</v>
      </c>
      <c r="L94" s="65" t="s">
        <v>191</v>
      </c>
      <c r="M94" s="65" t="s">
        <v>59</v>
      </c>
      <c r="N94" s="13" t="s">
        <v>43</v>
      </c>
      <c r="O94" s="13" t="s">
        <v>531</v>
      </c>
      <c r="P94" s="13" t="s">
        <v>534</v>
      </c>
      <c r="Q94" s="64" t="s">
        <v>9</v>
      </c>
      <c r="R94" s="62">
        <v>22082.204687315982</v>
      </c>
      <c r="S94" s="73">
        <v>15000</v>
      </c>
      <c r="T94" s="62">
        <v>22082.204687315982</v>
      </c>
      <c r="U94" s="62">
        <v>44164.409374631963</v>
      </c>
      <c r="V94" s="62">
        <v>2370709.4423507242</v>
      </c>
      <c r="W94" s="61" t="s">
        <v>11</v>
      </c>
      <c r="X94" s="250">
        <v>5.7500000000000002E-2</v>
      </c>
      <c r="Y94" s="60">
        <v>44365</v>
      </c>
      <c r="Z94" s="60">
        <v>46107</v>
      </c>
      <c r="AA94" s="60">
        <v>46107</v>
      </c>
      <c r="AB94" s="246">
        <v>1743</v>
      </c>
      <c r="AC94" s="176" t="s">
        <v>10</v>
      </c>
      <c r="AD94" s="58">
        <v>1365</v>
      </c>
      <c r="AE94" s="57">
        <v>3.7397260273972601</v>
      </c>
      <c r="AF94" s="184"/>
      <c r="AG94" s="251" t="s">
        <v>1</v>
      </c>
      <c r="AH94" s="251" t="s">
        <v>1</v>
      </c>
      <c r="AI94" s="245" t="s">
        <v>0</v>
      </c>
      <c r="AJ94" s="11" t="s">
        <v>0</v>
      </c>
      <c r="AK94" s="11" t="s">
        <v>271</v>
      </c>
      <c r="AL94" s="14" t="s">
        <v>581</v>
      </c>
      <c r="AO94" s="197" t="s">
        <v>162</v>
      </c>
      <c r="AP94" s="198" t="s">
        <v>233</v>
      </c>
      <c r="AS94" s="212">
        <v>0</v>
      </c>
      <c r="AT94" s="212">
        <v>2649.8645624779178</v>
      </c>
      <c r="AU94" s="212" t="b">
        <v>0</v>
      </c>
      <c r="AV94" s="212"/>
      <c r="AW94" s="212">
        <v>0</v>
      </c>
      <c r="AX94" s="212">
        <v>0</v>
      </c>
      <c r="BA94" s="212">
        <v>0</v>
      </c>
      <c r="BB94" s="212">
        <v>0</v>
      </c>
      <c r="BC94" s="212">
        <v>0</v>
      </c>
      <c r="BD94" s="226">
        <v>0</v>
      </c>
      <c r="BE94" s="226"/>
    </row>
    <row r="95" spans="1:57" ht="39.950000000000003" customHeight="1" x14ac:dyDescent="0.2">
      <c r="A95" s="14" t="s">
        <v>590</v>
      </c>
      <c r="B95" s="13" t="s">
        <v>24</v>
      </c>
      <c r="C95" s="66" t="s">
        <v>38</v>
      </c>
      <c r="D95" s="14" t="s">
        <v>540</v>
      </c>
      <c r="E95" s="77" t="s">
        <v>35</v>
      </c>
      <c r="F95" s="14" t="s">
        <v>104</v>
      </c>
      <c r="G95" s="14" t="s">
        <v>111</v>
      </c>
      <c r="H95" s="66" t="s">
        <v>450</v>
      </c>
      <c r="I95" s="66" t="s">
        <v>591</v>
      </c>
      <c r="J95" s="66" t="s">
        <v>218</v>
      </c>
      <c r="K95" s="217" t="s">
        <v>209</v>
      </c>
      <c r="L95" s="65" t="s">
        <v>191</v>
      </c>
      <c r="M95" s="65" t="s">
        <v>323</v>
      </c>
      <c r="N95" s="13" t="s">
        <v>43</v>
      </c>
      <c r="O95" s="13" t="s">
        <v>538</v>
      </c>
      <c r="P95" s="13" t="s">
        <v>534</v>
      </c>
      <c r="Q95" s="64" t="s">
        <v>66</v>
      </c>
      <c r="R95" s="62">
        <v>20625.40336040948</v>
      </c>
      <c r="S95" s="73">
        <v>1112163</v>
      </c>
      <c r="T95" s="62">
        <v>20625.40336040948</v>
      </c>
      <c r="U95" s="62">
        <v>62442.064463484297</v>
      </c>
      <c r="V95" s="62">
        <v>1270157.5458996329</v>
      </c>
      <c r="W95" s="61" t="s">
        <v>11</v>
      </c>
      <c r="X95" s="250">
        <v>0.05</v>
      </c>
      <c r="Y95" s="60">
        <v>44369</v>
      </c>
      <c r="Z95" s="60">
        <v>45415</v>
      </c>
      <c r="AA95" s="60">
        <v>45415</v>
      </c>
      <c r="AB95" s="58">
        <v>1047</v>
      </c>
      <c r="AC95" s="59" t="s">
        <v>10</v>
      </c>
      <c r="AD95" s="58">
        <v>673</v>
      </c>
      <c r="AE95" s="57">
        <v>1.8438356164383563</v>
      </c>
      <c r="AF95" s="184" t="s">
        <v>436</v>
      </c>
      <c r="AG95" s="251" t="s">
        <v>1</v>
      </c>
      <c r="AH95" s="251" t="s">
        <v>1</v>
      </c>
      <c r="AI95" s="245" t="s">
        <v>0</v>
      </c>
      <c r="AJ95" s="11" t="s">
        <v>0</v>
      </c>
      <c r="AK95" s="11" t="s">
        <v>271</v>
      </c>
      <c r="AL95" s="14" t="s">
        <v>592</v>
      </c>
      <c r="AO95" s="197" t="s">
        <v>35</v>
      </c>
      <c r="AP95" s="198" t="s">
        <v>104</v>
      </c>
      <c r="AS95" s="212">
        <v>0</v>
      </c>
      <c r="AT95" s="212">
        <v>2475.0484032491377</v>
      </c>
      <c r="AU95" s="212">
        <v>495.00968064982754</v>
      </c>
      <c r="AV95" s="212"/>
      <c r="AW95" s="212">
        <v>0</v>
      </c>
      <c r="AX95" s="212">
        <v>0</v>
      </c>
      <c r="BA95" s="212">
        <v>0</v>
      </c>
      <c r="BB95" s="212">
        <v>0</v>
      </c>
      <c r="BC95" s="212">
        <v>0</v>
      </c>
      <c r="BD95" s="226">
        <v>0</v>
      </c>
      <c r="BE95" s="226"/>
    </row>
    <row r="96" spans="1:57" ht="39.950000000000003" customHeight="1" x14ac:dyDescent="0.2">
      <c r="A96" s="14" t="s">
        <v>593</v>
      </c>
      <c r="B96" s="13" t="s">
        <v>67</v>
      </c>
      <c r="C96" s="66" t="s">
        <v>588</v>
      </c>
      <c r="D96" s="14" t="s">
        <v>542</v>
      </c>
      <c r="E96" s="77" t="s">
        <v>127</v>
      </c>
      <c r="F96" s="14" t="s">
        <v>546</v>
      </c>
      <c r="G96" s="66" t="s">
        <v>167</v>
      </c>
      <c r="H96" s="14" t="s">
        <v>167</v>
      </c>
      <c r="I96" s="66" t="s">
        <v>589</v>
      </c>
      <c r="J96" s="66" t="s">
        <v>218</v>
      </c>
      <c r="K96" s="14" t="s">
        <v>140</v>
      </c>
      <c r="L96" s="65" t="s">
        <v>191</v>
      </c>
      <c r="M96" s="65" t="s">
        <v>59</v>
      </c>
      <c r="N96" s="13" t="s">
        <v>43</v>
      </c>
      <c r="O96" s="13" t="s">
        <v>538</v>
      </c>
      <c r="P96" s="13" t="s">
        <v>534</v>
      </c>
      <c r="Q96" s="64" t="s">
        <v>59</v>
      </c>
      <c r="R96" s="62">
        <v>22664.087997098999</v>
      </c>
      <c r="S96" s="73">
        <v>15000</v>
      </c>
      <c r="T96" s="62">
        <v>22664.087997098999</v>
      </c>
      <c r="U96" s="62">
        <v>151093.91998065999</v>
      </c>
      <c r="V96" s="62">
        <v>1532167.6387042184</v>
      </c>
      <c r="W96" s="61" t="s">
        <v>11</v>
      </c>
      <c r="X96" s="250">
        <v>2.8500000000000001E-2</v>
      </c>
      <c r="Y96" s="60">
        <v>44372</v>
      </c>
      <c r="Z96" s="60">
        <v>46475</v>
      </c>
      <c r="AA96" s="60">
        <v>46475</v>
      </c>
      <c r="AB96" s="58">
        <v>2104</v>
      </c>
      <c r="AC96" s="59" t="s">
        <v>10</v>
      </c>
      <c r="AD96" s="58">
        <v>1733</v>
      </c>
      <c r="AE96" s="57">
        <v>4.7479452054794518</v>
      </c>
      <c r="AF96" s="184"/>
      <c r="AG96" s="251" t="s">
        <v>1</v>
      </c>
      <c r="AH96" s="251" t="s">
        <v>1</v>
      </c>
      <c r="AI96" s="245" t="s">
        <v>0</v>
      </c>
      <c r="AJ96" s="11" t="s">
        <v>0</v>
      </c>
      <c r="AK96" s="11" t="s">
        <v>271</v>
      </c>
      <c r="AL96" s="14" t="s">
        <v>582</v>
      </c>
      <c r="AO96" s="197" t="s">
        <v>127</v>
      </c>
      <c r="AP96" s="198" t="s">
        <v>546</v>
      </c>
      <c r="AS96" s="212">
        <v>0</v>
      </c>
      <c r="AT96" s="212">
        <v>2719.69055965188</v>
      </c>
      <c r="AU96" s="212" t="b">
        <v>0</v>
      </c>
      <c r="AV96" s="212"/>
      <c r="AW96" s="212">
        <v>0</v>
      </c>
      <c r="AX96" s="212">
        <v>0</v>
      </c>
      <c r="BA96" s="212">
        <v>0</v>
      </c>
      <c r="BB96" s="212">
        <v>0</v>
      </c>
      <c r="BC96" s="212">
        <v>0</v>
      </c>
      <c r="BD96" s="226">
        <v>0</v>
      </c>
      <c r="BE96" s="226"/>
    </row>
    <row r="97" spans="1:57" ht="39.950000000000003" customHeight="1" x14ac:dyDescent="0.2">
      <c r="A97" s="14" t="s">
        <v>594</v>
      </c>
      <c r="B97" s="13" t="s">
        <v>67</v>
      </c>
      <c r="C97" s="66" t="s">
        <v>588</v>
      </c>
      <c r="D97" s="14" t="s">
        <v>499</v>
      </c>
      <c r="E97" s="252" t="s">
        <v>162</v>
      </c>
      <c r="F97" s="14" t="s">
        <v>233</v>
      </c>
      <c r="G97" s="14" t="s">
        <v>443</v>
      </c>
      <c r="H97" s="14" t="s">
        <v>234</v>
      </c>
      <c r="I97" s="66" t="s">
        <v>589</v>
      </c>
      <c r="J97" s="66" t="s">
        <v>218</v>
      </c>
      <c r="K97" s="217" t="s">
        <v>209</v>
      </c>
      <c r="L97" s="65" t="s">
        <v>191</v>
      </c>
      <c r="M97" s="65" t="s">
        <v>59</v>
      </c>
      <c r="N97" s="13" t="s">
        <v>43</v>
      </c>
      <c r="O97" s="13" t="s">
        <v>538</v>
      </c>
      <c r="P97" s="13" t="s">
        <v>534</v>
      </c>
      <c r="Q97" s="64" t="s">
        <v>9</v>
      </c>
      <c r="R97" s="62">
        <v>22082.204687315982</v>
      </c>
      <c r="S97" s="73">
        <v>15000</v>
      </c>
      <c r="T97" s="62">
        <v>22082.204687315982</v>
      </c>
      <c r="U97" s="62">
        <v>102755.85914497703</v>
      </c>
      <c r="V97" s="62">
        <v>1871639.3092686373</v>
      </c>
      <c r="W97" s="61" t="s">
        <v>11</v>
      </c>
      <c r="X97" s="250">
        <v>4.4999999999999998E-2</v>
      </c>
      <c r="Y97" s="60">
        <v>44372</v>
      </c>
      <c r="Z97" s="60">
        <v>46112</v>
      </c>
      <c r="AA97" s="60">
        <v>46112</v>
      </c>
      <c r="AB97" s="58">
        <v>1741</v>
      </c>
      <c r="AC97" s="59" t="s">
        <v>10</v>
      </c>
      <c r="AD97" s="58">
        <v>1370</v>
      </c>
      <c r="AE97" s="57">
        <v>3.7534246575342465</v>
      </c>
      <c r="AF97" s="184"/>
      <c r="AG97" s="251" t="s">
        <v>1</v>
      </c>
      <c r="AH97" s="251" t="s">
        <v>1</v>
      </c>
      <c r="AI97" s="245" t="s">
        <v>0</v>
      </c>
      <c r="AJ97" s="11" t="s">
        <v>0</v>
      </c>
      <c r="AK97" s="11" t="s">
        <v>271</v>
      </c>
      <c r="AL97" s="14" t="s">
        <v>583</v>
      </c>
      <c r="AO97" s="197" t="s">
        <v>162</v>
      </c>
      <c r="AP97" s="198" t="s">
        <v>233</v>
      </c>
      <c r="AS97" s="212">
        <v>0</v>
      </c>
      <c r="AT97" s="212">
        <v>2649.8645624779178</v>
      </c>
      <c r="AU97" s="212" t="b">
        <v>0</v>
      </c>
      <c r="AV97" s="212"/>
      <c r="AW97" s="212">
        <v>0</v>
      </c>
      <c r="AX97" s="212">
        <v>0</v>
      </c>
      <c r="BA97" s="212">
        <v>0</v>
      </c>
      <c r="BB97" s="212">
        <v>0</v>
      </c>
      <c r="BC97" s="212">
        <v>0</v>
      </c>
      <c r="BD97" s="226">
        <v>0</v>
      </c>
      <c r="BE97" s="226"/>
    </row>
    <row r="98" spans="1:57" ht="39.950000000000003" customHeight="1" x14ac:dyDescent="0.2">
      <c r="A98" s="14" t="s">
        <v>595</v>
      </c>
      <c r="B98" s="13" t="s">
        <v>51</v>
      </c>
      <c r="C98" s="66" t="s">
        <v>38</v>
      </c>
      <c r="D98" s="14" t="s">
        <v>540</v>
      </c>
      <c r="E98" s="77" t="s">
        <v>36</v>
      </c>
      <c r="F98" s="14" t="s">
        <v>102</v>
      </c>
      <c r="G98" s="14" t="s">
        <v>102</v>
      </c>
      <c r="H98" s="222" t="s">
        <v>474</v>
      </c>
      <c r="I98" s="66" t="s">
        <v>142</v>
      </c>
      <c r="J98" s="66" t="s">
        <v>218</v>
      </c>
      <c r="K98" s="217" t="s">
        <v>209</v>
      </c>
      <c r="L98" s="65" t="s">
        <v>191</v>
      </c>
      <c r="M98" s="65" t="s">
        <v>323</v>
      </c>
      <c r="N98" s="13" t="s">
        <v>43</v>
      </c>
      <c r="O98" s="13" t="s">
        <v>538</v>
      </c>
      <c r="P98" s="13" t="s">
        <v>534</v>
      </c>
      <c r="Q98" s="64" t="s">
        <v>9</v>
      </c>
      <c r="R98" s="62">
        <v>22082.204687315982</v>
      </c>
      <c r="S98" s="73">
        <v>15000</v>
      </c>
      <c r="T98" s="62">
        <v>22082.204687315982</v>
      </c>
      <c r="U98" s="62">
        <v>44164.409374631963</v>
      </c>
      <c r="V98" s="62">
        <v>2690962.0186079377</v>
      </c>
      <c r="W98" s="61" t="s">
        <v>11</v>
      </c>
      <c r="X98" s="250">
        <v>7.85E-2</v>
      </c>
      <c r="Y98" s="60">
        <v>44377</v>
      </c>
      <c r="Z98" s="60">
        <v>45460</v>
      </c>
      <c r="AA98" s="60">
        <v>45460</v>
      </c>
      <c r="AB98" s="58">
        <v>1084</v>
      </c>
      <c r="AC98" s="59" t="s">
        <v>10</v>
      </c>
      <c r="AD98" s="58">
        <v>718</v>
      </c>
      <c r="AE98" s="57">
        <v>1.9671232876712328</v>
      </c>
      <c r="AF98" s="184"/>
      <c r="AG98" s="251" t="s">
        <v>1</v>
      </c>
      <c r="AH98" s="251" t="s">
        <v>1</v>
      </c>
      <c r="AI98" s="245" t="s">
        <v>0</v>
      </c>
      <c r="AJ98" s="11" t="s">
        <v>0</v>
      </c>
      <c r="AK98" s="11" t="s">
        <v>271</v>
      </c>
      <c r="AL98" s="14" t="s">
        <v>584</v>
      </c>
      <c r="AO98" s="197" t="s">
        <v>36</v>
      </c>
      <c r="AP98" s="198" t="s">
        <v>102</v>
      </c>
      <c r="AS98" s="212">
        <v>0</v>
      </c>
      <c r="AT98" s="212">
        <v>2649.8645624779178</v>
      </c>
      <c r="AU98" s="212" t="b">
        <v>0</v>
      </c>
      <c r="AV98" s="212"/>
      <c r="AW98" s="212">
        <v>0</v>
      </c>
      <c r="AX98" s="212">
        <v>0</v>
      </c>
      <c r="BA98" s="212">
        <v>0</v>
      </c>
      <c r="BB98" s="212">
        <v>0</v>
      </c>
      <c r="BC98" s="212">
        <v>0</v>
      </c>
      <c r="BD98" s="226">
        <v>0</v>
      </c>
      <c r="BE98" s="226"/>
    </row>
    <row r="99" spans="1:57" ht="39.950000000000003" customHeight="1" x14ac:dyDescent="0.2">
      <c r="A99" s="14" t="s">
        <v>596</v>
      </c>
      <c r="B99" s="13" t="s">
        <v>24</v>
      </c>
      <c r="C99" s="66" t="s">
        <v>166</v>
      </c>
      <c r="D99" s="14" t="s">
        <v>542</v>
      </c>
      <c r="E99" s="77" t="s">
        <v>166</v>
      </c>
      <c r="F99" s="14" t="s">
        <v>102</v>
      </c>
      <c r="G99" s="14" t="s">
        <v>102</v>
      </c>
      <c r="H99" s="66" t="s">
        <v>103</v>
      </c>
      <c r="I99" s="66" t="s">
        <v>597</v>
      </c>
      <c r="J99" s="66" t="s">
        <v>220</v>
      </c>
      <c r="K99" s="217" t="s">
        <v>209</v>
      </c>
      <c r="L99" s="65" t="s">
        <v>191</v>
      </c>
      <c r="M99" s="65" t="s">
        <v>59</v>
      </c>
      <c r="N99" s="13" t="s">
        <v>43</v>
      </c>
      <c r="O99" s="13" t="s">
        <v>538</v>
      </c>
      <c r="P99" s="13" t="s">
        <v>534</v>
      </c>
      <c r="Q99" s="64" t="s">
        <v>59</v>
      </c>
      <c r="R99" s="62">
        <v>33240.662395745196</v>
      </c>
      <c r="S99" s="73">
        <v>22000</v>
      </c>
      <c r="T99" s="62">
        <v>33240.662395745196</v>
      </c>
      <c r="U99" s="62">
        <v>280430.31548410491</v>
      </c>
      <c r="V99" s="62">
        <v>1643476.0516136833</v>
      </c>
      <c r="W99" s="61" t="s">
        <v>11</v>
      </c>
      <c r="X99" s="250">
        <v>1.4500000000000001E-2</v>
      </c>
      <c r="Y99" s="60">
        <v>44376</v>
      </c>
      <c r="Z99" s="60">
        <v>46565</v>
      </c>
      <c r="AA99" s="60">
        <v>46565</v>
      </c>
      <c r="AB99" s="58">
        <v>2190</v>
      </c>
      <c r="AC99" s="59" t="s">
        <v>10</v>
      </c>
      <c r="AD99" s="58">
        <v>1823</v>
      </c>
      <c r="AE99" s="57">
        <v>4.9945205479452053</v>
      </c>
      <c r="AF99" s="184" t="s">
        <v>436</v>
      </c>
      <c r="AG99" s="251" t="s">
        <v>1</v>
      </c>
      <c r="AH99" s="251" t="s">
        <v>1</v>
      </c>
      <c r="AI99" s="245" t="s">
        <v>0</v>
      </c>
      <c r="AJ99" s="11" t="s">
        <v>0</v>
      </c>
      <c r="AK99" s="11" t="s">
        <v>271</v>
      </c>
      <c r="AL99" s="14" t="s">
        <v>585</v>
      </c>
      <c r="AO99" s="197" t="s">
        <v>166</v>
      </c>
      <c r="AP99" s="198" t="s">
        <v>102</v>
      </c>
      <c r="AS99" s="212">
        <v>0</v>
      </c>
      <c r="AT99" s="212">
        <v>3988.8794874894234</v>
      </c>
      <c r="AU99" s="212">
        <v>797.77589749788467</v>
      </c>
      <c r="AV99" s="212"/>
      <c r="AW99" s="212">
        <v>0</v>
      </c>
      <c r="AX99" s="212">
        <v>0</v>
      </c>
      <c r="BA99" s="212">
        <v>0</v>
      </c>
      <c r="BB99" s="212">
        <v>0</v>
      </c>
      <c r="BC99" s="212">
        <v>0</v>
      </c>
      <c r="BD99" s="226">
        <v>0</v>
      </c>
      <c r="BE99" s="226"/>
    </row>
    <row r="100" spans="1:57" ht="39.950000000000003" customHeight="1" x14ac:dyDescent="0.2">
      <c r="A100" s="14" t="s">
        <v>625</v>
      </c>
      <c r="B100" s="13" t="s">
        <v>67</v>
      </c>
      <c r="C100" s="66" t="s">
        <v>127</v>
      </c>
      <c r="D100" s="14" t="s">
        <v>542</v>
      </c>
      <c r="E100" s="77" t="s">
        <v>88</v>
      </c>
      <c r="F100" s="14" t="s">
        <v>233</v>
      </c>
      <c r="G100" s="14" t="s">
        <v>443</v>
      </c>
      <c r="H100" s="14" t="s">
        <v>234</v>
      </c>
      <c r="I100" s="66" t="s">
        <v>165</v>
      </c>
      <c r="J100" s="66" t="s">
        <v>220</v>
      </c>
      <c r="K100" s="217" t="s">
        <v>140</v>
      </c>
      <c r="L100" s="65" t="s">
        <v>191</v>
      </c>
      <c r="M100" s="65" t="s">
        <v>59</v>
      </c>
      <c r="N100" s="13" t="s">
        <v>43</v>
      </c>
      <c r="O100" s="13" t="s">
        <v>538</v>
      </c>
      <c r="P100" s="13" t="s">
        <v>534</v>
      </c>
      <c r="Q100" s="64" t="s">
        <v>59</v>
      </c>
      <c r="R100" s="62">
        <v>15109.391998065998</v>
      </c>
      <c r="S100" s="73">
        <v>10000</v>
      </c>
      <c r="T100" s="62">
        <v>15109.391998065998</v>
      </c>
      <c r="U100" s="62">
        <v>75546.959990329997</v>
      </c>
      <c r="V100" s="62">
        <v>1434421.6578024901</v>
      </c>
      <c r="W100" s="61" t="s">
        <v>11</v>
      </c>
      <c r="X100" s="250">
        <v>2.5000000000000001E-2</v>
      </c>
      <c r="Y100" s="60">
        <v>44341</v>
      </c>
      <c r="Z100" s="60">
        <v>46837</v>
      </c>
      <c r="AA100" s="60">
        <v>46853</v>
      </c>
      <c r="AB100" s="58">
        <v>2513</v>
      </c>
      <c r="AC100" s="59" t="s">
        <v>10</v>
      </c>
      <c r="AD100" s="58">
        <v>2111</v>
      </c>
      <c r="AE100" s="57">
        <v>5.7835616438356166</v>
      </c>
      <c r="AF100" s="184"/>
      <c r="AG100" s="251" t="s">
        <v>1</v>
      </c>
      <c r="AH100" s="251" t="s">
        <v>1</v>
      </c>
      <c r="AI100" s="245" t="s">
        <v>0</v>
      </c>
      <c r="AJ100" s="11" t="s">
        <v>0</v>
      </c>
      <c r="AK100" s="11" t="s">
        <v>271</v>
      </c>
      <c r="AL100" s="14" t="s">
        <v>626</v>
      </c>
      <c r="AO100" s="197" t="s">
        <v>88</v>
      </c>
      <c r="AP100" s="198" t="s">
        <v>233</v>
      </c>
      <c r="AS100" s="212">
        <v>0</v>
      </c>
      <c r="AT100" s="212">
        <v>1813.1270397679195</v>
      </c>
      <c r="AU100" s="212" t="b">
        <v>0</v>
      </c>
      <c r="AV100" s="212"/>
      <c r="AW100" s="212">
        <v>0</v>
      </c>
      <c r="AX100" s="212">
        <v>0</v>
      </c>
      <c r="BA100" s="212">
        <v>0</v>
      </c>
      <c r="BB100" s="212">
        <v>0</v>
      </c>
      <c r="BC100" s="212">
        <v>0</v>
      </c>
      <c r="BD100" s="226">
        <v>0</v>
      </c>
      <c r="BE100" s="226"/>
    </row>
    <row r="101" spans="1:57" ht="39.950000000000003" customHeight="1" x14ac:dyDescent="0.2">
      <c r="A101" s="14" t="s">
        <v>630</v>
      </c>
      <c r="B101" s="13" t="s">
        <v>23</v>
      </c>
      <c r="C101" s="66" t="s">
        <v>89</v>
      </c>
      <c r="D101" s="14" t="s">
        <v>542</v>
      </c>
      <c r="E101" s="77" t="s">
        <v>87</v>
      </c>
      <c r="F101" s="14" t="s">
        <v>92</v>
      </c>
      <c r="G101" s="14" t="s">
        <v>134</v>
      </c>
      <c r="H101" s="66" t="s">
        <v>134</v>
      </c>
      <c r="I101" s="66" t="s">
        <v>631</v>
      </c>
      <c r="J101" s="66" t="s">
        <v>256</v>
      </c>
      <c r="K101" s="217" t="s">
        <v>140</v>
      </c>
      <c r="L101" s="65" t="s">
        <v>191</v>
      </c>
      <c r="M101" s="65" t="s">
        <v>59</v>
      </c>
      <c r="N101" s="13" t="s">
        <v>43</v>
      </c>
      <c r="O101" s="13" t="s">
        <v>533</v>
      </c>
      <c r="P101" s="13" t="s">
        <v>534</v>
      </c>
      <c r="Q101" s="64" t="s">
        <v>9</v>
      </c>
      <c r="R101" s="62">
        <v>22082.204687315982</v>
      </c>
      <c r="S101" s="73">
        <v>15000</v>
      </c>
      <c r="T101" s="62">
        <v>22082.204687315982</v>
      </c>
      <c r="U101" s="62">
        <v>184018.37239429986</v>
      </c>
      <c r="V101" s="62">
        <v>800855.05240843236</v>
      </c>
      <c r="W101" s="61" t="s">
        <v>11</v>
      </c>
      <c r="X101" s="250">
        <v>1.9E-2</v>
      </c>
      <c r="Y101" s="60">
        <v>44385</v>
      </c>
      <c r="Z101" s="60">
        <v>46386</v>
      </c>
      <c r="AA101" s="60">
        <v>46386</v>
      </c>
      <c r="AB101" s="58">
        <v>2002</v>
      </c>
      <c r="AC101" s="59" t="s">
        <v>10</v>
      </c>
      <c r="AD101" s="58">
        <v>1644</v>
      </c>
      <c r="AE101" s="57">
        <v>4.5041095890410956</v>
      </c>
      <c r="AF101" s="184"/>
      <c r="AG101" s="251" t="s">
        <v>1</v>
      </c>
      <c r="AH101" s="251" t="s">
        <v>1</v>
      </c>
      <c r="AI101" s="245" t="s">
        <v>0</v>
      </c>
      <c r="AJ101" s="11" t="s">
        <v>0</v>
      </c>
      <c r="AK101" s="11" t="s">
        <v>271</v>
      </c>
      <c r="AL101" s="14" t="s">
        <v>628</v>
      </c>
      <c r="AO101" s="197" t="s">
        <v>87</v>
      </c>
      <c r="AP101" s="198" t="s">
        <v>92</v>
      </c>
      <c r="AS101" s="212">
        <v>0</v>
      </c>
      <c r="AT101" s="212">
        <v>2649.8645624779178</v>
      </c>
      <c r="AU101" s="212" t="b">
        <v>0</v>
      </c>
      <c r="AV101" s="212"/>
      <c r="AW101" s="212">
        <v>0</v>
      </c>
      <c r="AX101" s="212">
        <v>0</v>
      </c>
      <c r="BA101" s="212">
        <v>0</v>
      </c>
      <c r="BB101" s="212">
        <v>0</v>
      </c>
      <c r="BC101" s="212">
        <v>0</v>
      </c>
      <c r="BD101" s="226">
        <v>0</v>
      </c>
      <c r="BE101" s="226"/>
    </row>
    <row r="102" spans="1:57" ht="39.950000000000003" customHeight="1" x14ac:dyDescent="0.2">
      <c r="A102" s="14" t="s">
        <v>636</v>
      </c>
      <c r="B102" s="13" t="s">
        <v>243</v>
      </c>
      <c r="C102" s="66" t="s">
        <v>37</v>
      </c>
      <c r="D102" s="14" t="s">
        <v>541</v>
      </c>
      <c r="E102" s="77" t="s">
        <v>152</v>
      </c>
      <c r="F102" s="14" t="s">
        <v>439</v>
      </c>
      <c r="G102" s="14" t="s">
        <v>445</v>
      </c>
      <c r="H102" s="66" t="s">
        <v>463</v>
      </c>
      <c r="I102" s="66" t="s">
        <v>526</v>
      </c>
      <c r="J102" s="66" t="s">
        <v>221</v>
      </c>
      <c r="K102" s="217" t="s">
        <v>140</v>
      </c>
      <c r="L102" s="65" t="s">
        <v>191</v>
      </c>
      <c r="M102" s="65" t="s">
        <v>323</v>
      </c>
      <c r="N102" s="13" t="s">
        <v>43</v>
      </c>
      <c r="O102" s="13" t="s">
        <v>538</v>
      </c>
      <c r="P102" s="13" t="s">
        <v>534</v>
      </c>
      <c r="Q102" s="64" t="s">
        <v>488</v>
      </c>
      <c r="R102" s="62">
        <v>10720.718145138511</v>
      </c>
      <c r="S102" s="62">
        <v>986842.10525999998</v>
      </c>
      <c r="T102" s="62">
        <v>10720.718145138511</v>
      </c>
      <c r="U102" s="62">
        <v>2402716.2629005974</v>
      </c>
      <c r="V102" s="62">
        <v>228464.27463335145</v>
      </c>
      <c r="W102" s="61" t="s">
        <v>11</v>
      </c>
      <c r="X102" s="250">
        <v>2.2499999999999999E-2</v>
      </c>
      <c r="Y102" s="60">
        <v>44418</v>
      </c>
      <c r="Z102" s="60">
        <v>45290</v>
      </c>
      <c r="AA102" s="60">
        <v>45290</v>
      </c>
      <c r="AB102" s="58">
        <v>873</v>
      </c>
      <c r="AC102" s="59" t="s">
        <v>10</v>
      </c>
      <c r="AD102" s="58">
        <v>548</v>
      </c>
      <c r="AE102" s="57">
        <v>1.5013698630136987</v>
      </c>
      <c r="AF102" s="184"/>
      <c r="AG102" s="251" t="s">
        <v>1</v>
      </c>
      <c r="AH102" s="251" t="s">
        <v>1</v>
      </c>
      <c r="AI102" s="245" t="s">
        <v>0</v>
      </c>
      <c r="AJ102" s="11" t="s">
        <v>0</v>
      </c>
      <c r="AK102" s="11" t="s">
        <v>271</v>
      </c>
      <c r="AL102" s="14" t="s">
        <v>632</v>
      </c>
      <c r="AO102" s="197" t="s">
        <v>152</v>
      </c>
      <c r="AP102" s="198" t="s">
        <v>439</v>
      </c>
      <c r="AS102" s="212">
        <v>0</v>
      </c>
      <c r="AT102" s="212">
        <v>1286.4861774166213</v>
      </c>
      <c r="AU102" s="212" t="b">
        <v>0</v>
      </c>
      <c r="AV102" s="212"/>
      <c r="AW102" s="212">
        <v>0</v>
      </c>
      <c r="AX102" s="212">
        <v>0</v>
      </c>
      <c r="BA102" s="212">
        <v>0</v>
      </c>
      <c r="BB102" s="212">
        <v>0</v>
      </c>
      <c r="BC102" s="212">
        <v>0</v>
      </c>
      <c r="BD102" s="226">
        <v>0</v>
      </c>
      <c r="BE102" s="226"/>
    </row>
    <row r="103" spans="1:57" ht="39.950000000000003" customHeight="1" x14ac:dyDescent="0.2">
      <c r="A103" s="14" t="s">
        <v>637</v>
      </c>
      <c r="B103" s="13" t="s">
        <v>67</v>
      </c>
      <c r="C103" s="66" t="s">
        <v>38</v>
      </c>
      <c r="D103" s="14" t="s">
        <v>540</v>
      </c>
      <c r="E103" s="77" t="s">
        <v>35</v>
      </c>
      <c r="F103" s="14" t="s">
        <v>546</v>
      </c>
      <c r="G103" s="14" t="s">
        <v>259</v>
      </c>
      <c r="H103" s="14" t="s">
        <v>258</v>
      </c>
      <c r="I103" s="66" t="s">
        <v>638</v>
      </c>
      <c r="J103" s="66" t="s">
        <v>687</v>
      </c>
      <c r="K103" s="217" t="s">
        <v>209</v>
      </c>
      <c r="L103" s="65" t="s">
        <v>191</v>
      </c>
      <c r="M103" s="65" t="s">
        <v>323</v>
      </c>
      <c r="N103" s="13" t="s">
        <v>43</v>
      </c>
      <c r="O103" s="13" t="s">
        <v>538</v>
      </c>
      <c r="P103" s="13" t="s">
        <v>534</v>
      </c>
      <c r="Q103" s="64" t="s">
        <v>9</v>
      </c>
      <c r="R103" s="62">
        <v>14721.469791543988</v>
      </c>
      <c r="S103" s="73">
        <v>10000</v>
      </c>
      <c r="T103" s="62">
        <v>14721.469791543988</v>
      </c>
      <c r="U103" s="62">
        <v>29442.939583087977</v>
      </c>
      <c r="V103" s="62">
        <v>832354.64020727831</v>
      </c>
      <c r="W103" s="61" t="s">
        <v>11</v>
      </c>
      <c r="X103" s="250">
        <v>0.04</v>
      </c>
      <c r="Y103" s="60">
        <v>44425</v>
      </c>
      <c r="Z103" s="60">
        <v>46233</v>
      </c>
      <c r="AA103" s="60">
        <v>46233</v>
      </c>
      <c r="AB103" s="58">
        <v>1809</v>
      </c>
      <c r="AC103" s="59" t="s">
        <v>10</v>
      </c>
      <c r="AD103" s="58">
        <v>1491</v>
      </c>
      <c r="AE103" s="57">
        <v>4.0849315068493155</v>
      </c>
      <c r="AF103" s="184"/>
      <c r="AG103" s="251" t="s">
        <v>1</v>
      </c>
      <c r="AH103" s="251" t="s">
        <v>1</v>
      </c>
      <c r="AI103" s="245" t="s">
        <v>0</v>
      </c>
      <c r="AJ103" s="11" t="s">
        <v>0</v>
      </c>
      <c r="AK103" s="11" t="s">
        <v>271</v>
      </c>
      <c r="AL103" s="14" t="s">
        <v>633</v>
      </c>
      <c r="AO103" s="197" t="s">
        <v>35</v>
      </c>
      <c r="AP103" s="198" t="s">
        <v>546</v>
      </c>
      <c r="AS103" s="212">
        <v>0</v>
      </c>
      <c r="AT103" s="212">
        <v>1766.5763749852786</v>
      </c>
      <c r="AU103" s="212" t="b">
        <v>0</v>
      </c>
      <c r="AV103" s="212"/>
      <c r="AW103" s="212">
        <v>0</v>
      </c>
      <c r="AX103" s="212">
        <v>0</v>
      </c>
      <c r="BA103" s="212">
        <v>0</v>
      </c>
      <c r="BB103" s="212">
        <v>0</v>
      </c>
      <c r="BC103" s="212">
        <v>0</v>
      </c>
      <c r="BD103" s="226">
        <v>0</v>
      </c>
      <c r="BE103" s="226"/>
    </row>
    <row r="104" spans="1:57" ht="39.950000000000003" customHeight="1" x14ac:dyDescent="0.2">
      <c r="A104" s="14" t="s">
        <v>639</v>
      </c>
      <c r="B104" s="13" t="s">
        <v>24</v>
      </c>
      <c r="C104" s="66" t="s">
        <v>38</v>
      </c>
      <c r="D104" s="14" t="s">
        <v>540</v>
      </c>
      <c r="E104" s="77" t="s">
        <v>35</v>
      </c>
      <c r="F104" s="14" t="s">
        <v>546</v>
      </c>
      <c r="G104" s="14" t="s">
        <v>259</v>
      </c>
      <c r="H104" s="14" t="s">
        <v>258</v>
      </c>
      <c r="I104" s="66" t="s">
        <v>638</v>
      </c>
      <c r="J104" s="66" t="s">
        <v>687</v>
      </c>
      <c r="K104" s="217" t="s">
        <v>139</v>
      </c>
      <c r="L104" s="65" t="s">
        <v>191</v>
      </c>
      <c r="M104" s="65" t="s">
        <v>323</v>
      </c>
      <c r="N104" s="13" t="s">
        <v>43</v>
      </c>
      <c r="O104" s="13" t="s">
        <v>538</v>
      </c>
      <c r="P104" s="13" t="s">
        <v>534</v>
      </c>
      <c r="Q104" s="64" t="s">
        <v>9</v>
      </c>
      <c r="R104" s="62">
        <v>29442.939583087977</v>
      </c>
      <c r="S104" s="73">
        <v>15000</v>
      </c>
      <c r="T104" s="62">
        <v>22082.204687315982</v>
      </c>
      <c r="U104" s="62">
        <v>58885.879166175953</v>
      </c>
      <c r="V104" s="62">
        <v>2059820.9869273347</v>
      </c>
      <c r="W104" s="61" t="s">
        <v>11</v>
      </c>
      <c r="X104" s="250">
        <v>3.3300000000000003E-2</v>
      </c>
      <c r="Y104" s="60">
        <v>44425</v>
      </c>
      <c r="Z104" s="60">
        <v>46240</v>
      </c>
      <c r="AA104" s="60">
        <v>46270</v>
      </c>
      <c r="AB104" s="58">
        <v>1846</v>
      </c>
      <c r="AC104" s="59" t="s">
        <v>10</v>
      </c>
      <c r="AD104" s="58">
        <v>1528</v>
      </c>
      <c r="AE104" s="57">
        <v>4.1863013698630134</v>
      </c>
      <c r="AF104" s="184" t="s">
        <v>436</v>
      </c>
      <c r="AG104" s="251" t="s">
        <v>1</v>
      </c>
      <c r="AH104" s="251" t="s">
        <v>1</v>
      </c>
      <c r="AI104" s="245" t="s">
        <v>0</v>
      </c>
      <c r="AJ104" s="11" t="s">
        <v>0</v>
      </c>
      <c r="AK104" s="11" t="s">
        <v>271</v>
      </c>
      <c r="AL104" s="14" t="s">
        <v>640</v>
      </c>
      <c r="AO104" s="197" t="s">
        <v>35</v>
      </c>
      <c r="AP104" s="198" t="s">
        <v>546</v>
      </c>
      <c r="AS104" s="212">
        <v>0</v>
      </c>
      <c r="AT104" s="212">
        <v>2649.8645624779178</v>
      </c>
      <c r="AU104" s="212">
        <v>529.97291249558361</v>
      </c>
      <c r="AV104" s="212"/>
      <c r="AW104" s="212">
        <v>0</v>
      </c>
      <c r="AX104" s="212">
        <v>0</v>
      </c>
      <c r="BA104" s="212">
        <v>0</v>
      </c>
      <c r="BB104" s="212">
        <v>0</v>
      </c>
      <c r="BC104" s="212">
        <v>0</v>
      </c>
      <c r="BD104" s="226">
        <v>0</v>
      </c>
      <c r="BE104" s="226"/>
    </row>
    <row r="105" spans="1:57" ht="39.950000000000003" customHeight="1" x14ac:dyDescent="0.2">
      <c r="A105" s="14" t="s">
        <v>641</v>
      </c>
      <c r="B105" s="13" t="s">
        <v>51</v>
      </c>
      <c r="C105" s="66" t="s">
        <v>38</v>
      </c>
      <c r="D105" s="14" t="s">
        <v>540</v>
      </c>
      <c r="E105" s="77" t="s">
        <v>35</v>
      </c>
      <c r="F105" s="14" t="s">
        <v>475</v>
      </c>
      <c r="G105" s="14" t="s">
        <v>138</v>
      </c>
      <c r="H105" s="66" t="s">
        <v>138</v>
      </c>
      <c r="I105" s="66" t="s">
        <v>638</v>
      </c>
      <c r="J105" s="66" t="s">
        <v>687</v>
      </c>
      <c r="K105" s="217" t="s">
        <v>209</v>
      </c>
      <c r="L105" s="65" t="s">
        <v>191</v>
      </c>
      <c r="M105" s="65" t="s">
        <v>323</v>
      </c>
      <c r="N105" s="13" t="s">
        <v>43</v>
      </c>
      <c r="O105" s="13" t="s">
        <v>538</v>
      </c>
      <c r="P105" s="13" t="s">
        <v>534</v>
      </c>
      <c r="Q105" s="64" t="s">
        <v>9</v>
      </c>
      <c r="R105" s="62">
        <v>11041.102343657991</v>
      </c>
      <c r="S105" s="73">
        <v>7500</v>
      </c>
      <c r="T105" s="62">
        <v>11041.102343657991</v>
      </c>
      <c r="U105" s="62">
        <v>22082.204687315982</v>
      </c>
      <c r="V105" s="62">
        <v>1595346.543398893</v>
      </c>
      <c r="W105" s="61" t="s">
        <v>11</v>
      </c>
      <c r="X105" s="250">
        <v>6.7500000000000004E-2</v>
      </c>
      <c r="Y105" s="60">
        <v>44434</v>
      </c>
      <c r="Z105" s="60">
        <v>45791</v>
      </c>
      <c r="AA105" s="60">
        <v>45821</v>
      </c>
      <c r="AB105" s="58">
        <v>1388</v>
      </c>
      <c r="AC105" s="59" t="s">
        <v>10</v>
      </c>
      <c r="AD105" s="58">
        <v>1079</v>
      </c>
      <c r="AE105" s="57">
        <v>2.956164383561644</v>
      </c>
      <c r="AF105" s="184"/>
      <c r="AG105" s="251" t="s">
        <v>1</v>
      </c>
      <c r="AH105" s="251" t="s">
        <v>1</v>
      </c>
      <c r="AI105" s="245" t="s">
        <v>0</v>
      </c>
      <c r="AJ105" s="11" t="s">
        <v>0</v>
      </c>
      <c r="AK105" s="11" t="s">
        <v>271</v>
      </c>
      <c r="AL105" s="14" t="s">
        <v>634</v>
      </c>
      <c r="AO105" s="197" t="s">
        <v>35</v>
      </c>
      <c r="AP105" s="198" t="s">
        <v>475</v>
      </c>
      <c r="AS105" s="212">
        <v>0</v>
      </c>
      <c r="AT105" s="212">
        <v>1324.9322812389589</v>
      </c>
      <c r="AU105" s="212" t="b">
        <v>0</v>
      </c>
      <c r="AV105" s="212"/>
      <c r="AW105" s="212">
        <v>0</v>
      </c>
      <c r="AX105" s="212">
        <v>0</v>
      </c>
      <c r="BA105" s="212">
        <v>0</v>
      </c>
      <c r="BB105" s="212">
        <v>0</v>
      </c>
      <c r="BC105" s="212">
        <v>0</v>
      </c>
      <c r="BD105" s="226">
        <v>0</v>
      </c>
      <c r="BE105" s="226"/>
    </row>
    <row r="106" spans="1:57" ht="39.950000000000003" customHeight="1" x14ac:dyDescent="0.2">
      <c r="A106" s="14" t="s">
        <v>642</v>
      </c>
      <c r="B106" s="13" t="s">
        <v>67</v>
      </c>
      <c r="C106" s="66" t="s">
        <v>588</v>
      </c>
      <c r="D106" s="14" t="s">
        <v>499</v>
      </c>
      <c r="E106" s="77" t="s">
        <v>643</v>
      </c>
      <c r="F106" s="14" t="s">
        <v>546</v>
      </c>
      <c r="G106" s="66" t="s">
        <v>167</v>
      </c>
      <c r="H106" s="66" t="s">
        <v>167</v>
      </c>
      <c r="I106" s="66" t="s">
        <v>589</v>
      </c>
      <c r="J106" s="66" t="s">
        <v>218</v>
      </c>
      <c r="K106" s="217" t="s">
        <v>209</v>
      </c>
      <c r="L106" s="65" t="s">
        <v>191</v>
      </c>
      <c r="M106" s="65" t="s">
        <v>59</v>
      </c>
      <c r="N106" s="13" t="s">
        <v>43</v>
      </c>
      <c r="O106" s="13" t="s">
        <v>538</v>
      </c>
      <c r="P106" s="13" t="s">
        <v>534</v>
      </c>
      <c r="Q106" s="64" t="s">
        <v>644</v>
      </c>
      <c r="R106" s="62">
        <v>16940.634370288386</v>
      </c>
      <c r="S106" s="73">
        <v>15000</v>
      </c>
      <c r="T106" s="62">
        <v>16940.634370288386</v>
      </c>
      <c r="U106" s="62">
        <v>33881.268740576772</v>
      </c>
      <c r="V106" s="62">
        <v>2271316.9649159461</v>
      </c>
      <c r="W106" s="61" t="s">
        <v>11</v>
      </c>
      <c r="X106" s="250">
        <v>5.7500000000000002E-2</v>
      </c>
      <c r="Y106" s="60">
        <v>44433</v>
      </c>
      <c r="Z106" s="60">
        <v>46142</v>
      </c>
      <c r="AA106" s="60">
        <v>46163</v>
      </c>
      <c r="AB106" s="58">
        <v>1731</v>
      </c>
      <c r="AC106" s="59" t="s">
        <v>10</v>
      </c>
      <c r="AD106" s="58">
        <v>1421</v>
      </c>
      <c r="AE106" s="57">
        <v>3.893150684931507</v>
      </c>
      <c r="AF106" s="184"/>
      <c r="AG106" s="251" t="s">
        <v>1</v>
      </c>
      <c r="AH106" s="251" t="s">
        <v>1</v>
      </c>
      <c r="AI106" s="245" t="s">
        <v>0</v>
      </c>
      <c r="AJ106" s="11" t="s">
        <v>0</v>
      </c>
      <c r="AK106" s="11" t="s">
        <v>271</v>
      </c>
      <c r="AL106" s="14" t="s">
        <v>635</v>
      </c>
      <c r="AO106" s="197" t="s">
        <v>643</v>
      </c>
      <c r="AP106" s="198" t="s">
        <v>546</v>
      </c>
      <c r="AS106" s="212">
        <v>0</v>
      </c>
      <c r="AT106" s="212">
        <v>2032.8761244346063</v>
      </c>
      <c r="AU106" s="212" t="b">
        <v>0</v>
      </c>
      <c r="AV106" s="212"/>
      <c r="AW106" s="212">
        <v>0</v>
      </c>
      <c r="AX106" s="212">
        <v>0</v>
      </c>
      <c r="BA106" s="212">
        <v>0</v>
      </c>
      <c r="BB106" s="212">
        <v>0</v>
      </c>
      <c r="BC106" s="212">
        <v>0</v>
      </c>
      <c r="BD106" s="226">
        <v>0</v>
      </c>
      <c r="BE106" s="226"/>
    </row>
    <row r="107" spans="1:57" ht="39.950000000000003" customHeight="1" x14ac:dyDescent="0.2">
      <c r="A107" s="14" t="s">
        <v>646</v>
      </c>
      <c r="B107" s="13" t="s">
        <v>67</v>
      </c>
      <c r="C107" s="66" t="s">
        <v>38</v>
      </c>
      <c r="D107" s="14" t="s">
        <v>540</v>
      </c>
      <c r="E107" s="77" t="s">
        <v>35</v>
      </c>
      <c r="F107" s="14" t="s">
        <v>546</v>
      </c>
      <c r="G107" s="14" t="s">
        <v>259</v>
      </c>
      <c r="H107" s="14" t="s">
        <v>258</v>
      </c>
      <c r="I107" s="66" t="s">
        <v>142</v>
      </c>
      <c r="J107" s="66" t="s">
        <v>218</v>
      </c>
      <c r="K107" s="217" t="s">
        <v>209</v>
      </c>
      <c r="L107" s="65" t="s">
        <v>191</v>
      </c>
      <c r="M107" s="65" t="s">
        <v>323</v>
      </c>
      <c r="N107" s="13" t="s">
        <v>43</v>
      </c>
      <c r="O107" s="13" t="s">
        <v>538</v>
      </c>
      <c r="P107" s="13" t="s">
        <v>534</v>
      </c>
      <c r="Q107" s="64" t="s">
        <v>9</v>
      </c>
      <c r="R107" s="62">
        <v>10157.814156165352</v>
      </c>
      <c r="S107" s="73">
        <v>6146.2755399999996</v>
      </c>
      <c r="T107" s="62">
        <v>10157.814156165352</v>
      </c>
      <c r="U107" s="62">
        <v>20315.628312330704</v>
      </c>
      <c r="V107" s="62">
        <v>704003.13567306555</v>
      </c>
      <c r="W107" s="61" t="s">
        <v>11</v>
      </c>
      <c r="X107" s="250">
        <v>0.04</v>
      </c>
      <c r="Y107" s="60">
        <v>44441</v>
      </c>
      <c r="Z107" s="60">
        <v>46217</v>
      </c>
      <c r="AA107" s="60">
        <v>46217</v>
      </c>
      <c r="AB107" s="58">
        <v>1777</v>
      </c>
      <c r="AC107" s="59" t="s">
        <v>10</v>
      </c>
      <c r="AD107" s="58">
        <v>1475</v>
      </c>
      <c r="AE107" s="57">
        <v>4.0410958904109586</v>
      </c>
      <c r="AF107" s="184"/>
      <c r="AG107" s="251" t="s">
        <v>1</v>
      </c>
      <c r="AH107" s="251" t="s">
        <v>1</v>
      </c>
      <c r="AI107" s="245" t="s">
        <v>0</v>
      </c>
      <c r="AJ107" s="11" t="s">
        <v>0</v>
      </c>
      <c r="AK107" s="11" t="s">
        <v>271</v>
      </c>
      <c r="AL107" s="14" t="s">
        <v>645</v>
      </c>
      <c r="AO107" s="197" t="s">
        <v>35</v>
      </c>
      <c r="AP107" s="198" t="s">
        <v>546</v>
      </c>
      <c r="AS107" s="212">
        <v>0</v>
      </c>
      <c r="AT107" s="212">
        <v>1218.9376987398423</v>
      </c>
      <c r="AU107" s="212" t="b">
        <v>0</v>
      </c>
      <c r="AV107" s="212"/>
      <c r="AW107" s="212">
        <v>0</v>
      </c>
      <c r="AX107" s="212">
        <v>0</v>
      </c>
      <c r="BA107" s="212">
        <v>0</v>
      </c>
      <c r="BB107" s="212">
        <v>0</v>
      </c>
      <c r="BC107" s="212">
        <v>0</v>
      </c>
      <c r="BD107" s="226">
        <v>0</v>
      </c>
      <c r="BE107" s="226"/>
    </row>
    <row r="108" spans="1:57" ht="39.950000000000003" customHeight="1" x14ac:dyDescent="0.2">
      <c r="A108" s="14" t="s">
        <v>647</v>
      </c>
      <c r="B108" s="13" t="s">
        <v>243</v>
      </c>
      <c r="C108" s="66" t="s">
        <v>38</v>
      </c>
      <c r="D108" s="14" t="s">
        <v>540</v>
      </c>
      <c r="E108" s="77" t="s">
        <v>36</v>
      </c>
      <c r="F108" s="14" t="s">
        <v>102</v>
      </c>
      <c r="G108" s="14" t="s">
        <v>102</v>
      </c>
      <c r="H108" s="66" t="s">
        <v>473</v>
      </c>
      <c r="I108" s="66" t="s">
        <v>142</v>
      </c>
      <c r="J108" s="66" t="s">
        <v>218</v>
      </c>
      <c r="K108" s="217" t="s">
        <v>101</v>
      </c>
      <c r="L108" s="65" t="s">
        <v>191</v>
      </c>
      <c r="M108" s="65" t="s">
        <v>323</v>
      </c>
      <c r="N108" s="13" t="s">
        <v>43</v>
      </c>
      <c r="O108" s="13" t="s">
        <v>538</v>
      </c>
      <c r="P108" s="13" t="s">
        <v>534</v>
      </c>
      <c r="Q108" s="64" t="s">
        <v>9</v>
      </c>
      <c r="R108" s="62">
        <v>22082.204687315982</v>
      </c>
      <c r="S108" s="73">
        <v>15000</v>
      </c>
      <c r="T108" s="62">
        <v>22082.204687315982</v>
      </c>
      <c r="U108" s="62">
        <v>151631.13885290307</v>
      </c>
      <c r="V108" s="62">
        <v>813514.54481215414</v>
      </c>
      <c r="W108" s="61" t="s">
        <v>11</v>
      </c>
      <c r="X108" s="250">
        <v>2.5000000000000001E-2</v>
      </c>
      <c r="Y108" s="60">
        <v>44441</v>
      </c>
      <c r="Z108" s="60">
        <v>45516</v>
      </c>
      <c r="AA108" s="60">
        <v>45516</v>
      </c>
      <c r="AB108" s="58">
        <v>1076</v>
      </c>
      <c r="AC108" s="59" t="s">
        <v>10</v>
      </c>
      <c r="AD108" s="58">
        <v>774</v>
      </c>
      <c r="AE108" s="57">
        <v>2.1205479452054794</v>
      </c>
      <c r="AF108" s="184"/>
      <c r="AG108" s="251" t="s">
        <v>1</v>
      </c>
      <c r="AH108" s="251" t="s">
        <v>1</v>
      </c>
      <c r="AI108" s="245" t="s">
        <v>0</v>
      </c>
      <c r="AJ108" s="11" t="s">
        <v>0</v>
      </c>
      <c r="AK108" s="11" t="s">
        <v>271</v>
      </c>
      <c r="AL108" s="14" t="s">
        <v>648</v>
      </c>
      <c r="AO108" s="197" t="s">
        <v>36</v>
      </c>
      <c r="AP108" s="198" t="s">
        <v>102</v>
      </c>
      <c r="AS108" s="212">
        <v>0</v>
      </c>
      <c r="AT108" s="212">
        <v>2649.8645624779178</v>
      </c>
      <c r="AU108" s="212" t="b">
        <v>0</v>
      </c>
      <c r="AV108" s="212"/>
      <c r="AW108" s="212">
        <v>0</v>
      </c>
      <c r="AX108" s="212">
        <v>0</v>
      </c>
      <c r="BA108" s="212">
        <v>0</v>
      </c>
      <c r="BB108" s="212">
        <v>0</v>
      </c>
      <c r="BC108" s="212">
        <v>0</v>
      </c>
      <c r="BD108" s="226">
        <v>0</v>
      </c>
      <c r="BE108" s="226"/>
    </row>
    <row r="109" spans="1:57" ht="39.950000000000003" customHeight="1" x14ac:dyDescent="0.2">
      <c r="A109" s="14" t="s">
        <v>652</v>
      </c>
      <c r="B109" s="13" t="s">
        <v>51</v>
      </c>
      <c r="C109" s="66" t="s">
        <v>38</v>
      </c>
      <c r="D109" s="14" t="s">
        <v>541</v>
      </c>
      <c r="E109" s="77" t="s">
        <v>37</v>
      </c>
      <c r="F109" s="14" t="s">
        <v>544</v>
      </c>
      <c r="G109" s="14" t="s">
        <v>117</v>
      </c>
      <c r="H109" s="66" t="s">
        <v>462</v>
      </c>
      <c r="I109" s="66" t="s">
        <v>142</v>
      </c>
      <c r="J109" s="66" t="s">
        <v>218</v>
      </c>
      <c r="K109" s="217" t="s">
        <v>29</v>
      </c>
      <c r="L109" s="65" t="s">
        <v>191</v>
      </c>
      <c r="M109" s="65" t="s">
        <v>323</v>
      </c>
      <c r="N109" s="13" t="s">
        <v>43</v>
      </c>
      <c r="O109" s="13" t="s">
        <v>538</v>
      </c>
      <c r="P109" s="13" t="s">
        <v>534</v>
      </c>
      <c r="Q109" s="64" t="s">
        <v>9</v>
      </c>
      <c r="R109" s="62">
        <v>11041.102343657991</v>
      </c>
      <c r="S109" s="73">
        <v>7500</v>
      </c>
      <c r="T109" s="62">
        <v>11041.102343657991</v>
      </c>
      <c r="U109" s="62">
        <v>22082.204687315982</v>
      </c>
      <c r="V109" s="62">
        <v>206223.26581085855</v>
      </c>
      <c r="W109" s="61" t="s">
        <v>11</v>
      </c>
      <c r="X109" s="250">
        <v>4.4999999999999998E-2</v>
      </c>
      <c r="Y109" s="60">
        <v>44470</v>
      </c>
      <c r="Z109" s="60">
        <v>44828</v>
      </c>
      <c r="AA109" s="60">
        <v>44828</v>
      </c>
      <c r="AB109" s="58">
        <v>359</v>
      </c>
      <c r="AC109" s="59" t="s">
        <v>10</v>
      </c>
      <c r="AD109" s="58">
        <v>86</v>
      </c>
      <c r="AE109" s="57">
        <v>0.23561643835616439</v>
      </c>
      <c r="AF109" s="184"/>
      <c r="AG109" s="251" t="s">
        <v>1</v>
      </c>
      <c r="AH109" s="251" t="s">
        <v>1</v>
      </c>
      <c r="AI109" s="245" t="s">
        <v>0</v>
      </c>
      <c r="AJ109" s="11" t="s">
        <v>0</v>
      </c>
      <c r="AK109" s="11" t="s">
        <v>271</v>
      </c>
      <c r="AL109" s="14" t="s">
        <v>649</v>
      </c>
      <c r="AO109" s="197" t="s">
        <v>37</v>
      </c>
      <c r="AP109" s="198" t="s">
        <v>544</v>
      </c>
      <c r="AS109" s="212">
        <v>0</v>
      </c>
      <c r="AT109" s="212">
        <v>1324.9322812389589</v>
      </c>
      <c r="AU109" s="212" t="b">
        <v>0</v>
      </c>
      <c r="AV109" s="212"/>
      <c r="AW109" s="212">
        <v>0</v>
      </c>
      <c r="AX109" s="212">
        <v>0</v>
      </c>
      <c r="BA109" s="212">
        <v>0</v>
      </c>
      <c r="BB109" s="212">
        <v>0</v>
      </c>
      <c r="BC109" s="212">
        <v>0</v>
      </c>
      <c r="BD109" s="226">
        <v>0</v>
      </c>
      <c r="BE109" s="226"/>
    </row>
    <row r="110" spans="1:57" ht="39.950000000000003" customHeight="1" x14ac:dyDescent="0.2">
      <c r="A110" s="14" t="s">
        <v>655</v>
      </c>
      <c r="B110" s="13" t="s">
        <v>23</v>
      </c>
      <c r="C110" s="66" t="s">
        <v>34</v>
      </c>
      <c r="D110" s="14" t="s">
        <v>34</v>
      </c>
      <c r="E110" s="77" t="s">
        <v>34</v>
      </c>
      <c r="F110" s="14" t="s">
        <v>475</v>
      </c>
      <c r="G110" s="14" t="s">
        <v>227</v>
      </c>
      <c r="H110" s="14" t="s">
        <v>228</v>
      </c>
      <c r="I110" s="66" t="s">
        <v>656</v>
      </c>
      <c r="J110" s="66" t="s">
        <v>656</v>
      </c>
      <c r="K110" s="217" t="s">
        <v>209</v>
      </c>
      <c r="L110" s="65" t="s">
        <v>191</v>
      </c>
      <c r="M110" s="65" t="s">
        <v>323</v>
      </c>
      <c r="N110" s="13" t="s">
        <v>43</v>
      </c>
      <c r="O110" s="13" t="s">
        <v>531</v>
      </c>
      <c r="P110" s="13" t="s">
        <v>534</v>
      </c>
      <c r="Q110" s="64" t="s">
        <v>8</v>
      </c>
      <c r="R110" s="62">
        <v>15000</v>
      </c>
      <c r="S110" s="73">
        <v>25000</v>
      </c>
      <c r="T110" s="62">
        <v>25000</v>
      </c>
      <c r="U110" s="62">
        <v>72688</v>
      </c>
      <c r="V110" s="62">
        <v>1465806.08</v>
      </c>
      <c r="W110" s="61" t="s">
        <v>11</v>
      </c>
      <c r="X110" s="250">
        <v>3.5000000000000003E-2</v>
      </c>
      <c r="Y110" s="60">
        <v>44466</v>
      </c>
      <c r="Z110" s="60">
        <v>45473</v>
      </c>
      <c r="AA110" s="60">
        <v>45473</v>
      </c>
      <c r="AB110" s="58">
        <v>1008</v>
      </c>
      <c r="AC110" s="59" t="s">
        <v>10</v>
      </c>
      <c r="AD110" s="58">
        <v>731</v>
      </c>
      <c r="AE110" s="57">
        <v>2.0027397260273974</v>
      </c>
      <c r="AF110" s="184" t="s">
        <v>436</v>
      </c>
      <c r="AG110" s="251" t="s">
        <v>1</v>
      </c>
      <c r="AH110" s="251" t="s">
        <v>1</v>
      </c>
      <c r="AI110" s="245" t="s">
        <v>0</v>
      </c>
      <c r="AJ110" s="11" t="s">
        <v>0</v>
      </c>
      <c r="AK110" s="11" t="s">
        <v>271</v>
      </c>
      <c r="AL110" s="14" t="s">
        <v>650</v>
      </c>
      <c r="AO110" s="197" t="s">
        <v>34</v>
      </c>
      <c r="AP110" s="198" t="s">
        <v>475</v>
      </c>
      <c r="AS110" s="212">
        <v>0</v>
      </c>
      <c r="AT110" s="212">
        <v>3000</v>
      </c>
      <c r="AU110" s="212">
        <v>600</v>
      </c>
      <c r="AV110" s="212"/>
      <c r="AW110" s="212">
        <v>0</v>
      </c>
      <c r="AX110" s="212">
        <v>0</v>
      </c>
      <c r="BA110" s="212">
        <v>0</v>
      </c>
      <c r="BB110" s="212">
        <v>0</v>
      </c>
      <c r="BC110" s="212">
        <v>0</v>
      </c>
      <c r="BD110" s="226">
        <v>0</v>
      </c>
      <c r="BE110" s="226"/>
    </row>
    <row r="111" spans="1:57" ht="39.950000000000003" customHeight="1" x14ac:dyDescent="0.2">
      <c r="A111" s="14" t="s">
        <v>76</v>
      </c>
      <c r="B111" s="65" t="s">
        <v>51</v>
      </c>
      <c r="C111" s="66" t="s">
        <v>34</v>
      </c>
      <c r="D111" s="14" t="s">
        <v>34</v>
      </c>
      <c r="E111" s="77" t="s">
        <v>34</v>
      </c>
      <c r="F111" s="14" t="s">
        <v>104</v>
      </c>
      <c r="G111" s="14" t="s">
        <v>111</v>
      </c>
      <c r="H111" s="66" t="s">
        <v>112</v>
      </c>
      <c r="I111" s="66" t="s">
        <v>232</v>
      </c>
      <c r="J111" s="77" t="s">
        <v>21</v>
      </c>
      <c r="K111" s="13" t="s">
        <v>29</v>
      </c>
      <c r="L111" s="65" t="s">
        <v>191</v>
      </c>
      <c r="M111" s="13" t="s">
        <v>323</v>
      </c>
      <c r="N111" s="13" t="s">
        <v>43</v>
      </c>
      <c r="O111" s="13" t="s">
        <v>533</v>
      </c>
      <c r="P111" s="13" t="s">
        <v>548</v>
      </c>
      <c r="Q111" s="64" t="s">
        <v>9</v>
      </c>
      <c r="R111" s="62">
        <v>29442.939583087977</v>
      </c>
      <c r="S111" s="73">
        <v>20000</v>
      </c>
      <c r="T111" s="62">
        <v>29442.939583087977</v>
      </c>
      <c r="U111" s="62">
        <v>109380.52055117182</v>
      </c>
      <c r="V111" s="62">
        <v>1204367.2565068896</v>
      </c>
      <c r="W111" s="61" t="s">
        <v>11</v>
      </c>
      <c r="X111" s="250">
        <v>1.9E-2</v>
      </c>
      <c r="Y111" s="60">
        <v>44470</v>
      </c>
      <c r="Z111" s="60">
        <v>46203</v>
      </c>
      <c r="AA111" s="60">
        <v>46203</v>
      </c>
      <c r="AB111" s="58">
        <v>1734</v>
      </c>
      <c r="AC111" s="59" t="s">
        <v>10</v>
      </c>
      <c r="AD111" s="58">
        <v>1461</v>
      </c>
      <c r="AE111" s="57">
        <v>4.0027397260273974</v>
      </c>
      <c r="AF111" s="184" t="s">
        <v>436</v>
      </c>
      <c r="AG111" s="251" t="s">
        <v>1</v>
      </c>
      <c r="AH111" s="251" t="s">
        <v>1</v>
      </c>
      <c r="AI111" s="245" t="s">
        <v>0</v>
      </c>
      <c r="AJ111" s="11" t="s">
        <v>0</v>
      </c>
      <c r="AK111" s="11" t="s">
        <v>271</v>
      </c>
      <c r="AL111" s="14" t="s">
        <v>651</v>
      </c>
      <c r="AO111" s="197" t="s">
        <v>34</v>
      </c>
      <c r="AP111" s="198" t="s">
        <v>104</v>
      </c>
      <c r="AS111" s="212">
        <v>0</v>
      </c>
      <c r="AT111" s="212">
        <v>3533.1527499705571</v>
      </c>
      <c r="AU111" s="212">
        <v>706.63054999411145</v>
      </c>
      <c r="AV111" s="212"/>
      <c r="AW111" s="212">
        <v>0</v>
      </c>
      <c r="AX111" s="212">
        <v>0</v>
      </c>
      <c r="BA111" s="212">
        <v>0</v>
      </c>
      <c r="BB111" s="212">
        <v>0</v>
      </c>
      <c r="BC111" s="212">
        <v>0</v>
      </c>
      <c r="BD111" s="226">
        <v>0</v>
      </c>
      <c r="BE111" s="226"/>
    </row>
    <row r="112" spans="1:57" ht="39.950000000000003" customHeight="1" x14ac:dyDescent="0.2">
      <c r="A112" s="14" t="s">
        <v>678</v>
      </c>
      <c r="B112" s="13" t="s">
        <v>67</v>
      </c>
      <c r="C112" s="66" t="s">
        <v>127</v>
      </c>
      <c r="D112" s="14" t="s">
        <v>542</v>
      </c>
      <c r="E112" s="77" t="s">
        <v>308</v>
      </c>
      <c r="F112" s="14" t="s">
        <v>546</v>
      </c>
      <c r="G112" s="66" t="s">
        <v>167</v>
      </c>
      <c r="H112" s="66" t="s">
        <v>167</v>
      </c>
      <c r="I112" s="66" t="s">
        <v>677</v>
      </c>
      <c r="J112" s="66" t="s">
        <v>218</v>
      </c>
      <c r="K112" s="217" t="s">
        <v>209</v>
      </c>
      <c r="L112" s="65" t="s">
        <v>191</v>
      </c>
      <c r="M112" s="65" t="s">
        <v>59</v>
      </c>
      <c r="N112" s="13" t="s">
        <v>43</v>
      </c>
      <c r="O112" s="13" t="s">
        <v>538</v>
      </c>
      <c r="P112" s="13" t="s">
        <v>534</v>
      </c>
      <c r="Q112" s="64" t="s">
        <v>487</v>
      </c>
      <c r="R112" s="62">
        <v>28853.596828824378</v>
      </c>
      <c r="S112" s="73">
        <v>198457.14311</v>
      </c>
      <c r="T112" s="62">
        <v>28853.596828824378</v>
      </c>
      <c r="U112" s="62">
        <v>57707.193659174358</v>
      </c>
      <c r="V112" s="62">
        <v>1883318.8667979599</v>
      </c>
      <c r="W112" s="61" t="s">
        <v>11</v>
      </c>
      <c r="X112" s="250">
        <v>0.03</v>
      </c>
      <c r="Y112" s="60">
        <v>44476</v>
      </c>
      <c r="Z112" s="60">
        <v>46251</v>
      </c>
      <c r="AA112" s="60">
        <v>46256</v>
      </c>
      <c r="AB112" s="58">
        <v>1781</v>
      </c>
      <c r="AC112" s="59" t="s">
        <v>10</v>
      </c>
      <c r="AD112" s="58">
        <v>1514</v>
      </c>
      <c r="AE112" s="57">
        <v>4.1479452054794521</v>
      </c>
      <c r="AF112" s="184" t="s">
        <v>436</v>
      </c>
      <c r="AG112" s="251" t="s">
        <v>1</v>
      </c>
      <c r="AH112" s="251" t="s">
        <v>1</v>
      </c>
      <c r="AI112" s="245" t="s">
        <v>0</v>
      </c>
      <c r="AJ112" s="11" t="s">
        <v>0</v>
      </c>
      <c r="AK112" s="11" t="s">
        <v>271</v>
      </c>
      <c r="AL112" s="14" t="s">
        <v>673</v>
      </c>
      <c r="AO112" s="197" t="s">
        <v>308</v>
      </c>
      <c r="AP112" s="198" t="s">
        <v>546</v>
      </c>
      <c r="AS112" s="212">
        <v>0</v>
      </c>
      <c r="AT112" s="212">
        <v>3462.4316194589251</v>
      </c>
      <c r="AU112" s="212">
        <v>692.4863238917851</v>
      </c>
      <c r="AV112" s="212"/>
      <c r="AW112" s="212">
        <v>0</v>
      </c>
      <c r="AX112" s="212">
        <v>0</v>
      </c>
      <c r="BA112" s="212">
        <v>0</v>
      </c>
      <c r="BB112" s="212">
        <v>0</v>
      </c>
      <c r="BC112" s="212">
        <v>0</v>
      </c>
      <c r="BD112" s="226"/>
      <c r="BE112" s="226"/>
    </row>
    <row r="113" spans="1:57" ht="39.950000000000003" customHeight="1" x14ac:dyDescent="0.2">
      <c r="A113" s="14" t="s">
        <v>679</v>
      </c>
      <c r="B113" s="13" t="s">
        <v>243</v>
      </c>
      <c r="C113" s="66" t="s">
        <v>588</v>
      </c>
      <c r="D113" s="14" t="s">
        <v>542</v>
      </c>
      <c r="E113" s="77" t="s">
        <v>87</v>
      </c>
      <c r="F113" s="14" t="s">
        <v>48</v>
      </c>
      <c r="G113" s="14" t="s">
        <v>95</v>
      </c>
      <c r="H113" s="68" t="s">
        <v>447</v>
      </c>
      <c r="I113" s="66" t="s">
        <v>681</v>
      </c>
      <c r="J113" s="66" t="s">
        <v>680</v>
      </c>
      <c r="K113" s="217" t="s">
        <v>209</v>
      </c>
      <c r="L113" s="65" t="s">
        <v>191</v>
      </c>
      <c r="M113" s="65" t="s">
        <v>59</v>
      </c>
      <c r="N113" s="13" t="s">
        <v>43</v>
      </c>
      <c r="O113" s="13" t="s">
        <v>538</v>
      </c>
      <c r="P113" s="13" t="s">
        <v>534</v>
      </c>
      <c r="Q113" s="64" t="s">
        <v>9</v>
      </c>
      <c r="R113" s="62">
        <v>14721.469791543988</v>
      </c>
      <c r="S113" s="73">
        <v>15000</v>
      </c>
      <c r="T113" s="62">
        <v>22082.204687315982</v>
      </c>
      <c r="U113" s="62">
        <v>419561.88905900368</v>
      </c>
      <c r="V113" s="62">
        <v>970686.32964315161</v>
      </c>
      <c r="W113" s="61" t="s">
        <v>11</v>
      </c>
      <c r="X113" s="250">
        <v>3.2500000000000001E-2</v>
      </c>
      <c r="Y113" s="60">
        <v>44491</v>
      </c>
      <c r="Z113" s="60">
        <v>46714</v>
      </c>
      <c r="AA113" s="60">
        <v>46714</v>
      </c>
      <c r="AB113" s="58">
        <v>2224</v>
      </c>
      <c r="AC113" s="59" t="s">
        <v>10</v>
      </c>
      <c r="AD113" s="58">
        <v>1972</v>
      </c>
      <c r="AE113" s="57">
        <v>5.4027397260273968</v>
      </c>
      <c r="AF113" s="184"/>
      <c r="AG113" s="251" t="s">
        <v>1</v>
      </c>
      <c r="AH113" s="251" t="s">
        <v>1</v>
      </c>
      <c r="AI113" s="245" t="s">
        <v>818</v>
      </c>
      <c r="AJ113" s="11" t="s">
        <v>0</v>
      </c>
      <c r="AK113" s="11" t="s">
        <v>271</v>
      </c>
      <c r="AL113" s="14" t="s">
        <v>674</v>
      </c>
      <c r="AO113" s="197" t="s">
        <v>87</v>
      </c>
      <c r="AP113" s="198" t="s">
        <v>48</v>
      </c>
      <c r="AS113" s="212">
        <v>0</v>
      </c>
      <c r="AT113" s="212">
        <v>2649.8645624779178</v>
      </c>
      <c r="AU113" s="212" t="b">
        <v>0</v>
      </c>
      <c r="AV113" s="212"/>
      <c r="AW113" s="212">
        <v>0</v>
      </c>
      <c r="AX113" s="212">
        <v>0</v>
      </c>
      <c r="BA113" s="212">
        <v>0</v>
      </c>
      <c r="BB113" s="212">
        <v>0</v>
      </c>
      <c r="BC113" s="212">
        <v>0</v>
      </c>
      <c r="BD113" s="226"/>
      <c r="BE113" s="226"/>
    </row>
    <row r="114" spans="1:57" ht="39.950000000000003" customHeight="1" x14ac:dyDescent="0.2">
      <c r="A114" s="14" t="s">
        <v>683</v>
      </c>
      <c r="B114" s="13" t="s">
        <v>67</v>
      </c>
      <c r="C114" s="66" t="s">
        <v>684</v>
      </c>
      <c r="D114" s="14" t="s">
        <v>806</v>
      </c>
      <c r="E114" s="77" t="s">
        <v>685</v>
      </c>
      <c r="F114" s="14" t="s">
        <v>546</v>
      </c>
      <c r="G114" s="66" t="s">
        <v>167</v>
      </c>
      <c r="H114" s="66" t="s">
        <v>167</v>
      </c>
      <c r="I114" s="66" t="s">
        <v>165</v>
      </c>
      <c r="J114" s="66" t="s">
        <v>220</v>
      </c>
      <c r="K114" s="13" t="s">
        <v>140</v>
      </c>
      <c r="L114" s="65" t="s">
        <v>191</v>
      </c>
      <c r="M114" s="65" t="s">
        <v>59</v>
      </c>
      <c r="N114" s="13" t="s">
        <v>43</v>
      </c>
      <c r="O114" s="13" t="s">
        <v>531</v>
      </c>
      <c r="P114" s="13" t="s">
        <v>534</v>
      </c>
      <c r="Q114" s="64" t="s">
        <v>59</v>
      </c>
      <c r="R114" s="62">
        <v>7554.6959990329988</v>
      </c>
      <c r="S114" s="73">
        <v>5000</v>
      </c>
      <c r="T114" s="62">
        <v>7554.6959990329988</v>
      </c>
      <c r="U114" s="62">
        <v>36141.665659373866</v>
      </c>
      <c r="V114" s="62">
        <v>577284.54007010756</v>
      </c>
      <c r="W114" s="61" t="s">
        <v>11</v>
      </c>
      <c r="X114" s="250">
        <v>2.75E-2</v>
      </c>
      <c r="Y114" s="60">
        <v>44427</v>
      </c>
      <c r="Z114" s="60">
        <v>46982</v>
      </c>
      <c r="AA114" s="60">
        <v>46982</v>
      </c>
      <c r="AB114" s="58">
        <v>2556</v>
      </c>
      <c r="AC114" s="59" t="s">
        <v>10</v>
      </c>
      <c r="AD114" s="58">
        <v>2240</v>
      </c>
      <c r="AE114" s="57">
        <v>6.1369863013698627</v>
      </c>
      <c r="AF114" s="184"/>
      <c r="AG114" s="251" t="s">
        <v>1</v>
      </c>
      <c r="AH114" s="251" t="s">
        <v>1</v>
      </c>
      <c r="AI114" s="245" t="s">
        <v>0</v>
      </c>
      <c r="AJ114" s="11" t="s">
        <v>0</v>
      </c>
      <c r="AK114" s="11" t="s">
        <v>271</v>
      </c>
      <c r="AL114" s="14" t="s">
        <v>686</v>
      </c>
      <c r="AO114" s="197" t="s">
        <v>685</v>
      </c>
      <c r="AP114" s="198" t="s">
        <v>546</v>
      </c>
      <c r="AS114" s="212">
        <v>0</v>
      </c>
      <c r="AT114" s="212">
        <v>906.56351988395977</v>
      </c>
      <c r="AU114" s="212" t="b">
        <v>0</v>
      </c>
      <c r="AV114" s="212"/>
      <c r="AW114" s="212">
        <v>0</v>
      </c>
      <c r="AX114" s="212">
        <v>0</v>
      </c>
      <c r="BA114" s="212">
        <v>0</v>
      </c>
      <c r="BB114" s="212">
        <v>0</v>
      </c>
      <c r="BC114" s="212">
        <v>0</v>
      </c>
      <c r="BD114" s="226"/>
      <c r="BE114" s="226"/>
    </row>
    <row r="115" spans="1:57" ht="39.950000000000003" customHeight="1" x14ac:dyDescent="0.2">
      <c r="A115" s="14" t="s">
        <v>693</v>
      </c>
      <c r="B115" s="13" t="s">
        <v>24</v>
      </c>
      <c r="C115" s="66" t="s">
        <v>34</v>
      </c>
      <c r="D115" s="14" t="s">
        <v>34</v>
      </c>
      <c r="E115" s="77" t="s">
        <v>34</v>
      </c>
      <c r="F115" s="14" t="s">
        <v>475</v>
      </c>
      <c r="G115" s="14" t="s">
        <v>227</v>
      </c>
      <c r="H115" s="14" t="s">
        <v>228</v>
      </c>
      <c r="I115" s="66" t="s">
        <v>70</v>
      </c>
      <c r="J115" s="66" t="s">
        <v>218</v>
      </c>
      <c r="K115" s="217" t="s">
        <v>209</v>
      </c>
      <c r="L115" s="65" t="s">
        <v>191</v>
      </c>
      <c r="M115" s="65" t="s">
        <v>323</v>
      </c>
      <c r="N115" s="13" t="s">
        <v>43</v>
      </c>
      <c r="O115" s="13" t="s">
        <v>538</v>
      </c>
      <c r="P115" s="13" t="s">
        <v>534</v>
      </c>
      <c r="Q115" s="64" t="s">
        <v>8</v>
      </c>
      <c r="R115" s="62">
        <v>15000</v>
      </c>
      <c r="S115" s="73">
        <v>15000</v>
      </c>
      <c r="T115" s="62">
        <v>15000</v>
      </c>
      <c r="U115" s="62">
        <v>41500</v>
      </c>
      <c r="V115" s="62">
        <v>1397273.98</v>
      </c>
      <c r="W115" s="61" t="s">
        <v>11</v>
      </c>
      <c r="X115" s="250">
        <v>0.04</v>
      </c>
      <c r="Y115" s="60">
        <v>44515</v>
      </c>
      <c r="Z115" s="60">
        <v>46309</v>
      </c>
      <c r="AA115" s="60">
        <v>46320</v>
      </c>
      <c r="AB115" s="58">
        <v>1806</v>
      </c>
      <c r="AC115" s="59" t="s">
        <v>10</v>
      </c>
      <c r="AD115" s="58">
        <v>1578</v>
      </c>
      <c r="AE115" s="57">
        <v>4.3232876712328769</v>
      </c>
      <c r="AF115" s="184"/>
      <c r="AG115" s="251" t="s">
        <v>1</v>
      </c>
      <c r="AH115" s="251" t="s">
        <v>1</v>
      </c>
      <c r="AI115" s="245" t="s">
        <v>0</v>
      </c>
      <c r="AJ115" s="11" t="s">
        <v>0</v>
      </c>
      <c r="AK115" s="11" t="s">
        <v>271</v>
      </c>
      <c r="AL115" s="14" t="s">
        <v>689</v>
      </c>
      <c r="AO115" s="197" t="s">
        <v>34</v>
      </c>
      <c r="AP115" s="198" t="s">
        <v>475</v>
      </c>
      <c r="AS115" s="212">
        <v>0</v>
      </c>
      <c r="AT115" s="212">
        <v>1800</v>
      </c>
      <c r="AU115" s="212" t="b">
        <v>0</v>
      </c>
      <c r="AV115" s="212"/>
      <c r="AW115" s="212">
        <v>0</v>
      </c>
      <c r="AX115" s="212">
        <v>0</v>
      </c>
      <c r="BA115" s="212">
        <v>0</v>
      </c>
      <c r="BB115" s="212">
        <v>0</v>
      </c>
      <c r="BC115" s="212">
        <v>0</v>
      </c>
      <c r="BD115" s="226"/>
      <c r="BE115" s="226"/>
    </row>
    <row r="116" spans="1:57" ht="39.950000000000003" customHeight="1" x14ac:dyDescent="0.2">
      <c r="A116" s="14" t="s">
        <v>694</v>
      </c>
      <c r="B116" s="13" t="s">
        <v>51</v>
      </c>
      <c r="C116" s="66" t="s">
        <v>38</v>
      </c>
      <c r="D116" s="14" t="s">
        <v>541</v>
      </c>
      <c r="E116" s="77" t="s">
        <v>38</v>
      </c>
      <c r="F116" s="14" t="s">
        <v>546</v>
      </c>
      <c r="G116" s="66" t="s">
        <v>442</v>
      </c>
      <c r="H116" s="66" t="s">
        <v>442</v>
      </c>
      <c r="I116" s="14" t="s">
        <v>50</v>
      </c>
      <c r="J116" s="77" t="s">
        <v>21</v>
      </c>
      <c r="K116" s="217" t="s">
        <v>209</v>
      </c>
      <c r="L116" s="65" t="s">
        <v>191</v>
      </c>
      <c r="M116" s="65" t="s">
        <v>323</v>
      </c>
      <c r="N116" s="13" t="s">
        <v>43</v>
      </c>
      <c r="O116" s="13" t="s">
        <v>531</v>
      </c>
      <c r="P116" s="13" t="s">
        <v>534</v>
      </c>
      <c r="Q116" s="64" t="s">
        <v>9</v>
      </c>
      <c r="R116" s="62">
        <v>6992.698150983394</v>
      </c>
      <c r="S116" s="73">
        <v>4750</v>
      </c>
      <c r="T116" s="62">
        <v>6992.698150983394</v>
      </c>
      <c r="U116" s="62">
        <v>13985.396301966788</v>
      </c>
      <c r="V116" s="62">
        <v>581028.07384289242</v>
      </c>
      <c r="W116" s="61" t="s">
        <v>11</v>
      </c>
      <c r="X116" s="250">
        <v>3.2500000000000001E-2</v>
      </c>
      <c r="Y116" s="60">
        <v>44511</v>
      </c>
      <c r="Z116" s="60">
        <v>44511</v>
      </c>
      <c r="AA116" s="60">
        <v>46277</v>
      </c>
      <c r="AB116" s="58">
        <v>1767</v>
      </c>
      <c r="AC116" s="59" t="s">
        <v>10</v>
      </c>
      <c r="AD116" s="58">
        <v>1535</v>
      </c>
      <c r="AE116" s="57">
        <v>4.2054794520547949</v>
      </c>
      <c r="AF116" s="184"/>
      <c r="AG116" s="251" t="s">
        <v>1</v>
      </c>
      <c r="AH116" s="251" t="s">
        <v>1</v>
      </c>
      <c r="AI116" s="245" t="s">
        <v>0</v>
      </c>
      <c r="AJ116" s="11" t="s">
        <v>0</v>
      </c>
      <c r="AK116" s="11" t="s">
        <v>271</v>
      </c>
      <c r="AL116" s="14" t="s">
        <v>690</v>
      </c>
      <c r="AO116" s="197" t="s">
        <v>38</v>
      </c>
      <c r="AP116" s="198" t="s">
        <v>546</v>
      </c>
      <c r="AS116" s="212">
        <v>0</v>
      </c>
      <c r="AT116" s="212">
        <v>839.12377811800729</v>
      </c>
      <c r="AU116" s="212" t="b">
        <v>0</v>
      </c>
      <c r="AV116" s="212"/>
      <c r="AW116" s="212">
        <v>0</v>
      </c>
      <c r="AX116" s="212">
        <v>0</v>
      </c>
      <c r="BA116" s="212">
        <v>0</v>
      </c>
      <c r="BB116" s="212">
        <v>0</v>
      </c>
      <c r="BC116" s="212">
        <v>0</v>
      </c>
      <c r="BD116" s="226"/>
      <c r="BE116" s="226"/>
    </row>
    <row r="117" spans="1:57" ht="39.950000000000003" customHeight="1" x14ac:dyDescent="0.2">
      <c r="A117" s="14" t="s">
        <v>695</v>
      </c>
      <c r="B117" s="13" t="s">
        <v>23</v>
      </c>
      <c r="C117" s="66" t="s">
        <v>149</v>
      </c>
      <c r="D117" s="14" t="s">
        <v>542</v>
      </c>
      <c r="E117" s="77" t="s">
        <v>166</v>
      </c>
      <c r="F117" s="14" t="s">
        <v>102</v>
      </c>
      <c r="G117" s="14" t="s">
        <v>102</v>
      </c>
      <c r="H117" s="66" t="s">
        <v>103</v>
      </c>
      <c r="I117" s="66" t="s">
        <v>148</v>
      </c>
      <c r="J117" s="66" t="s">
        <v>148</v>
      </c>
      <c r="K117" s="13" t="s">
        <v>29</v>
      </c>
      <c r="L117" s="65" t="s">
        <v>191</v>
      </c>
      <c r="M117" s="65" t="s">
        <v>59</v>
      </c>
      <c r="N117" s="13" t="s">
        <v>43</v>
      </c>
      <c r="O117" s="13" t="s">
        <v>538</v>
      </c>
      <c r="P117" s="13" t="s">
        <v>534</v>
      </c>
      <c r="Q117" s="64" t="s">
        <v>59</v>
      </c>
      <c r="R117" s="62">
        <v>9443.3699987912496</v>
      </c>
      <c r="S117" s="73">
        <v>6250</v>
      </c>
      <c r="T117" s="62">
        <v>9443.3699987912496</v>
      </c>
      <c r="U117" s="62">
        <v>105765.74398646198</v>
      </c>
      <c r="V117" s="62">
        <v>681693.21890487138</v>
      </c>
      <c r="W117" s="61" t="s">
        <v>11</v>
      </c>
      <c r="X117" s="250">
        <v>1.6500000000000001E-2</v>
      </c>
      <c r="Y117" s="60">
        <v>44498</v>
      </c>
      <c r="Z117" s="60">
        <v>46920</v>
      </c>
      <c r="AA117" s="60">
        <v>46920</v>
      </c>
      <c r="AB117" s="58">
        <v>2423</v>
      </c>
      <c r="AC117" s="59" t="s">
        <v>10</v>
      </c>
      <c r="AD117" s="58">
        <v>2178</v>
      </c>
      <c r="AE117" s="57">
        <v>5.9671232876712326</v>
      </c>
      <c r="AF117" s="184"/>
      <c r="AG117" s="251" t="s">
        <v>1</v>
      </c>
      <c r="AH117" s="251" t="s">
        <v>188</v>
      </c>
      <c r="AI117" s="245" t="s">
        <v>0</v>
      </c>
      <c r="AJ117" s="11" t="s">
        <v>0</v>
      </c>
      <c r="AK117" s="11" t="s">
        <v>271</v>
      </c>
      <c r="AL117" s="14" t="s">
        <v>691</v>
      </c>
      <c r="AO117" s="197" t="s">
        <v>166</v>
      </c>
      <c r="AP117" s="198" t="s">
        <v>102</v>
      </c>
      <c r="AS117" s="212">
        <v>0</v>
      </c>
      <c r="AT117" s="212">
        <v>1133.20439985495</v>
      </c>
      <c r="AU117" s="212" t="b">
        <v>0</v>
      </c>
      <c r="AV117" s="212"/>
      <c r="AW117" s="212">
        <v>0</v>
      </c>
      <c r="AX117" s="212">
        <v>0</v>
      </c>
      <c r="BA117" s="212">
        <v>0</v>
      </c>
      <c r="BB117" s="212">
        <v>0</v>
      </c>
      <c r="BC117" s="212">
        <v>0</v>
      </c>
      <c r="BD117" s="226"/>
      <c r="BE117" s="226"/>
    </row>
    <row r="118" spans="1:57" ht="39.950000000000003" customHeight="1" x14ac:dyDescent="0.2">
      <c r="A118" s="14" t="s">
        <v>696</v>
      </c>
      <c r="B118" s="13" t="s">
        <v>24</v>
      </c>
      <c r="C118" s="66" t="s">
        <v>38</v>
      </c>
      <c r="D118" s="14" t="s">
        <v>540</v>
      </c>
      <c r="E118" s="77" t="s">
        <v>49</v>
      </c>
      <c r="F118" s="14" t="s">
        <v>48</v>
      </c>
      <c r="G118" s="14" t="s">
        <v>95</v>
      </c>
      <c r="H118" s="68" t="s">
        <v>447</v>
      </c>
      <c r="I118" s="66" t="s">
        <v>142</v>
      </c>
      <c r="J118" s="66" t="s">
        <v>218</v>
      </c>
      <c r="K118" s="13" t="s">
        <v>29</v>
      </c>
      <c r="L118" s="65" t="s">
        <v>191</v>
      </c>
      <c r="M118" s="65" t="s">
        <v>323</v>
      </c>
      <c r="N118" s="13" t="s">
        <v>43</v>
      </c>
      <c r="O118" s="13" t="s">
        <v>531</v>
      </c>
      <c r="P118" s="13" t="s">
        <v>534</v>
      </c>
      <c r="Q118" s="64" t="s">
        <v>9</v>
      </c>
      <c r="R118" s="62">
        <v>14721.469791543988</v>
      </c>
      <c r="S118" s="73">
        <v>9100</v>
      </c>
      <c r="T118" s="62">
        <v>13396.537510305028</v>
      </c>
      <c r="U118" s="62">
        <v>23133.738237545636</v>
      </c>
      <c r="V118" s="62">
        <v>879618.12507360731</v>
      </c>
      <c r="W118" s="61" t="s">
        <v>11</v>
      </c>
      <c r="X118" s="250">
        <v>0.06</v>
      </c>
      <c r="Y118" s="60">
        <v>44519</v>
      </c>
      <c r="Z118" s="60">
        <v>45882</v>
      </c>
      <c r="AA118" s="60">
        <v>45882</v>
      </c>
      <c r="AB118" s="58">
        <v>1364</v>
      </c>
      <c r="AC118" s="59" t="s">
        <v>10</v>
      </c>
      <c r="AD118" s="58">
        <v>1140</v>
      </c>
      <c r="AE118" s="57">
        <v>3.1232876712328768</v>
      </c>
      <c r="AF118" s="184"/>
      <c r="AG118" s="251" t="s">
        <v>1</v>
      </c>
      <c r="AH118" s="251" t="s">
        <v>1</v>
      </c>
      <c r="AI118" s="245" t="s">
        <v>697</v>
      </c>
      <c r="AJ118" s="11" t="s">
        <v>0</v>
      </c>
      <c r="AK118" s="11" t="s">
        <v>271</v>
      </c>
      <c r="AL118" s="14" t="s">
        <v>748</v>
      </c>
      <c r="AO118" s="197" t="s">
        <v>49</v>
      </c>
      <c r="AP118" s="198" t="s">
        <v>48</v>
      </c>
      <c r="AS118" s="212">
        <v>0</v>
      </c>
      <c r="AT118" s="212">
        <v>1607.5845012366033</v>
      </c>
      <c r="AU118" s="212" t="b">
        <v>0</v>
      </c>
      <c r="AV118" s="212"/>
      <c r="AW118" s="212">
        <v>0</v>
      </c>
      <c r="AX118" s="212">
        <v>0</v>
      </c>
      <c r="BA118" s="212">
        <v>0</v>
      </c>
      <c r="BB118" s="212">
        <v>0</v>
      </c>
      <c r="BC118" s="212">
        <v>0</v>
      </c>
      <c r="BD118" s="226"/>
      <c r="BE118" s="226"/>
    </row>
    <row r="119" spans="1:57" ht="39.950000000000003" customHeight="1" x14ac:dyDescent="0.2">
      <c r="A119" s="14" t="s">
        <v>698</v>
      </c>
      <c r="B119" s="13" t="s">
        <v>23</v>
      </c>
      <c r="C119" s="66" t="s">
        <v>37</v>
      </c>
      <c r="D119" s="14" t="s">
        <v>540</v>
      </c>
      <c r="E119" s="77" t="s">
        <v>36</v>
      </c>
      <c r="F119" s="14" t="s">
        <v>543</v>
      </c>
      <c r="G119" s="14" t="s">
        <v>133</v>
      </c>
      <c r="H119" s="14" t="s">
        <v>133</v>
      </c>
      <c r="I119" s="66" t="s">
        <v>236</v>
      </c>
      <c r="J119" s="66" t="s">
        <v>21</v>
      </c>
      <c r="K119" s="13" t="s">
        <v>29</v>
      </c>
      <c r="L119" s="65" t="s">
        <v>191</v>
      </c>
      <c r="M119" s="65" t="s">
        <v>323</v>
      </c>
      <c r="N119" s="13" t="s">
        <v>43</v>
      </c>
      <c r="O119" s="13" t="s">
        <v>538</v>
      </c>
      <c r="P119" s="13" t="s">
        <v>548</v>
      </c>
      <c r="Q119" s="64" t="s">
        <v>9</v>
      </c>
      <c r="R119" s="62">
        <v>22082.204687315982</v>
      </c>
      <c r="S119" s="73">
        <v>15000</v>
      </c>
      <c r="T119" s="62">
        <v>22082.204687315982</v>
      </c>
      <c r="U119" s="62">
        <v>66246.614061947941</v>
      </c>
      <c r="V119" s="62">
        <v>759760.33447179361</v>
      </c>
      <c r="W119" s="61" t="s">
        <v>11</v>
      </c>
      <c r="X119" s="250">
        <v>1.4E-2</v>
      </c>
      <c r="Y119" s="60">
        <v>44524</v>
      </c>
      <c r="Z119" s="60">
        <v>46493</v>
      </c>
      <c r="AA119" s="60">
        <v>46493</v>
      </c>
      <c r="AB119" s="58">
        <v>1970</v>
      </c>
      <c r="AC119" s="59" t="s">
        <v>10</v>
      </c>
      <c r="AD119" s="58">
        <v>1751</v>
      </c>
      <c r="AE119" s="57">
        <v>4.7972602739726025</v>
      </c>
      <c r="AF119" s="184"/>
      <c r="AG119" s="251" t="s">
        <v>1</v>
      </c>
      <c r="AH119" s="251" t="s">
        <v>1</v>
      </c>
      <c r="AI119" s="245" t="s">
        <v>0</v>
      </c>
      <c r="AJ119" s="11" t="s">
        <v>0</v>
      </c>
      <c r="AK119" s="11" t="s">
        <v>271</v>
      </c>
      <c r="AL119" s="14" t="s">
        <v>699</v>
      </c>
      <c r="AO119" s="197" t="s">
        <v>36</v>
      </c>
      <c r="AP119" s="198" t="s">
        <v>543</v>
      </c>
      <c r="AS119" s="212">
        <v>0</v>
      </c>
      <c r="AT119" s="212">
        <v>2649.8645624779178</v>
      </c>
      <c r="AU119" s="212" t="b">
        <v>0</v>
      </c>
      <c r="AV119" s="212"/>
      <c r="AW119" s="212">
        <v>0</v>
      </c>
      <c r="AX119" s="212">
        <v>0</v>
      </c>
      <c r="BA119" s="212">
        <v>0</v>
      </c>
      <c r="BB119" s="212">
        <v>0</v>
      </c>
      <c r="BC119" s="212">
        <v>0</v>
      </c>
      <c r="BD119" s="226"/>
      <c r="BE119" s="226"/>
    </row>
    <row r="120" spans="1:57" ht="39.950000000000003" customHeight="1" x14ac:dyDescent="0.2">
      <c r="A120" s="14" t="s">
        <v>701</v>
      </c>
      <c r="B120" s="13" t="s">
        <v>24</v>
      </c>
      <c r="C120" s="66" t="s">
        <v>38</v>
      </c>
      <c r="D120" s="14" t="s">
        <v>540</v>
      </c>
      <c r="E120" s="77" t="s">
        <v>35</v>
      </c>
      <c r="F120" s="14" t="s">
        <v>546</v>
      </c>
      <c r="G120" s="14" t="s">
        <v>259</v>
      </c>
      <c r="H120" s="14" t="s">
        <v>258</v>
      </c>
      <c r="I120" s="66" t="s">
        <v>50</v>
      </c>
      <c r="J120" s="66" t="s">
        <v>21</v>
      </c>
      <c r="K120" s="217" t="s">
        <v>139</v>
      </c>
      <c r="L120" s="65" t="s">
        <v>191</v>
      </c>
      <c r="M120" s="65" t="s">
        <v>323</v>
      </c>
      <c r="N120" s="13" t="s">
        <v>43</v>
      </c>
      <c r="O120" s="13" t="s">
        <v>538</v>
      </c>
      <c r="P120" s="13" t="s">
        <v>534</v>
      </c>
      <c r="Q120" s="64" t="s">
        <v>9</v>
      </c>
      <c r="R120" s="62">
        <v>7360.7348957719942</v>
      </c>
      <c r="S120" s="73">
        <v>5000</v>
      </c>
      <c r="T120" s="62">
        <v>7360.7348957719942</v>
      </c>
      <c r="U120" s="62">
        <v>51525.144270403958</v>
      </c>
      <c r="V120" s="62">
        <v>621677.4820398069</v>
      </c>
      <c r="W120" s="61" t="s">
        <v>11</v>
      </c>
      <c r="X120" s="250">
        <v>3.3300000000000003E-2</v>
      </c>
      <c r="Y120" s="60">
        <v>44526</v>
      </c>
      <c r="Z120" s="60">
        <v>46271</v>
      </c>
      <c r="AA120" s="60">
        <v>46271</v>
      </c>
      <c r="AB120" s="58">
        <v>1746</v>
      </c>
      <c r="AC120" s="59" t="s">
        <v>10</v>
      </c>
      <c r="AD120" s="58">
        <v>1529</v>
      </c>
      <c r="AE120" s="57">
        <v>4.1890410958904107</v>
      </c>
      <c r="AF120" s="184"/>
      <c r="AG120" s="251" t="s">
        <v>1</v>
      </c>
      <c r="AH120" s="251" t="s">
        <v>1</v>
      </c>
      <c r="AI120" s="245" t="s">
        <v>0</v>
      </c>
      <c r="AJ120" s="11" t="s">
        <v>0</v>
      </c>
      <c r="AK120" s="11" t="s">
        <v>271</v>
      </c>
      <c r="AL120" s="14" t="s">
        <v>700</v>
      </c>
      <c r="AO120" s="197" t="s">
        <v>35</v>
      </c>
      <c r="AP120" s="198" t="s">
        <v>546</v>
      </c>
      <c r="AS120" s="212">
        <v>0</v>
      </c>
      <c r="AT120" s="212">
        <v>883.28818749263928</v>
      </c>
      <c r="AU120" s="212" t="b">
        <v>0</v>
      </c>
      <c r="AV120" s="212"/>
      <c r="AW120" s="212">
        <v>0</v>
      </c>
      <c r="AX120" s="212">
        <v>0</v>
      </c>
      <c r="BA120" s="212">
        <v>0</v>
      </c>
      <c r="BB120" s="212">
        <v>0</v>
      </c>
      <c r="BC120" s="212">
        <v>0</v>
      </c>
      <c r="BD120" s="226"/>
      <c r="BE120" s="226"/>
    </row>
    <row r="121" spans="1:57" ht="39.950000000000003" customHeight="1" x14ac:dyDescent="0.2">
      <c r="A121" s="14" t="s">
        <v>702</v>
      </c>
      <c r="B121" s="13" t="s">
        <v>67</v>
      </c>
      <c r="C121" s="66" t="s">
        <v>38</v>
      </c>
      <c r="D121" s="14" t="s">
        <v>34</v>
      </c>
      <c r="E121" s="77" t="s">
        <v>34</v>
      </c>
      <c r="F121" s="14" t="s">
        <v>546</v>
      </c>
      <c r="G121" s="66" t="s">
        <v>167</v>
      </c>
      <c r="H121" s="68" t="s">
        <v>167</v>
      </c>
      <c r="I121" s="66" t="s">
        <v>706</v>
      </c>
      <c r="J121" s="66" t="s">
        <v>220</v>
      </c>
      <c r="K121" s="217" t="s">
        <v>209</v>
      </c>
      <c r="L121" s="65" t="s">
        <v>191</v>
      </c>
      <c r="M121" s="65" t="s">
        <v>323</v>
      </c>
      <c r="N121" s="13" t="s">
        <v>43</v>
      </c>
      <c r="O121" s="13" t="s">
        <v>538</v>
      </c>
      <c r="P121" s="13" t="s">
        <v>534</v>
      </c>
      <c r="Q121" s="64" t="s">
        <v>8</v>
      </c>
      <c r="R121" s="62">
        <v>20000</v>
      </c>
      <c r="S121" s="73">
        <v>20000</v>
      </c>
      <c r="T121" s="62">
        <v>20000</v>
      </c>
      <c r="U121" s="62">
        <v>155000</v>
      </c>
      <c r="V121" s="62">
        <v>1137586.8400000001</v>
      </c>
      <c r="W121" s="61" t="s">
        <v>11</v>
      </c>
      <c r="X121" s="250">
        <v>1.9E-2</v>
      </c>
      <c r="Y121" s="60">
        <v>44533</v>
      </c>
      <c r="Z121" s="60">
        <v>46359</v>
      </c>
      <c r="AA121" s="60">
        <v>46359</v>
      </c>
      <c r="AB121" s="58">
        <v>1827</v>
      </c>
      <c r="AC121" s="59" t="s">
        <v>10</v>
      </c>
      <c r="AD121" s="58">
        <v>1617</v>
      </c>
      <c r="AE121" s="57">
        <v>4.4301369863013695</v>
      </c>
      <c r="AF121" s="184"/>
      <c r="AG121" s="251" t="s">
        <v>1</v>
      </c>
      <c r="AH121" s="251" t="s">
        <v>1</v>
      </c>
      <c r="AI121" s="245" t="s">
        <v>0</v>
      </c>
      <c r="AJ121" s="11" t="s">
        <v>0</v>
      </c>
      <c r="AK121" s="11" t="s">
        <v>271</v>
      </c>
      <c r="AL121" s="14" t="s">
        <v>703</v>
      </c>
      <c r="AO121" s="197" t="s">
        <v>34</v>
      </c>
      <c r="AP121" s="198" t="s">
        <v>546</v>
      </c>
      <c r="AS121" s="212">
        <v>0</v>
      </c>
      <c r="AT121" s="212">
        <v>2400</v>
      </c>
      <c r="AU121" s="212" t="b">
        <v>0</v>
      </c>
      <c r="AV121" s="212"/>
      <c r="AW121" s="212">
        <v>0</v>
      </c>
      <c r="AX121" s="212">
        <v>0</v>
      </c>
      <c r="BA121" s="212">
        <v>0</v>
      </c>
      <c r="BB121" s="212">
        <v>0</v>
      </c>
      <c r="BC121" s="212">
        <v>0</v>
      </c>
      <c r="BD121" s="226"/>
      <c r="BE121" s="226"/>
    </row>
    <row r="122" spans="1:57" ht="39.950000000000003" customHeight="1" x14ac:dyDescent="0.2">
      <c r="A122" s="14" t="s">
        <v>713</v>
      </c>
      <c r="B122" s="13" t="s">
        <v>24</v>
      </c>
      <c r="C122" s="66" t="s">
        <v>38</v>
      </c>
      <c r="D122" s="14" t="s">
        <v>34</v>
      </c>
      <c r="E122" s="77" t="s">
        <v>295</v>
      </c>
      <c r="F122" s="14" t="s">
        <v>544</v>
      </c>
      <c r="G122" s="14" t="s">
        <v>201</v>
      </c>
      <c r="H122" s="68" t="s">
        <v>200</v>
      </c>
      <c r="I122" s="66" t="s">
        <v>638</v>
      </c>
      <c r="J122" s="66" t="s">
        <v>687</v>
      </c>
      <c r="K122" s="217" t="s">
        <v>209</v>
      </c>
      <c r="L122" s="65" t="s">
        <v>191</v>
      </c>
      <c r="M122" s="65" t="s">
        <v>323</v>
      </c>
      <c r="N122" s="13" t="s">
        <v>43</v>
      </c>
      <c r="O122" s="13" t="s">
        <v>538</v>
      </c>
      <c r="P122" s="13" t="s">
        <v>534</v>
      </c>
      <c r="Q122" s="64" t="s">
        <v>297</v>
      </c>
      <c r="R122" s="62">
        <v>12083.1486</v>
      </c>
      <c r="S122" s="73">
        <v>12083.1486</v>
      </c>
      <c r="T122" s="62">
        <v>12083.1486</v>
      </c>
      <c r="U122" s="62">
        <v>24166.296999999999</v>
      </c>
      <c r="V122" s="62">
        <v>1652428.53</v>
      </c>
      <c r="W122" s="61" t="s">
        <v>11</v>
      </c>
      <c r="X122" s="250">
        <v>4.2500000000000003E-2</v>
      </c>
      <c r="Y122" s="60">
        <v>44540</v>
      </c>
      <c r="Z122" s="60">
        <v>46691</v>
      </c>
      <c r="AA122" s="60">
        <v>46691</v>
      </c>
      <c r="AB122" s="58">
        <v>2152</v>
      </c>
      <c r="AC122" s="59" t="s">
        <v>10</v>
      </c>
      <c r="AD122" s="58">
        <v>1949</v>
      </c>
      <c r="AE122" s="57">
        <v>5.3397260273972602</v>
      </c>
      <c r="AF122" s="184"/>
      <c r="AG122" s="251" t="s">
        <v>1</v>
      </c>
      <c r="AH122" s="251" t="s">
        <v>1</v>
      </c>
      <c r="AI122" s="245" t="s">
        <v>0</v>
      </c>
      <c r="AJ122" s="11" t="s">
        <v>0</v>
      </c>
      <c r="AK122" s="11" t="s">
        <v>563</v>
      </c>
      <c r="AL122" s="14" t="s">
        <v>707</v>
      </c>
      <c r="AO122" s="197" t="s">
        <v>295</v>
      </c>
      <c r="AP122" s="198" t="s">
        <v>544</v>
      </c>
      <c r="AS122" s="212">
        <v>0</v>
      </c>
      <c r="AT122" s="212">
        <v>1449.977832</v>
      </c>
      <c r="AU122" s="212" t="b">
        <v>0</v>
      </c>
      <c r="AV122" s="212"/>
      <c r="AW122" s="212">
        <v>0</v>
      </c>
      <c r="AX122" s="212">
        <v>0</v>
      </c>
      <c r="BA122" s="212">
        <v>0</v>
      </c>
      <c r="BB122" s="212">
        <v>0</v>
      </c>
      <c r="BC122" s="212">
        <v>0</v>
      </c>
      <c r="BD122" s="226"/>
      <c r="BE122" s="226"/>
    </row>
    <row r="123" spans="1:57" ht="39.950000000000003" customHeight="1" x14ac:dyDescent="0.2">
      <c r="A123" s="14" t="s">
        <v>718</v>
      </c>
      <c r="B123" s="13" t="s">
        <v>23</v>
      </c>
      <c r="C123" s="66" t="s">
        <v>88</v>
      </c>
      <c r="D123" s="14" t="s">
        <v>499</v>
      </c>
      <c r="E123" s="77" t="s">
        <v>162</v>
      </c>
      <c r="F123" s="14" t="s">
        <v>92</v>
      </c>
      <c r="G123" s="14" t="s">
        <v>134</v>
      </c>
      <c r="H123" s="68" t="s">
        <v>134</v>
      </c>
      <c r="I123" s="66" t="s">
        <v>61</v>
      </c>
      <c r="J123" s="66" t="s">
        <v>220</v>
      </c>
      <c r="K123" s="13" t="s">
        <v>68</v>
      </c>
      <c r="L123" s="65" t="s">
        <v>191</v>
      </c>
      <c r="M123" s="65" t="s">
        <v>59</v>
      </c>
      <c r="N123" s="13" t="s">
        <v>43</v>
      </c>
      <c r="O123" s="13" t="s">
        <v>533</v>
      </c>
      <c r="P123" s="13" t="s">
        <v>548</v>
      </c>
      <c r="Q123" s="64" t="s">
        <v>9</v>
      </c>
      <c r="R123" s="62">
        <v>11041.102343657991</v>
      </c>
      <c r="S123" s="73">
        <v>7050</v>
      </c>
      <c r="T123" s="62">
        <v>10378.636203038512</v>
      </c>
      <c r="U123" s="62">
        <v>220822.04687315982</v>
      </c>
      <c r="V123" s="62">
        <v>339581.6452714639</v>
      </c>
      <c r="W123" s="61" t="s">
        <v>11</v>
      </c>
      <c r="X123" s="250">
        <v>1.375E-2</v>
      </c>
      <c r="Y123" s="60">
        <v>44550</v>
      </c>
      <c r="Z123" s="60">
        <v>46200</v>
      </c>
      <c r="AA123" s="60">
        <v>46200</v>
      </c>
      <c r="AB123" s="58">
        <v>1651</v>
      </c>
      <c r="AC123" s="59" t="s">
        <v>10</v>
      </c>
      <c r="AD123" s="58">
        <v>1458</v>
      </c>
      <c r="AE123" s="57">
        <v>3.9945205479452053</v>
      </c>
      <c r="AF123" s="184"/>
      <c r="AG123" s="251" t="s">
        <v>1</v>
      </c>
      <c r="AH123" s="251" t="s">
        <v>1</v>
      </c>
      <c r="AI123" s="245" t="s">
        <v>719</v>
      </c>
      <c r="AJ123" s="11" t="s">
        <v>0</v>
      </c>
      <c r="AK123" s="11" t="s">
        <v>563</v>
      </c>
      <c r="AL123" s="14" t="s">
        <v>708</v>
      </c>
      <c r="AO123" s="197" t="s">
        <v>162</v>
      </c>
      <c r="AP123" s="198" t="s">
        <v>92</v>
      </c>
      <c r="AS123" s="212">
        <v>0</v>
      </c>
      <c r="AT123" s="212">
        <v>1245.4363443646214</v>
      </c>
      <c r="AU123" s="212" t="b">
        <v>0</v>
      </c>
      <c r="AV123" s="212"/>
      <c r="AW123" s="212">
        <v>0</v>
      </c>
      <c r="AX123" s="212">
        <v>0</v>
      </c>
      <c r="BA123" s="212">
        <v>0</v>
      </c>
      <c r="BB123" s="212">
        <v>0</v>
      </c>
      <c r="BC123" s="212">
        <v>0</v>
      </c>
      <c r="BD123" s="226"/>
      <c r="BE123" s="226"/>
    </row>
    <row r="124" spans="1:57" ht="39.950000000000003" customHeight="1" x14ac:dyDescent="0.2">
      <c r="A124" s="14" t="s">
        <v>720</v>
      </c>
      <c r="B124" s="13" t="s">
        <v>67</v>
      </c>
      <c r="C124" s="66" t="s">
        <v>127</v>
      </c>
      <c r="D124" s="14" t="s">
        <v>499</v>
      </c>
      <c r="E124" s="77" t="s">
        <v>162</v>
      </c>
      <c r="F124" s="14" t="s">
        <v>233</v>
      </c>
      <c r="G124" s="14" t="s">
        <v>443</v>
      </c>
      <c r="H124" s="14" t="s">
        <v>234</v>
      </c>
      <c r="I124" s="66" t="s">
        <v>218</v>
      </c>
      <c r="J124" s="66" t="s">
        <v>218</v>
      </c>
      <c r="K124" s="217" t="s">
        <v>209</v>
      </c>
      <c r="L124" s="65" t="s">
        <v>191</v>
      </c>
      <c r="M124" s="65" t="s">
        <v>59</v>
      </c>
      <c r="N124" s="13" t="s">
        <v>43</v>
      </c>
      <c r="O124" s="13" t="s">
        <v>538</v>
      </c>
      <c r="P124" s="13" t="s">
        <v>534</v>
      </c>
      <c r="Q124" s="64" t="s">
        <v>59</v>
      </c>
      <c r="R124" s="62">
        <v>30218.783996131995</v>
      </c>
      <c r="S124" s="73">
        <v>20000</v>
      </c>
      <c r="T124" s="62">
        <v>30218.783996131995</v>
      </c>
      <c r="U124" s="62">
        <v>55417.66907995088</v>
      </c>
      <c r="V124" s="62">
        <v>1385772.6640879973</v>
      </c>
      <c r="W124" s="61" t="s">
        <v>11</v>
      </c>
      <c r="X124" s="250">
        <v>0.03</v>
      </c>
      <c r="Y124" s="60">
        <v>44547</v>
      </c>
      <c r="Z124" s="60">
        <v>46280</v>
      </c>
      <c r="AA124" s="60">
        <v>46285</v>
      </c>
      <c r="AB124" s="58">
        <v>1739</v>
      </c>
      <c r="AC124" s="59" t="s">
        <v>10</v>
      </c>
      <c r="AD124" s="58">
        <v>1543</v>
      </c>
      <c r="AE124" s="57">
        <v>4.2273972602739729</v>
      </c>
      <c r="AF124" s="184"/>
      <c r="AG124" s="251" t="s">
        <v>1</v>
      </c>
      <c r="AH124" s="251" t="s">
        <v>1</v>
      </c>
      <c r="AI124" s="245" t="s">
        <v>0</v>
      </c>
      <c r="AJ124" s="11" t="s">
        <v>0</v>
      </c>
      <c r="AK124" s="11" t="s">
        <v>271</v>
      </c>
      <c r="AL124" s="14" t="s">
        <v>709</v>
      </c>
      <c r="AO124" s="197" t="s">
        <v>162</v>
      </c>
      <c r="AP124" s="198" t="s">
        <v>233</v>
      </c>
      <c r="AS124" s="212">
        <v>0</v>
      </c>
      <c r="AT124" s="212">
        <v>3626.2540795358391</v>
      </c>
      <c r="AU124" s="212" t="b">
        <v>0</v>
      </c>
      <c r="AV124" s="212"/>
      <c r="AW124" s="212">
        <v>0</v>
      </c>
      <c r="AX124" s="212">
        <v>0</v>
      </c>
      <c r="BA124" s="212">
        <v>0</v>
      </c>
      <c r="BB124" s="212">
        <v>0</v>
      </c>
      <c r="BC124" s="212">
        <v>0</v>
      </c>
      <c r="BD124" s="226"/>
      <c r="BE124" s="226"/>
    </row>
    <row r="125" spans="1:57" ht="39.950000000000003" customHeight="1" x14ac:dyDescent="0.2">
      <c r="A125" s="14" t="s">
        <v>721</v>
      </c>
      <c r="B125" s="13" t="s">
        <v>24</v>
      </c>
      <c r="C125" s="66" t="s">
        <v>38</v>
      </c>
      <c r="D125" s="14" t="s">
        <v>541</v>
      </c>
      <c r="E125" s="77" t="s">
        <v>37</v>
      </c>
      <c r="F125" s="14" t="s">
        <v>233</v>
      </c>
      <c r="G125" s="14" t="s">
        <v>443</v>
      </c>
      <c r="H125" s="14" t="s">
        <v>234</v>
      </c>
      <c r="I125" s="66" t="s">
        <v>142</v>
      </c>
      <c r="J125" s="66" t="s">
        <v>218</v>
      </c>
      <c r="K125" s="217" t="s">
        <v>209</v>
      </c>
      <c r="L125" s="65" t="s">
        <v>191</v>
      </c>
      <c r="M125" s="65" t="s">
        <v>323</v>
      </c>
      <c r="N125" s="13" t="s">
        <v>43</v>
      </c>
      <c r="O125" s="13" t="s">
        <v>538</v>
      </c>
      <c r="P125" s="13" t="s">
        <v>534</v>
      </c>
      <c r="Q125" s="64" t="s">
        <v>54</v>
      </c>
      <c r="R125" s="62">
        <v>22513.057573392569</v>
      </c>
      <c r="S125" s="73">
        <v>120000</v>
      </c>
      <c r="T125" s="62">
        <v>22513.057573392569</v>
      </c>
      <c r="U125" s="62">
        <v>32161.510738728462</v>
      </c>
      <c r="V125" s="62">
        <v>1205886.9187878971</v>
      </c>
      <c r="W125" s="61" t="s">
        <v>11</v>
      </c>
      <c r="X125" s="250">
        <v>2.1999999999999999E-2</v>
      </c>
      <c r="Y125" s="60">
        <v>44550</v>
      </c>
      <c r="Z125" s="60">
        <v>46316</v>
      </c>
      <c r="AA125" s="60">
        <v>46316</v>
      </c>
      <c r="AB125" s="58">
        <v>1767</v>
      </c>
      <c r="AC125" s="59" t="s">
        <v>10</v>
      </c>
      <c r="AD125" s="58">
        <v>1574</v>
      </c>
      <c r="AE125" s="57">
        <v>4.3123287671232875</v>
      </c>
      <c r="AF125" s="184"/>
      <c r="AG125" s="251" t="s">
        <v>1</v>
      </c>
      <c r="AH125" s="251" t="s">
        <v>1</v>
      </c>
      <c r="AI125" s="245" t="s">
        <v>0</v>
      </c>
      <c r="AJ125" s="11" t="s">
        <v>0</v>
      </c>
      <c r="AK125" s="11" t="s">
        <v>563</v>
      </c>
      <c r="AL125" s="14" t="s">
        <v>722</v>
      </c>
      <c r="AO125" s="197" t="s">
        <v>37</v>
      </c>
      <c r="AP125" s="198" t="s">
        <v>233</v>
      </c>
      <c r="AS125" s="212">
        <v>0</v>
      </c>
      <c r="AT125" s="212">
        <v>2701.5669088071081</v>
      </c>
      <c r="AU125" s="212" t="b">
        <v>0</v>
      </c>
      <c r="AV125" s="212"/>
      <c r="AW125" s="212">
        <v>0</v>
      </c>
      <c r="AX125" s="212">
        <v>0</v>
      </c>
      <c r="BA125" s="212">
        <v>0</v>
      </c>
      <c r="BB125" s="212">
        <v>0</v>
      </c>
      <c r="BC125" s="212">
        <v>0</v>
      </c>
      <c r="BD125" s="226"/>
      <c r="BE125" s="226"/>
    </row>
    <row r="126" spans="1:57" ht="39.950000000000003" customHeight="1" x14ac:dyDescent="0.2">
      <c r="A126" s="14" t="s">
        <v>723</v>
      </c>
      <c r="B126" s="13" t="s">
        <v>23</v>
      </c>
      <c r="C126" s="66" t="s">
        <v>127</v>
      </c>
      <c r="D126" s="14" t="s">
        <v>542</v>
      </c>
      <c r="E126" s="77" t="s">
        <v>91</v>
      </c>
      <c r="F126" s="14" t="s">
        <v>233</v>
      </c>
      <c r="G126" s="14" t="s">
        <v>443</v>
      </c>
      <c r="H126" s="14" t="s">
        <v>234</v>
      </c>
      <c r="I126" s="66" t="s">
        <v>165</v>
      </c>
      <c r="J126" s="66" t="s">
        <v>220</v>
      </c>
      <c r="K126" s="13" t="s">
        <v>140</v>
      </c>
      <c r="L126" s="65" t="s">
        <v>191</v>
      </c>
      <c r="M126" s="65" t="s">
        <v>59</v>
      </c>
      <c r="N126" s="13" t="s">
        <v>43</v>
      </c>
      <c r="O126" s="13" t="s">
        <v>538</v>
      </c>
      <c r="P126" s="13" t="s">
        <v>534</v>
      </c>
      <c r="Q126" s="64" t="s">
        <v>59</v>
      </c>
      <c r="R126" s="62">
        <v>11332.0439985495</v>
      </c>
      <c r="S126" s="73">
        <v>7500</v>
      </c>
      <c r="T126" s="62">
        <v>11332.0439985495</v>
      </c>
      <c r="U126" s="62">
        <v>129940.77118336759</v>
      </c>
      <c r="V126" s="62">
        <v>1260386.5057163229</v>
      </c>
      <c r="W126" s="61" t="s">
        <v>11</v>
      </c>
      <c r="X126" s="250">
        <v>2.75E-2</v>
      </c>
      <c r="Y126" s="60">
        <v>44545</v>
      </c>
      <c r="Z126" s="60">
        <v>46951</v>
      </c>
      <c r="AA126" s="60">
        <v>46951</v>
      </c>
      <c r="AB126" s="58">
        <v>2407</v>
      </c>
      <c r="AC126" s="59" t="s">
        <v>10</v>
      </c>
      <c r="AD126" s="58">
        <v>2209</v>
      </c>
      <c r="AE126" s="57">
        <v>6.0520547945205481</v>
      </c>
      <c r="AF126" s="184"/>
      <c r="AG126" s="251" t="s">
        <v>1</v>
      </c>
      <c r="AH126" s="251" t="s">
        <v>1</v>
      </c>
      <c r="AI126" s="245" t="s">
        <v>0</v>
      </c>
      <c r="AJ126" s="11" t="s">
        <v>0</v>
      </c>
      <c r="AK126" s="11" t="s">
        <v>563</v>
      </c>
      <c r="AL126" s="14" t="s">
        <v>710</v>
      </c>
      <c r="AO126" s="197" t="s">
        <v>91</v>
      </c>
      <c r="AP126" s="198" t="s">
        <v>233</v>
      </c>
      <c r="AS126" s="212">
        <v>0</v>
      </c>
      <c r="AT126" s="212">
        <v>1359.84527982594</v>
      </c>
      <c r="AU126" s="212" t="b">
        <v>0</v>
      </c>
      <c r="AV126" s="212"/>
      <c r="AW126" s="212">
        <v>0</v>
      </c>
      <c r="AX126" s="212">
        <v>0</v>
      </c>
      <c r="BA126" s="212">
        <v>0</v>
      </c>
      <c r="BB126" s="212">
        <v>0</v>
      </c>
      <c r="BC126" s="212">
        <v>0</v>
      </c>
      <c r="BD126" s="226"/>
      <c r="BE126" s="226"/>
    </row>
    <row r="127" spans="1:57" ht="39.950000000000003" customHeight="1" x14ac:dyDescent="0.2">
      <c r="A127" s="14" t="s">
        <v>725</v>
      </c>
      <c r="B127" s="65" t="s">
        <v>23</v>
      </c>
      <c r="C127" s="66" t="s">
        <v>37</v>
      </c>
      <c r="D127" s="14" t="s">
        <v>542</v>
      </c>
      <c r="E127" s="77" t="s">
        <v>87</v>
      </c>
      <c r="F127" s="14" t="s">
        <v>102</v>
      </c>
      <c r="G127" s="66" t="s">
        <v>102</v>
      </c>
      <c r="H127" s="14" t="s">
        <v>474</v>
      </c>
      <c r="I127" s="14" t="s">
        <v>79</v>
      </c>
      <c r="J127" s="14" t="s">
        <v>222</v>
      </c>
      <c r="K127" s="217" t="s">
        <v>209</v>
      </c>
      <c r="L127" s="65" t="s">
        <v>191</v>
      </c>
      <c r="M127" s="13" t="s">
        <v>323</v>
      </c>
      <c r="N127" s="13" t="s">
        <v>43</v>
      </c>
      <c r="O127" s="13" t="s">
        <v>531</v>
      </c>
      <c r="P127" s="13" t="s">
        <v>548</v>
      </c>
      <c r="Q127" s="64" t="s">
        <v>9</v>
      </c>
      <c r="R127" s="62">
        <v>29442.939583087977</v>
      </c>
      <c r="S127" s="63">
        <v>20000</v>
      </c>
      <c r="T127" s="62">
        <v>29442.939583087977</v>
      </c>
      <c r="U127" s="62">
        <v>220822.04687315982</v>
      </c>
      <c r="V127" s="62">
        <v>1719598.5307973146</v>
      </c>
      <c r="W127" s="61" t="s">
        <v>11</v>
      </c>
      <c r="X127" s="236">
        <v>2.0799999999999999E-2</v>
      </c>
      <c r="Y127" s="60">
        <v>44560</v>
      </c>
      <c r="Z127" s="60">
        <v>46350</v>
      </c>
      <c r="AA127" s="60">
        <v>46350</v>
      </c>
      <c r="AB127" s="58">
        <v>1791</v>
      </c>
      <c r="AC127" s="59" t="s">
        <v>10</v>
      </c>
      <c r="AD127" s="58">
        <v>1608</v>
      </c>
      <c r="AE127" s="57">
        <v>4.4054794520547942</v>
      </c>
      <c r="AF127" s="56" t="s">
        <v>436</v>
      </c>
      <c r="AG127" s="71" t="s">
        <v>1</v>
      </c>
      <c r="AH127" s="71" t="s">
        <v>1</v>
      </c>
      <c r="AI127" s="70" t="s">
        <v>0</v>
      </c>
      <c r="AJ127" s="11" t="s">
        <v>0</v>
      </c>
      <c r="AK127" s="11" t="s">
        <v>271</v>
      </c>
      <c r="AL127" s="14" t="s">
        <v>724</v>
      </c>
      <c r="AM127" s="11">
        <v>5000</v>
      </c>
      <c r="AN127" s="11">
        <v>75000</v>
      </c>
      <c r="AO127" s="197" t="s">
        <v>87</v>
      </c>
      <c r="AP127" s="198" t="s">
        <v>102</v>
      </c>
      <c r="AS127" s="212">
        <v>0</v>
      </c>
      <c r="AT127" s="212">
        <v>3533.1527499705571</v>
      </c>
      <c r="AU127" s="212">
        <v>706.63054999411145</v>
      </c>
      <c r="AV127" s="212"/>
      <c r="AW127" s="212">
        <v>0</v>
      </c>
      <c r="AX127" s="212">
        <v>0</v>
      </c>
      <c r="BA127" s="212">
        <v>0</v>
      </c>
      <c r="BB127" s="212">
        <v>0</v>
      </c>
      <c r="BC127" s="212">
        <v>0</v>
      </c>
      <c r="BD127" s="226">
        <v>0</v>
      </c>
      <c r="BE127" s="226"/>
    </row>
    <row r="128" spans="1:57" ht="39.950000000000003" customHeight="1" x14ac:dyDescent="0.2">
      <c r="A128" s="14" t="s">
        <v>726</v>
      </c>
      <c r="B128" s="13" t="s">
        <v>243</v>
      </c>
      <c r="C128" s="66" t="s">
        <v>38</v>
      </c>
      <c r="D128" s="14" t="s">
        <v>540</v>
      </c>
      <c r="E128" s="77" t="s">
        <v>35</v>
      </c>
      <c r="F128" s="14" t="s">
        <v>546</v>
      </c>
      <c r="G128" s="14" t="s">
        <v>259</v>
      </c>
      <c r="H128" s="14" t="s">
        <v>459</v>
      </c>
      <c r="I128" s="66" t="s">
        <v>142</v>
      </c>
      <c r="J128" s="66" t="s">
        <v>218</v>
      </c>
      <c r="K128" s="217" t="s">
        <v>209</v>
      </c>
      <c r="L128" s="65" t="s">
        <v>191</v>
      </c>
      <c r="M128" s="65" t="s">
        <v>323</v>
      </c>
      <c r="N128" s="13" t="s">
        <v>43</v>
      </c>
      <c r="O128" s="13" t="s">
        <v>538</v>
      </c>
      <c r="P128" s="13" t="s">
        <v>534</v>
      </c>
      <c r="Q128" s="64" t="s">
        <v>9</v>
      </c>
      <c r="R128" s="62">
        <v>14721.469791543988</v>
      </c>
      <c r="S128" s="73">
        <v>10000</v>
      </c>
      <c r="T128" s="62">
        <v>14721.469791543988</v>
      </c>
      <c r="U128" s="62">
        <v>24535.782004475328</v>
      </c>
      <c r="V128" s="62">
        <v>1425439.0236721234</v>
      </c>
      <c r="W128" s="61" t="s">
        <v>11</v>
      </c>
      <c r="X128" s="250">
        <v>0.04</v>
      </c>
      <c r="Y128" s="60">
        <v>44559</v>
      </c>
      <c r="Z128" s="60">
        <v>46385</v>
      </c>
      <c r="AA128" s="60">
        <v>46385</v>
      </c>
      <c r="AB128" s="58">
        <v>1827</v>
      </c>
      <c r="AC128" s="59" t="s">
        <v>10</v>
      </c>
      <c r="AD128" s="58">
        <v>1643</v>
      </c>
      <c r="AE128" s="57">
        <v>4.5013698630136982</v>
      </c>
      <c r="AF128" s="184"/>
      <c r="AG128" s="251" t="s">
        <v>1</v>
      </c>
      <c r="AH128" s="251" t="s">
        <v>1</v>
      </c>
      <c r="AI128" s="245" t="s">
        <v>727</v>
      </c>
      <c r="AJ128" s="11" t="s">
        <v>0</v>
      </c>
      <c r="AK128" s="11" t="s">
        <v>563</v>
      </c>
      <c r="AL128" s="14" t="s">
        <v>711</v>
      </c>
      <c r="AO128" s="197" t="s">
        <v>35</v>
      </c>
      <c r="AP128" s="198" t="s">
        <v>546</v>
      </c>
      <c r="AS128" s="212">
        <v>0</v>
      </c>
      <c r="AT128" s="212">
        <v>1766.5763749852786</v>
      </c>
      <c r="AU128" s="212" t="b">
        <v>0</v>
      </c>
      <c r="AV128" s="212"/>
      <c r="AW128" s="212">
        <v>0</v>
      </c>
      <c r="AX128" s="212">
        <v>0</v>
      </c>
      <c r="BA128" s="212">
        <v>0</v>
      </c>
      <c r="BB128" s="212">
        <v>0</v>
      </c>
      <c r="BC128" s="212">
        <v>0</v>
      </c>
      <c r="BD128" s="226"/>
      <c r="BE128" s="226"/>
    </row>
    <row r="129" spans="1:57" ht="39.950000000000003" customHeight="1" x14ac:dyDescent="0.2">
      <c r="A129" s="13" t="s">
        <v>729</v>
      </c>
      <c r="B129" s="65" t="s">
        <v>23</v>
      </c>
      <c r="C129" s="66" t="s">
        <v>37</v>
      </c>
      <c r="D129" s="14" t="s">
        <v>540</v>
      </c>
      <c r="E129" s="77" t="s">
        <v>36</v>
      </c>
      <c r="F129" s="66" t="s">
        <v>106</v>
      </c>
      <c r="G129" s="66" t="s">
        <v>106</v>
      </c>
      <c r="H129" s="66" t="s">
        <v>107</v>
      </c>
      <c r="I129" s="14" t="s">
        <v>72</v>
      </c>
      <c r="J129" s="66" t="s">
        <v>219</v>
      </c>
      <c r="K129" s="13" t="s">
        <v>29</v>
      </c>
      <c r="L129" s="65" t="s">
        <v>191</v>
      </c>
      <c r="M129" s="13" t="s">
        <v>323</v>
      </c>
      <c r="N129" s="13" t="s">
        <v>43</v>
      </c>
      <c r="O129" s="13" t="s">
        <v>538</v>
      </c>
      <c r="P129" s="13" t="s">
        <v>548</v>
      </c>
      <c r="Q129" s="64" t="s">
        <v>9</v>
      </c>
      <c r="R129" s="62">
        <v>22082.204687315982</v>
      </c>
      <c r="S129" s="63">
        <v>15000</v>
      </c>
      <c r="T129" s="79">
        <v>22082.204687315982</v>
      </c>
      <c r="U129" s="62">
        <v>176657.63749852785</v>
      </c>
      <c r="V129" s="79">
        <v>1101886.6741255447</v>
      </c>
      <c r="W129" s="61" t="s">
        <v>551</v>
      </c>
      <c r="X129" s="236">
        <v>2.5000000000000001E-2</v>
      </c>
      <c r="Y129" s="60">
        <v>44554</v>
      </c>
      <c r="Z129" s="60">
        <v>45799</v>
      </c>
      <c r="AA129" s="60">
        <v>45799</v>
      </c>
      <c r="AB129" s="58">
        <v>1246</v>
      </c>
      <c r="AC129" s="59" t="s">
        <v>10</v>
      </c>
      <c r="AD129" s="58">
        <v>1057</v>
      </c>
      <c r="AE129" s="57">
        <v>2.8958904109589043</v>
      </c>
      <c r="AF129" s="56"/>
      <c r="AG129" s="71" t="s">
        <v>1</v>
      </c>
      <c r="AH129" s="71" t="s">
        <v>1</v>
      </c>
      <c r="AI129" s="70" t="s">
        <v>730</v>
      </c>
      <c r="AJ129" s="11" t="s">
        <v>0</v>
      </c>
      <c r="AK129" s="11" t="s">
        <v>271</v>
      </c>
      <c r="AL129" s="13" t="s">
        <v>728</v>
      </c>
      <c r="AM129" s="11">
        <v>8921</v>
      </c>
      <c r="AO129" s="197" t="s">
        <v>36</v>
      </c>
      <c r="AP129" s="198" t="s">
        <v>106</v>
      </c>
      <c r="AQ129" s="11">
        <v>1</v>
      </c>
      <c r="AR129" s="214">
        <v>0.25</v>
      </c>
      <c r="AS129" s="212">
        <v>5520.5511718289954</v>
      </c>
      <c r="AT129" s="212">
        <v>2649.8645624779178</v>
      </c>
      <c r="AU129" s="212" t="b">
        <v>0</v>
      </c>
      <c r="AV129" s="212"/>
      <c r="AW129" s="212">
        <v>2649.8645624779178</v>
      </c>
      <c r="AX129" s="212">
        <v>2420.2006077392639</v>
      </c>
      <c r="AY129" s="12"/>
      <c r="BA129" s="212">
        <v>2649.8645624779178</v>
      </c>
      <c r="BB129" s="212">
        <v>2420.2006077392639</v>
      </c>
      <c r="BC129" s="212">
        <v>1567.354445017206</v>
      </c>
      <c r="BD129" s="226">
        <v>1044.9029633448042</v>
      </c>
      <c r="BE129" s="226">
        <v>0</v>
      </c>
    </row>
    <row r="130" spans="1:57" ht="39.950000000000003" customHeight="1" x14ac:dyDescent="0.2">
      <c r="A130" s="14" t="s">
        <v>732</v>
      </c>
      <c r="B130" s="13" t="s">
        <v>67</v>
      </c>
      <c r="C130" s="66" t="s">
        <v>89</v>
      </c>
      <c r="D130" s="14" t="s">
        <v>542</v>
      </c>
      <c r="E130" s="77" t="s">
        <v>211</v>
      </c>
      <c r="F130" s="14" t="s">
        <v>233</v>
      </c>
      <c r="G130" s="14" t="s">
        <v>443</v>
      </c>
      <c r="H130" s="14" t="s">
        <v>234</v>
      </c>
      <c r="I130" s="66" t="s">
        <v>60</v>
      </c>
      <c r="J130" s="66" t="s">
        <v>220</v>
      </c>
      <c r="K130" s="217" t="s">
        <v>209</v>
      </c>
      <c r="L130" s="65" t="s">
        <v>191</v>
      </c>
      <c r="M130" s="65" t="s">
        <v>59</v>
      </c>
      <c r="N130" s="13" t="s">
        <v>43</v>
      </c>
      <c r="O130" s="13" t="s">
        <v>538</v>
      </c>
      <c r="P130" s="13" t="s">
        <v>534</v>
      </c>
      <c r="Q130" s="64" t="s">
        <v>59</v>
      </c>
      <c r="R130" s="62">
        <v>15109.391998065998</v>
      </c>
      <c r="S130" s="73">
        <v>10000</v>
      </c>
      <c r="T130" s="62">
        <v>15109.391998065998</v>
      </c>
      <c r="U130" s="62">
        <v>60437.56799226399</v>
      </c>
      <c r="V130" s="62">
        <v>1735320.3795479271</v>
      </c>
      <c r="W130" s="61" t="s">
        <v>11</v>
      </c>
      <c r="X130" s="250">
        <v>3.2500000000000001E-2</v>
      </c>
      <c r="Y130" s="60">
        <v>44487</v>
      </c>
      <c r="Z130" s="60">
        <v>46929</v>
      </c>
      <c r="AA130" s="60">
        <v>46929</v>
      </c>
      <c r="AB130" s="58">
        <v>2443</v>
      </c>
      <c r="AC130" s="59" t="s">
        <v>10</v>
      </c>
      <c r="AD130" s="58">
        <v>2187</v>
      </c>
      <c r="AE130" s="57">
        <v>5.9917808219178079</v>
      </c>
      <c r="AF130" s="184"/>
      <c r="AG130" s="251" t="s">
        <v>1</v>
      </c>
      <c r="AH130" s="251" t="s">
        <v>1</v>
      </c>
      <c r="AI130" s="245" t="s">
        <v>0</v>
      </c>
      <c r="AJ130" s="11" t="s">
        <v>0</v>
      </c>
      <c r="AK130" s="11" t="s">
        <v>271</v>
      </c>
      <c r="AL130" s="14" t="s">
        <v>712</v>
      </c>
      <c r="AO130" s="197" t="s">
        <v>211</v>
      </c>
      <c r="AP130" s="198" t="s">
        <v>233</v>
      </c>
      <c r="AS130" s="212">
        <v>0</v>
      </c>
      <c r="AT130" s="212">
        <v>1813.1270397679195</v>
      </c>
      <c r="AU130" s="212" t="b">
        <v>0</v>
      </c>
      <c r="AV130" s="212"/>
      <c r="AW130" s="212">
        <v>0</v>
      </c>
      <c r="AX130" s="212">
        <v>0</v>
      </c>
      <c r="BA130" s="11">
        <v>0</v>
      </c>
      <c r="BB130" s="212">
        <v>0</v>
      </c>
      <c r="BC130" s="212">
        <v>0</v>
      </c>
      <c r="BD130" s="226"/>
    </row>
    <row r="131" spans="1:57" ht="39.950000000000003" customHeight="1" x14ac:dyDescent="0.2">
      <c r="A131" s="14" t="s">
        <v>744</v>
      </c>
      <c r="B131" s="13" t="s">
        <v>51</v>
      </c>
      <c r="C131" s="66" t="s">
        <v>119</v>
      </c>
      <c r="D131" s="14" t="s">
        <v>542</v>
      </c>
      <c r="E131" s="77" t="s">
        <v>119</v>
      </c>
      <c r="F131" s="14" t="s">
        <v>102</v>
      </c>
      <c r="G131" s="14" t="s">
        <v>102</v>
      </c>
      <c r="H131" s="14" t="s">
        <v>122</v>
      </c>
      <c r="I131" s="66" t="s">
        <v>745</v>
      </c>
      <c r="J131" s="66" t="s">
        <v>220</v>
      </c>
      <c r="K131" s="217" t="s">
        <v>140</v>
      </c>
      <c r="L131" s="65" t="s">
        <v>191</v>
      </c>
      <c r="M131" s="65" t="s">
        <v>59</v>
      </c>
      <c r="N131" s="13" t="s">
        <v>43</v>
      </c>
      <c r="O131" s="13" t="s">
        <v>538</v>
      </c>
      <c r="P131" s="13" t="s">
        <v>534</v>
      </c>
      <c r="Q131" s="64" t="s">
        <v>59</v>
      </c>
      <c r="R131" s="62">
        <v>15109.391998065998</v>
      </c>
      <c r="S131" s="73">
        <v>10000</v>
      </c>
      <c r="T131" s="62">
        <v>15109.391998065998</v>
      </c>
      <c r="U131" s="62">
        <v>45328.175994197998</v>
      </c>
      <c r="V131" s="62">
        <v>759700.22966275841</v>
      </c>
      <c r="W131" s="61" t="s">
        <v>11</v>
      </c>
      <c r="X131" s="250">
        <v>1.7999999999999999E-2</v>
      </c>
      <c r="Y131" s="60">
        <v>44591</v>
      </c>
      <c r="Z131" s="60">
        <v>46416</v>
      </c>
      <c r="AA131" s="60">
        <v>46416</v>
      </c>
      <c r="AB131" s="58">
        <v>1826</v>
      </c>
      <c r="AC131" s="59" t="s">
        <v>10</v>
      </c>
      <c r="AD131" s="58">
        <v>1674</v>
      </c>
      <c r="AE131" s="57">
        <v>4.5863013698630137</v>
      </c>
      <c r="AF131" s="184"/>
      <c r="AG131" s="251" t="s">
        <v>1</v>
      </c>
      <c r="AH131" s="251" t="s">
        <v>1</v>
      </c>
      <c r="AI131" s="245" t="s">
        <v>0</v>
      </c>
      <c r="AJ131" s="11" t="s">
        <v>0</v>
      </c>
      <c r="AK131" s="11" t="s">
        <v>271</v>
      </c>
      <c r="AL131" s="14" t="s">
        <v>742</v>
      </c>
      <c r="AO131" s="197" t="s">
        <v>119</v>
      </c>
      <c r="AP131" s="198" t="s">
        <v>102</v>
      </c>
      <c r="AS131" s="212">
        <v>0</v>
      </c>
      <c r="AT131" s="212">
        <v>1813.1270397679195</v>
      </c>
      <c r="AU131" s="212" t="b">
        <v>0</v>
      </c>
      <c r="AV131" s="212"/>
      <c r="AW131" s="212">
        <v>0</v>
      </c>
      <c r="AX131" s="212">
        <v>0</v>
      </c>
      <c r="BA131" s="11">
        <v>0</v>
      </c>
      <c r="BB131" s="212">
        <v>0</v>
      </c>
      <c r="BC131" s="212">
        <v>0</v>
      </c>
      <c r="BD131" s="226"/>
    </row>
    <row r="132" spans="1:57" ht="39.950000000000003" customHeight="1" x14ac:dyDescent="0.2">
      <c r="A132" s="14" t="s">
        <v>751</v>
      </c>
      <c r="B132" s="13" t="s">
        <v>51</v>
      </c>
      <c r="C132" s="66" t="s">
        <v>746</v>
      </c>
      <c r="D132" s="14" t="s">
        <v>806</v>
      </c>
      <c r="E132" s="66" t="s">
        <v>749</v>
      </c>
      <c r="F132" s="14" t="s">
        <v>106</v>
      </c>
      <c r="G132" s="14" t="s">
        <v>106</v>
      </c>
      <c r="H132" s="14" t="s">
        <v>263</v>
      </c>
      <c r="I132" s="66" t="s">
        <v>747</v>
      </c>
      <c r="J132" s="66" t="s">
        <v>221</v>
      </c>
      <c r="K132" s="217" t="s">
        <v>209</v>
      </c>
      <c r="L132" s="65" t="s">
        <v>191</v>
      </c>
      <c r="M132" s="65" t="s">
        <v>59</v>
      </c>
      <c r="N132" s="13" t="s">
        <v>43</v>
      </c>
      <c r="O132" s="13" t="s">
        <v>538</v>
      </c>
      <c r="P132" s="13" t="s">
        <v>534</v>
      </c>
      <c r="Q132" s="64" t="s">
        <v>59</v>
      </c>
      <c r="R132" s="62">
        <v>11785.325758491479</v>
      </c>
      <c r="S132" s="73">
        <v>7800</v>
      </c>
      <c r="T132" s="253">
        <v>11785.325758491479</v>
      </c>
      <c r="U132" s="62">
        <v>98211.047987428989</v>
      </c>
      <c r="V132" s="62">
        <v>583667.50271969056</v>
      </c>
      <c r="W132" s="61" t="s">
        <v>11</v>
      </c>
      <c r="X132" s="250">
        <v>1.8499999999999999E-2</v>
      </c>
      <c r="Y132" s="60">
        <v>44592</v>
      </c>
      <c r="Z132" s="60">
        <v>46472</v>
      </c>
      <c r="AA132" s="60">
        <v>46472</v>
      </c>
      <c r="AB132" s="58">
        <v>1881</v>
      </c>
      <c r="AC132" s="59" t="s">
        <v>10</v>
      </c>
      <c r="AD132" s="58">
        <v>1730</v>
      </c>
      <c r="AE132" s="57">
        <v>4.7397260273972606</v>
      </c>
      <c r="AF132" s="184"/>
      <c r="AG132" s="251" t="s">
        <v>1</v>
      </c>
      <c r="AH132" s="251" t="s">
        <v>1</v>
      </c>
      <c r="AI132" s="245" t="s">
        <v>0</v>
      </c>
      <c r="AJ132" s="254" t="s">
        <v>0</v>
      </c>
      <c r="AK132" s="11" t="s">
        <v>271</v>
      </c>
      <c r="AL132" s="14" t="s">
        <v>743</v>
      </c>
      <c r="AO132" s="197" t="s">
        <v>749</v>
      </c>
      <c r="AP132" s="198" t="s">
        <v>106</v>
      </c>
      <c r="AS132" s="212">
        <v>0</v>
      </c>
      <c r="AT132" s="212">
        <v>1414.2390910189774</v>
      </c>
      <c r="AU132" s="212" t="b">
        <v>0</v>
      </c>
      <c r="AV132" s="212"/>
      <c r="AW132" s="212">
        <v>0</v>
      </c>
      <c r="AX132" s="212">
        <v>0</v>
      </c>
      <c r="BA132" s="11">
        <v>0</v>
      </c>
      <c r="BB132" s="212">
        <v>0</v>
      </c>
      <c r="BC132" s="212"/>
      <c r="BD132" s="226"/>
    </row>
    <row r="133" spans="1:57" ht="39.950000000000003" customHeight="1" x14ac:dyDescent="0.2">
      <c r="A133" s="14" t="s">
        <v>750</v>
      </c>
      <c r="B133" s="13" t="s">
        <v>51</v>
      </c>
      <c r="C133" s="66" t="s">
        <v>746</v>
      </c>
      <c r="D133" s="14" t="s">
        <v>542</v>
      </c>
      <c r="E133" s="66" t="s">
        <v>746</v>
      </c>
      <c r="F133" s="14" t="s">
        <v>106</v>
      </c>
      <c r="G133" s="14" t="s">
        <v>106</v>
      </c>
      <c r="H133" s="14" t="s">
        <v>263</v>
      </c>
      <c r="I133" s="66" t="s">
        <v>747</v>
      </c>
      <c r="J133" s="66" t="s">
        <v>221</v>
      </c>
      <c r="K133" s="217" t="s">
        <v>209</v>
      </c>
      <c r="L133" s="65" t="s">
        <v>191</v>
      </c>
      <c r="M133" s="65" t="s">
        <v>59</v>
      </c>
      <c r="N133" s="13" t="s">
        <v>43</v>
      </c>
      <c r="O133" s="13" t="s">
        <v>538</v>
      </c>
      <c r="P133" s="13" t="s">
        <v>534</v>
      </c>
      <c r="Q133" s="64" t="s">
        <v>59</v>
      </c>
      <c r="R133" s="62">
        <v>10878.762238607518</v>
      </c>
      <c r="S133" s="73">
        <v>7200</v>
      </c>
      <c r="T133" s="62">
        <v>10878.762238607518</v>
      </c>
      <c r="U133" s="62">
        <v>90656.351988395996</v>
      </c>
      <c r="V133" s="62">
        <v>571869.75704097678</v>
      </c>
      <c r="W133" s="61" t="s">
        <v>11</v>
      </c>
      <c r="X133" s="250">
        <v>1.8499999999999999E-2</v>
      </c>
      <c r="Y133" s="60">
        <v>44592</v>
      </c>
      <c r="Z133" s="60">
        <v>46472</v>
      </c>
      <c r="AA133" s="60">
        <v>46472</v>
      </c>
      <c r="AB133" s="58">
        <v>1881</v>
      </c>
      <c r="AC133" s="59" t="s">
        <v>10</v>
      </c>
      <c r="AD133" s="58">
        <v>1730</v>
      </c>
      <c r="AE133" s="57">
        <v>4.7397260273972606</v>
      </c>
      <c r="AF133" s="184"/>
      <c r="AG133" s="251" t="s">
        <v>1</v>
      </c>
      <c r="AH133" s="251" t="s">
        <v>1</v>
      </c>
      <c r="AI133" s="245" t="s">
        <v>0</v>
      </c>
      <c r="AJ133" s="11" t="s">
        <v>0</v>
      </c>
      <c r="AK133" s="11" t="s">
        <v>271</v>
      </c>
      <c r="AL133" s="14" t="s">
        <v>743</v>
      </c>
      <c r="AO133" s="197" t="s">
        <v>746</v>
      </c>
      <c r="AP133" s="198" t="s">
        <v>106</v>
      </c>
      <c r="AS133" s="212">
        <v>0</v>
      </c>
      <c r="AT133" s="212">
        <v>1305.4514686329021</v>
      </c>
      <c r="AU133" s="212" t="b">
        <v>0</v>
      </c>
      <c r="AV133" s="212"/>
      <c r="AW133" s="212">
        <v>0</v>
      </c>
      <c r="AX133" s="212">
        <v>0</v>
      </c>
      <c r="BA133" s="11">
        <v>0</v>
      </c>
      <c r="BB133" s="212">
        <v>0</v>
      </c>
      <c r="BC133" s="212"/>
      <c r="BD133" s="226"/>
    </row>
    <row r="134" spans="1:57" ht="39.950000000000003" customHeight="1" x14ac:dyDescent="0.2">
      <c r="A134" s="14" t="s">
        <v>753</v>
      </c>
      <c r="B134" s="13" t="s">
        <v>67</v>
      </c>
      <c r="C134" s="66" t="s">
        <v>588</v>
      </c>
      <c r="D134" s="14" t="s">
        <v>499</v>
      </c>
      <c r="E134" s="66" t="s">
        <v>162</v>
      </c>
      <c r="F134" s="14" t="s">
        <v>546</v>
      </c>
      <c r="G134" s="66" t="s">
        <v>167</v>
      </c>
      <c r="H134" s="14" t="s">
        <v>167</v>
      </c>
      <c r="I134" s="14" t="s">
        <v>298</v>
      </c>
      <c r="J134" s="66" t="s">
        <v>218</v>
      </c>
      <c r="K134" s="217" t="s">
        <v>209</v>
      </c>
      <c r="L134" s="65" t="s">
        <v>191</v>
      </c>
      <c r="M134" s="65" t="s">
        <v>59</v>
      </c>
      <c r="N134" s="13" t="s">
        <v>43</v>
      </c>
      <c r="O134" s="13" t="s">
        <v>531</v>
      </c>
      <c r="P134" s="13" t="s">
        <v>534</v>
      </c>
      <c r="Q134" s="64" t="s">
        <v>9</v>
      </c>
      <c r="R134" s="62">
        <v>29442.939583087977</v>
      </c>
      <c r="S134" s="73">
        <v>20000</v>
      </c>
      <c r="T134" s="62">
        <v>29442.939583087977</v>
      </c>
      <c r="U134" s="62">
        <v>58885.879166175953</v>
      </c>
      <c r="V134" s="62">
        <v>1060298.168649158</v>
      </c>
      <c r="W134" s="61" t="s">
        <v>11</v>
      </c>
      <c r="X134" s="250">
        <v>3.4849999999999999E-2</v>
      </c>
      <c r="Y134" s="60">
        <v>44634</v>
      </c>
      <c r="Z134" s="60">
        <v>45316</v>
      </c>
      <c r="AA134" s="60">
        <v>45337</v>
      </c>
      <c r="AB134" s="58">
        <v>704</v>
      </c>
      <c r="AC134" s="59" t="s">
        <v>10</v>
      </c>
      <c r="AD134" s="58">
        <v>595</v>
      </c>
      <c r="AE134" s="57">
        <v>1.6301369863013699</v>
      </c>
      <c r="AF134" s="184" t="s">
        <v>436</v>
      </c>
      <c r="AG134" s="251" t="s">
        <v>1</v>
      </c>
      <c r="AH134" s="251" t="s">
        <v>1</v>
      </c>
      <c r="AI134" s="245" t="s">
        <v>0</v>
      </c>
      <c r="AJ134" s="11" t="s">
        <v>0</v>
      </c>
      <c r="AK134" s="11" t="s">
        <v>271</v>
      </c>
      <c r="AL134" s="14" t="s">
        <v>755</v>
      </c>
      <c r="AO134" s="197" t="s">
        <v>162</v>
      </c>
      <c r="AP134" s="198" t="s">
        <v>546</v>
      </c>
      <c r="AS134" s="212">
        <v>0</v>
      </c>
      <c r="AT134" s="212">
        <v>3533.1527499705571</v>
      </c>
      <c r="AU134" s="212">
        <v>706.63054999411145</v>
      </c>
      <c r="AV134" s="212"/>
      <c r="AW134" s="212">
        <v>0</v>
      </c>
      <c r="AX134" s="212">
        <v>0</v>
      </c>
      <c r="BA134" s="11">
        <v>0</v>
      </c>
      <c r="BB134" s="212">
        <v>0</v>
      </c>
      <c r="BC134" s="212"/>
      <c r="BD134" s="226"/>
    </row>
    <row r="135" spans="1:57" ht="39.950000000000003" customHeight="1" x14ac:dyDescent="0.2">
      <c r="A135" s="14" t="s">
        <v>756</v>
      </c>
      <c r="B135" s="13" t="s">
        <v>67</v>
      </c>
      <c r="C135" s="66" t="s">
        <v>684</v>
      </c>
      <c r="D135" s="14" t="s">
        <v>542</v>
      </c>
      <c r="E135" s="66" t="s">
        <v>308</v>
      </c>
      <c r="F135" s="14" t="s">
        <v>546</v>
      </c>
      <c r="G135" s="66" t="s">
        <v>167</v>
      </c>
      <c r="H135" s="14" t="s">
        <v>167</v>
      </c>
      <c r="I135" s="66" t="s">
        <v>677</v>
      </c>
      <c r="J135" s="66" t="s">
        <v>218</v>
      </c>
      <c r="K135" s="217" t="s">
        <v>209</v>
      </c>
      <c r="L135" s="65" t="s">
        <v>191</v>
      </c>
      <c r="M135" s="65" t="s">
        <v>59</v>
      </c>
      <c r="N135" s="13" t="s">
        <v>43</v>
      </c>
      <c r="O135" s="13" t="s">
        <v>533</v>
      </c>
      <c r="P135" s="13" t="s">
        <v>534</v>
      </c>
      <c r="Q135" s="64" t="s">
        <v>487</v>
      </c>
      <c r="R135" s="62">
        <v>22791.911429073032</v>
      </c>
      <c r="S135" s="73">
        <v>155787.27299999999</v>
      </c>
      <c r="T135" s="62">
        <v>22791.911429073032</v>
      </c>
      <c r="U135" s="62">
        <v>45583.822858146064</v>
      </c>
      <c r="V135" s="62">
        <v>1525198.5399110487</v>
      </c>
      <c r="W135" s="61" t="s">
        <v>11</v>
      </c>
      <c r="X135" s="250">
        <v>2.8500000000000001E-2</v>
      </c>
      <c r="Y135" s="60">
        <v>44651</v>
      </c>
      <c r="Z135" s="60">
        <v>46418</v>
      </c>
      <c r="AA135" s="60">
        <v>46433</v>
      </c>
      <c r="AB135" s="58">
        <v>1783</v>
      </c>
      <c r="AC135" s="59" t="s">
        <v>10</v>
      </c>
      <c r="AD135" s="58">
        <v>1691</v>
      </c>
      <c r="AE135" s="57">
        <v>4.6328767123287671</v>
      </c>
      <c r="AF135" s="184" t="s">
        <v>436</v>
      </c>
      <c r="AG135" s="251" t="s">
        <v>1</v>
      </c>
      <c r="AH135" s="251" t="s">
        <v>1</v>
      </c>
      <c r="AI135" s="245" t="s">
        <v>0</v>
      </c>
      <c r="AJ135" s="11" t="s">
        <v>0</v>
      </c>
      <c r="AK135" s="11" t="s">
        <v>271</v>
      </c>
      <c r="AL135" s="14" t="s">
        <v>757</v>
      </c>
      <c r="AO135" s="197" t="s">
        <v>308</v>
      </c>
      <c r="AP135" s="198" t="s">
        <v>546</v>
      </c>
      <c r="AS135" s="212">
        <v>0</v>
      </c>
      <c r="AT135" s="212">
        <v>2735.0293714887639</v>
      </c>
      <c r="AU135" s="212">
        <v>547.00587429775283</v>
      </c>
      <c r="AV135" s="212"/>
      <c r="AW135" s="212">
        <v>0</v>
      </c>
      <c r="AX135" s="212">
        <v>0</v>
      </c>
      <c r="BA135" s="11">
        <v>0</v>
      </c>
      <c r="BB135" s="212">
        <v>0</v>
      </c>
      <c r="BC135" s="212"/>
      <c r="BD135" s="226"/>
    </row>
    <row r="136" spans="1:57" ht="39.950000000000003" customHeight="1" x14ac:dyDescent="0.2">
      <c r="A136" s="14" t="s">
        <v>758</v>
      </c>
      <c r="B136" s="13" t="s">
        <v>23</v>
      </c>
      <c r="C136" s="66" t="s">
        <v>759</v>
      </c>
      <c r="D136" s="14" t="s">
        <v>34</v>
      </c>
      <c r="E136" s="66" t="s">
        <v>34</v>
      </c>
      <c r="F136" s="14" t="s">
        <v>102</v>
      </c>
      <c r="G136" s="66" t="s">
        <v>102</v>
      </c>
      <c r="H136" s="14" t="s">
        <v>477</v>
      </c>
      <c r="I136" s="66" t="s">
        <v>760</v>
      </c>
      <c r="J136" s="66" t="s">
        <v>33</v>
      </c>
      <c r="K136" s="217" t="s">
        <v>101</v>
      </c>
      <c r="L136" s="65" t="s">
        <v>191</v>
      </c>
      <c r="M136" s="65" t="s">
        <v>323</v>
      </c>
      <c r="N136" s="13" t="s">
        <v>43</v>
      </c>
      <c r="O136" s="13" t="s">
        <v>533</v>
      </c>
      <c r="P136" s="13" t="s">
        <v>534</v>
      </c>
      <c r="Q136" s="64" t="s">
        <v>8</v>
      </c>
      <c r="R136" s="62">
        <v>11100</v>
      </c>
      <c r="S136" s="73">
        <v>11100</v>
      </c>
      <c r="T136" s="62">
        <v>11100</v>
      </c>
      <c r="U136" s="62">
        <v>48000</v>
      </c>
      <c r="V136" s="62">
        <v>417129.53</v>
      </c>
      <c r="W136" s="61" t="s">
        <v>11</v>
      </c>
      <c r="X136" s="250">
        <v>2.1499999999999998E-2</v>
      </c>
      <c r="Y136" s="60">
        <v>44651</v>
      </c>
      <c r="Z136" s="60">
        <v>46386</v>
      </c>
      <c r="AA136" s="60">
        <v>46386</v>
      </c>
      <c r="AB136" s="58">
        <v>1736</v>
      </c>
      <c r="AC136" s="59" t="s">
        <v>10</v>
      </c>
      <c r="AD136" s="58">
        <v>1644</v>
      </c>
      <c r="AE136" s="57">
        <v>4.5041095890410956</v>
      </c>
      <c r="AF136" s="184"/>
      <c r="AG136" s="251" t="s">
        <v>1</v>
      </c>
      <c r="AH136" s="251" t="s">
        <v>1</v>
      </c>
      <c r="AI136" s="245" t="s">
        <v>0</v>
      </c>
      <c r="AJ136" s="11" t="s">
        <v>0</v>
      </c>
      <c r="AK136" s="11" t="s">
        <v>563</v>
      </c>
      <c r="AL136" s="14" t="s">
        <v>761</v>
      </c>
      <c r="AO136" s="197" t="s">
        <v>34</v>
      </c>
      <c r="AP136" s="198" t="s">
        <v>102</v>
      </c>
      <c r="AS136" s="212">
        <v>0</v>
      </c>
      <c r="AT136" s="212">
        <v>1332</v>
      </c>
      <c r="AU136" s="212" t="b">
        <v>0</v>
      </c>
      <c r="AV136" s="212"/>
      <c r="AW136" s="212">
        <v>0</v>
      </c>
      <c r="AX136" s="212">
        <v>0</v>
      </c>
      <c r="BA136" s="11">
        <v>0</v>
      </c>
      <c r="BB136" s="212">
        <v>0</v>
      </c>
      <c r="BC136" s="212"/>
      <c r="BD136" s="226"/>
    </row>
    <row r="137" spans="1:57" ht="39.950000000000003" customHeight="1" x14ac:dyDescent="0.2">
      <c r="A137" s="14" t="s">
        <v>780</v>
      </c>
      <c r="B137" s="13" t="s">
        <v>23</v>
      </c>
      <c r="C137" s="66" t="s">
        <v>34</v>
      </c>
      <c r="D137" s="14" t="s">
        <v>34</v>
      </c>
      <c r="E137" s="66" t="s">
        <v>34</v>
      </c>
      <c r="F137" s="14" t="s">
        <v>544</v>
      </c>
      <c r="G137" s="66" t="s">
        <v>117</v>
      </c>
      <c r="H137" s="14" t="s">
        <v>273</v>
      </c>
      <c r="I137" s="66" t="s">
        <v>232</v>
      </c>
      <c r="J137" s="66" t="s">
        <v>21</v>
      </c>
      <c r="K137" s="217" t="s">
        <v>209</v>
      </c>
      <c r="L137" s="65" t="s">
        <v>191</v>
      </c>
      <c r="M137" s="65" t="s">
        <v>323</v>
      </c>
      <c r="N137" s="13" t="s">
        <v>43</v>
      </c>
      <c r="O137" s="13" t="s">
        <v>538</v>
      </c>
      <c r="P137" s="13" t="s">
        <v>534</v>
      </c>
      <c r="Q137" s="64" t="s">
        <v>8</v>
      </c>
      <c r="R137" s="62">
        <v>20000</v>
      </c>
      <c r="S137" s="73">
        <v>20000</v>
      </c>
      <c r="T137" s="62">
        <v>20000</v>
      </c>
      <c r="U137" s="62">
        <v>172250</v>
      </c>
      <c r="V137" s="62">
        <v>528467.09</v>
      </c>
      <c r="W137" s="61" t="s">
        <v>11</v>
      </c>
      <c r="X137" s="250">
        <v>2.2499999999999999E-2</v>
      </c>
      <c r="Y137" s="60">
        <v>44658</v>
      </c>
      <c r="Z137" s="60">
        <v>45594</v>
      </c>
      <c r="AA137" s="60">
        <v>45625</v>
      </c>
      <c r="AB137" s="58">
        <v>968</v>
      </c>
      <c r="AC137" s="59" t="s">
        <v>10</v>
      </c>
      <c r="AD137" s="58">
        <v>883</v>
      </c>
      <c r="AE137" s="57">
        <v>2.419178082191781</v>
      </c>
      <c r="AF137" s="184"/>
      <c r="AG137" s="251" t="s">
        <v>1</v>
      </c>
      <c r="AH137" s="251" t="s">
        <v>1</v>
      </c>
      <c r="AI137" s="245" t="s">
        <v>0</v>
      </c>
      <c r="AJ137" s="11" t="s">
        <v>0</v>
      </c>
      <c r="AK137" s="11" t="s">
        <v>563</v>
      </c>
      <c r="AL137" s="14" t="s">
        <v>776</v>
      </c>
      <c r="AO137" s="197" t="s">
        <v>34</v>
      </c>
      <c r="AP137" s="198" t="s">
        <v>544</v>
      </c>
      <c r="AS137" s="212">
        <v>0</v>
      </c>
      <c r="AT137" s="212">
        <v>2400</v>
      </c>
      <c r="AU137" s="212" t="b">
        <v>0</v>
      </c>
      <c r="AV137" s="212"/>
      <c r="AW137" s="212">
        <v>0</v>
      </c>
      <c r="AX137" s="212">
        <v>0</v>
      </c>
      <c r="BA137" s="11">
        <v>0</v>
      </c>
      <c r="BB137" s="212"/>
      <c r="BC137" s="212"/>
      <c r="BD137" s="226"/>
    </row>
    <row r="138" spans="1:57" ht="39.950000000000003" customHeight="1" x14ac:dyDescent="0.2">
      <c r="A138" s="14" t="s">
        <v>781</v>
      </c>
      <c r="B138" s="13" t="s">
        <v>243</v>
      </c>
      <c r="C138" s="66" t="s">
        <v>588</v>
      </c>
      <c r="D138" s="14" t="s">
        <v>542</v>
      </c>
      <c r="E138" s="66" t="s">
        <v>87</v>
      </c>
      <c r="F138" s="14" t="s">
        <v>102</v>
      </c>
      <c r="G138" s="66" t="s">
        <v>102</v>
      </c>
      <c r="H138" s="14" t="s">
        <v>477</v>
      </c>
      <c r="I138" s="66" t="s">
        <v>298</v>
      </c>
      <c r="J138" s="66" t="s">
        <v>218</v>
      </c>
      <c r="K138" s="217" t="s">
        <v>209</v>
      </c>
      <c r="L138" s="65" t="s">
        <v>191</v>
      </c>
      <c r="M138" s="65" t="s">
        <v>59</v>
      </c>
      <c r="N138" s="13" t="s">
        <v>43</v>
      </c>
      <c r="O138" s="13" t="s">
        <v>533</v>
      </c>
      <c r="P138" s="13" t="s">
        <v>534</v>
      </c>
      <c r="Q138" s="64" t="s">
        <v>156</v>
      </c>
      <c r="R138" s="62">
        <v>17593.244194229417</v>
      </c>
      <c r="S138" s="73">
        <v>10000</v>
      </c>
      <c r="T138" s="62">
        <v>17593.244194229417</v>
      </c>
      <c r="U138" s="62">
        <v>70372.976776917669</v>
      </c>
      <c r="V138" s="62">
        <v>723363.08937368053</v>
      </c>
      <c r="W138" s="61" t="s">
        <v>11</v>
      </c>
      <c r="X138" s="250">
        <v>0.03</v>
      </c>
      <c r="Y138" s="60">
        <v>44663</v>
      </c>
      <c r="Z138" s="60">
        <v>45749</v>
      </c>
      <c r="AA138" s="60">
        <v>45764</v>
      </c>
      <c r="AB138" s="58">
        <v>1102</v>
      </c>
      <c r="AC138" s="59" t="s">
        <v>10</v>
      </c>
      <c r="AD138" s="58">
        <v>1022</v>
      </c>
      <c r="AE138" s="57">
        <v>2.8</v>
      </c>
      <c r="AF138" s="184"/>
      <c r="AG138" s="251" t="s">
        <v>1</v>
      </c>
      <c r="AH138" s="251" t="s">
        <v>1</v>
      </c>
      <c r="AI138" s="245" t="s">
        <v>0</v>
      </c>
      <c r="AJ138" s="11" t="s">
        <v>0</v>
      </c>
      <c r="AK138" s="11" t="s">
        <v>563</v>
      </c>
      <c r="AL138" s="14" t="s">
        <v>777</v>
      </c>
      <c r="AO138" s="197" t="s">
        <v>87</v>
      </c>
      <c r="AP138" s="198" t="s">
        <v>102</v>
      </c>
      <c r="AS138" s="212">
        <v>0</v>
      </c>
      <c r="AT138" s="212">
        <v>2111.1893033075298</v>
      </c>
      <c r="AU138" s="212" t="b">
        <v>0</v>
      </c>
      <c r="AV138" s="212"/>
      <c r="AW138" s="212">
        <v>0</v>
      </c>
      <c r="AX138" s="212">
        <v>0</v>
      </c>
      <c r="BA138" s="11">
        <v>0</v>
      </c>
      <c r="BB138" s="212"/>
      <c r="BC138" s="212"/>
      <c r="BD138" s="226"/>
    </row>
    <row r="139" spans="1:57" ht="39.950000000000003" customHeight="1" x14ac:dyDescent="0.2">
      <c r="A139" s="14" t="s">
        <v>782</v>
      </c>
      <c r="B139" s="13" t="s">
        <v>23</v>
      </c>
      <c r="C139" s="66" t="s">
        <v>88</v>
      </c>
      <c r="D139" s="14" t="s">
        <v>542</v>
      </c>
      <c r="E139" s="66" t="s">
        <v>193</v>
      </c>
      <c r="F139" s="14" t="s">
        <v>92</v>
      </c>
      <c r="G139" s="66" t="s">
        <v>134</v>
      </c>
      <c r="H139" s="14" t="s">
        <v>134</v>
      </c>
      <c r="I139" s="66" t="s">
        <v>286</v>
      </c>
      <c r="J139" s="66" t="s">
        <v>220</v>
      </c>
      <c r="K139" s="217" t="s">
        <v>209</v>
      </c>
      <c r="L139" s="65" t="s">
        <v>191</v>
      </c>
      <c r="M139" s="65" t="s">
        <v>59</v>
      </c>
      <c r="N139" s="13" t="s">
        <v>43</v>
      </c>
      <c r="O139" s="13" t="s">
        <v>531</v>
      </c>
      <c r="P139" s="13" t="s">
        <v>534</v>
      </c>
      <c r="Q139" s="64" t="s">
        <v>9</v>
      </c>
      <c r="R139" s="62">
        <v>11041.102343657991</v>
      </c>
      <c r="S139" s="73">
        <v>7289.1371300000001</v>
      </c>
      <c r="T139" s="62">
        <v>10730.681206571664</v>
      </c>
      <c r="U139" s="62">
        <v>157894.13071193028</v>
      </c>
      <c r="V139" s="62">
        <v>615379.43116240727</v>
      </c>
      <c r="W139" s="61" t="s">
        <v>11</v>
      </c>
      <c r="X139" s="250">
        <v>2.5000000000000001E-2</v>
      </c>
      <c r="Y139" s="60">
        <v>44650</v>
      </c>
      <c r="Z139" s="60">
        <v>47421</v>
      </c>
      <c r="AA139" s="60">
        <v>47421</v>
      </c>
      <c r="AB139" s="58">
        <v>2772</v>
      </c>
      <c r="AC139" s="59" t="s">
        <v>10</v>
      </c>
      <c r="AD139" s="58">
        <v>2679</v>
      </c>
      <c r="AE139" s="57">
        <v>7.3397260273972602</v>
      </c>
      <c r="AF139" s="184"/>
      <c r="AG139" s="251" t="s">
        <v>1</v>
      </c>
      <c r="AH139" s="251" t="s">
        <v>1</v>
      </c>
      <c r="AI139" s="245" t="s">
        <v>784</v>
      </c>
      <c r="AJ139" s="11" t="s">
        <v>0</v>
      </c>
      <c r="AK139" s="11" t="s">
        <v>563</v>
      </c>
      <c r="AL139" s="14" t="s">
        <v>778</v>
      </c>
      <c r="AO139" s="197" t="s">
        <v>193</v>
      </c>
      <c r="AP139" s="198" t="s">
        <v>92</v>
      </c>
      <c r="AS139" s="212">
        <v>0</v>
      </c>
      <c r="AT139" s="212">
        <v>1287.6817447885996</v>
      </c>
      <c r="AU139" s="212" t="b">
        <v>0</v>
      </c>
      <c r="AV139" s="212"/>
      <c r="AW139" s="212">
        <v>0</v>
      </c>
      <c r="AX139" s="212">
        <v>0</v>
      </c>
      <c r="BA139" s="11">
        <v>0</v>
      </c>
      <c r="BB139" s="212"/>
      <c r="BC139" s="212"/>
      <c r="BD139" s="226"/>
    </row>
    <row r="140" spans="1:57" ht="39.950000000000003" customHeight="1" x14ac:dyDescent="0.2">
      <c r="A140" s="14" t="s">
        <v>785</v>
      </c>
      <c r="B140" s="13" t="s">
        <v>51</v>
      </c>
      <c r="C140" s="66" t="s">
        <v>746</v>
      </c>
      <c r="D140" s="14" t="s">
        <v>542</v>
      </c>
      <c r="E140" s="66" t="s">
        <v>746</v>
      </c>
      <c r="F140" s="14" t="s">
        <v>106</v>
      </c>
      <c r="G140" s="66" t="s">
        <v>106</v>
      </c>
      <c r="H140" s="14" t="s">
        <v>263</v>
      </c>
      <c r="I140" s="66" t="s">
        <v>747</v>
      </c>
      <c r="J140" s="66" t="s">
        <v>221</v>
      </c>
      <c r="K140" s="217" t="s">
        <v>209</v>
      </c>
      <c r="L140" s="65" t="s">
        <v>191</v>
      </c>
      <c r="M140" s="65" t="s">
        <v>59</v>
      </c>
      <c r="N140" s="13" t="s">
        <v>43</v>
      </c>
      <c r="O140" s="13" t="s">
        <v>533</v>
      </c>
      <c r="P140" s="13" t="s">
        <v>534</v>
      </c>
      <c r="Q140" s="64" t="s">
        <v>59</v>
      </c>
      <c r="R140" s="62">
        <v>15109.391998065998</v>
      </c>
      <c r="S140" s="73">
        <v>9974.8743699999995</v>
      </c>
      <c r="T140" s="62">
        <v>15071.42869877916</v>
      </c>
      <c r="U140" s="62">
        <v>36081.228091381607</v>
      </c>
      <c r="V140" s="62">
        <v>991361.43176598579</v>
      </c>
      <c r="W140" s="61" t="s">
        <v>11</v>
      </c>
      <c r="X140" s="250">
        <v>1.55E-2</v>
      </c>
      <c r="Y140" s="60">
        <v>44678</v>
      </c>
      <c r="Z140" s="60">
        <v>48096</v>
      </c>
      <c r="AA140" s="60">
        <v>48113</v>
      </c>
      <c r="AB140" s="58">
        <v>3436</v>
      </c>
      <c r="AC140" s="59" t="s">
        <v>10</v>
      </c>
      <c r="AD140" s="58">
        <v>3371</v>
      </c>
      <c r="AE140" s="57">
        <v>9.2356164383561641</v>
      </c>
      <c r="AF140" s="184"/>
      <c r="AG140" s="251" t="s">
        <v>1</v>
      </c>
      <c r="AH140" s="251" t="s">
        <v>1</v>
      </c>
      <c r="AI140" s="245" t="s">
        <v>784</v>
      </c>
      <c r="AJ140" s="11" t="s">
        <v>0</v>
      </c>
      <c r="AK140" s="11" t="s">
        <v>271</v>
      </c>
      <c r="AL140" s="14" t="s">
        <v>779</v>
      </c>
      <c r="AO140" s="197" t="s">
        <v>746</v>
      </c>
      <c r="AP140" s="198" t="s">
        <v>106</v>
      </c>
      <c r="AS140" s="212">
        <v>0</v>
      </c>
      <c r="AT140" s="212">
        <v>1808.5714438534992</v>
      </c>
      <c r="AU140" s="212" t="b">
        <v>0</v>
      </c>
      <c r="AV140" s="212"/>
      <c r="AW140" s="212">
        <v>0</v>
      </c>
      <c r="AX140" s="212">
        <v>0</v>
      </c>
      <c r="BA140" s="11">
        <v>0</v>
      </c>
      <c r="BB140" s="212"/>
      <c r="BC140" s="212"/>
      <c r="BD140" s="226"/>
    </row>
    <row r="141" spans="1:57" ht="39.950000000000003" customHeight="1" x14ac:dyDescent="0.2">
      <c r="A141" s="14" t="s">
        <v>786</v>
      </c>
      <c r="B141" s="13" t="s">
        <v>23</v>
      </c>
      <c r="C141" s="66" t="s">
        <v>797</v>
      </c>
      <c r="D141" s="14" t="s">
        <v>541</v>
      </c>
      <c r="E141" s="66" t="s">
        <v>38</v>
      </c>
      <c r="F141" s="14" t="s">
        <v>543</v>
      </c>
      <c r="G141" s="66" t="s">
        <v>133</v>
      </c>
      <c r="H141" s="14" t="s">
        <v>133</v>
      </c>
      <c r="I141" s="66" t="s">
        <v>50</v>
      </c>
      <c r="J141" s="66" t="s">
        <v>21</v>
      </c>
      <c r="K141" s="217" t="s">
        <v>209</v>
      </c>
      <c r="L141" s="65" t="s">
        <v>191</v>
      </c>
      <c r="M141" s="65" t="s">
        <v>323</v>
      </c>
      <c r="N141" s="13" t="s">
        <v>43</v>
      </c>
      <c r="O141" s="13" t="s">
        <v>538</v>
      </c>
      <c r="P141" s="13" t="s">
        <v>534</v>
      </c>
      <c r="Q141" s="64" t="s">
        <v>9</v>
      </c>
      <c r="R141" s="62">
        <v>29442.939583087977</v>
      </c>
      <c r="S141" s="73">
        <v>20000</v>
      </c>
      <c r="T141" s="62">
        <v>29442.939583087977</v>
      </c>
      <c r="U141" s="62">
        <v>88328.818749263926</v>
      </c>
      <c r="V141" s="62">
        <v>3040377.6351430928</v>
      </c>
      <c r="W141" s="61" t="s">
        <v>11</v>
      </c>
      <c r="X141" s="250">
        <v>3.7499999999999999E-2</v>
      </c>
      <c r="Y141" s="60">
        <v>44686</v>
      </c>
      <c r="Z141" s="60">
        <v>46437</v>
      </c>
      <c r="AA141" s="60">
        <v>46465</v>
      </c>
      <c r="AB141" s="58">
        <v>1780</v>
      </c>
      <c r="AC141" s="59" t="s">
        <v>10</v>
      </c>
      <c r="AD141" s="58">
        <v>1723</v>
      </c>
      <c r="AE141" s="57">
        <v>4.720547945205479</v>
      </c>
      <c r="AF141" s="184" t="s">
        <v>436</v>
      </c>
      <c r="AG141" s="251" t="s">
        <v>1</v>
      </c>
      <c r="AH141" s="251" t="s">
        <v>1</v>
      </c>
      <c r="AI141" s="245" t="s">
        <v>803</v>
      </c>
      <c r="AJ141" s="11" t="s">
        <v>0</v>
      </c>
      <c r="AK141" s="11" t="s">
        <v>563</v>
      </c>
      <c r="AL141" s="14" t="s">
        <v>792</v>
      </c>
      <c r="AO141" s="197" t="s">
        <v>38</v>
      </c>
      <c r="AP141" s="198" t="s">
        <v>543</v>
      </c>
      <c r="AS141" s="212">
        <v>0</v>
      </c>
      <c r="AT141" s="212">
        <v>3533.1527499705571</v>
      </c>
      <c r="AU141" s="212">
        <v>706.63054999411145</v>
      </c>
      <c r="AV141" s="212"/>
      <c r="AW141" s="212">
        <v>0</v>
      </c>
      <c r="AX141" s="212">
        <v>0</v>
      </c>
      <c r="BA141" s="11">
        <v>0</v>
      </c>
      <c r="BB141" s="212"/>
      <c r="BC141" s="212"/>
      <c r="BD141" s="226"/>
    </row>
    <row r="142" spans="1:57" ht="39.950000000000003" customHeight="1" x14ac:dyDescent="0.2">
      <c r="A142" s="14" t="s">
        <v>787</v>
      </c>
      <c r="B142" s="13" t="s">
        <v>67</v>
      </c>
      <c r="C142" s="66" t="s">
        <v>798</v>
      </c>
      <c r="D142" s="14" t="s">
        <v>34</v>
      </c>
      <c r="E142" s="66" t="s">
        <v>34</v>
      </c>
      <c r="F142" s="14" t="s">
        <v>547</v>
      </c>
      <c r="G142" s="66" t="s">
        <v>265</v>
      </c>
      <c r="H142" s="14" t="s">
        <v>456</v>
      </c>
      <c r="I142" s="66" t="s">
        <v>656</v>
      </c>
      <c r="J142" s="66" t="s">
        <v>656</v>
      </c>
      <c r="K142" s="217" t="s">
        <v>140</v>
      </c>
      <c r="L142" s="65" t="s">
        <v>191</v>
      </c>
      <c r="M142" s="65" t="s">
        <v>323</v>
      </c>
      <c r="N142" s="13" t="s">
        <v>43</v>
      </c>
      <c r="O142" s="13" t="s">
        <v>533</v>
      </c>
      <c r="P142" s="13" t="s">
        <v>534</v>
      </c>
      <c r="Q142" s="64" t="s">
        <v>8</v>
      </c>
      <c r="R142" s="62">
        <v>10000</v>
      </c>
      <c r="S142" s="73">
        <v>10000</v>
      </c>
      <c r="T142" s="62">
        <v>10000</v>
      </c>
      <c r="U142" s="62">
        <v>88100</v>
      </c>
      <c r="V142" s="62">
        <v>698431.06</v>
      </c>
      <c r="W142" s="61" t="s">
        <v>11</v>
      </c>
      <c r="X142" s="250">
        <v>1.7999999999999999E-2</v>
      </c>
      <c r="Y142" s="60">
        <v>44694</v>
      </c>
      <c r="Z142" s="60">
        <v>47026</v>
      </c>
      <c r="AA142" s="60">
        <v>47047</v>
      </c>
      <c r="AB142" s="58">
        <v>2354</v>
      </c>
      <c r="AC142" s="59" t="s">
        <v>10</v>
      </c>
      <c r="AD142" s="58">
        <v>2305</v>
      </c>
      <c r="AE142" s="57">
        <v>6.3150684931506849</v>
      </c>
      <c r="AF142" s="184"/>
      <c r="AG142" s="251" t="s">
        <v>1</v>
      </c>
      <c r="AH142" s="251" t="s">
        <v>1</v>
      </c>
      <c r="AI142" s="245" t="s">
        <v>784</v>
      </c>
      <c r="AJ142" s="11" t="s">
        <v>0</v>
      </c>
      <c r="AK142" s="11" t="s">
        <v>563</v>
      </c>
      <c r="AL142" s="14" t="s">
        <v>791</v>
      </c>
      <c r="AO142" s="197" t="s">
        <v>34</v>
      </c>
      <c r="AP142" s="198" t="s">
        <v>547</v>
      </c>
      <c r="AS142" s="212">
        <v>0</v>
      </c>
      <c r="AT142" s="212">
        <v>1200</v>
      </c>
      <c r="AU142" s="212" t="b">
        <v>0</v>
      </c>
      <c r="AV142" s="212"/>
      <c r="AW142" s="212">
        <v>0</v>
      </c>
      <c r="AX142" s="212">
        <v>0</v>
      </c>
      <c r="BA142" s="11">
        <v>0</v>
      </c>
      <c r="BB142" s="212"/>
      <c r="BC142" s="212"/>
      <c r="BD142" s="226"/>
    </row>
    <row r="143" spans="1:57" ht="39.950000000000003" customHeight="1" x14ac:dyDescent="0.2">
      <c r="A143" s="14" t="s">
        <v>793</v>
      </c>
      <c r="B143" s="13" t="s">
        <v>24</v>
      </c>
      <c r="C143" s="66" t="s">
        <v>38</v>
      </c>
      <c r="D143" s="14" t="s">
        <v>540</v>
      </c>
      <c r="E143" s="66" t="s">
        <v>35</v>
      </c>
      <c r="F143" s="14" t="s">
        <v>104</v>
      </c>
      <c r="G143" s="66" t="s">
        <v>105</v>
      </c>
      <c r="H143" s="14" t="s">
        <v>799</v>
      </c>
      <c r="I143" s="66" t="s">
        <v>638</v>
      </c>
      <c r="J143" s="66" t="s">
        <v>687</v>
      </c>
      <c r="K143" s="217" t="s">
        <v>209</v>
      </c>
      <c r="L143" s="65" t="s">
        <v>191</v>
      </c>
      <c r="M143" s="65" t="s">
        <v>323</v>
      </c>
      <c r="N143" s="13" t="s">
        <v>43</v>
      </c>
      <c r="O143" s="13" t="s">
        <v>538</v>
      </c>
      <c r="P143" s="13" t="s">
        <v>534</v>
      </c>
      <c r="Q143" s="64" t="s">
        <v>9</v>
      </c>
      <c r="R143" s="62">
        <v>14721.469791543988</v>
      </c>
      <c r="S143" s="73">
        <v>10000</v>
      </c>
      <c r="T143" s="62">
        <v>14721.469791543988</v>
      </c>
      <c r="U143" s="62">
        <v>29442.939583087977</v>
      </c>
      <c r="V143" s="62">
        <v>1595471.6758921212</v>
      </c>
      <c r="W143" s="61" t="s">
        <v>11</v>
      </c>
      <c r="X143" s="250">
        <v>0.04</v>
      </c>
      <c r="Y143" s="60">
        <v>44700</v>
      </c>
      <c r="Z143" s="60">
        <v>46630</v>
      </c>
      <c r="AA143" s="60">
        <v>46630</v>
      </c>
      <c r="AB143" s="58">
        <v>1931</v>
      </c>
      <c r="AC143" s="59" t="s">
        <v>10</v>
      </c>
      <c r="AD143" s="58">
        <v>1888</v>
      </c>
      <c r="AE143" s="57">
        <v>5.1726027397260275</v>
      </c>
      <c r="AF143" s="184"/>
      <c r="AG143" s="251" t="s">
        <v>1</v>
      </c>
      <c r="AH143" s="251" t="s">
        <v>1</v>
      </c>
      <c r="AI143" s="245" t="s">
        <v>804</v>
      </c>
      <c r="AJ143" s="11" t="s">
        <v>0</v>
      </c>
      <c r="AK143" s="11" t="s">
        <v>563</v>
      </c>
      <c r="AL143" s="14" t="s">
        <v>789</v>
      </c>
      <c r="AO143" s="197" t="s">
        <v>35</v>
      </c>
      <c r="AP143" s="198" t="s">
        <v>104</v>
      </c>
      <c r="AS143" s="212">
        <v>0</v>
      </c>
      <c r="AT143" s="212">
        <v>1766.5763749852786</v>
      </c>
      <c r="AU143" s="212" t="b">
        <v>0</v>
      </c>
      <c r="AV143" s="212"/>
      <c r="AW143" s="212">
        <v>0</v>
      </c>
      <c r="AX143" s="212">
        <v>0</v>
      </c>
      <c r="BA143" s="11">
        <v>0</v>
      </c>
      <c r="BB143" s="212"/>
      <c r="BC143" s="212"/>
      <c r="BD143" s="226"/>
    </row>
    <row r="144" spans="1:57" ht="39.950000000000003" customHeight="1" x14ac:dyDescent="0.2">
      <c r="A144" s="14" t="s">
        <v>794</v>
      </c>
      <c r="B144" s="13" t="s">
        <v>67</v>
      </c>
      <c r="C144" s="66" t="s">
        <v>798</v>
      </c>
      <c r="D144" s="14" t="s">
        <v>34</v>
      </c>
      <c r="E144" s="66" t="s">
        <v>34</v>
      </c>
      <c r="F144" s="14" t="s">
        <v>102</v>
      </c>
      <c r="G144" s="66" t="s">
        <v>102</v>
      </c>
      <c r="H144" s="14" t="s">
        <v>474</v>
      </c>
      <c r="I144" s="66" t="s">
        <v>70</v>
      </c>
      <c r="J144" s="66" t="s">
        <v>218</v>
      </c>
      <c r="K144" s="217" t="s">
        <v>209</v>
      </c>
      <c r="L144" s="65" t="s">
        <v>191</v>
      </c>
      <c r="M144" s="65" t="s">
        <v>323</v>
      </c>
      <c r="N144" s="13" t="s">
        <v>43</v>
      </c>
      <c r="O144" s="13" t="s">
        <v>531</v>
      </c>
      <c r="P144" s="13" t="s">
        <v>801</v>
      </c>
      <c r="Q144" s="64" t="s">
        <v>8</v>
      </c>
      <c r="R144" s="62">
        <v>16000</v>
      </c>
      <c r="S144" s="73">
        <v>16000</v>
      </c>
      <c r="T144" s="62">
        <v>16000</v>
      </c>
      <c r="U144" s="62">
        <v>120000</v>
      </c>
      <c r="V144" s="62">
        <v>599952.06000000006</v>
      </c>
      <c r="W144" s="61" t="s">
        <v>11</v>
      </c>
      <c r="X144" s="250">
        <v>0.02</v>
      </c>
      <c r="Y144" s="60">
        <v>44698</v>
      </c>
      <c r="Z144" s="60">
        <v>46338</v>
      </c>
      <c r="AA144" s="60">
        <v>46352</v>
      </c>
      <c r="AB144" s="58">
        <v>1655</v>
      </c>
      <c r="AC144" s="59" t="s">
        <v>10</v>
      </c>
      <c r="AD144" s="58">
        <v>1610</v>
      </c>
      <c r="AE144" s="57">
        <v>4.4109589041095889</v>
      </c>
      <c r="AF144" s="184"/>
      <c r="AG144" s="251" t="s">
        <v>1</v>
      </c>
      <c r="AH144" s="251" t="s">
        <v>1</v>
      </c>
      <c r="AI144" s="245" t="s">
        <v>0</v>
      </c>
      <c r="AJ144" s="11" t="s">
        <v>0</v>
      </c>
      <c r="AK144" s="11" t="s">
        <v>563</v>
      </c>
      <c r="AL144" s="14" t="s">
        <v>790</v>
      </c>
      <c r="AO144" s="197" t="s">
        <v>34</v>
      </c>
      <c r="AP144" s="198" t="s">
        <v>102</v>
      </c>
      <c r="AS144" s="212">
        <v>0</v>
      </c>
      <c r="AT144" s="212">
        <v>1920</v>
      </c>
      <c r="AU144" s="212" t="b">
        <v>0</v>
      </c>
      <c r="AV144" s="212"/>
      <c r="AW144" s="212">
        <v>0</v>
      </c>
      <c r="AX144" s="212">
        <v>0</v>
      </c>
      <c r="BA144" s="11">
        <v>0</v>
      </c>
      <c r="BB144" s="212"/>
      <c r="BC144" s="212"/>
      <c r="BD144" s="226"/>
    </row>
    <row r="145" spans="1:57" ht="39.950000000000003" customHeight="1" x14ac:dyDescent="0.2">
      <c r="A145" s="14" t="s">
        <v>807</v>
      </c>
      <c r="B145" s="13" t="s">
        <v>24</v>
      </c>
      <c r="C145" s="66" t="s">
        <v>38</v>
      </c>
      <c r="D145" s="14" t="s">
        <v>540</v>
      </c>
      <c r="E145" s="66" t="s">
        <v>35</v>
      </c>
      <c r="F145" s="14" t="s">
        <v>104</v>
      </c>
      <c r="G145" s="66" t="s">
        <v>105</v>
      </c>
      <c r="H145" s="14" t="s">
        <v>799</v>
      </c>
      <c r="I145" s="66" t="s">
        <v>142</v>
      </c>
      <c r="J145" s="66" t="s">
        <v>218</v>
      </c>
      <c r="K145" s="217" t="s">
        <v>209</v>
      </c>
      <c r="L145" s="65" t="s">
        <v>191</v>
      </c>
      <c r="M145" s="65" t="s">
        <v>323</v>
      </c>
      <c r="N145" s="13" t="s">
        <v>43</v>
      </c>
      <c r="O145" s="13" t="s">
        <v>538</v>
      </c>
      <c r="P145" s="13" t="s">
        <v>534</v>
      </c>
      <c r="Q145" s="64" t="s">
        <v>9</v>
      </c>
      <c r="R145" s="62">
        <v>7360.7348957719942</v>
      </c>
      <c r="S145" s="73">
        <v>5000</v>
      </c>
      <c r="T145" s="62">
        <v>7360.7348957719942</v>
      </c>
      <c r="U145" s="62">
        <v>10836.08364116711</v>
      </c>
      <c r="V145" s="62">
        <v>793147.68578494876</v>
      </c>
      <c r="W145" s="61" t="s">
        <v>11</v>
      </c>
      <c r="X145" s="250">
        <v>0.04</v>
      </c>
      <c r="Y145" s="60">
        <v>44708</v>
      </c>
      <c r="Z145" s="60">
        <v>46531</v>
      </c>
      <c r="AA145" s="60">
        <v>46545</v>
      </c>
      <c r="AB145" s="58">
        <v>1838</v>
      </c>
      <c r="AC145" s="59" t="s">
        <v>10</v>
      </c>
      <c r="AD145" s="58">
        <v>1803</v>
      </c>
      <c r="AE145" s="57">
        <v>4.9397260273972599</v>
      </c>
      <c r="AF145" s="184"/>
      <c r="AG145" s="251" t="s">
        <v>1</v>
      </c>
      <c r="AH145" s="251" t="s">
        <v>1</v>
      </c>
      <c r="AI145" s="245" t="s">
        <v>800</v>
      </c>
      <c r="AJ145" s="11" t="s">
        <v>0</v>
      </c>
      <c r="AK145" s="11" t="s">
        <v>563</v>
      </c>
      <c r="AL145" s="14" t="s">
        <v>789</v>
      </c>
      <c r="AO145" s="197" t="s">
        <v>35</v>
      </c>
      <c r="AP145" s="198" t="s">
        <v>104</v>
      </c>
      <c r="AS145" s="212">
        <v>0</v>
      </c>
      <c r="AT145" s="212">
        <v>883.28818749263928</v>
      </c>
      <c r="AU145" s="212" t="b">
        <v>0</v>
      </c>
      <c r="AV145" s="212"/>
      <c r="AW145" s="212">
        <v>0</v>
      </c>
      <c r="AX145" s="212">
        <v>0</v>
      </c>
      <c r="BA145" s="11">
        <v>0</v>
      </c>
      <c r="BB145" s="212"/>
      <c r="BC145" s="212"/>
      <c r="BD145" s="226"/>
    </row>
    <row r="146" spans="1:57" ht="39.950000000000003" customHeight="1" x14ac:dyDescent="0.2">
      <c r="A146" s="14" t="s">
        <v>795</v>
      </c>
      <c r="B146" s="13" t="s">
        <v>24</v>
      </c>
      <c r="C146" s="66" t="s">
        <v>38</v>
      </c>
      <c r="D146" s="14" t="s">
        <v>540</v>
      </c>
      <c r="E146" s="66" t="s">
        <v>35</v>
      </c>
      <c r="F146" s="14" t="s">
        <v>546</v>
      </c>
      <c r="G146" s="66" t="s">
        <v>259</v>
      </c>
      <c r="H146" s="14" t="s">
        <v>459</v>
      </c>
      <c r="I146" s="66" t="s">
        <v>638</v>
      </c>
      <c r="J146" s="66" t="s">
        <v>687</v>
      </c>
      <c r="K146" s="217" t="s">
        <v>209</v>
      </c>
      <c r="L146" s="65" t="s">
        <v>191</v>
      </c>
      <c r="M146" s="65" t="s">
        <v>323</v>
      </c>
      <c r="N146" s="13" t="s">
        <v>43</v>
      </c>
      <c r="O146" s="13" t="s">
        <v>531</v>
      </c>
      <c r="P146" s="13" t="s">
        <v>534</v>
      </c>
      <c r="Q146" s="64" t="s">
        <v>9</v>
      </c>
      <c r="R146" s="62">
        <v>14721.469791543988</v>
      </c>
      <c r="S146" s="73">
        <v>10000</v>
      </c>
      <c r="T146" s="62">
        <v>14721.469791543988</v>
      </c>
      <c r="U146" s="62">
        <v>29442.939583087977</v>
      </c>
      <c r="V146" s="62">
        <v>3025384.7161700628</v>
      </c>
      <c r="W146" s="61" t="s">
        <v>11</v>
      </c>
      <c r="X146" s="250">
        <v>6.5000000000000002E-2</v>
      </c>
      <c r="Y146" s="60">
        <v>44712</v>
      </c>
      <c r="Z146" s="60">
        <v>46879</v>
      </c>
      <c r="AA146" s="60">
        <v>46920</v>
      </c>
      <c r="AB146" s="58">
        <v>2209</v>
      </c>
      <c r="AC146" s="59" t="s">
        <v>10</v>
      </c>
      <c r="AD146" s="58">
        <v>2178</v>
      </c>
      <c r="AE146" s="57">
        <v>5.9671232876712326</v>
      </c>
      <c r="AF146" s="184"/>
      <c r="AG146" s="251" t="s">
        <v>1</v>
      </c>
      <c r="AH146" s="251" t="s">
        <v>1</v>
      </c>
      <c r="AI146" s="245" t="s">
        <v>0</v>
      </c>
      <c r="AJ146" s="11" t="s">
        <v>0</v>
      </c>
      <c r="AK146" s="11" t="s">
        <v>563</v>
      </c>
      <c r="AL146" s="14" t="s">
        <v>805</v>
      </c>
      <c r="AO146" s="197" t="s">
        <v>35</v>
      </c>
      <c r="AP146" s="198" t="s">
        <v>546</v>
      </c>
      <c r="AS146" s="212">
        <v>0</v>
      </c>
      <c r="AT146" s="212">
        <v>1766.5763749852786</v>
      </c>
      <c r="AU146" s="212" t="b">
        <v>0</v>
      </c>
      <c r="AV146" s="212"/>
      <c r="AW146" s="212">
        <v>0</v>
      </c>
      <c r="AX146" s="212">
        <v>0</v>
      </c>
      <c r="BA146" s="11">
        <v>0</v>
      </c>
      <c r="BB146" s="212"/>
      <c r="BC146" s="212"/>
      <c r="BD146" s="226"/>
    </row>
    <row r="147" spans="1:57" ht="39.950000000000003" customHeight="1" x14ac:dyDescent="0.2">
      <c r="A147" s="14" t="s">
        <v>796</v>
      </c>
      <c r="B147" s="13" t="s">
        <v>24</v>
      </c>
      <c r="C147" s="66" t="s">
        <v>38</v>
      </c>
      <c r="D147" s="14" t="s">
        <v>540</v>
      </c>
      <c r="E147" s="66" t="s">
        <v>229</v>
      </c>
      <c r="F147" s="14" t="s">
        <v>102</v>
      </c>
      <c r="G147" s="66" t="s">
        <v>102</v>
      </c>
      <c r="H147" s="14" t="s">
        <v>802</v>
      </c>
      <c r="I147" s="66" t="s">
        <v>142</v>
      </c>
      <c r="J147" s="66" t="s">
        <v>218</v>
      </c>
      <c r="K147" s="217" t="s">
        <v>29</v>
      </c>
      <c r="L147" s="65" t="s">
        <v>191</v>
      </c>
      <c r="M147" s="65" t="s">
        <v>323</v>
      </c>
      <c r="N147" s="13" t="s">
        <v>43</v>
      </c>
      <c r="O147" s="13" t="s">
        <v>531</v>
      </c>
      <c r="P147" s="13" t="s">
        <v>534</v>
      </c>
      <c r="Q147" s="64" t="s">
        <v>9</v>
      </c>
      <c r="R147" s="62">
        <v>25762.572135201979</v>
      </c>
      <c r="S147" s="73">
        <v>17500</v>
      </c>
      <c r="T147" s="62">
        <v>25762.572135201979</v>
      </c>
      <c r="U147" s="62">
        <v>36803.674478859968</v>
      </c>
      <c r="V147" s="62">
        <v>2436021.2725238488</v>
      </c>
      <c r="W147" s="61" t="s">
        <v>11</v>
      </c>
      <c r="X147" s="250">
        <v>9.3899999999999997E-2</v>
      </c>
      <c r="Y147" s="60">
        <v>44712</v>
      </c>
      <c r="Z147" s="60">
        <v>45422</v>
      </c>
      <c r="AA147" s="60">
        <v>45436</v>
      </c>
      <c r="AB147" s="58">
        <v>725</v>
      </c>
      <c r="AC147" s="59" t="s">
        <v>10</v>
      </c>
      <c r="AD147" s="58">
        <v>694</v>
      </c>
      <c r="AE147" s="57">
        <v>1.9013698630136986</v>
      </c>
      <c r="AF147" s="184" t="s">
        <v>436</v>
      </c>
      <c r="AG147" s="251" t="s">
        <v>1</v>
      </c>
      <c r="AH147" s="251" t="s">
        <v>1</v>
      </c>
      <c r="AI147" s="245" t="s">
        <v>0</v>
      </c>
      <c r="AJ147" s="11" t="s">
        <v>0</v>
      </c>
      <c r="AK147" s="11" t="s">
        <v>563</v>
      </c>
      <c r="AL147" s="14" t="s">
        <v>788</v>
      </c>
      <c r="AO147" s="197" t="s">
        <v>229</v>
      </c>
      <c r="AP147" s="198" t="s">
        <v>102</v>
      </c>
      <c r="AS147" s="212">
        <v>0</v>
      </c>
      <c r="AT147" s="212">
        <v>3091.5086562242373</v>
      </c>
      <c r="AU147" s="212">
        <v>618.30173124484747</v>
      </c>
      <c r="AV147" s="212"/>
      <c r="AW147" s="212">
        <v>0</v>
      </c>
      <c r="AX147" s="212">
        <v>0</v>
      </c>
      <c r="BA147" s="11">
        <v>0</v>
      </c>
      <c r="BB147" s="212"/>
      <c r="BC147" s="212"/>
      <c r="BD147" s="226"/>
    </row>
    <row r="148" spans="1:57" ht="39.950000000000003" customHeight="1" x14ac:dyDescent="0.2">
      <c r="A148" s="14" t="s">
        <v>808</v>
      </c>
      <c r="B148" s="13" t="s">
        <v>23</v>
      </c>
      <c r="C148" s="66" t="s">
        <v>149</v>
      </c>
      <c r="D148" s="14" t="s">
        <v>542</v>
      </c>
      <c r="E148" s="66" t="s">
        <v>166</v>
      </c>
      <c r="F148" s="14" t="s">
        <v>102</v>
      </c>
      <c r="G148" s="66" t="s">
        <v>102</v>
      </c>
      <c r="H148" s="14" t="s">
        <v>103</v>
      </c>
      <c r="I148" s="14" t="s">
        <v>148</v>
      </c>
      <c r="J148" s="66" t="s">
        <v>148</v>
      </c>
      <c r="K148" s="217" t="s">
        <v>140</v>
      </c>
      <c r="L148" s="65" t="s">
        <v>191</v>
      </c>
      <c r="M148" s="65" t="s">
        <v>59</v>
      </c>
      <c r="N148" s="13" t="s">
        <v>43</v>
      </c>
      <c r="O148" s="13" t="s">
        <v>531</v>
      </c>
      <c r="P148" s="13" t="s">
        <v>534</v>
      </c>
      <c r="Q148" s="64" t="s">
        <v>59</v>
      </c>
      <c r="R148" s="62">
        <v>15109.391998065998</v>
      </c>
      <c r="S148" s="73">
        <v>10000</v>
      </c>
      <c r="T148" s="62">
        <v>15109.391998065998</v>
      </c>
      <c r="U148" s="62">
        <v>75546.959990329997</v>
      </c>
      <c r="V148" s="62">
        <v>784780.47564366006</v>
      </c>
      <c r="W148" s="61" t="s">
        <v>11</v>
      </c>
      <c r="X148" s="250">
        <v>3.7999999999999999E-2</v>
      </c>
      <c r="Y148" s="60">
        <v>44726</v>
      </c>
      <c r="Z148" s="60">
        <v>45819</v>
      </c>
      <c r="AA148" s="60">
        <v>45819</v>
      </c>
      <c r="AB148" s="58">
        <v>1094</v>
      </c>
      <c r="AC148" s="59" t="s">
        <v>10</v>
      </c>
      <c r="AD148" s="58">
        <v>1077</v>
      </c>
      <c r="AE148" s="57">
        <v>2.9506849315068493</v>
      </c>
      <c r="AF148" s="184"/>
      <c r="AG148" s="251" t="s">
        <v>1</v>
      </c>
      <c r="AH148" s="251" t="s">
        <v>1</v>
      </c>
      <c r="AI148" s="245" t="s">
        <v>0</v>
      </c>
      <c r="AJ148" s="11" t="s">
        <v>0</v>
      </c>
      <c r="AK148" s="11" t="s">
        <v>188</v>
      </c>
      <c r="AL148" s="14" t="s">
        <v>812</v>
      </c>
      <c r="AO148" s="197" t="s">
        <v>166</v>
      </c>
      <c r="AP148" s="198" t="s">
        <v>102</v>
      </c>
      <c r="AS148" s="212">
        <v>0</v>
      </c>
      <c r="AT148" s="212">
        <v>1813.1270397679195</v>
      </c>
      <c r="AU148" s="212" t="b">
        <v>0</v>
      </c>
      <c r="AV148" s="212"/>
      <c r="AW148" s="212">
        <v>0</v>
      </c>
      <c r="AX148" s="212">
        <v>0</v>
      </c>
      <c r="BA148" s="11">
        <v>0</v>
      </c>
      <c r="BB148" s="212"/>
      <c r="BC148" s="212"/>
      <c r="BD148" s="226"/>
    </row>
    <row r="149" spans="1:57" ht="39.950000000000003" customHeight="1" x14ac:dyDescent="0.2">
      <c r="A149" s="14" t="s">
        <v>809</v>
      </c>
      <c r="B149" s="13" t="s">
        <v>23</v>
      </c>
      <c r="C149" s="66" t="s">
        <v>759</v>
      </c>
      <c r="D149" s="14" t="s">
        <v>34</v>
      </c>
      <c r="E149" s="66" t="s">
        <v>34</v>
      </c>
      <c r="F149" s="14" t="s">
        <v>439</v>
      </c>
      <c r="G149" s="66" t="s">
        <v>444</v>
      </c>
      <c r="H149" s="66" t="s">
        <v>444</v>
      </c>
      <c r="I149" s="66" t="s">
        <v>656</v>
      </c>
      <c r="J149" s="66" t="s">
        <v>656</v>
      </c>
      <c r="K149" s="217" t="s">
        <v>209</v>
      </c>
      <c r="L149" s="65" t="s">
        <v>191</v>
      </c>
      <c r="M149" s="65" t="s">
        <v>323</v>
      </c>
      <c r="N149" s="13" t="s">
        <v>43</v>
      </c>
      <c r="O149" s="13" t="s">
        <v>531</v>
      </c>
      <c r="P149" s="13" t="s">
        <v>534</v>
      </c>
      <c r="Q149" s="64" t="s">
        <v>8</v>
      </c>
      <c r="R149" s="62">
        <v>10000</v>
      </c>
      <c r="S149" s="73">
        <v>10000</v>
      </c>
      <c r="T149" s="62">
        <v>10000</v>
      </c>
      <c r="U149" s="62">
        <v>51000</v>
      </c>
      <c r="V149" s="62">
        <v>558704.54</v>
      </c>
      <c r="W149" s="61" t="s">
        <v>11</v>
      </c>
      <c r="X149" s="250">
        <v>0.04</v>
      </c>
      <c r="Y149" s="60">
        <v>44735</v>
      </c>
      <c r="Z149" s="60">
        <v>45900</v>
      </c>
      <c r="AA149" s="60">
        <v>45900</v>
      </c>
      <c r="AB149" s="58">
        <v>1166</v>
      </c>
      <c r="AC149" s="59" t="s">
        <v>10</v>
      </c>
      <c r="AD149" s="58">
        <v>1158</v>
      </c>
      <c r="AE149" s="57">
        <v>3.1726027397260275</v>
      </c>
      <c r="AF149" s="184"/>
      <c r="AG149" s="251" t="s">
        <v>1</v>
      </c>
      <c r="AH149" s="251" t="s">
        <v>1</v>
      </c>
      <c r="AI149" s="245" t="s">
        <v>0</v>
      </c>
      <c r="AJ149" s="11" t="s">
        <v>0</v>
      </c>
      <c r="AK149" s="11" t="s">
        <v>188</v>
      </c>
      <c r="AL149" s="14" t="s">
        <v>813</v>
      </c>
      <c r="AO149" s="197" t="s">
        <v>34</v>
      </c>
      <c r="AP149" s="198" t="s">
        <v>439</v>
      </c>
      <c r="AS149" s="212">
        <v>0</v>
      </c>
      <c r="AT149" s="212">
        <v>1200</v>
      </c>
      <c r="AU149" s="212" t="b">
        <v>0</v>
      </c>
      <c r="AV149" s="212"/>
      <c r="AW149" s="212">
        <v>0</v>
      </c>
      <c r="AX149" s="212">
        <v>0</v>
      </c>
      <c r="BA149" s="11">
        <v>0</v>
      </c>
      <c r="BB149" s="212"/>
      <c r="BC149" s="212"/>
      <c r="BD149" s="226"/>
    </row>
    <row r="150" spans="1:57" ht="39.950000000000003" customHeight="1" x14ac:dyDescent="0.2">
      <c r="A150" s="14" t="s">
        <v>235</v>
      </c>
      <c r="B150" s="13" t="s">
        <v>23</v>
      </c>
      <c r="C150" s="66" t="s">
        <v>37</v>
      </c>
      <c r="D150" s="14" t="s">
        <v>542</v>
      </c>
      <c r="E150" s="66" t="s">
        <v>91</v>
      </c>
      <c r="F150" s="14" t="s">
        <v>173</v>
      </c>
      <c r="G150" s="66" t="s">
        <v>174</v>
      </c>
      <c r="H150" s="14" t="s">
        <v>172</v>
      </c>
      <c r="I150" s="66" t="s">
        <v>236</v>
      </c>
      <c r="J150" s="66" t="s">
        <v>21</v>
      </c>
      <c r="K150" s="217" t="s">
        <v>139</v>
      </c>
      <c r="L150" s="65" t="s">
        <v>191</v>
      </c>
      <c r="M150" s="65" t="s">
        <v>323</v>
      </c>
      <c r="N150" s="13" t="s">
        <v>43</v>
      </c>
      <c r="O150" s="13" t="s">
        <v>816</v>
      </c>
      <c r="P150" s="13" t="s">
        <v>534</v>
      </c>
      <c r="Q150" s="64" t="s">
        <v>59</v>
      </c>
      <c r="R150" s="62">
        <v>30218.783996131995</v>
      </c>
      <c r="S150" s="73">
        <v>20000</v>
      </c>
      <c r="T150" s="62">
        <v>30218.783996131995</v>
      </c>
      <c r="U150" s="62">
        <v>151093.91998065999</v>
      </c>
      <c r="V150" s="62">
        <v>580305.07373383292</v>
      </c>
      <c r="W150" s="61" t="s">
        <v>11</v>
      </c>
      <c r="X150" s="250">
        <v>1.0999999999999999E-2</v>
      </c>
      <c r="Y150" s="60">
        <v>44742</v>
      </c>
      <c r="Z150" s="60">
        <v>45827</v>
      </c>
      <c r="AA150" s="60">
        <v>45827</v>
      </c>
      <c r="AB150" s="58">
        <v>1086</v>
      </c>
      <c r="AC150" s="59" t="s">
        <v>10</v>
      </c>
      <c r="AD150" s="58">
        <v>1085</v>
      </c>
      <c r="AE150" s="57">
        <v>2.9726027397260273</v>
      </c>
      <c r="AF150" s="184" t="s">
        <v>436</v>
      </c>
      <c r="AG150" s="251" t="s">
        <v>1</v>
      </c>
      <c r="AH150" s="251" t="s">
        <v>1</v>
      </c>
      <c r="AI150" s="245" t="s">
        <v>0</v>
      </c>
      <c r="AJ150" s="11" t="s">
        <v>0</v>
      </c>
      <c r="AK150" s="11" t="s">
        <v>188</v>
      </c>
      <c r="AL150" s="14" t="s">
        <v>525</v>
      </c>
      <c r="AO150" s="197" t="s">
        <v>91</v>
      </c>
      <c r="AP150" s="198" t="s">
        <v>173</v>
      </c>
      <c r="AS150" s="212">
        <v>0</v>
      </c>
      <c r="AT150" s="212">
        <v>3626.2540795358391</v>
      </c>
      <c r="AU150" s="212">
        <v>725.25081590716786</v>
      </c>
      <c r="AV150" s="212"/>
      <c r="AW150" s="212">
        <v>0</v>
      </c>
      <c r="AX150" s="212">
        <v>0</v>
      </c>
      <c r="BA150" s="11">
        <v>0</v>
      </c>
      <c r="BB150" s="212"/>
      <c r="BC150" s="212"/>
      <c r="BD150" s="226"/>
    </row>
    <row r="151" spans="1:57" ht="39.950000000000003" customHeight="1" x14ac:dyDescent="0.2">
      <c r="A151" s="14" t="s">
        <v>810</v>
      </c>
      <c r="B151" s="13" t="s">
        <v>23</v>
      </c>
      <c r="C151" s="66" t="s">
        <v>149</v>
      </c>
      <c r="D151" s="14" t="s">
        <v>499</v>
      </c>
      <c r="E151" s="77" t="s">
        <v>162</v>
      </c>
      <c r="F151" s="14" t="s">
        <v>92</v>
      </c>
      <c r="G151" s="66" t="s">
        <v>134</v>
      </c>
      <c r="H151" s="14" t="s">
        <v>134</v>
      </c>
      <c r="I151" s="14" t="s">
        <v>148</v>
      </c>
      <c r="J151" s="66" t="s">
        <v>148</v>
      </c>
      <c r="K151" s="217" t="s">
        <v>68</v>
      </c>
      <c r="L151" s="65" t="s">
        <v>191</v>
      </c>
      <c r="M151" s="65" t="s">
        <v>59</v>
      </c>
      <c r="N151" s="13" t="s">
        <v>43</v>
      </c>
      <c r="O151" s="13" t="s">
        <v>531</v>
      </c>
      <c r="P151" s="13" t="s">
        <v>534</v>
      </c>
      <c r="Q151" s="64" t="s">
        <v>9</v>
      </c>
      <c r="R151" s="62">
        <v>22082.204687315982</v>
      </c>
      <c r="S151" s="73">
        <v>15000</v>
      </c>
      <c r="T151" s="62">
        <v>22082.204687315982</v>
      </c>
      <c r="U151" s="62">
        <v>176657.63749852785</v>
      </c>
      <c r="V151" s="62">
        <v>641013.85290307389</v>
      </c>
      <c r="W151" s="61" t="s">
        <v>11</v>
      </c>
      <c r="X151" s="250">
        <v>2.4E-2</v>
      </c>
      <c r="Y151" s="60">
        <v>44741</v>
      </c>
      <c r="Z151" s="60">
        <v>46527</v>
      </c>
      <c r="AA151" s="60">
        <v>46527</v>
      </c>
      <c r="AB151" s="58">
        <v>1787</v>
      </c>
      <c r="AC151" s="59" t="s">
        <v>10</v>
      </c>
      <c r="AD151" s="58">
        <v>1785</v>
      </c>
      <c r="AE151" s="57">
        <v>4.8904109589041092</v>
      </c>
      <c r="AF151" s="184"/>
      <c r="AG151" s="251" t="s">
        <v>1</v>
      </c>
      <c r="AH151" s="251" t="s">
        <v>1</v>
      </c>
      <c r="AI151" s="245" t="s">
        <v>0</v>
      </c>
      <c r="AJ151" s="11" t="s">
        <v>0</v>
      </c>
      <c r="AK151" s="11" t="s">
        <v>188</v>
      </c>
      <c r="AL151" s="14" t="s">
        <v>814</v>
      </c>
      <c r="AO151" s="197" t="s">
        <v>162</v>
      </c>
      <c r="AP151" s="198" t="s">
        <v>92</v>
      </c>
      <c r="AS151" s="212">
        <v>0</v>
      </c>
      <c r="AT151" s="212">
        <v>2649.8645624779178</v>
      </c>
      <c r="AU151" s="212" t="b">
        <v>0</v>
      </c>
      <c r="AV151" s="212"/>
      <c r="AW151" s="212">
        <v>0</v>
      </c>
      <c r="AX151" s="212">
        <v>0</v>
      </c>
      <c r="BA151" s="11">
        <v>0</v>
      </c>
      <c r="BB151" s="212"/>
      <c r="BC151" s="212"/>
      <c r="BD151" s="226"/>
    </row>
    <row r="152" spans="1:57" ht="39.950000000000003" customHeight="1" x14ac:dyDescent="0.2">
      <c r="A152" s="14" t="s">
        <v>811</v>
      </c>
      <c r="B152" s="13" t="s">
        <v>307</v>
      </c>
      <c r="C152" s="66" t="s">
        <v>162</v>
      </c>
      <c r="D152" s="14" t="s">
        <v>499</v>
      </c>
      <c r="E152" s="77" t="s">
        <v>162</v>
      </c>
      <c r="F152" s="14" t="s">
        <v>102</v>
      </c>
      <c r="G152" s="14" t="s">
        <v>102</v>
      </c>
      <c r="H152" s="14" t="s">
        <v>110</v>
      </c>
      <c r="I152" s="14" t="s">
        <v>509</v>
      </c>
      <c r="J152" s="66" t="s">
        <v>222</v>
      </c>
      <c r="K152" s="217" t="s">
        <v>101</v>
      </c>
      <c r="L152" s="65" t="s">
        <v>191</v>
      </c>
      <c r="M152" s="65" t="s">
        <v>59</v>
      </c>
      <c r="N152" s="13" t="s">
        <v>43</v>
      </c>
      <c r="O152" s="13" t="s">
        <v>538</v>
      </c>
      <c r="P152" s="13" t="s">
        <v>534</v>
      </c>
      <c r="Q152" s="64" t="s">
        <v>9</v>
      </c>
      <c r="R152" s="62">
        <v>14721.469791543988</v>
      </c>
      <c r="S152" s="73">
        <v>10000</v>
      </c>
      <c r="T152" s="62">
        <v>14721.469791543988</v>
      </c>
      <c r="U152" s="62">
        <v>103786.36203038512</v>
      </c>
      <c r="V152" s="62">
        <v>891881.86020492285</v>
      </c>
      <c r="W152" s="61" t="s">
        <v>11</v>
      </c>
      <c r="X152" s="250">
        <v>2.75E-2</v>
      </c>
      <c r="Y152" s="60">
        <v>44735</v>
      </c>
      <c r="Z152" s="60">
        <v>46420</v>
      </c>
      <c r="AA152" s="60">
        <v>46420</v>
      </c>
      <c r="AB152" s="58">
        <v>1686</v>
      </c>
      <c r="AC152" s="59" t="s">
        <v>10</v>
      </c>
      <c r="AD152" s="58">
        <v>1678</v>
      </c>
      <c r="AE152" s="57">
        <v>4.5972602739726032</v>
      </c>
      <c r="AF152" s="184"/>
      <c r="AG152" s="251" t="s">
        <v>1</v>
      </c>
      <c r="AH152" s="251" t="s">
        <v>1</v>
      </c>
      <c r="AI152" s="245" t="s">
        <v>0</v>
      </c>
      <c r="AJ152" s="11" t="s">
        <v>0</v>
      </c>
      <c r="AK152" s="11" t="s">
        <v>188</v>
      </c>
      <c r="AL152" s="14" t="s">
        <v>815</v>
      </c>
      <c r="AO152" s="197" t="s">
        <v>162</v>
      </c>
      <c r="AP152" s="198" t="s">
        <v>102</v>
      </c>
      <c r="AS152" s="212">
        <v>0</v>
      </c>
      <c r="AT152" s="212">
        <v>1766.5763749852786</v>
      </c>
      <c r="AU152" s="212" t="b">
        <v>0</v>
      </c>
      <c r="AV152" s="212"/>
      <c r="AW152" s="212">
        <v>0</v>
      </c>
      <c r="AX152" s="212">
        <v>0</v>
      </c>
      <c r="BA152" s="11">
        <v>0</v>
      </c>
      <c r="BB152" s="212"/>
      <c r="BC152" s="212"/>
      <c r="BD152" s="226"/>
    </row>
    <row r="153" spans="1:57" x14ac:dyDescent="0.2">
      <c r="A153" s="36"/>
      <c r="B153" s="36"/>
      <c r="C153" s="36"/>
      <c r="D153" s="255"/>
      <c r="E153" s="36"/>
      <c r="F153" s="36"/>
      <c r="G153" s="36"/>
      <c r="H153" s="36"/>
      <c r="I153" s="36"/>
      <c r="J153" s="36"/>
      <c r="K153" s="36"/>
      <c r="L153" s="36"/>
      <c r="M153" s="36"/>
      <c r="N153" s="127"/>
      <c r="O153" s="127"/>
      <c r="P153" s="127"/>
      <c r="Q153" s="51" t="s">
        <v>428</v>
      </c>
      <c r="R153" s="50">
        <v>2828757.6536372565</v>
      </c>
      <c r="S153" s="50"/>
      <c r="T153" s="50">
        <v>2708111.9846770111</v>
      </c>
      <c r="U153" s="50">
        <v>17400469.101534072</v>
      </c>
      <c r="V153" s="50">
        <v>168816784.44412807</v>
      </c>
      <c r="W153" s="49"/>
      <c r="X153" s="256">
        <v>2.7278259511831011E-2</v>
      </c>
      <c r="Y153" s="48"/>
      <c r="Z153" s="48"/>
      <c r="AA153" s="48" t="s">
        <v>495</v>
      </c>
      <c r="AB153" s="189">
        <v>1811.3987230135976</v>
      </c>
      <c r="AC153" s="47">
        <v>4.9627362274345144</v>
      </c>
      <c r="AD153" s="189">
        <v>1101.6102328004499</v>
      </c>
      <c r="AE153" s="46">
        <v>3.0181102268505478</v>
      </c>
      <c r="AF153" s="45"/>
      <c r="AG153" s="28"/>
      <c r="AH153" s="28"/>
      <c r="AI153" s="44"/>
      <c r="AJ153" s="28"/>
      <c r="AK153" s="28"/>
      <c r="AL153" s="43"/>
      <c r="AO153" s="202"/>
      <c r="AP153" s="202"/>
      <c r="AQ153" s="203">
        <v>11</v>
      </c>
      <c r="AS153" s="204"/>
      <c r="AT153" s="204"/>
      <c r="AU153" s="204"/>
      <c r="AW153" s="205">
        <v>12354.294007686773</v>
      </c>
      <c r="AX153" s="205">
        <v>11455.979222691954</v>
      </c>
      <c r="AY153" s="203"/>
      <c r="BB153" s="212">
        <v>11455.979222691954</v>
      </c>
      <c r="BC153" s="226">
        <v>11092.177860270169</v>
      </c>
      <c r="BD153" s="226">
        <v>10786.569252757969</v>
      </c>
      <c r="BE153" s="226">
        <v>8683.7572418259933</v>
      </c>
    </row>
    <row r="154" spans="1:57" s="27" customFormat="1" x14ac:dyDescent="0.2">
      <c r="A154" s="37"/>
      <c r="B154" s="37"/>
      <c r="C154" s="35"/>
      <c r="D154" s="235"/>
      <c r="E154" s="35"/>
      <c r="F154" s="28"/>
      <c r="G154" s="28"/>
      <c r="H154" s="28"/>
      <c r="I154" s="36"/>
      <c r="J154" s="28"/>
      <c r="K154" s="28"/>
      <c r="L154" s="28"/>
      <c r="M154" s="35"/>
      <c r="N154" s="28"/>
      <c r="O154" s="28"/>
      <c r="P154" s="28"/>
      <c r="Q154" s="42" t="s">
        <v>429</v>
      </c>
      <c r="R154" s="41">
        <v>577.64099999999996</v>
      </c>
      <c r="S154" s="41"/>
      <c r="T154" s="41">
        <v>577.64099999999996</v>
      </c>
      <c r="U154" s="41">
        <v>577.64099999999996</v>
      </c>
      <c r="V154" s="41">
        <v>14441.029999999999</v>
      </c>
      <c r="W154" s="30"/>
      <c r="X154" s="30"/>
      <c r="Y154" s="30"/>
      <c r="Z154" s="28"/>
      <c r="AA154" s="40" t="s">
        <v>242</v>
      </c>
      <c r="AB154" s="38">
        <v>1559.3836140110734</v>
      </c>
      <c r="AC154" s="39"/>
      <c r="AD154" s="38">
        <v>830.9701145494156</v>
      </c>
      <c r="AE154" s="38">
        <v>2.2766304508203166</v>
      </c>
      <c r="AF154" s="29"/>
      <c r="AG154" s="28"/>
      <c r="AH154" s="28"/>
      <c r="AI154" s="28"/>
      <c r="AJ154" s="28"/>
      <c r="AK154" s="28"/>
      <c r="AL154" s="28"/>
      <c r="AO154" s="206"/>
      <c r="AP154" s="207"/>
      <c r="AQ154" s="204"/>
      <c r="AR154" s="204"/>
      <c r="AS154" s="204"/>
      <c r="AT154" s="204"/>
      <c r="AU154" s="204"/>
      <c r="AV154" s="204"/>
      <c r="AW154" s="204"/>
      <c r="AX154" s="204"/>
      <c r="AY154" s="204"/>
    </row>
    <row r="155" spans="1:57" s="27" customFormat="1" x14ac:dyDescent="0.2">
      <c r="A155" s="37"/>
      <c r="B155" s="37"/>
      <c r="C155" s="35"/>
      <c r="D155" s="235"/>
      <c r="E155" s="35"/>
      <c r="F155" s="28"/>
      <c r="G155" s="28"/>
      <c r="H155" s="28"/>
      <c r="I155" s="36"/>
      <c r="J155" s="28"/>
      <c r="K155" s="28"/>
      <c r="L155" s="28"/>
      <c r="M155" s="35"/>
      <c r="N155" s="28"/>
      <c r="O155" s="28"/>
      <c r="P155" s="28"/>
      <c r="Q155" s="34" t="s">
        <v>6</v>
      </c>
      <c r="R155" s="33">
        <v>2829335.2946372563</v>
      </c>
      <c r="S155" s="33"/>
      <c r="T155" s="32">
        <v>2708689.625677011</v>
      </c>
      <c r="U155" s="31">
        <v>17401046.742534071</v>
      </c>
      <c r="V155" s="31">
        <v>168831225.47412807</v>
      </c>
      <c r="W155" s="30"/>
      <c r="X155" s="30"/>
      <c r="Y155" s="30"/>
      <c r="Z155" s="28"/>
      <c r="AA155" s="28"/>
      <c r="AB155" s="28"/>
      <c r="AC155" s="29"/>
      <c r="AD155" s="28"/>
      <c r="AE155" s="28"/>
      <c r="AF155" s="29"/>
      <c r="AG155" s="28"/>
      <c r="AH155" s="28"/>
      <c r="AI155" s="28"/>
      <c r="AJ155" s="28"/>
      <c r="AK155" s="28"/>
      <c r="AL155" s="28"/>
      <c r="AO155" s="206"/>
      <c r="AP155" s="207"/>
      <c r="AQ155" s="204"/>
      <c r="AR155" s="204"/>
      <c r="AS155" s="204"/>
      <c r="AT155" s="204"/>
      <c r="AU155" s="204"/>
      <c r="AV155" s="204"/>
      <c r="AW155" s="204"/>
      <c r="AX155" s="204"/>
      <c r="AY155" s="204"/>
    </row>
    <row r="156" spans="1:57" x14ac:dyDescent="0.2">
      <c r="Q156" s="25"/>
      <c r="R156" s="24"/>
      <c r="S156" s="24"/>
      <c r="T156" s="26"/>
      <c r="W156" s="23"/>
      <c r="X156" s="23"/>
      <c r="Y156" s="23"/>
      <c r="Z156" s="11"/>
      <c r="AA156" s="11" t="s">
        <v>437</v>
      </c>
      <c r="AB156" s="22">
        <v>1037868.6626063626</v>
      </c>
    </row>
    <row r="157" spans="1:57" x14ac:dyDescent="0.2">
      <c r="E157" s="11">
        <v>150</v>
      </c>
      <c r="I157" s="11"/>
      <c r="Q157" s="25"/>
      <c r="V157" s="24"/>
      <c r="W157" s="23"/>
      <c r="X157" s="23"/>
      <c r="Y157" s="23"/>
      <c r="Z157" s="11"/>
      <c r="AG157" s="22"/>
    </row>
    <row r="158" spans="1:57" x14ac:dyDescent="0.2">
      <c r="D158" s="12" t="s">
        <v>495</v>
      </c>
      <c r="I158" s="11"/>
      <c r="Q158" s="25"/>
      <c r="R158" s="19"/>
      <c r="S158" s="19"/>
      <c r="T158" s="19"/>
      <c r="U158" s="19"/>
      <c r="V158" s="19"/>
      <c r="W158" s="19"/>
      <c r="X158" s="19"/>
    </row>
    <row r="159" spans="1:57" x14ac:dyDescent="0.2">
      <c r="I159" s="11"/>
      <c r="Q159" s="25"/>
    </row>
    <row r="160" spans="1:57" x14ac:dyDescent="0.2">
      <c r="I160" s="11"/>
      <c r="Q160" s="25"/>
    </row>
    <row r="161" spans="9:20" x14ac:dyDescent="0.2">
      <c r="I161" s="11"/>
      <c r="Q161" s="25"/>
      <c r="T161" s="19"/>
    </row>
    <row r="162" spans="9:20" x14ac:dyDescent="0.2">
      <c r="I162" s="11"/>
      <c r="Q162" s="25"/>
      <c r="T162" s="19"/>
    </row>
    <row r="163" spans="9:20" x14ac:dyDescent="0.2">
      <c r="I163" s="11"/>
      <c r="Q163" s="25"/>
      <c r="T163" s="19"/>
    </row>
    <row r="164" spans="9:20" x14ac:dyDescent="0.2">
      <c r="I164" s="11"/>
      <c r="Q164" s="25"/>
      <c r="T164" s="19"/>
    </row>
    <row r="165" spans="9:20" x14ac:dyDescent="0.2">
      <c r="I165" s="11"/>
      <c r="Q165" s="25"/>
      <c r="T165" s="19"/>
    </row>
    <row r="166" spans="9:20" x14ac:dyDescent="0.2">
      <c r="I166" s="11"/>
      <c r="Q166" s="25"/>
      <c r="T166" s="19"/>
    </row>
    <row r="167" spans="9:20" x14ac:dyDescent="0.2">
      <c r="I167" s="11"/>
      <c r="Q167" s="25"/>
      <c r="T167" s="19"/>
    </row>
    <row r="168" spans="9:20" x14ac:dyDescent="0.2">
      <c r="I168" s="11"/>
      <c r="Q168" s="25"/>
    </row>
    <row r="169" spans="9:20" x14ac:dyDescent="0.2">
      <c r="I169" s="11"/>
      <c r="Q169" s="25"/>
    </row>
    <row r="170" spans="9:20" x14ac:dyDescent="0.2">
      <c r="I170" s="11"/>
      <c r="Q170" s="25"/>
    </row>
    <row r="171" spans="9:20" x14ac:dyDescent="0.2">
      <c r="I171" s="11"/>
    </row>
    <row r="172" spans="9:20" x14ac:dyDescent="0.2">
      <c r="I172" s="11"/>
    </row>
    <row r="173" spans="9:20" x14ac:dyDescent="0.2">
      <c r="I173" s="11"/>
    </row>
    <row r="174" spans="9:20" x14ac:dyDescent="0.2">
      <c r="I174" s="11"/>
    </row>
    <row r="175" spans="9:20" x14ac:dyDescent="0.2">
      <c r="I175" s="11"/>
    </row>
    <row r="176" spans="9:20" x14ac:dyDescent="0.2">
      <c r="I176" s="11"/>
    </row>
    <row r="177" spans="9:9" x14ac:dyDescent="0.2">
      <c r="I177" s="11"/>
    </row>
  </sheetData>
  <conditionalFormatting sqref="AJ121:AJ130 AJ3:AJ21 AJ141:AJ152 AJ24:AJ119">
    <cfRule type="containsText" dxfId="447" priority="28" operator="containsText" text="SEND NOTICE">
      <formula>NOT(ISERROR(SEARCH("SEND NOTICE",AJ3)))</formula>
    </cfRule>
  </conditionalFormatting>
  <conditionalFormatting sqref="D79:E79 N77:W77 A77:C77 C78:C79 L78 N78:P78 R80:V80 R85:V85 H77:L77 Y77:AE77 Y78:AB79 Q79:V79 A78:A80 W78:W80 R81:W84 AB80:AB84 AD78:AE85 Y80:AA85">
    <cfRule type="cellIs" dxfId="446" priority="27" operator="equal">
      <formula>#REF!</formula>
    </cfRule>
  </conditionalFormatting>
  <conditionalFormatting sqref="Q78:V78">
    <cfRule type="cellIs" dxfId="445" priority="26" operator="equal">
      <formula>#REF!</formula>
    </cfRule>
  </conditionalFormatting>
  <conditionalFormatting sqref="E77">
    <cfRule type="cellIs" dxfId="444" priority="25" operator="equal">
      <formula>#REF!</formula>
    </cfRule>
  </conditionalFormatting>
  <conditionalFormatting sqref="D77 J79 Q84">
    <cfRule type="cellIs" dxfId="443" priority="24" operator="equal">
      <formula>#REF!</formula>
    </cfRule>
  </conditionalFormatting>
  <conditionalFormatting sqref="J78">
    <cfRule type="cellIs" dxfId="442" priority="23" operator="equal">
      <formula>#REF!</formula>
    </cfRule>
  </conditionalFormatting>
  <conditionalFormatting sqref="L79">
    <cfRule type="cellIs" dxfId="441" priority="22" operator="equal">
      <formula>#REF!</formula>
    </cfRule>
  </conditionalFormatting>
  <conditionalFormatting sqref="AK23">
    <cfRule type="containsText" dxfId="440" priority="21" operator="containsText" text="SEND NOTICE">
      <formula>NOT(ISERROR(SEARCH("SEND NOTICE",AK23)))</formula>
    </cfRule>
  </conditionalFormatting>
  <conditionalFormatting sqref="AJ109:AJ110">
    <cfRule type="containsText" dxfId="439" priority="20" operator="containsText" text="SEND NOTICE">
      <formula>NOT(ISERROR(SEARCH("SEND NOTICE",AJ109)))</formula>
    </cfRule>
  </conditionalFormatting>
  <conditionalFormatting sqref="AJ111">
    <cfRule type="containsText" dxfId="438" priority="19" operator="containsText" text="SEND NOTICE">
      <formula>NOT(ISERROR(SEARCH("SEND NOTICE",AJ111)))</formula>
    </cfRule>
  </conditionalFormatting>
  <conditionalFormatting sqref="AJ112:AJ114">
    <cfRule type="containsText" dxfId="437" priority="18" operator="containsText" text="SEND NOTICE">
      <formula>NOT(ISERROR(SEARCH("SEND NOTICE",AJ112)))</formula>
    </cfRule>
  </conditionalFormatting>
  <conditionalFormatting sqref="AJ112:AJ114">
    <cfRule type="containsText" dxfId="436" priority="17" operator="containsText" text="SEND NOTICE">
      <formula>NOT(ISERROR(SEARCH("SEND NOTICE",AJ112)))</formula>
    </cfRule>
  </conditionalFormatting>
  <conditionalFormatting sqref="AJ115:AJ118">
    <cfRule type="containsText" dxfId="435" priority="16" operator="containsText" text="SEND NOTICE">
      <formula>NOT(ISERROR(SEARCH("SEND NOTICE",AJ115)))</formula>
    </cfRule>
  </conditionalFormatting>
  <conditionalFormatting sqref="AJ115:AJ118">
    <cfRule type="containsText" dxfId="434" priority="15" operator="containsText" text="SEND NOTICE">
      <formula>NOT(ISERROR(SEARCH("SEND NOTICE",AJ115)))</formula>
    </cfRule>
  </conditionalFormatting>
  <conditionalFormatting sqref="AJ115:AJ118">
    <cfRule type="containsText" dxfId="433" priority="14" operator="containsText" text="SEND NOTICE">
      <formula>NOT(ISERROR(SEARCH("SEND NOTICE",AJ115)))</formula>
    </cfRule>
  </conditionalFormatting>
  <conditionalFormatting sqref="AJ119">
    <cfRule type="containsText" dxfId="432" priority="13" operator="containsText" text="SEND NOTICE">
      <formula>NOT(ISERROR(SEARCH("SEND NOTICE",AJ119)))</formula>
    </cfRule>
  </conditionalFormatting>
  <conditionalFormatting sqref="AJ119">
    <cfRule type="containsText" dxfId="431" priority="12" operator="containsText" text="SEND NOTICE">
      <formula>NOT(ISERROR(SEARCH("SEND NOTICE",AJ119)))</formula>
    </cfRule>
  </conditionalFormatting>
  <conditionalFormatting sqref="AJ119">
    <cfRule type="containsText" dxfId="430" priority="11" operator="containsText" text="SEND NOTICE">
      <formula>NOT(ISERROR(SEARCH("SEND NOTICE",AJ119)))</formula>
    </cfRule>
  </conditionalFormatting>
  <conditionalFormatting sqref="AJ119">
    <cfRule type="containsText" dxfId="429" priority="10" operator="containsText" text="SEND NOTICE">
      <formula>NOT(ISERROR(SEARCH("SEND NOTICE",AJ119)))</formula>
    </cfRule>
  </conditionalFormatting>
  <conditionalFormatting sqref="AJ120">
    <cfRule type="containsText" dxfId="428" priority="9" operator="containsText" text="SEND NOTICE">
      <formula>NOT(ISERROR(SEARCH("SEND NOTICE",AJ120)))</formula>
    </cfRule>
  </conditionalFormatting>
  <conditionalFormatting sqref="AJ23">
    <cfRule type="containsText" dxfId="427" priority="8" operator="containsText" text="SEND NOTICE">
      <formula>NOT(ISERROR(SEARCH("SEND NOTICE",AJ23)))</formula>
    </cfRule>
  </conditionalFormatting>
  <conditionalFormatting sqref="AK22">
    <cfRule type="containsText" dxfId="426" priority="7" operator="containsText" text="SEND NOTICE">
      <formula>NOT(ISERROR(SEARCH("SEND NOTICE",AK22)))</formula>
    </cfRule>
  </conditionalFormatting>
  <conditionalFormatting sqref="AJ22">
    <cfRule type="containsText" dxfId="425" priority="6" operator="containsText" text="SEND NOTICE">
      <formula>NOT(ISERROR(SEARCH("SEND NOTICE",AJ22)))</formula>
    </cfRule>
  </conditionalFormatting>
  <conditionalFormatting sqref="AJ131:AJ133">
    <cfRule type="containsText" dxfId="424" priority="5" operator="containsText" text="SEND NOTICE">
      <formula>NOT(ISERROR(SEARCH("SEND NOTICE",AJ131)))</formula>
    </cfRule>
  </conditionalFormatting>
  <conditionalFormatting sqref="AJ132">
    <cfRule type="containsText" dxfId="423" priority="4" operator="containsText" text="SEND NOTICE">
      <formula>NOT(ISERROR(SEARCH("SEND NOTICE",AJ132)))</formula>
    </cfRule>
  </conditionalFormatting>
  <conditionalFormatting sqref="AJ134">
    <cfRule type="containsText" dxfId="422" priority="3" operator="containsText" text="SEND NOTICE">
      <formula>NOT(ISERROR(SEARCH("SEND NOTICE",AJ134)))</formula>
    </cfRule>
  </conditionalFormatting>
  <conditionalFormatting sqref="AJ135">
    <cfRule type="containsText" dxfId="421" priority="2" operator="containsText" text="SEND NOTICE">
      <formula>NOT(ISERROR(SEARCH("SEND NOTICE",AJ135)))</formula>
    </cfRule>
  </conditionalFormatting>
  <conditionalFormatting sqref="AJ136:AJ140">
    <cfRule type="containsText" dxfId="420" priority="1" operator="containsText" text="SEND NOTICE">
      <formula>NOT(ISERROR(SEARCH("SEND NOTICE",AJ136)))</formula>
    </cfRule>
  </conditionalFormatting>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3933-70DA-42B3-BE03-49BF0D5814AC}">
  <sheetPr codeName="Sheet29">
    <tabColor theme="9" tint="0.79998168889431442"/>
    <pageSetUpPr fitToPage="1"/>
  </sheetPr>
  <dimension ref="A1:BK192"/>
  <sheetViews>
    <sheetView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2"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11" customWidth="1"/>
    <col min="20" max="20" width="14" style="11" customWidth="1"/>
    <col min="21" max="21" width="14.42578125" style="11" customWidth="1"/>
    <col min="22" max="22" width="17" style="11" customWidth="1"/>
    <col min="23" max="24" width="11.28515625" style="11" customWidth="1"/>
    <col min="25" max="25" width="10.85546875" style="11" customWidth="1"/>
    <col min="26" max="26" width="11.7109375" style="20" customWidth="1"/>
    <col min="27" max="27" width="11.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ustomWidth="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3" width="3.42578125" style="11" customWidth="1"/>
    <col min="54" max="55" width="9.42578125" style="11" customWidth="1"/>
    <col min="56" max="56" width="10.140625" style="11" customWidth="1"/>
    <col min="57" max="61" width="9.140625" style="11" customWidth="1"/>
    <col min="62" max="16384" width="9.140625" style="11"/>
  </cols>
  <sheetData>
    <row r="1" spans="1:63" x14ac:dyDescent="0.2">
      <c r="A1" s="126" t="e">
        <f>#REF!</f>
        <v>#REF!</v>
      </c>
      <c r="B1" s="125"/>
      <c r="C1" s="124"/>
      <c r="D1" s="233"/>
      <c r="E1" s="124"/>
      <c r="M1" s="124"/>
      <c r="AO1" s="195"/>
      <c r="AP1" s="196"/>
      <c r="AQ1" s="196"/>
      <c r="AR1" s="196"/>
      <c r="AS1" s="196"/>
      <c r="AT1" s="196"/>
      <c r="AU1" s="196"/>
      <c r="AV1" s="196"/>
      <c r="AW1" s="196"/>
      <c r="AX1" s="196"/>
      <c r="AY1" s="196"/>
      <c r="AZ1" s="196"/>
      <c r="BA1" s="196"/>
      <c r="BB1" s="196"/>
      <c r="BC1" s="196"/>
      <c r="BD1" s="196"/>
      <c r="BE1" s="196"/>
      <c r="BF1" s="196"/>
      <c r="BG1" s="196"/>
    </row>
    <row r="2" spans="1:63" s="112" customFormat="1" ht="63.75" x14ac:dyDescent="0.2">
      <c r="A2" s="123" t="s">
        <v>14</v>
      </c>
      <c r="B2" s="121" t="s">
        <v>63</v>
      </c>
      <c r="C2" s="121" t="s">
        <v>84</v>
      </c>
      <c r="D2" s="121" t="s">
        <v>468</v>
      </c>
      <c r="E2" s="121" t="s">
        <v>467</v>
      </c>
      <c r="F2" s="121" t="s">
        <v>81</v>
      </c>
      <c r="G2" s="121" t="s">
        <v>82</v>
      </c>
      <c r="H2" s="121" t="s">
        <v>83</v>
      </c>
      <c r="I2" s="122" t="s">
        <v>2</v>
      </c>
      <c r="J2" s="121" t="s">
        <v>217</v>
      </c>
      <c r="K2" s="121" t="s">
        <v>39</v>
      </c>
      <c r="L2" s="120" t="s">
        <v>5</v>
      </c>
      <c r="M2" s="118" t="s">
        <v>427</v>
      </c>
      <c r="N2" s="119" t="s">
        <v>41</v>
      </c>
      <c r="O2" s="119" t="s">
        <v>535</v>
      </c>
      <c r="P2" s="119" t="s">
        <v>536</v>
      </c>
      <c r="Q2" s="114" t="s">
        <v>403</v>
      </c>
      <c r="R2" s="117" t="s">
        <v>479</v>
      </c>
      <c r="S2" s="118" t="s">
        <v>430</v>
      </c>
      <c r="T2" s="117" t="s">
        <v>431</v>
      </c>
      <c r="U2" s="117" t="s">
        <v>783</v>
      </c>
      <c r="V2" s="117" t="s">
        <v>754</v>
      </c>
      <c r="W2" s="117" t="s">
        <v>12</v>
      </c>
      <c r="X2" s="117" t="s">
        <v>573</v>
      </c>
      <c r="Y2" s="117" t="s">
        <v>471</v>
      </c>
      <c r="Z2" s="117" t="s">
        <v>433</v>
      </c>
      <c r="AA2" s="117" t="s">
        <v>15</v>
      </c>
      <c r="AB2" s="116" t="s">
        <v>17</v>
      </c>
      <c r="AC2" s="116" t="s">
        <v>18</v>
      </c>
      <c r="AD2" s="116" t="s">
        <v>434</v>
      </c>
      <c r="AE2" s="116" t="s">
        <v>435</v>
      </c>
      <c r="AF2" s="116" t="s">
        <v>436</v>
      </c>
      <c r="AG2" s="115" t="s">
        <v>46</v>
      </c>
      <c r="AH2" s="115" t="s">
        <v>19</v>
      </c>
      <c r="AI2" s="115" t="s">
        <v>20</v>
      </c>
      <c r="AJ2" s="115" t="s">
        <v>170</v>
      </c>
      <c r="AK2" s="115" t="s">
        <v>241</v>
      </c>
      <c r="AL2" s="114" t="s">
        <v>324</v>
      </c>
      <c r="AM2" s="113" t="s">
        <v>482</v>
      </c>
      <c r="AN2" s="113" t="s">
        <v>481</v>
      </c>
      <c r="AO2" s="118" t="s">
        <v>612</v>
      </c>
      <c r="AP2" s="118" t="s">
        <v>613</v>
      </c>
      <c r="AQ2" s="113" t="s">
        <v>614</v>
      </c>
      <c r="AR2" s="113" t="s">
        <v>615</v>
      </c>
      <c r="AS2" s="113" t="s">
        <v>616</v>
      </c>
      <c r="AT2" s="113" t="s">
        <v>617</v>
      </c>
      <c r="AU2" s="113" t="s">
        <v>618</v>
      </c>
      <c r="AV2" s="113" t="s">
        <v>619</v>
      </c>
      <c r="AW2" s="113" t="s">
        <v>620</v>
      </c>
      <c r="AX2" s="113" t="s">
        <v>822</v>
      </c>
      <c r="AY2" s="113" t="s">
        <v>623</v>
      </c>
      <c r="BB2" s="232">
        <v>44805</v>
      </c>
      <c r="BC2" s="232">
        <v>44713</v>
      </c>
      <c r="BD2" s="232">
        <v>44621</v>
      </c>
      <c r="BE2" s="232">
        <v>44531</v>
      </c>
      <c r="BF2" s="232">
        <v>44440</v>
      </c>
      <c r="BG2" s="232">
        <v>44348</v>
      </c>
      <c r="BI2" s="112" t="s">
        <v>893</v>
      </c>
    </row>
    <row r="3" spans="1:63" ht="39.950000000000003" customHeight="1" x14ac:dyDescent="0.2">
      <c r="A3" s="111" t="s">
        <v>25</v>
      </c>
      <c r="B3" s="65" t="s">
        <v>24</v>
      </c>
      <c r="C3" s="110" t="s">
        <v>34</v>
      </c>
      <c r="D3" s="111" t="s">
        <v>34</v>
      </c>
      <c r="E3" s="130" t="s">
        <v>34</v>
      </c>
      <c r="F3" s="14" t="s">
        <v>543</v>
      </c>
      <c r="G3" s="14" t="s">
        <v>97</v>
      </c>
      <c r="H3" s="14" t="s">
        <v>186</v>
      </c>
      <c r="I3" s="66" t="s">
        <v>26</v>
      </c>
      <c r="J3" s="66" t="s">
        <v>26</v>
      </c>
      <c r="K3" s="13" t="s">
        <v>45</v>
      </c>
      <c r="L3" s="65" t="s">
        <v>191</v>
      </c>
      <c r="M3" s="65" t="s">
        <v>323</v>
      </c>
      <c r="N3" s="65" t="s">
        <v>43</v>
      </c>
      <c r="O3" s="65" t="s">
        <v>531</v>
      </c>
      <c r="P3" s="65" t="s">
        <v>534</v>
      </c>
      <c r="Q3" s="64" t="s">
        <v>8</v>
      </c>
      <c r="R3" s="62">
        <v>10000</v>
      </c>
      <c r="S3" s="62">
        <v>6157.0159999999996</v>
      </c>
      <c r="T3" s="62">
        <v>6157.0159999999996</v>
      </c>
      <c r="U3" s="62">
        <v>32395.415789999999</v>
      </c>
      <c r="V3" s="62">
        <v>782554.47</v>
      </c>
      <c r="W3" s="61" t="s">
        <v>11</v>
      </c>
      <c r="X3" s="181">
        <v>1.6666666666666666E-2</v>
      </c>
      <c r="Y3" s="105">
        <v>41884</v>
      </c>
      <c r="Z3" s="60">
        <v>44806</v>
      </c>
      <c r="AA3" s="60">
        <v>45173</v>
      </c>
      <c r="AB3" s="58">
        <v>3290</v>
      </c>
      <c r="AC3" s="59" t="s">
        <v>10</v>
      </c>
      <c r="AD3" s="58">
        <v>339</v>
      </c>
      <c r="AE3" s="57">
        <v>0.92876712328767119</v>
      </c>
      <c r="AF3" s="56"/>
      <c r="AG3" s="71" t="s">
        <v>1</v>
      </c>
      <c r="AH3" s="71" t="s">
        <v>1</v>
      </c>
      <c r="AI3" s="70" t="s">
        <v>888</v>
      </c>
      <c r="AJ3" s="11" t="s">
        <v>0</v>
      </c>
      <c r="AK3" s="11" t="s">
        <v>271</v>
      </c>
      <c r="AL3" s="14" t="s">
        <v>327</v>
      </c>
      <c r="AM3" s="11">
        <v>25104.400000000001</v>
      </c>
      <c r="AN3" s="11">
        <v>45000</v>
      </c>
      <c r="AO3" s="197" t="s">
        <v>34</v>
      </c>
      <c r="AP3" s="198" t="s">
        <v>543</v>
      </c>
      <c r="AS3" s="212">
        <v>0</v>
      </c>
      <c r="AT3" s="212">
        <v>738.84191999999996</v>
      </c>
      <c r="AU3" s="212" t="b">
        <v>0</v>
      </c>
      <c r="AV3" s="212"/>
      <c r="AW3" s="212">
        <v>0</v>
      </c>
      <c r="AX3" s="212">
        <v>0</v>
      </c>
      <c r="BB3" s="212">
        <v>0</v>
      </c>
      <c r="BC3" s="212">
        <v>0</v>
      </c>
      <c r="BD3" s="212">
        <v>0</v>
      </c>
      <c r="BF3" s="11">
        <v>0</v>
      </c>
      <c r="BJ3" s="112"/>
      <c r="BK3" s="112"/>
    </row>
    <row r="4" spans="1:63" ht="25.5" x14ac:dyDescent="0.2">
      <c r="A4" s="13" t="s">
        <v>30</v>
      </c>
      <c r="B4" s="65" t="s">
        <v>24</v>
      </c>
      <c r="C4" s="66" t="s">
        <v>34</v>
      </c>
      <c r="D4" s="14" t="s">
        <v>34</v>
      </c>
      <c r="E4" s="130" t="s">
        <v>34</v>
      </c>
      <c r="F4" s="66" t="s">
        <v>545</v>
      </c>
      <c r="G4" s="66" t="s">
        <v>85</v>
      </c>
      <c r="H4" s="66" t="s">
        <v>99</v>
      </c>
      <c r="I4" s="66" t="s">
        <v>232</v>
      </c>
      <c r="J4" s="66" t="s">
        <v>21</v>
      </c>
      <c r="K4" s="13" t="s">
        <v>139</v>
      </c>
      <c r="L4" s="65" t="s">
        <v>191</v>
      </c>
      <c r="M4" s="65" t="s">
        <v>323</v>
      </c>
      <c r="N4" s="65" t="s">
        <v>43</v>
      </c>
      <c r="O4" s="65" t="s">
        <v>538</v>
      </c>
      <c r="P4" s="65" t="s">
        <v>534</v>
      </c>
      <c r="Q4" s="64" t="s">
        <v>8</v>
      </c>
      <c r="R4" s="62">
        <v>25000</v>
      </c>
      <c r="S4" s="150">
        <v>19100</v>
      </c>
      <c r="T4" s="62">
        <v>19100</v>
      </c>
      <c r="U4" s="62">
        <v>50000</v>
      </c>
      <c r="V4" s="62">
        <v>3042895.94</v>
      </c>
      <c r="W4" s="61" t="s">
        <v>551</v>
      </c>
      <c r="X4" s="181">
        <v>2.7500000000000004E-2</v>
      </c>
      <c r="Y4" s="105">
        <v>42152</v>
      </c>
      <c r="Z4" s="105">
        <v>45441</v>
      </c>
      <c r="AA4" s="60">
        <v>45441</v>
      </c>
      <c r="AB4" s="58">
        <v>3290</v>
      </c>
      <c r="AC4" s="59" t="s">
        <v>10</v>
      </c>
      <c r="AD4" s="58">
        <v>607</v>
      </c>
      <c r="AE4" s="57">
        <v>1.6630136986301369</v>
      </c>
      <c r="AF4" s="56" t="s">
        <v>436</v>
      </c>
      <c r="AG4" s="71" t="s">
        <v>1</v>
      </c>
      <c r="AH4" s="71" t="s">
        <v>1</v>
      </c>
      <c r="AI4" s="71" t="s">
        <v>0</v>
      </c>
      <c r="AJ4" s="11" t="s">
        <v>0</v>
      </c>
      <c r="AK4" s="11" t="s">
        <v>271</v>
      </c>
      <c r="AL4" s="13" t="s">
        <v>328</v>
      </c>
      <c r="AM4" s="11">
        <v>15700</v>
      </c>
      <c r="AN4" s="213">
        <v>50000</v>
      </c>
      <c r="AO4" s="197" t="s">
        <v>34</v>
      </c>
      <c r="AP4" s="198" t="s">
        <v>545</v>
      </c>
      <c r="AQ4" s="199">
        <v>1</v>
      </c>
      <c r="AR4" s="214">
        <v>2.5000000000000001E-2</v>
      </c>
      <c r="AS4" s="212">
        <v>477.5</v>
      </c>
      <c r="AT4" s="212">
        <v>2292</v>
      </c>
      <c r="AU4" s="212">
        <v>458.40000000000003</v>
      </c>
      <c r="AV4" s="212"/>
      <c r="AW4" s="212">
        <v>477.5</v>
      </c>
      <c r="AX4" s="212">
        <v>477.5</v>
      </c>
      <c r="AY4" s="12"/>
      <c r="BB4" s="212">
        <v>477.5</v>
      </c>
      <c r="BC4" s="212">
        <v>477.5</v>
      </c>
      <c r="BD4" s="212">
        <v>477.5</v>
      </c>
      <c r="BE4" s="212">
        <v>1134.7452000000001</v>
      </c>
      <c r="BF4" s="226">
        <v>1134.7452000000001</v>
      </c>
      <c r="BG4" s="226">
        <v>1134.7452000000001</v>
      </c>
      <c r="BJ4" s="112"/>
      <c r="BK4" s="112"/>
    </row>
    <row r="5" spans="1:63" ht="39.950000000000003" customHeight="1" x14ac:dyDescent="0.2">
      <c r="A5" s="14" t="s">
        <v>31</v>
      </c>
      <c r="B5" s="65" t="s">
        <v>23</v>
      </c>
      <c r="C5" s="66" t="s">
        <v>34</v>
      </c>
      <c r="D5" s="14" t="s">
        <v>34</v>
      </c>
      <c r="E5" s="130" t="s">
        <v>34</v>
      </c>
      <c r="F5" s="66" t="s">
        <v>106</v>
      </c>
      <c r="G5" s="66" t="s">
        <v>106</v>
      </c>
      <c r="H5" s="66" t="s">
        <v>129</v>
      </c>
      <c r="I5" s="66" t="s">
        <v>3</v>
      </c>
      <c r="J5" s="66" t="s">
        <v>3</v>
      </c>
      <c r="K5" s="13" t="s">
        <v>13</v>
      </c>
      <c r="L5" s="65" t="s">
        <v>191</v>
      </c>
      <c r="M5" s="65" t="s">
        <v>323</v>
      </c>
      <c r="N5" s="13" t="s">
        <v>42</v>
      </c>
      <c r="O5" s="13" t="s">
        <v>538</v>
      </c>
      <c r="P5" s="13" t="s">
        <v>532</v>
      </c>
      <c r="Q5" s="64" t="s">
        <v>8</v>
      </c>
      <c r="R5" s="62">
        <v>18000</v>
      </c>
      <c r="S5" s="76">
        <v>200</v>
      </c>
      <c r="T5" s="150">
        <v>200</v>
      </c>
      <c r="U5" s="62">
        <v>200</v>
      </c>
      <c r="V5" s="150">
        <v>2716834.5552336448</v>
      </c>
      <c r="W5" s="61" t="s">
        <v>11</v>
      </c>
      <c r="X5" s="181">
        <v>2.75E-2</v>
      </c>
      <c r="Y5" s="60">
        <v>42339</v>
      </c>
      <c r="Z5" s="105">
        <v>43465</v>
      </c>
      <c r="AA5" s="105">
        <v>44946</v>
      </c>
      <c r="AB5" s="58">
        <v>2608</v>
      </c>
      <c r="AC5" s="59" t="s">
        <v>10</v>
      </c>
      <c r="AD5" s="58">
        <v>112</v>
      </c>
      <c r="AE5" s="57">
        <v>0.30684931506849317</v>
      </c>
      <c r="AF5" s="56"/>
      <c r="AG5" s="152" t="s">
        <v>1</v>
      </c>
      <c r="AH5" s="152" t="s">
        <v>1</v>
      </c>
      <c r="AI5" s="153" t="s">
        <v>880</v>
      </c>
      <c r="AJ5" s="11" t="s">
        <v>0</v>
      </c>
      <c r="AK5" s="11" t="s">
        <v>271</v>
      </c>
      <c r="AL5" s="14" t="s">
        <v>329</v>
      </c>
      <c r="AM5" s="11">
        <v>13812.1</v>
      </c>
      <c r="AO5" s="197" t="s">
        <v>34</v>
      </c>
      <c r="AP5" s="198" t="s">
        <v>106</v>
      </c>
      <c r="AS5" s="212">
        <v>0</v>
      </c>
      <c r="AT5" s="212">
        <v>24</v>
      </c>
      <c r="AU5" s="212" t="b">
        <v>0</v>
      </c>
      <c r="AV5" s="212"/>
      <c r="AW5" s="212">
        <v>0</v>
      </c>
      <c r="AX5" s="212">
        <v>0</v>
      </c>
      <c r="BB5" s="212">
        <v>0</v>
      </c>
      <c r="BC5" s="212">
        <v>0</v>
      </c>
      <c r="BD5" s="212">
        <v>0</v>
      </c>
      <c r="BE5" s="212">
        <v>0</v>
      </c>
      <c r="BF5" s="226">
        <v>0</v>
      </c>
      <c r="BG5" s="226"/>
      <c r="BJ5" s="112"/>
      <c r="BK5" s="112"/>
    </row>
    <row r="6" spans="1:63" ht="39.950000000000003" customHeight="1" x14ac:dyDescent="0.2">
      <c r="A6" s="13" t="s">
        <v>62</v>
      </c>
      <c r="B6" s="65" t="s">
        <v>24</v>
      </c>
      <c r="C6" s="66" t="s">
        <v>37</v>
      </c>
      <c r="D6" s="14" t="s">
        <v>540</v>
      </c>
      <c r="E6" s="77" t="s">
        <v>90</v>
      </c>
      <c r="F6" s="14" t="s">
        <v>102</v>
      </c>
      <c r="G6" s="14" t="s">
        <v>102</v>
      </c>
      <c r="H6" s="66" t="s">
        <v>110</v>
      </c>
      <c r="I6" s="66" t="s">
        <v>55</v>
      </c>
      <c r="J6" s="66" t="s">
        <v>218</v>
      </c>
      <c r="K6" s="13" t="s">
        <v>101</v>
      </c>
      <c r="L6" s="65" t="s">
        <v>191</v>
      </c>
      <c r="M6" s="13" t="s">
        <v>323</v>
      </c>
      <c r="N6" s="13" t="s">
        <v>43</v>
      </c>
      <c r="O6" s="13" t="s">
        <v>531</v>
      </c>
      <c r="P6" s="13" t="s">
        <v>534</v>
      </c>
      <c r="Q6" s="64" t="s">
        <v>59</v>
      </c>
      <c r="R6" s="62">
        <v>30618.024831218139</v>
      </c>
      <c r="S6" s="63">
        <v>16680</v>
      </c>
      <c r="T6" s="62">
        <v>25535.432709235927</v>
      </c>
      <c r="U6" s="62">
        <v>127677.16354617964</v>
      </c>
      <c r="V6" s="62">
        <v>2155415.5631420217</v>
      </c>
      <c r="W6" s="61" t="s">
        <v>11</v>
      </c>
      <c r="X6" s="181">
        <v>2.2166666666666668E-2</v>
      </c>
      <c r="Y6" s="60">
        <v>42879</v>
      </c>
      <c r="Z6" s="105">
        <v>45084</v>
      </c>
      <c r="AA6" s="105">
        <v>45084</v>
      </c>
      <c r="AB6" s="58">
        <v>2206</v>
      </c>
      <c r="AC6" s="59" t="s">
        <v>10</v>
      </c>
      <c r="AD6" s="58">
        <v>250</v>
      </c>
      <c r="AE6" s="57">
        <v>0.68493150684931503</v>
      </c>
      <c r="AF6" s="56"/>
      <c r="AG6" s="71" t="s">
        <v>1</v>
      </c>
      <c r="AH6" s="71" t="s">
        <v>1</v>
      </c>
      <c r="AI6" s="71" t="s">
        <v>0</v>
      </c>
      <c r="AJ6" s="11" t="s">
        <v>0</v>
      </c>
      <c r="AK6" s="11" t="s">
        <v>271</v>
      </c>
      <c r="AL6" s="13" t="s">
        <v>331</v>
      </c>
      <c r="AM6" s="11">
        <v>10000</v>
      </c>
      <c r="AN6" s="11">
        <v>120000</v>
      </c>
      <c r="AO6" s="197" t="s">
        <v>90</v>
      </c>
      <c r="AP6" s="198" t="s">
        <v>102</v>
      </c>
      <c r="AS6" s="212">
        <v>0</v>
      </c>
      <c r="AT6" s="212">
        <v>3064.2519251083113</v>
      </c>
      <c r="AU6" s="212" t="b">
        <v>0</v>
      </c>
      <c r="AV6" s="212"/>
      <c r="AW6" s="212">
        <v>0</v>
      </c>
      <c r="AX6" s="212">
        <v>0</v>
      </c>
      <c r="BB6" s="212">
        <v>0</v>
      </c>
      <c r="BC6" s="212">
        <v>0</v>
      </c>
      <c r="BD6" s="212">
        <v>0</v>
      </c>
      <c r="BE6" s="212">
        <v>0</v>
      </c>
      <c r="BF6" s="226">
        <v>0</v>
      </c>
      <c r="BG6" s="226"/>
      <c r="BJ6" s="112"/>
      <c r="BK6" s="112"/>
    </row>
    <row r="7" spans="1:63" ht="39.950000000000003" customHeight="1" x14ac:dyDescent="0.2">
      <c r="A7" s="13" t="s">
        <v>64</v>
      </c>
      <c r="B7" s="65" t="s">
        <v>24</v>
      </c>
      <c r="C7" s="66" t="s">
        <v>37</v>
      </c>
      <c r="D7" s="14" t="s">
        <v>34</v>
      </c>
      <c r="E7" s="77" t="s">
        <v>34</v>
      </c>
      <c r="F7" s="14" t="s">
        <v>104</v>
      </c>
      <c r="G7" s="14" t="s">
        <v>111</v>
      </c>
      <c r="H7" s="14" t="s">
        <v>113</v>
      </c>
      <c r="I7" s="146" t="s">
        <v>526</v>
      </c>
      <c r="J7" s="66" t="s">
        <v>221</v>
      </c>
      <c r="K7" s="13" t="s">
        <v>140</v>
      </c>
      <c r="L7" s="65" t="s">
        <v>191</v>
      </c>
      <c r="M7" s="13" t="s">
        <v>323</v>
      </c>
      <c r="N7" s="13" t="s">
        <v>43</v>
      </c>
      <c r="O7" s="13" t="s">
        <v>531</v>
      </c>
      <c r="P7" s="165" t="s">
        <v>534</v>
      </c>
      <c r="Q7" s="156" t="s">
        <v>9</v>
      </c>
      <c r="R7" s="73">
        <v>15738.613113412448</v>
      </c>
      <c r="S7" s="63">
        <v>20032.448</v>
      </c>
      <c r="T7" s="62">
        <v>31528.294878655295</v>
      </c>
      <c r="U7" s="62">
        <v>236079.19670118671</v>
      </c>
      <c r="V7" s="62">
        <v>1456615.017784633</v>
      </c>
      <c r="W7" s="106" t="s">
        <v>11</v>
      </c>
      <c r="X7" s="181">
        <v>1.6E-2</v>
      </c>
      <c r="Y7" s="60">
        <v>42909</v>
      </c>
      <c r="Z7" s="60">
        <v>45100</v>
      </c>
      <c r="AA7" s="157">
        <v>45152</v>
      </c>
      <c r="AB7" s="58">
        <v>2243</v>
      </c>
      <c r="AC7" s="59" t="s">
        <v>10</v>
      </c>
      <c r="AD7" s="58">
        <v>318</v>
      </c>
      <c r="AE7" s="57">
        <v>0.87123287671232874</v>
      </c>
      <c r="AF7" s="56"/>
      <c r="AG7" s="71" t="s">
        <v>1</v>
      </c>
      <c r="AH7" s="71" t="s">
        <v>1</v>
      </c>
      <c r="AI7" s="70" t="s">
        <v>887</v>
      </c>
      <c r="AJ7" s="11" t="s">
        <v>0</v>
      </c>
      <c r="AK7" s="11" t="s">
        <v>271</v>
      </c>
      <c r="AL7" s="13" t="s">
        <v>332</v>
      </c>
      <c r="AM7" s="11">
        <v>12500</v>
      </c>
      <c r="AN7" s="11">
        <v>90000</v>
      </c>
      <c r="AO7" s="197" t="s">
        <v>34</v>
      </c>
      <c r="AP7" s="198" t="s">
        <v>104</v>
      </c>
      <c r="AS7" s="212">
        <v>0</v>
      </c>
      <c r="AT7" s="212">
        <v>3783.3953854386355</v>
      </c>
      <c r="AU7" s="212" t="b">
        <v>0</v>
      </c>
      <c r="AV7" s="212"/>
      <c r="AW7" s="212">
        <v>0</v>
      </c>
      <c r="AX7" s="212">
        <v>0</v>
      </c>
      <c r="BB7" s="212">
        <v>0</v>
      </c>
      <c r="BC7" s="212">
        <v>0</v>
      </c>
      <c r="BD7" s="212">
        <v>0</v>
      </c>
      <c r="BE7" s="212">
        <v>0</v>
      </c>
      <c r="BF7" s="226">
        <v>0</v>
      </c>
      <c r="BG7" s="226"/>
      <c r="BJ7" s="112"/>
      <c r="BK7" s="112"/>
    </row>
    <row r="8" spans="1:63" ht="39.950000000000003" customHeight="1" x14ac:dyDescent="0.2">
      <c r="A8" s="13" t="s">
        <v>65</v>
      </c>
      <c r="B8" s="65" t="s">
        <v>24</v>
      </c>
      <c r="C8" s="66" t="s">
        <v>38</v>
      </c>
      <c r="D8" s="14" t="s">
        <v>540</v>
      </c>
      <c r="E8" s="130" t="s">
        <v>35</v>
      </c>
      <c r="F8" s="14" t="s">
        <v>106</v>
      </c>
      <c r="G8" s="14" t="s">
        <v>106</v>
      </c>
      <c r="H8" s="66" t="s">
        <v>107</v>
      </c>
      <c r="I8" s="14" t="s">
        <v>300</v>
      </c>
      <c r="J8" s="66" t="s">
        <v>218</v>
      </c>
      <c r="K8" s="13" t="s">
        <v>101</v>
      </c>
      <c r="L8" s="65" t="s">
        <v>191</v>
      </c>
      <c r="M8" s="13" t="s">
        <v>323</v>
      </c>
      <c r="N8" s="65" t="s">
        <v>43</v>
      </c>
      <c r="O8" s="65" t="s">
        <v>531</v>
      </c>
      <c r="P8" s="65" t="s">
        <v>534</v>
      </c>
      <c r="Q8" s="64" t="s">
        <v>66</v>
      </c>
      <c r="R8" s="73">
        <v>18999.126040202151</v>
      </c>
      <c r="S8" s="63">
        <v>1000000</v>
      </c>
      <c r="T8" s="150">
        <v>18999.126040202151</v>
      </c>
      <c r="U8" s="62">
        <v>111071.8137734895</v>
      </c>
      <c r="V8" s="150">
        <v>2654044.6859444464</v>
      </c>
      <c r="W8" s="106" t="s">
        <v>551</v>
      </c>
      <c r="X8" s="181">
        <v>5.9166666666666666E-2</v>
      </c>
      <c r="Y8" s="105">
        <v>43013</v>
      </c>
      <c r="Z8" s="60">
        <v>44839</v>
      </c>
      <c r="AA8" s="60">
        <v>44846</v>
      </c>
      <c r="AB8" s="58">
        <v>1833</v>
      </c>
      <c r="AC8" s="59" t="s">
        <v>10</v>
      </c>
      <c r="AD8" s="58">
        <v>12</v>
      </c>
      <c r="AE8" s="57">
        <v>3.287671232876712E-2</v>
      </c>
      <c r="AF8" s="56"/>
      <c r="AG8" s="71" t="s">
        <v>1</v>
      </c>
      <c r="AH8" s="71" t="s">
        <v>1</v>
      </c>
      <c r="AI8" s="70" t="s">
        <v>886</v>
      </c>
      <c r="AJ8" s="11" t="s">
        <v>672</v>
      </c>
      <c r="AK8" s="11" t="s">
        <v>271</v>
      </c>
      <c r="AL8" s="13" t="s">
        <v>333</v>
      </c>
      <c r="AM8" s="11">
        <v>50222.729999999996</v>
      </c>
      <c r="AO8" s="197" t="s">
        <v>35</v>
      </c>
      <c r="AP8" s="198" t="s">
        <v>106</v>
      </c>
      <c r="AQ8" s="11">
        <v>1</v>
      </c>
      <c r="AR8" s="214">
        <v>0.25</v>
      </c>
      <c r="AS8" s="212">
        <v>4749.7815100505377</v>
      </c>
      <c r="AT8" s="212">
        <v>2279.8951248242579</v>
      </c>
      <c r="AU8" s="212" t="b">
        <v>0</v>
      </c>
      <c r="AV8" s="212"/>
      <c r="AW8" s="212">
        <v>2279.8951248242579</v>
      </c>
      <c r="AX8" s="212">
        <v>2225.4367419606097</v>
      </c>
      <c r="AY8" s="12"/>
      <c r="BB8" s="212">
        <v>4749.7815100505377</v>
      </c>
      <c r="BC8" s="212">
        <v>2225.4367419606097</v>
      </c>
      <c r="BD8" s="212">
        <v>2116.5141012751997</v>
      </c>
      <c r="BE8" s="212">
        <v>1404.4154822762766</v>
      </c>
      <c r="BF8" s="226">
        <v>983.09083759339376</v>
      </c>
      <c r="BG8" s="226">
        <v>605.7781919850886</v>
      </c>
      <c r="BJ8" s="112"/>
      <c r="BK8" s="112"/>
    </row>
    <row r="9" spans="1:63" ht="39.950000000000003" customHeight="1" x14ac:dyDescent="0.2">
      <c r="A9" s="14" t="s">
        <v>207</v>
      </c>
      <c r="B9" s="65" t="s">
        <v>51</v>
      </c>
      <c r="C9" s="66" t="s">
        <v>127</v>
      </c>
      <c r="D9" s="14" t="s">
        <v>542</v>
      </c>
      <c r="E9" s="130" t="s">
        <v>127</v>
      </c>
      <c r="F9" s="66" t="s">
        <v>102</v>
      </c>
      <c r="G9" s="66" t="s">
        <v>102</v>
      </c>
      <c r="H9" s="66" t="s">
        <v>122</v>
      </c>
      <c r="I9" s="14" t="s">
        <v>158</v>
      </c>
      <c r="J9" s="66" t="s">
        <v>220</v>
      </c>
      <c r="K9" s="13" t="s">
        <v>101</v>
      </c>
      <c r="L9" s="65" t="s">
        <v>191</v>
      </c>
      <c r="M9" s="65" t="s">
        <v>59</v>
      </c>
      <c r="N9" s="65" t="s">
        <v>43</v>
      </c>
      <c r="O9" s="65" t="s">
        <v>533</v>
      </c>
      <c r="P9" s="65" t="s">
        <v>534</v>
      </c>
      <c r="Q9" s="64" t="s">
        <v>59</v>
      </c>
      <c r="R9" s="62">
        <v>30618.024831218139</v>
      </c>
      <c r="S9" s="63">
        <v>20000</v>
      </c>
      <c r="T9" s="62">
        <v>30618.024831218139</v>
      </c>
      <c r="U9" s="62">
        <v>267907.71727315872</v>
      </c>
      <c r="V9" s="62">
        <v>2335134.1834938228</v>
      </c>
      <c r="W9" s="61" t="s">
        <v>551</v>
      </c>
      <c r="X9" s="181">
        <v>0.01</v>
      </c>
      <c r="Y9" s="105">
        <v>43070</v>
      </c>
      <c r="Z9" s="60">
        <v>46689</v>
      </c>
      <c r="AA9" s="60">
        <v>46689</v>
      </c>
      <c r="AB9" s="58">
        <v>3620</v>
      </c>
      <c r="AC9" s="59" t="s">
        <v>10</v>
      </c>
      <c r="AD9" s="58">
        <v>1855</v>
      </c>
      <c r="AE9" s="57">
        <v>5.0821917808219181</v>
      </c>
      <c r="AF9" s="56"/>
      <c r="AG9" s="71" t="s">
        <v>1</v>
      </c>
      <c r="AH9" s="71" t="s">
        <v>1</v>
      </c>
      <c r="AI9" s="71" t="s">
        <v>0</v>
      </c>
      <c r="AJ9" s="11" t="s">
        <v>0</v>
      </c>
      <c r="AK9" s="11" t="s">
        <v>271</v>
      </c>
      <c r="AL9" s="14" t="s">
        <v>334</v>
      </c>
      <c r="AM9" s="11">
        <v>16300</v>
      </c>
      <c r="AO9" s="197" t="s">
        <v>127</v>
      </c>
      <c r="AP9" s="198" t="s">
        <v>102</v>
      </c>
      <c r="AS9" s="212">
        <v>0</v>
      </c>
      <c r="AT9" s="212">
        <v>3674.1629797461765</v>
      </c>
      <c r="AU9" s="212" t="b">
        <v>0</v>
      </c>
      <c r="AV9" s="212"/>
      <c r="AW9" s="212">
        <v>0</v>
      </c>
      <c r="AX9" s="212">
        <v>0</v>
      </c>
      <c r="BB9" s="212">
        <v>0</v>
      </c>
      <c r="BC9" s="212">
        <v>0</v>
      </c>
      <c r="BD9" s="212">
        <v>0</v>
      </c>
      <c r="BE9" s="212">
        <v>0</v>
      </c>
      <c r="BF9" s="226">
        <v>0</v>
      </c>
      <c r="BG9" s="226"/>
      <c r="BJ9" s="112"/>
      <c r="BK9" s="112"/>
    </row>
    <row r="10" spans="1:63" ht="39.950000000000003" customHeight="1" x14ac:dyDescent="0.2">
      <c r="A10" s="14" t="s">
        <v>69</v>
      </c>
      <c r="B10" s="65" t="s">
        <v>23</v>
      </c>
      <c r="C10" s="66" t="s">
        <v>47</v>
      </c>
      <c r="D10" s="14" t="s">
        <v>469</v>
      </c>
      <c r="E10" s="77" t="s">
        <v>128</v>
      </c>
      <c r="F10" s="14" t="s">
        <v>48</v>
      </c>
      <c r="G10" s="14" t="s">
        <v>95</v>
      </c>
      <c r="H10" s="130" t="s">
        <v>447</v>
      </c>
      <c r="I10" s="14" t="s">
        <v>32</v>
      </c>
      <c r="J10" s="14" t="s">
        <v>33</v>
      </c>
      <c r="K10" s="13" t="s">
        <v>140</v>
      </c>
      <c r="L10" s="65" t="s">
        <v>191</v>
      </c>
      <c r="M10" s="13" t="s">
        <v>323</v>
      </c>
      <c r="N10" s="13" t="s">
        <v>43</v>
      </c>
      <c r="O10" s="13" t="s">
        <v>533</v>
      </c>
      <c r="P10" s="13" t="s">
        <v>534</v>
      </c>
      <c r="Q10" s="64" t="s">
        <v>9</v>
      </c>
      <c r="R10" s="62">
        <v>31477.226226824896</v>
      </c>
      <c r="S10" s="73">
        <v>12301.683999999999</v>
      </c>
      <c r="T10" s="150">
        <v>19361.144511945608</v>
      </c>
      <c r="U10" s="62">
        <v>207356.22776920898</v>
      </c>
      <c r="V10" s="150">
        <v>1603275.8915924332</v>
      </c>
      <c r="W10" s="61" t="s">
        <v>11</v>
      </c>
      <c r="X10" s="181">
        <v>1.9833333333333331E-2</v>
      </c>
      <c r="Y10" s="60">
        <v>43076</v>
      </c>
      <c r="Z10" s="60">
        <v>46751</v>
      </c>
      <c r="AA10" s="60">
        <v>46751</v>
      </c>
      <c r="AB10" s="58">
        <v>3676</v>
      </c>
      <c r="AC10" s="59" t="s">
        <v>10</v>
      </c>
      <c r="AD10" s="58">
        <v>1917</v>
      </c>
      <c r="AE10" s="57">
        <v>5.2520547945205482</v>
      </c>
      <c r="AF10" s="56"/>
      <c r="AG10" s="71" t="s">
        <v>1</v>
      </c>
      <c r="AH10" s="71" t="s">
        <v>1</v>
      </c>
      <c r="AI10" s="265" t="s">
        <v>569</v>
      </c>
      <c r="AJ10" s="11" t="s">
        <v>0</v>
      </c>
      <c r="AK10" s="11" t="s">
        <v>271</v>
      </c>
      <c r="AL10" s="14" t="s">
        <v>326</v>
      </c>
      <c r="AM10" s="11">
        <v>8817.5</v>
      </c>
      <c r="AO10" s="197" t="s">
        <v>128</v>
      </c>
      <c r="AP10" s="198" t="s">
        <v>48</v>
      </c>
      <c r="AS10" s="212">
        <v>0</v>
      </c>
      <c r="AT10" s="212">
        <v>2323.3373414334728</v>
      </c>
      <c r="AU10" s="212" t="b">
        <v>0</v>
      </c>
      <c r="AV10" s="212"/>
      <c r="AW10" s="212">
        <v>0</v>
      </c>
      <c r="AX10" s="212">
        <v>0</v>
      </c>
      <c r="BB10" s="212">
        <v>0</v>
      </c>
      <c r="BC10" s="212">
        <v>0</v>
      </c>
      <c r="BD10" s="212">
        <v>0</v>
      </c>
      <c r="BE10" s="212">
        <v>0</v>
      </c>
      <c r="BF10" s="226">
        <v>0</v>
      </c>
      <c r="BG10" s="226"/>
      <c r="BJ10" s="112"/>
      <c r="BK10" s="112"/>
    </row>
    <row r="11" spans="1:63" ht="39.950000000000003" customHeight="1" x14ac:dyDescent="0.2">
      <c r="A11" s="14" t="s">
        <v>438</v>
      </c>
      <c r="B11" s="65" t="s">
        <v>67</v>
      </c>
      <c r="C11" s="66" t="s">
        <v>87</v>
      </c>
      <c r="D11" s="14" t="s">
        <v>542</v>
      </c>
      <c r="E11" s="77" t="s">
        <v>87</v>
      </c>
      <c r="F11" s="14" t="s">
        <v>102</v>
      </c>
      <c r="G11" s="14" t="s">
        <v>102</v>
      </c>
      <c r="H11" s="66" t="s">
        <v>122</v>
      </c>
      <c r="I11" s="14" t="s">
        <v>78</v>
      </c>
      <c r="J11" s="14" t="s">
        <v>219</v>
      </c>
      <c r="K11" s="13" t="s">
        <v>101</v>
      </c>
      <c r="L11" s="65" t="s">
        <v>191</v>
      </c>
      <c r="M11" s="13" t="s">
        <v>59</v>
      </c>
      <c r="N11" s="13" t="s">
        <v>43</v>
      </c>
      <c r="O11" s="13" t="s">
        <v>538</v>
      </c>
      <c r="P11" s="13" t="s">
        <v>534</v>
      </c>
      <c r="Q11" s="64" t="s">
        <v>156</v>
      </c>
      <c r="R11" s="62">
        <v>25990.67801015369</v>
      </c>
      <c r="S11" s="63">
        <v>15000</v>
      </c>
      <c r="T11" s="79">
        <v>25990.67801015369</v>
      </c>
      <c r="U11" s="62">
        <v>58912.203489681699</v>
      </c>
      <c r="V11" s="76">
        <v>1559924.4017812277</v>
      </c>
      <c r="W11" s="61" t="s">
        <v>11</v>
      </c>
      <c r="X11" s="181">
        <v>1.8499999999999999E-2</v>
      </c>
      <c r="Y11" s="60">
        <v>43228</v>
      </c>
      <c r="Z11" s="60">
        <v>45054</v>
      </c>
      <c r="AA11" s="60">
        <v>45054</v>
      </c>
      <c r="AB11" s="58">
        <v>1827</v>
      </c>
      <c r="AC11" s="84" t="s">
        <v>10</v>
      </c>
      <c r="AD11" s="58">
        <v>220</v>
      </c>
      <c r="AE11" s="57">
        <v>0.60273972602739723</v>
      </c>
      <c r="AF11" s="56"/>
      <c r="AG11" s="71" t="s">
        <v>1</v>
      </c>
      <c r="AH11" s="71" t="s">
        <v>1</v>
      </c>
      <c r="AI11" s="71" t="s">
        <v>0</v>
      </c>
      <c r="AJ11" s="11" t="s">
        <v>0</v>
      </c>
      <c r="AK11" s="11" t="s">
        <v>271</v>
      </c>
      <c r="AL11" s="14" t="s">
        <v>340</v>
      </c>
      <c r="AM11" s="11">
        <v>6427.5</v>
      </c>
      <c r="AO11" s="197" t="s">
        <v>87</v>
      </c>
      <c r="AP11" s="198" t="s">
        <v>102</v>
      </c>
      <c r="AS11" s="212">
        <v>0</v>
      </c>
      <c r="AT11" s="212">
        <v>3118.8813612184426</v>
      </c>
      <c r="AU11" s="212" t="b">
        <v>0</v>
      </c>
      <c r="AV11" s="212"/>
      <c r="AW11" s="212">
        <v>0</v>
      </c>
      <c r="AX11" s="212">
        <v>0</v>
      </c>
      <c r="BB11" s="212">
        <v>0</v>
      </c>
      <c r="BC11" s="212">
        <v>0</v>
      </c>
      <c r="BD11" s="212">
        <v>0</v>
      </c>
      <c r="BE11" s="212">
        <v>0</v>
      </c>
      <c r="BF11" s="226">
        <v>0</v>
      </c>
      <c r="BG11" s="226"/>
      <c r="BJ11" s="112"/>
      <c r="BK11" s="112"/>
    </row>
    <row r="12" spans="1:63" ht="39.950000000000003" customHeight="1" x14ac:dyDescent="0.2">
      <c r="A12" s="13" t="s">
        <v>137</v>
      </c>
      <c r="B12" s="65" t="s">
        <v>24</v>
      </c>
      <c r="C12" s="66" t="s">
        <v>34</v>
      </c>
      <c r="D12" s="14" t="s">
        <v>34</v>
      </c>
      <c r="E12" s="77" t="s">
        <v>34</v>
      </c>
      <c r="F12" s="14" t="s">
        <v>475</v>
      </c>
      <c r="G12" s="14" t="s">
        <v>138</v>
      </c>
      <c r="H12" s="14" t="s">
        <v>138</v>
      </c>
      <c r="I12" s="14" t="s">
        <v>70</v>
      </c>
      <c r="J12" s="66" t="s">
        <v>218</v>
      </c>
      <c r="K12" s="14" t="s">
        <v>209</v>
      </c>
      <c r="L12" s="65" t="s">
        <v>191</v>
      </c>
      <c r="M12" s="13" t="s">
        <v>323</v>
      </c>
      <c r="N12" s="13" t="s">
        <v>43</v>
      </c>
      <c r="O12" s="13" t="s">
        <v>531</v>
      </c>
      <c r="P12" s="13" t="s">
        <v>534</v>
      </c>
      <c r="Q12" s="64" t="s">
        <v>8</v>
      </c>
      <c r="R12" s="62">
        <v>20000</v>
      </c>
      <c r="S12" s="63">
        <v>20000</v>
      </c>
      <c r="T12" s="150">
        <v>20000</v>
      </c>
      <c r="U12" s="62">
        <v>40000</v>
      </c>
      <c r="V12" s="150">
        <v>2636444</v>
      </c>
      <c r="W12" s="61" t="s">
        <v>11</v>
      </c>
      <c r="X12" s="181">
        <v>5.3499999999999999E-2</v>
      </c>
      <c r="Y12" s="60">
        <v>43273</v>
      </c>
      <c r="Z12" s="60">
        <v>45210</v>
      </c>
      <c r="AA12" s="60">
        <v>45210</v>
      </c>
      <c r="AB12" s="58">
        <v>1938</v>
      </c>
      <c r="AC12" s="84" t="s">
        <v>10</v>
      </c>
      <c r="AD12" s="58">
        <v>376</v>
      </c>
      <c r="AE12" s="57">
        <v>1.0301369863013699</v>
      </c>
      <c r="AF12" s="56"/>
      <c r="AG12" s="71" t="s">
        <v>1</v>
      </c>
      <c r="AH12" s="71" t="s">
        <v>1</v>
      </c>
      <c r="AI12" s="71" t="s">
        <v>0</v>
      </c>
      <c r="AJ12" s="11" t="s">
        <v>0</v>
      </c>
      <c r="AK12" s="11" t="s">
        <v>271</v>
      </c>
      <c r="AL12" s="13" t="s">
        <v>342</v>
      </c>
      <c r="AM12" s="11">
        <v>12137</v>
      </c>
      <c r="AO12" s="197" t="s">
        <v>34</v>
      </c>
      <c r="AP12" s="198" t="s">
        <v>475</v>
      </c>
      <c r="AS12" s="212">
        <v>0</v>
      </c>
      <c r="AT12" s="212">
        <v>2400</v>
      </c>
      <c r="AU12" s="212" t="b">
        <v>0</v>
      </c>
      <c r="AV12" s="212"/>
      <c r="AW12" s="212">
        <v>0</v>
      </c>
      <c r="AX12" s="212">
        <v>0</v>
      </c>
      <c r="BB12" s="212">
        <v>0</v>
      </c>
      <c r="BC12" s="212">
        <v>0</v>
      </c>
      <c r="BD12" s="212">
        <v>0</v>
      </c>
      <c r="BE12" s="212">
        <v>0</v>
      </c>
      <c r="BF12" s="226">
        <v>0</v>
      </c>
      <c r="BG12" s="226"/>
      <c r="BJ12" s="112"/>
      <c r="BK12" s="112"/>
    </row>
    <row r="13" spans="1:63" ht="39.950000000000003" customHeight="1" x14ac:dyDescent="0.2">
      <c r="A13" s="13" t="s">
        <v>144</v>
      </c>
      <c r="B13" s="65" t="s">
        <v>23</v>
      </c>
      <c r="C13" s="66" t="s">
        <v>166</v>
      </c>
      <c r="D13" s="14" t="s">
        <v>540</v>
      </c>
      <c r="E13" s="161" t="s">
        <v>36</v>
      </c>
      <c r="F13" s="14" t="s">
        <v>92</v>
      </c>
      <c r="G13" s="14" t="s">
        <v>100</v>
      </c>
      <c r="H13" s="66" t="s">
        <v>100</v>
      </c>
      <c r="I13" s="14" t="s">
        <v>145</v>
      </c>
      <c r="J13" s="66" t="s">
        <v>221</v>
      </c>
      <c r="K13" s="14" t="s">
        <v>44</v>
      </c>
      <c r="L13" s="65" t="s">
        <v>191</v>
      </c>
      <c r="M13" s="13" t="s">
        <v>59</v>
      </c>
      <c r="N13" s="13" t="s">
        <v>43</v>
      </c>
      <c r="O13" s="13" t="s">
        <v>533</v>
      </c>
      <c r="P13" s="13" t="s">
        <v>534</v>
      </c>
      <c r="Q13" s="64" t="s">
        <v>9</v>
      </c>
      <c r="R13" s="62">
        <v>15738.613113412448</v>
      </c>
      <c r="S13" s="63">
        <v>8500</v>
      </c>
      <c r="T13" s="150">
        <v>13377.82114640058</v>
      </c>
      <c r="U13" s="62">
        <v>188863.35736094936</v>
      </c>
      <c r="V13" s="150">
        <v>700461.78664736066</v>
      </c>
      <c r="W13" s="61" t="s">
        <v>551</v>
      </c>
      <c r="X13" s="181">
        <v>2.1000000000000001E-2</v>
      </c>
      <c r="Y13" s="60">
        <v>43279</v>
      </c>
      <c r="Z13" s="60">
        <v>45503</v>
      </c>
      <c r="AA13" s="60">
        <v>45503</v>
      </c>
      <c r="AB13" s="58">
        <v>2225</v>
      </c>
      <c r="AC13" s="59" t="s">
        <v>10</v>
      </c>
      <c r="AD13" s="58">
        <v>669</v>
      </c>
      <c r="AE13" s="57">
        <v>1.832876712328767</v>
      </c>
      <c r="AF13" s="56"/>
      <c r="AG13" s="71" t="s">
        <v>1</v>
      </c>
      <c r="AH13" s="71" t="s">
        <v>1</v>
      </c>
      <c r="AI13" s="71" t="s">
        <v>0</v>
      </c>
      <c r="AJ13" s="11" t="s">
        <v>0</v>
      </c>
      <c r="AK13" s="11" t="s">
        <v>271</v>
      </c>
      <c r="AL13" s="13" t="s">
        <v>345</v>
      </c>
      <c r="AO13" s="197" t="s">
        <v>36</v>
      </c>
      <c r="AP13" s="198" t="s">
        <v>92</v>
      </c>
      <c r="AQ13" s="11">
        <v>1</v>
      </c>
      <c r="AR13" s="214">
        <v>0.05</v>
      </c>
      <c r="AS13" s="212">
        <v>668.89105732002906</v>
      </c>
      <c r="AT13" s="212">
        <v>1605.3385375680696</v>
      </c>
      <c r="AU13" s="212" t="b">
        <v>0</v>
      </c>
      <c r="AV13" s="212"/>
      <c r="AW13" s="212">
        <v>668.89105732002906</v>
      </c>
      <c r="AX13" s="212">
        <v>625.66246614061947</v>
      </c>
      <c r="AY13" s="12"/>
      <c r="BB13" s="212">
        <v>668.89105732002906</v>
      </c>
      <c r="BC13" s="212">
        <v>625.66246614061947</v>
      </c>
      <c r="BD13" s="212">
        <v>571.43625460510395</v>
      </c>
      <c r="BE13" s="212">
        <v>592.11167922872232</v>
      </c>
      <c r="BF13" s="226">
        <v>592.11167922872232</v>
      </c>
      <c r="BG13" s="226">
        <v>592.11167922872232</v>
      </c>
      <c r="BJ13" s="112"/>
      <c r="BK13" s="112"/>
    </row>
    <row r="14" spans="1:63" ht="39.950000000000003" customHeight="1" x14ac:dyDescent="0.2">
      <c r="A14" s="14" t="s">
        <v>146</v>
      </c>
      <c r="B14" s="65" t="s">
        <v>24</v>
      </c>
      <c r="C14" s="66" t="s">
        <v>38</v>
      </c>
      <c r="D14" s="14" t="s">
        <v>34</v>
      </c>
      <c r="E14" s="77" t="s">
        <v>34</v>
      </c>
      <c r="F14" s="14" t="s">
        <v>106</v>
      </c>
      <c r="G14" s="14" t="s">
        <v>106</v>
      </c>
      <c r="H14" s="66" t="s">
        <v>107</v>
      </c>
      <c r="I14" s="133" t="s">
        <v>638</v>
      </c>
      <c r="J14" s="14" t="s">
        <v>687</v>
      </c>
      <c r="K14" s="14" t="s">
        <v>101</v>
      </c>
      <c r="L14" s="65" t="s">
        <v>191</v>
      </c>
      <c r="M14" s="13" t="s">
        <v>323</v>
      </c>
      <c r="N14" s="13" t="s">
        <v>43</v>
      </c>
      <c r="O14" s="13" t="s">
        <v>539</v>
      </c>
      <c r="P14" s="13" t="s">
        <v>534</v>
      </c>
      <c r="Q14" s="64" t="s">
        <v>8</v>
      </c>
      <c r="R14" s="62">
        <v>17500</v>
      </c>
      <c r="S14" s="63">
        <v>22500</v>
      </c>
      <c r="T14" s="62">
        <v>22500</v>
      </c>
      <c r="U14" s="62">
        <v>55000</v>
      </c>
      <c r="V14" s="76">
        <v>2442355.1800000002</v>
      </c>
      <c r="W14" s="61" t="s">
        <v>11</v>
      </c>
      <c r="X14" s="181">
        <v>0.06</v>
      </c>
      <c r="Y14" s="60">
        <v>43320</v>
      </c>
      <c r="Z14" s="60">
        <v>44856</v>
      </c>
      <c r="AA14" s="60">
        <v>44856</v>
      </c>
      <c r="AB14" s="58">
        <v>1537</v>
      </c>
      <c r="AC14" s="59" t="s">
        <v>1</v>
      </c>
      <c r="AD14" s="58">
        <v>22</v>
      </c>
      <c r="AE14" s="57">
        <v>6.0273972602739728E-2</v>
      </c>
      <c r="AF14" s="56"/>
      <c r="AG14" s="71" t="s">
        <v>1</v>
      </c>
      <c r="AH14" s="71" t="s">
        <v>1</v>
      </c>
      <c r="AI14" s="71" t="s">
        <v>0</v>
      </c>
      <c r="AJ14" s="11" t="s">
        <v>672</v>
      </c>
      <c r="AK14" s="11" t="s">
        <v>271</v>
      </c>
      <c r="AL14" s="14" t="s">
        <v>346</v>
      </c>
      <c r="AM14" s="11">
        <v>19560</v>
      </c>
      <c r="AO14" s="197" t="s">
        <v>34</v>
      </c>
      <c r="AP14" s="198" t="s">
        <v>106</v>
      </c>
      <c r="AQ14" s="11">
        <v>1</v>
      </c>
      <c r="AR14" s="214">
        <v>7.4999999999999997E-2</v>
      </c>
      <c r="AS14" s="212">
        <v>1687.5</v>
      </c>
      <c r="AT14" s="212">
        <v>2700</v>
      </c>
      <c r="AU14" s="212" t="b">
        <v>0</v>
      </c>
      <c r="AV14" s="212"/>
      <c r="AW14" s="212">
        <v>1687.5</v>
      </c>
      <c r="AX14" s="212">
        <v>1125</v>
      </c>
      <c r="AY14" s="12" t="s">
        <v>771</v>
      </c>
      <c r="BB14" s="212">
        <v>1687.5</v>
      </c>
      <c r="BC14" s="212">
        <v>1125</v>
      </c>
      <c r="BD14" s="212">
        <v>562.5</v>
      </c>
      <c r="BE14" s="212">
        <v>0</v>
      </c>
      <c r="BF14" s="226">
        <v>0</v>
      </c>
      <c r="BG14" s="226"/>
      <c r="BJ14" s="112"/>
      <c r="BK14" s="112"/>
    </row>
    <row r="15" spans="1:63" ht="39.950000000000003" customHeight="1" x14ac:dyDescent="0.2">
      <c r="A15" s="13" t="s">
        <v>153</v>
      </c>
      <c r="B15" s="65" t="s">
        <v>23</v>
      </c>
      <c r="C15" s="66" t="s">
        <v>89</v>
      </c>
      <c r="D15" s="14" t="s">
        <v>542</v>
      </c>
      <c r="E15" s="77" t="s">
        <v>127</v>
      </c>
      <c r="F15" s="14" t="s">
        <v>92</v>
      </c>
      <c r="G15" s="14" t="s">
        <v>108</v>
      </c>
      <c r="H15" s="66" t="s">
        <v>109</v>
      </c>
      <c r="I15" s="14" t="s">
        <v>220</v>
      </c>
      <c r="J15" s="14" t="s">
        <v>220</v>
      </c>
      <c r="K15" s="14" t="s">
        <v>22</v>
      </c>
      <c r="L15" s="65" t="s">
        <v>191</v>
      </c>
      <c r="M15" s="13" t="s">
        <v>59</v>
      </c>
      <c r="N15" s="13" t="s">
        <v>43</v>
      </c>
      <c r="O15" s="13" t="s">
        <v>531</v>
      </c>
      <c r="P15" s="13" t="s">
        <v>534</v>
      </c>
      <c r="Q15" s="64" t="s">
        <v>9</v>
      </c>
      <c r="R15" s="62">
        <v>4562.4492429727097</v>
      </c>
      <c r="S15" s="264">
        <v>1290.548</v>
      </c>
      <c r="T15" s="150">
        <v>2031.1435676288206</v>
      </c>
      <c r="U15" s="62">
        <v>23696.672386572787</v>
      </c>
      <c r="V15" s="76">
        <v>235243.47634486452</v>
      </c>
      <c r="W15" s="61" t="s">
        <v>11</v>
      </c>
      <c r="X15" s="181">
        <v>2.2499999999999999E-2</v>
      </c>
      <c r="Y15" s="60">
        <v>43350</v>
      </c>
      <c r="Z15" s="60">
        <v>45894</v>
      </c>
      <c r="AA15" s="60">
        <v>45894</v>
      </c>
      <c r="AB15" s="58">
        <v>2545</v>
      </c>
      <c r="AC15" s="59" t="s">
        <v>10</v>
      </c>
      <c r="AD15" s="58">
        <v>1060</v>
      </c>
      <c r="AE15" s="57">
        <v>2.904109589041096</v>
      </c>
      <c r="AF15" s="56"/>
      <c r="AG15" s="71" t="s">
        <v>1</v>
      </c>
      <c r="AH15" s="71" t="s">
        <v>1</v>
      </c>
      <c r="AI15" s="187" t="s">
        <v>251</v>
      </c>
      <c r="AJ15" s="11" t="s">
        <v>0</v>
      </c>
      <c r="AK15" s="11" t="s">
        <v>271</v>
      </c>
      <c r="AL15" s="13" t="s">
        <v>347</v>
      </c>
      <c r="AM15" s="11">
        <v>12110</v>
      </c>
      <c r="AO15" s="197" t="s">
        <v>127</v>
      </c>
      <c r="AP15" s="198" t="s">
        <v>92</v>
      </c>
      <c r="AS15" s="212">
        <v>0</v>
      </c>
      <c r="AT15" s="212">
        <v>243.73722811545846</v>
      </c>
      <c r="AU15" s="212" t="b">
        <v>0</v>
      </c>
      <c r="AV15" s="212"/>
      <c r="AW15" s="212">
        <v>0</v>
      </c>
      <c r="AX15" s="212">
        <v>0</v>
      </c>
      <c r="BB15" s="212">
        <v>0</v>
      </c>
      <c r="BC15" s="212">
        <v>0</v>
      </c>
      <c r="BD15" s="212">
        <v>0</v>
      </c>
      <c r="BE15" s="212">
        <v>0</v>
      </c>
      <c r="BF15" s="226">
        <v>0</v>
      </c>
      <c r="BG15" s="226"/>
      <c r="BJ15" s="112"/>
      <c r="BK15" s="112"/>
    </row>
    <row r="16" spans="1:63" ht="39.950000000000003" customHeight="1" x14ac:dyDescent="0.2">
      <c r="A16" s="13" t="s">
        <v>150</v>
      </c>
      <c r="B16" s="65" t="s">
        <v>67</v>
      </c>
      <c r="C16" s="66" t="s">
        <v>149</v>
      </c>
      <c r="D16" s="14" t="s">
        <v>34</v>
      </c>
      <c r="E16" s="77" t="s">
        <v>34</v>
      </c>
      <c r="F16" s="14" t="s">
        <v>48</v>
      </c>
      <c r="G16" s="14" t="s">
        <v>95</v>
      </c>
      <c r="H16" s="66" t="s">
        <v>130</v>
      </c>
      <c r="I16" s="14" t="s">
        <v>148</v>
      </c>
      <c r="J16" s="66" t="s">
        <v>148</v>
      </c>
      <c r="K16" s="14" t="s">
        <v>209</v>
      </c>
      <c r="L16" s="65" t="s">
        <v>191</v>
      </c>
      <c r="M16" s="13" t="s">
        <v>59</v>
      </c>
      <c r="N16" s="13" t="s">
        <v>43</v>
      </c>
      <c r="O16" s="13" t="s">
        <v>531</v>
      </c>
      <c r="P16" s="13" t="s">
        <v>534</v>
      </c>
      <c r="Q16" s="64" t="s">
        <v>9</v>
      </c>
      <c r="R16" s="62">
        <v>15738.613113412448</v>
      </c>
      <c r="S16" s="73">
        <v>8467</v>
      </c>
      <c r="T16" s="76">
        <v>13325.883723126319</v>
      </c>
      <c r="U16" s="62">
        <v>99944.127923447391</v>
      </c>
      <c r="V16" s="76">
        <v>1207709.8744058674</v>
      </c>
      <c r="W16" s="61" t="s">
        <v>11</v>
      </c>
      <c r="X16" s="181">
        <v>3.7499999999999999E-2</v>
      </c>
      <c r="Y16" s="60">
        <v>43353</v>
      </c>
      <c r="Z16" s="60">
        <v>45199</v>
      </c>
      <c r="AA16" s="60">
        <v>45199</v>
      </c>
      <c r="AB16" s="58">
        <v>1847</v>
      </c>
      <c r="AC16" s="59" t="s">
        <v>10</v>
      </c>
      <c r="AD16" s="58">
        <v>365</v>
      </c>
      <c r="AE16" s="57">
        <v>1</v>
      </c>
      <c r="AF16" s="56"/>
      <c r="AG16" s="71" t="s">
        <v>1</v>
      </c>
      <c r="AH16" s="71" t="s">
        <v>1</v>
      </c>
      <c r="AI16" s="187" t="s">
        <v>598</v>
      </c>
      <c r="AJ16" s="11" t="s">
        <v>0</v>
      </c>
      <c r="AK16" s="11" t="s">
        <v>271</v>
      </c>
      <c r="AL16" s="13" t="s">
        <v>553</v>
      </c>
      <c r="AM16" s="11">
        <v>16582.5</v>
      </c>
      <c r="AO16" s="197" t="s">
        <v>34</v>
      </c>
      <c r="AP16" s="198" t="s">
        <v>48</v>
      </c>
      <c r="AQ16" s="11">
        <v>0</v>
      </c>
      <c r="AR16" s="214">
        <v>0</v>
      </c>
      <c r="AS16" s="212">
        <v>0</v>
      </c>
      <c r="AT16" s="212">
        <v>1599.1060467751581</v>
      </c>
      <c r="AU16" s="212" t="b">
        <v>0</v>
      </c>
      <c r="AV16" s="212"/>
      <c r="AW16" s="212">
        <v>0</v>
      </c>
      <c r="AX16" s="212">
        <v>0</v>
      </c>
      <c r="AY16" s="12"/>
      <c r="BB16" s="212">
        <v>0</v>
      </c>
      <c r="BC16" s="212">
        <v>0</v>
      </c>
      <c r="BD16" s="212">
        <v>0</v>
      </c>
      <c r="BE16" s="212">
        <v>0</v>
      </c>
      <c r="BF16" s="226">
        <v>0</v>
      </c>
      <c r="BG16" s="226">
        <v>1172.0653377630122</v>
      </c>
      <c r="BJ16" s="112"/>
      <c r="BK16" s="112"/>
    </row>
    <row r="17" spans="1:63" ht="39.950000000000003" customHeight="1" x14ac:dyDescent="0.2">
      <c r="A17" s="13" t="s">
        <v>202</v>
      </c>
      <c r="B17" s="65" t="s">
        <v>23</v>
      </c>
      <c r="C17" s="66" t="s">
        <v>89</v>
      </c>
      <c r="D17" s="14" t="s">
        <v>542</v>
      </c>
      <c r="E17" s="77" t="s">
        <v>127</v>
      </c>
      <c r="F17" s="14" t="s">
        <v>92</v>
      </c>
      <c r="G17" s="14" t="s">
        <v>108</v>
      </c>
      <c r="H17" s="66" t="s">
        <v>109</v>
      </c>
      <c r="I17" s="14" t="s">
        <v>220</v>
      </c>
      <c r="J17" s="66" t="s">
        <v>220</v>
      </c>
      <c r="K17" s="14" t="s">
        <v>22</v>
      </c>
      <c r="L17" s="65" t="s">
        <v>191</v>
      </c>
      <c r="M17" s="13" t="s">
        <v>59</v>
      </c>
      <c r="N17" s="13" t="s">
        <v>43</v>
      </c>
      <c r="O17" s="13" t="s">
        <v>531</v>
      </c>
      <c r="P17" s="13" t="s">
        <v>534</v>
      </c>
      <c r="Q17" s="64" t="s">
        <v>9</v>
      </c>
      <c r="R17" s="62">
        <v>3838.647738361296</v>
      </c>
      <c r="S17" s="266">
        <v>1057.6079999999999</v>
      </c>
      <c r="T17" s="150">
        <v>1664.528313764991</v>
      </c>
      <c r="U17" s="62">
        <v>19419.496993924895</v>
      </c>
      <c r="V17" s="76">
        <v>204361.16969372661</v>
      </c>
      <c r="W17" s="61" t="s">
        <v>11</v>
      </c>
      <c r="X17" s="181">
        <v>2.2499999999999999E-2</v>
      </c>
      <c r="Y17" s="60">
        <v>43368</v>
      </c>
      <c r="Z17" s="60">
        <v>45955</v>
      </c>
      <c r="AA17" s="60">
        <v>45955</v>
      </c>
      <c r="AB17" s="58">
        <v>2588</v>
      </c>
      <c r="AC17" s="59" t="s">
        <v>10</v>
      </c>
      <c r="AD17" s="58">
        <v>1121</v>
      </c>
      <c r="AE17" s="57">
        <v>3.0712328767123287</v>
      </c>
      <c r="AF17" s="56"/>
      <c r="AG17" s="71" t="s">
        <v>1</v>
      </c>
      <c r="AH17" s="71" t="s">
        <v>1</v>
      </c>
      <c r="AI17" s="187" t="s">
        <v>658</v>
      </c>
      <c r="AJ17" s="11" t="s">
        <v>0</v>
      </c>
      <c r="AK17" s="11" t="s">
        <v>271</v>
      </c>
      <c r="AL17" s="13" t="s">
        <v>349</v>
      </c>
      <c r="AM17" s="11">
        <v>2242.5</v>
      </c>
      <c r="AO17" s="197" t="s">
        <v>127</v>
      </c>
      <c r="AP17" s="198" t="s">
        <v>92</v>
      </c>
      <c r="AS17" s="212">
        <v>0</v>
      </c>
      <c r="AT17" s="212">
        <v>199.74339765179892</v>
      </c>
      <c r="AU17" s="212" t="b">
        <v>0</v>
      </c>
      <c r="AV17" s="212"/>
      <c r="AW17" s="212">
        <v>0</v>
      </c>
      <c r="AX17" s="212">
        <v>0</v>
      </c>
      <c r="BB17" s="212">
        <v>0</v>
      </c>
      <c r="BC17" s="212">
        <v>0</v>
      </c>
      <c r="BD17" s="212">
        <v>0</v>
      </c>
      <c r="BE17" s="212">
        <v>0</v>
      </c>
      <c r="BF17" s="226">
        <v>0</v>
      </c>
      <c r="BG17" s="226"/>
      <c r="BJ17" s="112"/>
      <c r="BK17" s="112"/>
    </row>
    <row r="18" spans="1:63" ht="39.950000000000003" customHeight="1" x14ac:dyDescent="0.2">
      <c r="A18" s="14" t="s">
        <v>164</v>
      </c>
      <c r="B18" s="65" t="s">
        <v>23</v>
      </c>
      <c r="C18" s="66" t="s">
        <v>127</v>
      </c>
      <c r="D18" s="14" t="s">
        <v>542</v>
      </c>
      <c r="E18" s="77" t="s">
        <v>89</v>
      </c>
      <c r="F18" s="14" t="s">
        <v>102</v>
      </c>
      <c r="G18" s="131" t="s">
        <v>102</v>
      </c>
      <c r="H18" s="66" t="s">
        <v>122</v>
      </c>
      <c r="I18" s="14" t="s">
        <v>158</v>
      </c>
      <c r="J18" s="66" t="s">
        <v>220</v>
      </c>
      <c r="K18" s="14" t="s">
        <v>101</v>
      </c>
      <c r="L18" s="65" t="s">
        <v>191</v>
      </c>
      <c r="M18" s="13" t="s">
        <v>59</v>
      </c>
      <c r="N18" s="13" t="s">
        <v>43</v>
      </c>
      <c r="O18" s="13" t="s">
        <v>538</v>
      </c>
      <c r="P18" s="13" t="s">
        <v>534</v>
      </c>
      <c r="Q18" s="64" t="s">
        <v>59</v>
      </c>
      <c r="R18" s="62">
        <v>29087.123589657233</v>
      </c>
      <c r="S18" s="73">
        <v>19000</v>
      </c>
      <c r="T18" s="79">
        <v>29087.123589657233</v>
      </c>
      <c r="U18" s="62">
        <v>266376.81603159785</v>
      </c>
      <c r="V18" s="76">
        <v>971730.74508963432</v>
      </c>
      <c r="W18" s="61" t="s">
        <v>11</v>
      </c>
      <c r="X18" s="181">
        <v>9.5999999999999992E-3</v>
      </c>
      <c r="Y18" s="60">
        <v>43392</v>
      </c>
      <c r="Z18" s="60">
        <v>45534</v>
      </c>
      <c r="AA18" s="60">
        <v>45534</v>
      </c>
      <c r="AB18" s="58">
        <v>2143</v>
      </c>
      <c r="AC18" s="59" t="s">
        <v>10</v>
      </c>
      <c r="AD18" s="58">
        <v>700</v>
      </c>
      <c r="AE18" s="57">
        <v>1.9178082191780821</v>
      </c>
      <c r="AF18" s="56"/>
      <c r="AG18" s="71" t="s">
        <v>1</v>
      </c>
      <c r="AH18" s="71" t="s">
        <v>1</v>
      </c>
      <c r="AI18" s="187" t="s">
        <v>0</v>
      </c>
      <c r="AJ18" s="11" t="s">
        <v>0</v>
      </c>
      <c r="AK18" s="11" t="s">
        <v>271</v>
      </c>
      <c r="AL18" s="14" t="s">
        <v>353</v>
      </c>
      <c r="AM18" s="11">
        <v>6040</v>
      </c>
      <c r="AO18" s="197" t="s">
        <v>89</v>
      </c>
      <c r="AP18" s="198" t="s">
        <v>102</v>
      </c>
      <c r="AS18" s="212">
        <v>0</v>
      </c>
      <c r="AT18" s="212">
        <v>3490.454830758868</v>
      </c>
      <c r="AU18" s="212" t="b">
        <v>0</v>
      </c>
      <c r="AV18" s="212"/>
      <c r="AW18" s="212">
        <v>0</v>
      </c>
      <c r="AX18" s="212">
        <v>0</v>
      </c>
      <c r="BB18" s="212">
        <v>0</v>
      </c>
      <c r="BC18" s="212">
        <v>0</v>
      </c>
      <c r="BD18" s="212">
        <v>0</v>
      </c>
      <c r="BE18" s="212">
        <v>0</v>
      </c>
      <c r="BF18" s="226">
        <v>0</v>
      </c>
      <c r="BG18" s="226"/>
      <c r="BJ18" s="112"/>
      <c r="BK18" s="112"/>
    </row>
    <row r="19" spans="1:63" ht="39.950000000000003" customHeight="1" x14ac:dyDescent="0.2">
      <c r="A19" s="14" t="s">
        <v>184</v>
      </c>
      <c r="B19" s="65" t="s">
        <v>23</v>
      </c>
      <c r="C19" s="66" t="s">
        <v>38</v>
      </c>
      <c r="D19" s="14" t="s">
        <v>540</v>
      </c>
      <c r="E19" s="77" t="s">
        <v>49</v>
      </c>
      <c r="F19" s="14" t="s">
        <v>48</v>
      </c>
      <c r="G19" s="14" t="s">
        <v>95</v>
      </c>
      <c r="H19" s="130" t="s">
        <v>447</v>
      </c>
      <c r="I19" s="14" t="s">
        <v>73</v>
      </c>
      <c r="J19" s="77" t="s">
        <v>221</v>
      </c>
      <c r="K19" s="13" t="s">
        <v>140</v>
      </c>
      <c r="L19" s="65" t="s">
        <v>191</v>
      </c>
      <c r="M19" s="13" t="s">
        <v>323</v>
      </c>
      <c r="N19" s="13" t="s">
        <v>43</v>
      </c>
      <c r="O19" s="13" t="s">
        <v>538</v>
      </c>
      <c r="P19" s="13" t="s">
        <v>534</v>
      </c>
      <c r="Q19" s="64" t="s">
        <v>9</v>
      </c>
      <c r="R19" s="62">
        <v>15738.613113412448</v>
      </c>
      <c r="S19" s="63">
        <v>2730.0650000000001</v>
      </c>
      <c r="T19" s="150">
        <v>4296.7436809468354</v>
      </c>
      <c r="U19" s="62">
        <v>118039.59835059335</v>
      </c>
      <c r="V19" s="150">
        <v>1012590.4970254023</v>
      </c>
      <c r="W19" s="61" t="s">
        <v>11</v>
      </c>
      <c r="X19" s="181">
        <v>3.7499999999999999E-2</v>
      </c>
      <c r="Y19" s="60">
        <v>43398</v>
      </c>
      <c r="Z19" s="60">
        <v>45930</v>
      </c>
      <c r="AA19" s="60">
        <v>45930</v>
      </c>
      <c r="AB19" s="58">
        <v>2533</v>
      </c>
      <c r="AC19" s="59" t="s">
        <v>10</v>
      </c>
      <c r="AD19" s="58">
        <v>1096</v>
      </c>
      <c r="AE19" s="57">
        <v>3.0027397260273974</v>
      </c>
      <c r="AF19" s="56"/>
      <c r="AG19" s="71" t="s">
        <v>1</v>
      </c>
      <c r="AH19" s="71" t="s">
        <v>1</v>
      </c>
      <c r="AI19" s="187" t="s">
        <v>885</v>
      </c>
      <c r="AJ19" s="11" t="s">
        <v>0</v>
      </c>
      <c r="AK19" s="11" t="s">
        <v>271</v>
      </c>
      <c r="AL19" s="14" t="s">
        <v>337</v>
      </c>
      <c r="AM19" s="11">
        <v>14500</v>
      </c>
      <c r="AO19" s="197" t="s">
        <v>49</v>
      </c>
      <c r="AP19" s="198" t="s">
        <v>48</v>
      </c>
      <c r="AS19" s="212">
        <v>0</v>
      </c>
      <c r="AT19" s="212">
        <v>515.60924171362024</v>
      </c>
      <c r="AU19" s="212" t="b">
        <v>0</v>
      </c>
      <c r="AV19" s="212"/>
      <c r="AW19" s="212">
        <v>0</v>
      </c>
      <c r="AX19" s="212">
        <v>0</v>
      </c>
      <c r="BB19" s="212">
        <v>0</v>
      </c>
      <c r="BC19" s="212">
        <v>0</v>
      </c>
      <c r="BD19" s="212">
        <v>0</v>
      </c>
      <c r="BE19" s="212">
        <v>0</v>
      </c>
      <c r="BF19" s="226">
        <v>0</v>
      </c>
      <c r="BG19" s="226"/>
      <c r="BJ19" s="112"/>
      <c r="BK19" s="112"/>
    </row>
    <row r="20" spans="1:63" ht="39.950000000000003" customHeight="1" x14ac:dyDescent="0.2">
      <c r="A20" s="87" t="s">
        <v>714</v>
      </c>
      <c r="B20" s="100" t="s">
        <v>51</v>
      </c>
      <c r="C20" s="104" t="s">
        <v>34</v>
      </c>
      <c r="D20" s="103" t="s">
        <v>34</v>
      </c>
      <c r="E20" s="102" t="s">
        <v>34</v>
      </c>
      <c r="F20" s="103" t="s">
        <v>543</v>
      </c>
      <c r="G20" s="101" t="s">
        <v>136</v>
      </c>
      <c r="H20" s="101" t="s">
        <v>136</v>
      </c>
      <c r="I20" s="102" t="s">
        <v>52</v>
      </c>
      <c r="J20" s="102" t="s">
        <v>52</v>
      </c>
      <c r="K20" s="101" t="s">
        <v>7</v>
      </c>
      <c r="L20" s="100" t="s">
        <v>40</v>
      </c>
      <c r="M20" s="87"/>
      <c r="N20" s="87" t="s">
        <v>42</v>
      </c>
      <c r="O20" s="87" t="s">
        <v>531</v>
      </c>
      <c r="P20" s="87" t="s">
        <v>532</v>
      </c>
      <c r="Q20" s="99" t="s">
        <v>8</v>
      </c>
      <c r="R20" s="97">
        <v>254.03200000000001</v>
      </c>
      <c r="S20" s="98">
        <v>254.03200000000001</v>
      </c>
      <c r="T20" s="155">
        <v>254.03200000000001</v>
      </c>
      <c r="U20" s="97">
        <v>254.03200000000001</v>
      </c>
      <c r="V20" s="155">
        <v>6350.8</v>
      </c>
      <c r="W20" s="96" t="s">
        <v>11</v>
      </c>
      <c r="X20" s="182">
        <v>2.5000000000000001E-2</v>
      </c>
      <c r="Y20" s="95">
        <v>44531</v>
      </c>
      <c r="Z20" s="95">
        <v>44895</v>
      </c>
      <c r="AA20" s="95">
        <v>44895</v>
      </c>
      <c r="AB20" s="93">
        <v>365</v>
      </c>
      <c r="AC20" s="94" t="s">
        <v>10</v>
      </c>
      <c r="AD20" s="93">
        <v>61</v>
      </c>
      <c r="AE20" s="92">
        <v>0.16712328767123288</v>
      </c>
      <c r="AF20" s="91"/>
      <c r="AG20" s="90" t="s">
        <v>1</v>
      </c>
      <c r="AH20" s="90" t="s">
        <v>1</v>
      </c>
      <c r="AI20" s="187" t="s">
        <v>0</v>
      </c>
      <c r="AJ20" s="88" t="s">
        <v>0</v>
      </c>
      <c r="AK20" s="88" t="s">
        <v>271</v>
      </c>
      <c r="AL20" s="87" t="s">
        <v>716</v>
      </c>
      <c r="AO20" s="197" t="s">
        <v>34</v>
      </c>
      <c r="AP20" s="198" t="s">
        <v>543</v>
      </c>
      <c r="AS20" s="212">
        <v>0</v>
      </c>
      <c r="AT20" s="212">
        <v>30.483840000000001</v>
      </c>
      <c r="AU20" s="212" t="b">
        <v>0</v>
      </c>
      <c r="AV20" s="212"/>
      <c r="AW20" s="212">
        <v>0</v>
      </c>
      <c r="AX20" s="212">
        <v>0</v>
      </c>
      <c r="BB20" s="212">
        <v>0</v>
      </c>
      <c r="BC20" s="212">
        <v>0</v>
      </c>
      <c r="BD20" s="212">
        <v>0</v>
      </c>
      <c r="BE20" s="212">
        <v>0</v>
      </c>
      <c r="BF20" s="226">
        <v>0</v>
      </c>
      <c r="BG20" s="226"/>
      <c r="BJ20" s="112"/>
      <c r="BK20" s="112"/>
    </row>
    <row r="21" spans="1:63" ht="39.950000000000003" customHeight="1" x14ac:dyDescent="0.2">
      <c r="A21" s="87" t="s">
        <v>715</v>
      </c>
      <c r="B21" s="100" t="s">
        <v>51</v>
      </c>
      <c r="C21" s="104" t="s">
        <v>34</v>
      </c>
      <c r="D21" s="103" t="s">
        <v>34</v>
      </c>
      <c r="E21" s="102" t="s">
        <v>34</v>
      </c>
      <c r="F21" s="103" t="s">
        <v>543</v>
      </c>
      <c r="G21" s="101" t="s">
        <v>136</v>
      </c>
      <c r="H21" s="101" t="s">
        <v>136</v>
      </c>
      <c r="I21" s="102" t="s">
        <v>52</v>
      </c>
      <c r="J21" s="102" t="s">
        <v>52</v>
      </c>
      <c r="K21" s="101" t="s">
        <v>7</v>
      </c>
      <c r="L21" s="100" t="s">
        <v>40</v>
      </c>
      <c r="M21" s="87"/>
      <c r="N21" s="87" t="s">
        <v>42</v>
      </c>
      <c r="O21" s="87" t="s">
        <v>531</v>
      </c>
      <c r="P21" s="87" t="s">
        <v>532</v>
      </c>
      <c r="Q21" s="99" t="s">
        <v>8</v>
      </c>
      <c r="R21" s="97">
        <v>323.60899999999998</v>
      </c>
      <c r="S21" s="98">
        <v>323.60899999999998</v>
      </c>
      <c r="T21" s="155">
        <v>323.60899999999998</v>
      </c>
      <c r="U21" s="97">
        <v>323.60899999999998</v>
      </c>
      <c r="V21" s="155">
        <v>8090.23</v>
      </c>
      <c r="W21" s="96" t="s">
        <v>11</v>
      </c>
      <c r="X21" s="182">
        <v>2.5000000000000001E-2</v>
      </c>
      <c r="Y21" s="95">
        <v>44531</v>
      </c>
      <c r="Z21" s="95">
        <v>44895</v>
      </c>
      <c r="AA21" s="95">
        <v>44895</v>
      </c>
      <c r="AB21" s="93">
        <v>365</v>
      </c>
      <c r="AC21" s="94" t="s">
        <v>10</v>
      </c>
      <c r="AD21" s="93">
        <v>61</v>
      </c>
      <c r="AE21" s="92">
        <v>0.16712328767123288</v>
      </c>
      <c r="AF21" s="91"/>
      <c r="AG21" s="90" t="s">
        <v>1</v>
      </c>
      <c r="AH21" s="90" t="s">
        <v>1</v>
      </c>
      <c r="AI21" s="187" t="s">
        <v>0</v>
      </c>
      <c r="AJ21" s="88" t="s">
        <v>0</v>
      </c>
      <c r="AK21" s="88" t="s">
        <v>271</v>
      </c>
      <c r="AL21" s="87" t="s">
        <v>717</v>
      </c>
      <c r="AO21" s="197" t="s">
        <v>34</v>
      </c>
      <c r="AP21" s="198" t="s">
        <v>543</v>
      </c>
      <c r="AS21" s="212">
        <v>0</v>
      </c>
      <c r="AT21" s="212">
        <v>38.833079999999995</v>
      </c>
      <c r="AU21" s="212" t="b">
        <v>0</v>
      </c>
      <c r="AV21" s="212"/>
      <c r="AW21" s="212">
        <v>0</v>
      </c>
      <c r="AX21" s="212">
        <v>0</v>
      </c>
      <c r="BB21" s="212">
        <v>0</v>
      </c>
      <c r="BC21" s="212">
        <v>0</v>
      </c>
      <c r="BD21" s="212">
        <v>0</v>
      </c>
      <c r="BE21" s="212">
        <v>0</v>
      </c>
      <c r="BF21" s="226">
        <v>0</v>
      </c>
      <c r="BG21" s="226"/>
      <c r="BJ21" s="112"/>
      <c r="BK21" s="112"/>
    </row>
    <row r="22" spans="1:63" ht="39.950000000000003" customHeight="1" x14ac:dyDescent="0.2">
      <c r="A22" s="13" t="s">
        <v>171</v>
      </c>
      <c r="B22" s="65" t="s">
        <v>24</v>
      </c>
      <c r="C22" s="66" t="s">
        <v>87</v>
      </c>
      <c r="D22" s="14" t="s">
        <v>542</v>
      </c>
      <c r="E22" s="77" t="s">
        <v>87</v>
      </c>
      <c r="F22" s="14" t="s">
        <v>173</v>
      </c>
      <c r="G22" s="14" t="s">
        <v>174</v>
      </c>
      <c r="H22" s="14" t="s">
        <v>172</v>
      </c>
      <c r="I22" s="77" t="s">
        <v>75</v>
      </c>
      <c r="J22" s="77" t="s">
        <v>21</v>
      </c>
      <c r="K22" s="14" t="s">
        <v>29</v>
      </c>
      <c r="L22" s="65" t="s">
        <v>191</v>
      </c>
      <c r="M22" s="13" t="s">
        <v>59</v>
      </c>
      <c r="N22" s="13" t="s">
        <v>43</v>
      </c>
      <c r="O22" s="13" t="s">
        <v>538</v>
      </c>
      <c r="P22" s="13" t="s">
        <v>548</v>
      </c>
      <c r="Q22" s="64" t="s">
        <v>9</v>
      </c>
      <c r="R22" s="62">
        <v>39346.532783531118</v>
      </c>
      <c r="S22" s="63">
        <v>25000</v>
      </c>
      <c r="T22" s="150">
        <v>39346.532783531118</v>
      </c>
      <c r="U22" s="62">
        <v>161757.96798766096</v>
      </c>
      <c r="V22" s="150">
        <v>2388088.6398690548</v>
      </c>
      <c r="W22" s="61" t="s">
        <v>11</v>
      </c>
      <c r="X22" s="181">
        <v>1.6299999999999999E-2</v>
      </c>
      <c r="Y22" s="60">
        <v>43448</v>
      </c>
      <c r="Z22" s="60">
        <v>45716</v>
      </c>
      <c r="AA22" s="60">
        <v>45716</v>
      </c>
      <c r="AB22" s="58">
        <v>2269</v>
      </c>
      <c r="AC22" s="75" t="s">
        <v>10</v>
      </c>
      <c r="AD22" s="58">
        <v>882</v>
      </c>
      <c r="AE22" s="57">
        <v>2.4164383561643836</v>
      </c>
      <c r="AF22" s="56"/>
      <c r="AG22" s="71" t="s">
        <v>1</v>
      </c>
      <c r="AH22" s="71" t="s">
        <v>1</v>
      </c>
      <c r="AI22" s="187" t="s">
        <v>302</v>
      </c>
      <c r="AJ22" s="11" t="s">
        <v>0</v>
      </c>
      <c r="AK22" s="11" t="s">
        <v>271</v>
      </c>
      <c r="AL22" s="13" t="s">
        <v>355</v>
      </c>
      <c r="AO22" s="197" t="s">
        <v>87</v>
      </c>
      <c r="AP22" s="198" t="s">
        <v>173</v>
      </c>
      <c r="AS22" s="212">
        <v>0</v>
      </c>
      <c r="AT22" s="212">
        <v>4721.5839340237344</v>
      </c>
      <c r="AU22" s="212" t="b">
        <v>0</v>
      </c>
      <c r="AV22" s="212"/>
      <c r="AW22" s="212">
        <v>0</v>
      </c>
      <c r="AX22" s="212">
        <v>0</v>
      </c>
      <c r="BB22" s="212">
        <v>0</v>
      </c>
      <c r="BC22" s="212">
        <v>0</v>
      </c>
      <c r="BD22" s="212">
        <v>0</v>
      </c>
      <c r="BE22" s="212">
        <v>0</v>
      </c>
      <c r="BF22" s="226">
        <v>0</v>
      </c>
      <c r="BG22" s="226"/>
      <c r="BJ22" s="112"/>
      <c r="BK22" s="112"/>
    </row>
    <row r="23" spans="1:63" s="12" customFormat="1" ht="39.950000000000003" customHeight="1" x14ac:dyDescent="0.2">
      <c r="A23" s="13" t="s">
        <v>175</v>
      </c>
      <c r="B23" s="65" t="s">
        <v>23</v>
      </c>
      <c r="C23" s="66" t="s">
        <v>34</v>
      </c>
      <c r="D23" s="14" t="s">
        <v>34</v>
      </c>
      <c r="E23" s="77" t="s">
        <v>34</v>
      </c>
      <c r="F23" s="14" t="s">
        <v>544</v>
      </c>
      <c r="G23" s="14" t="s">
        <v>178</v>
      </c>
      <c r="H23" s="14" t="s">
        <v>177</v>
      </c>
      <c r="I23" s="66" t="s">
        <v>232</v>
      </c>
      <c r="J23" s="77" t="s">
        <v>21</v>
      </c>
      <c r="K23" s="14" t="s">
        <v>29</v>
      </c>
      <c r="L23" s="65" t="s">
        <v>191</v>
      </c>
      <c r="M23" s="13" t="s">
        <v>323</v>
      </c>
      <c r="N23" s="13" t="s">
        <v>43</v>
      </c>
      <c r="O23" s="13" t="s">
        <v>531</v>
      </c>
      <c r="P23" s="13" t="s">
        <v>534</v>
      </c>
      <c r="Q23" s="64" t="s">
        <v>8</v>
      </c>
      <c r="R23" s="62">
        <v>20000</v>
      </c>
      <c r="S23" s="63">
        <v>20000</v>
      </c>
      <c r="T23" s="150">
        <v>20000</v>
      </c>
      <c r="U23" s="62">
        <v>95000</v>
      </c>
      <c r="V23" s="150">
        <v>1786247.15</v>
      </c>
      <c r="W23" s="61" t="s">
        <v>11</v>
      </c>
      <c r="X23" s="181">
        <v>1.95E-2</v>
      </c>
      <c r="Y23" s="60">
        <v>43480</v>
      </c>
      <c r="Z23" s="60">
        <v>45169</v>
      </c>
      <c r="AA23" s="60">
        <v>45169</v>
      </c>
      <c r="AB23" s="58">
        <v>1690</v>
      </c>
      <c r="AC23" s="59" t="s">
        <v>10</v>
      </c>
      <c r="AD23" s="58">
        <v>335</v>
      </c>
      <c r="AE23" s="57">
        <v>0.9178082191780822</v>
      </c>
      <c r="AF23" s="56"/>
      <c r="AG23" s="71" t="s">
        <v>1</v>
      </c>
      <c r="AH23" s="71" t="s">
        <v>1</v>
      </c>
      <c r="AI23" s="187" t="s">
        <v>0</v>
      </c>
      <c r="AJ23" s="11" t="s">
        <v>0</v>
      </c>
      <c r="AK23" s="11" t="s">
        <v>271</v>
      </c>
      <c r="AL23" s="13" t="s">
        <v>356</v>
      </c>
      <c r="AM23" s="11">
        <v>7789.99</v>
      </c>
      <c r="AN23" s="11"/>
      <c r="AO23" s="197" t="s">
        <v>34</v>
      </c>
      <c r="AP23" s="198" t="s">
        <v>544</v>
      </c>
      <c r="AQ23" s="11">
        <v>1</v>
      </c>
      <c r="AR23" s="214">
        <v>0</v>
      </c>
      <c r="AS23" s="212">
        <v>0</v>
      </c>
      <c r="AT23" s="212">
        <v>2400</v>
      </c>
      <c r="AU23" s="212" t="b">
        <v>0</v>
      </c>
      <c r="AV23" s="212"/>
      <c r="AW23" s="212">
        <v>0</v>
      </c>
      <c r="AX23" s="212">
        <v>1000</v>
      </c>
      <c r="AY23" s="12" t="s">
        <v>894</v>
      </c>
      <c r="BB23" s="258">
        <v>0</v>
      </c>
      <c r="BC23" s="258">
        <v>1000</v>
      </c>
      <c r="BD23" s="212">
        <v>1000</v>
      </c>
      <c r="BE23" s="212">
        <v>1250</v>
      </c>
      <c r="BF23" s="227">
        <v>1000</v>
      </c>
      <c r="BG23" s="227">
        <v>1000</v>
      </c>
      <c r="BJ23" s="112"/>
      <c r="BK23" s="112"/>
    </row>
    <row r="24" spans="1:63" ht="39.950000000000003" customHeight="1" x14ac:dyDescent="0.2">
      <c r="A24" s="13" t="s">
        <v>204</v>
      </c>
      <c r="B24" s="65" t="s">
        <v>23</v>
      </c>
      <c r="C24" s="66" t="s">
        <v>89</v>
      </c>
      <c r="D24" s="14" t="s">
        <v>542</v>
      </c>
      <c r="E24" s="77" t="s">
        <v>127</v>
      </c>
      <c r="F24" s="14" t="s">
        <v>92</v>
      </c>
      <c r="G24" s="14" t="s">
        <v>108</v>
      </c>
      <c r="H24" s="14" t="s">
        <v>109</v>
      </c>
      <c r="I24" s="14" t="s">
        <v>220</v>
      </c>
      <c r="J24" s="14" t="s">
        <v>220</v>
      </c>
      <c r="K24" s="14" t="s">
        <v>22</v>
      </c>
      <c r="L24" s="65" t="s">
        <v>191</v>
      </c>
      <c r="M24" s="13" t="s">
        <v>59</v>
      </c>
      <c r="N24" s="13" t="s">
        <v>43</v>
      </c>
      <c r="O24" s="13" t="s">
        <v>531</v>
      </c>
      <c r="P24" s="13" t="s">
        <v>534</v>
      </c>
      <c r="Q24" s="64" t="s">
        <v>9</v>
      </c>
      <c r="R24" s="62">
        <v>4221.0960370172188</v>
      </c>
      <c r="S24" s="264">
        <v>1245.808</v>
      </c>
      <c r="T24" s="150">
        <v>1960.7290125594134</v>
      </c>
      <c r="U24" s="62">
        <v>22872.978604006847</v>
      </c>
      <c r="V24" s="150">
        <v>193514.77855771352</v>
      </c>
      <c r="W24" s="61" t="s">
        <v>11</v>
      </c>
      <c r="X24" s="181">
        <v>2.2499999999999999E-2</v>
      </c>
      <c r="Y24" s="60">
        <v>43486</v>
      </c>
      <c r="Z24" s="60">
        <v>46041</v>
      </c>
      <c r="AA24" s="60">
        <v>46041</v>
      </c>
      <c r="AB24" s="58">
        <v>2556</v>
      </c>
      <c r="AC24" s="59" t="s">
        <v>10</v>
      </c>
      <c r="AD24" s="58">
        <v>1207</v>
      </c>
      <c r="AE24" s="57">
        <v>3.3068493150684932</v>
      </c>
      <c r="AF24" s="56"/>
      <c r="AG24" s="71" t="s">
        <v>1</v>
      </c>
      <c r="AH24" s="71" t="s">
        <v>1</v>
      </c>
      <c r="AI24" s="187" t="s">
        <v>251</v>
      </c>
      <c r="AJ24" s="11" t="s">
        <v>0</v>
      </c>
      <c r="AK24" s="11" t="s">
        <v>271</v>
      </c>
      <c r="AL24" s="13" t="s">
        <v>357</v>
      </c>
      <c r="AM24" s="11">
        <v>2145</v>
      </c>
      <c r="AO24" s="197" t="s">
        <v>127</v>
      </c>
      <c r="AP24" s="198" t="s">
        <v>92</v>
      </c>
      <c r="AS24" s="212">
        <v>0</v>
      </c>
      <c r="AT24" s="212">
        <v>235.2874815071296</v>
      </c>
      <c r="AU24" s="212" t="b">
        <v>0</v>
      </c>
      <c r="AV24" s="212"/>
      <c r="AW24" s="212">
        <v>0</v>
      </c>
      <c r="AX24" s="212">
        <v>0</v>
      </c>
      <c r="BB24" s="212">
        <v>0</v>
      </c>
      <c r="BC24" s="212">
        <v>0</v>
      </c>
      <c r="BD24" s="212">
        <v>0</v>
      </c>
      <c r="BE24" s="212">
        <v>0</v>
      </c>
      <c r="BF24" s="226">
        <v>0</v>
      </c>
      <c r="BG24" s="226"/>
      <c r="BJ24" s="112"/>
      <c r="BK24" s="112"/>
    </row>
    <row r="25" spans="1:63" ht="39.950000000000003" customHeight="1" x14ac:dyDescent="0.2">
      <c r="A25" s="14" t="s">
        <v>190</v>
      </c>
      <c r="B25" s="65" t="s">
        <v>23</v>
      </c>
      <c r="C25" s="66" t="s">
        <v>37</v>
      </c>
      <c r="D25" s="14" t="s">
        <v>540</v>
      </c>
      <c r="E25" s="161" t="s">
        <v>36</v>
      </c>
      <c r="F25" s="14" t="s">
        <v>106</v>
      </c>
      <c r="G25" s="14" t="s">
        <v>106</v>
      </c>
      <c r="H25" s="66" t="s">
        <v>107</v>
      </c>
      <c r="I25" s="14" t="s">
        <v>72</v>
      </c>
      <c r="J25" s="14" t="s">
        <v>219</v>
      </c>
      <c r="K25" s="14" t="s">
        <v>29</v>
      </c>
      <c r="L25" s="65" t="s">
        <v>191</v>
      </c>
      <c r="M25" s="13" t="s">
        <v>323</v>
      </c>
      <c r="N25" s="13" t="s">
        <v>43</v>
      </c>
      <c r="O25" s="13" t="s">
        <v>538</v>
      </c>
      <c r="P25" s="13" t="s">
        <v>548</v>
      </c>
      <c r="Q25" s="64" t="s">
        <v>9</v>
      </c>
      <c r="R25" s="62">
        <v>6688.9105732002899</v>
      </c>
      <c r="S25" s="63">
        <v>2125</v>
      </c>
      <c r="T25" s="150">
        <v>3344.455286600145</v>
      </c>
      <c r="U25" s="62">
        <v>78693.065567062236</v>
      </c>
      <c r="V25" s="150">
        <v>301197.86584406183</v>
      </c>
      <c r="W25" s="61" t="s">
        <v>551</v>
      </c>
      <c r="X25" s="181">
        <v>2.5000000000000001E-2</v>
      </c>
      <c r="Y25" s="60">
        <v>43496</v>
      </c>
      <c r="Z25" s="60">
        <v>44848</v>
      </c>
      <c r="AA25" s="60">
        <v>44848</v>
      </c>
      <c r="AB25" s="58">
        <v>1353</v>
      </c>
      <c r="AC25" s="59" t="s">
        <v>1</v>
      </c>
      <c r="AD25" s="58">
        <v>14</v>
      </c>
      <c r="AE25" s="57">
        <v>3.8356164383561646E-2</v>
      </c>
      <c r="AF25" s="56"/>
      <c r="AG25" s="71" t="s">
        <v>1</v>
      </c>
      <c r="AH25" s="71" t="s">
        <v>1</v>
      </c>
      <c r="AI25" s="187" t="s">
        <v>884</v>
      </c>
      <c r="AJ25" s="11" t="s">
        <v>672</v>
      </c>
      <c r="AK25" s="11" t="s">
        <v>271</v>
      </c>
      <c r="AL25" s="14" t="s">
        <v>361</v>
      </c>
      <c r="AM25" s="11">
        <v>5500</v>
      </c>
      <c r="AO25" s="197" t="s">
        <v>36</v>
      </c>
      <c r="AP25" s="198" t="s">
        <v>106</v>
      </c>
      <c r="AQ25" s="11">
        <v>1</v>
      </c>
      <c r="AR25" s="11">
        <v>0.25</v>
      </c>
      <c r="AS25" s="212">
        <v>836.11382165003624</v>
      </c>
      <c r="AT25" s="212">
        <v>401.33463439201739</v>
      </c>
      <c r="AU25" s="212" t="b">
        <v>0</v>
      </c>
      <c r="AV25" s="212"/>
      <c r="AW25" s="212">
        <v>401.33463439201739</v>
      </c>
      <c r="AX25" s="212">
        <v>0</v>
      </c>
      <c r="AY25" s="11" t="s">
        <v>895</v>
      </c>
      <c r="BB25" s="212">
        <v>836.11382165003624</v>
      </c>
      <c r="BC25" s="212">
        <v>0</v>
      </c>
      <c r="BD25" s="212">
        <v>0</v>
      </c>
      <c r="BE25" s="212">
        <v>0</v>
      </c>
      <c r="BF25" s="226">
        <v>0</v>
      </c>
      <c r="BG25" s="226"/>
      <c r="BJ25" s="112"/>
      <c r="BK25" s="112"/>
    </row>
    <row r="26" spans="1:63" ht="39.950000000000003" customHeight="1" x14ac:dyDescent="0.2">
      <c r="A26" s="14" t="s">
        <v>185</v>
      </c>
      <c r="B26" s="65" t="s">
        <v>67</v>
      </c>
      <c r="C26" s="66" t="s">
        <v>127</v>
      </c>
      <c r="D26" s="14" t="s">
        <v>542</v>
      </c>
      <c r="E26" s="68" t="s">
        <v>127</v>
      </c>
      <c r="F26" s="14" t="s">
        <v>92</v>
      </c>
      <c r="G26" s="14" t="s">
        <v>93</v>
      </c>
      <c r="H26" s="66" t="s">
        <v>94</v>
      </c>
      <c r="I26" s="14" t="s">
        <v>165</v>
      </c>
      <c r="J26" s="14" t="s">
        <v>220</v>
      </c>
      <c r="K26" s="14" t="s">
        <v>22</v>
      </c>
      <c r="L26" s="65" t="s">
        <v>191</v>
      </c>
      <c r="M26" s="13" t="s">
        <v>59</v>
      </c>
      <c r="N26" s="13" t="s">
        <v>43</v>
      </c>
      <c r="O26" s="13" t="s">
        <v>538</v>
      </c>
      <c r="P26" s="13" t="s">
        <v>534</v>
      </c>
      <c r="Q26" s="64" t="s">
        <v>59</v>
      </c>
      <c r="R26" s="62">
        <v>27556.222348096326</v>
      </c>
      <c r="S26" s="63">
        <v>18000</v>
      </c>
      <c r="T26" s="150">
        <v>27556.222348096326</v>
      </c>
      <c r="U26" s="62">
        <v>267907.71727315872</v>
      </c>
      <c r="V26" s="150">
        <v>1882589.8256303486</v>
      </c>
      <c r="W26" s="61" t="s">
        <v>11</v>
      </c>
      <c r="X26" s="181">
        <v>1.7999999999999999E-2</v>
      </c>
      <c r="Y26" s="60">
        <v>43500</v>
      </c>
      <c r="Z26" s="60">
        <v>46042</v>
      </c>
      <c r="AA26" s="60">
        <v>46042</v>
      </c>
      <c r="AB26" s="58">
        <v>2543</v>
      </c>
      <c r="AC26" s="59" t="s">
        <v>10</v>
      </c>
      <c r="AD26" s="58">
        <v>1208</v>
      </c>
      <c r="AE26" s="57">
        <v>3.3095890410958906</v>
      </c>
      <c r="AF26" s="56" t="s">
        <v>436</v>
      </c>
      <c r="AG26" s="71" t="s">
        <v>1</v>
      </c>
      <c r="AH26" s="71" t="s">
        <v>1</v>
      </c>
      <c r="AI26" s="187" t="s">
        <v>0</v>
      </c>
      <c r="AJ26" s="11" t="s">
        <v>0</v>
      </c>
      <c r="AK26" s="11" t="s">
        <v>271</v>
      </c>
      <c r="AL26" s="14" t="s">
        <v>358</v>
      </c>
      <c r="AM26" s="11">
        <v>23780</v>
      </c>
      <c r="AO26" s="197" t="s">
        <v>127</v>
      </c>
      <c r="AP26" s="198" t="s">
        <v>92</v>
      </c>
      <c r="AS26" s="212">
        <v>0</v>
      </c>
      <c r="AT26" s="212">
        <v>3306.746681771559</v>
      </c>
      <c r="AU26" s="212">
        <v>661.34933635431184</v>
      </c>
      <c r="AV26" s="212"/>
      <c r="AW26" s="212">
        <v>0</v>
      </c>
      <c r="AX26" s="212">
        <v>0</v>
      </c>
      <c r="BB26" s="212">
        <v>0</v>
      </c>
      <c r="BC26" s="212">
        <v>0</v>
      </c>
      <c r="BD26" s="212">
        <v>0</v>
      </c>
      <c r="BE26" s="212">
        <v>0</v>
      </c>
      <c r="BF26" s="226">
        <v>0</v>
      </c>
      <c r="BG26" s="226"/>
      <c r="BJ26" s="112"/>
      <c r="BK26" s="112"/>
    </row>
    <row r="27" spans="1:63" ht="39.950000000000003" customHeight="1" x14ac:dyDescent="0.2">
      <c r="A27" s="148" t="s">
        <v>203</v>
      </c>
      <c r="B27" s="65" t="s">
        <v>23</v>
      </c>
      <c r="C27" s="66" t="s">
        <v>89</v>
      </c>
      <c r="D27" s="14" t="s">
        <v>542</v>
      </c>
      <c r="E27" s="77" t="s">
        <v>127</v>
      </c>
      <c r="F27" s="14" t="s">
        <v>92</v>
      </c>
      <c r="G27" s="14" t="s">
        <v>108</v>
      </c>
      <c r="H27" s="14" t="s">
        <v>109</v>
      </c>
      <c r="I27" s="14" t="s">
        <v>220</v>
      </c>
      <c r="J27" s="14" t="s">
        <v>220</v>
      </c>
      <c r="K27" s="14" t="s">
        <v>22</v>
      </c>
      <c r="L27" s="65" t="s">
        <v>191</v>
      </c>
      <c r="M27" s="13" t="s">
        <v>59</v>
      </c>
      <c r="N27" s="13" t="s">
        <v>43</v>
      </c>
      <c r="O27" s="13" t="s">
        <v>531</v>
      </c>
      <c r="P27" s="13" t="s">
        <v>534</v>
      </c>
      <c r="Q27" s="64" t="s">
        <v>9</v>
      </c>
      <c r="R27" s="62">
        <v>3116.8922534546259</v>
      </c>
      <c r="S27" s="264">
        <v>1021.485</v>
      </c>
      <c r="T27" s="150">
        <v>1607.6757216154115</v>
      </c>
      <c r="U27" s="62">
        <v>19249.950836804204</v>
      </c>
      <c r="V27" s="150">
        <v>150559.83820705721</v>
      </c>
      <c r="W27" s="61" t="s">
        <v>11</v>
      </c>
      <c r="X27" s="181">
        <v>2.2499999999999999E-2</v>
      </c>
      <c r="Y27" s="60">
        <v>43508</v>
      </c>
      <c r="Z27" s="60">
        <v>46081</v>
      </c>
      <c r="AA27" s="60">
        <v>46081</v>
      </c>
      <c r="AB27" s="58">
        <v>2574</v>
      </c>
      <c r="AC27" s="59" t="s">
        <v>10</v>
      </c>
      <c r="AD27" s="58">
        <v>1247</v>
      </c>
      <c r="AE27" s="57">
        <v>3.4164383561643836</v>
      </c>
      <c r="AF27" s="56"/>
      <c r="AG27" s="71" t="s">
        <v>1</v>
      </c>
      <c r="AH27" s="71" t="s">
        <v>1</v>
      </c>
      <c r="AI27" s="187" t="s">
        <v>251</v>
      </c>
      <c r="AJ27" s="11" t="s">
        <v>0</v>
      </c>
      <c r="AK27" s="11" t="s">
        <v>271</v>
      </c>
      <c r="AL27" s="14" t="s">
        <v>360</v>
      </c>
      <c r="AM27" s="11">
        <v>1555</v>
      </c>
      <c r="AO27" s="197" t="s">
        <v>127</v>
      </c>
      <c r="AP27" s="198" t="s">
        <v>92</v>
      </c>
      <c r="AS27" s="212">
        <v>0</v>
      </c>
      <c r="AT27" s="212">
        <v>192.92108659384937</v>
      </c>
      <c r="AU27" s="212" t="b">
        <v>0</v>
      </c>
      <c r="AV27" s="212"/>
      <c r="AW27" s="212">
        <v>0</v>
      </c>
      <c r="AX27" s="212">
        <v>0</v>
      </c>
      <c r="BB27" s="212">
        <v>0</v>
      </c>
      <c r="BC27" s="212">
        <v>0</v>
      </c>
      <c r="BD27" s="212">
        <v>0</v>
      </c>
      <c r="BE27" s="212">
        <v>0</v>
      </c>
      <c r="BF27" s="226">
        <v>0</v>
      </c>
      <c r="BG27" s="226"/>
      <c r="BJ27" s="112"/>
      <c r="BK27" s="112"/>
    </row>
    <row r="28" spans="1:63" ht="39.950000000000003" customHeight="1" x14ac:dyDescent="0.2">
      <c r="A28" s="14" t="s">
        <v>187</v>
      </c>
      <c r="B28" s="65" t="s">
        <v>67</v>
      </c>
      <c r="C28" s="66" t="s">
        <v>34</v>
      </c>
      <c r="D28" s="14" t="s">
        <v>34</v>
      </c>
      <c r="E28" s="77" t="s">
        <v>34</v>
      </c>
      <c r="F28" s="14" t="s">
        <v>543</v>
      </c>
      <c r="G28" s="14" t="s">
        <v>97</v>
      </c>
      <c r="H28" s="14" t="s">
        <v>186</v>
      </c>
      <c r="I28" s="14" t="s">
        <v>70</v>
      </c>
      <c r="J28" s="14" t="s">
        <v>218</v>
      </c>
      <c r="K28" s="14" t="s">
        <v>139</v>
      </c>
      <c r="L28" s="65" t="s">
        <v>191</v>
      </c>
      <c r="M28" s="13" t="s">
        <v>323</v>
      </c>
      <c r="N28" s="13" t="s">
        <v>43</v>
      </c>
      <c r="O28" s="13" t="s">
        <v>538</v>
      </c>
      <c r="P28" s="13" t="s">
        <v>534</v>
      </c>
      <c r="Q28" s="15" t="s">
        <v>8</v>
      </c>
      <c r="R28" s="86">
        <v>15000</v>
      </c>
      <c r="S28" s="63">
        <v>15000</v>
      </c>
      <c r="T28" s="169">
        <v>15000</v>
      </c>
      <c r="U28" s="86">
        <v>65000</v>
      </c>
      <c r="V28" s="169">
        <v>1815402.7390411</v>
      </c>
      <c r="W28" s="61" t="s">
        <v>11</v>
      </c>
      <c r="X28" s="181">
        <v>5.2499999999999998E-2</v>
      </c>
      <c r="Y28" s="85">
        <v>43511</v>
      </c>
      <c r="Z28" s="85">
        <v>45392</v>
      </c>
      <c r="AA28" s="85">
        <v>45392</v>
      </c>
      <c r="AB28" s="58">
        <v>1882</v>
      </c>
      <c r="AC28" s="59" t="s">
        <v>10</v>
      </c>
      <c r="AD28" s="58">
        <v>558</v>
      </c>
      <c r="AE28" s="57">
        <v>1.5287671232876712</v>
      </c>
      <c r="AF28" s="56"/>
      <c r="AG28" s="71" t="s">
        <v>1</v>
      </c>
      <c r="AH28" s="71" t="s">
        <v>1</v>
      </c>
      <c r="AI28" s="70" t="s">
        <v>0</v>
      </c>
      <c r="AJ28" s="11" t="s">
        <v>0</v>
      </c>
      <c r="AK28" s="11" t="s">
        <v>271</v>
      </c>
      <c r="AL28" s="14" t="s">
        <v>359</v>
      </c>
      <c r="AM28" s="12">
        <v>5500</v>
      </c>
      <c r="AN28" s="12"/>
      <c r="AO28" s="197" t="s">
        <v>34</v>
      </c>
      <c r="AP28" s="198" t="s">
        <v>543</v>
      </c>
      <c r="AQ28" s="12"/>
      <c r="AS28" s="212">
        <v>0</v>
      </c>
      <c r="AT28" s="212">
        <v>1800</v>
      </c>
      <c r="AU28" s="212" t="b">
        <v>0</v>
      </c>
      <c r="AV28" s="212"/>
      <c r="AW28" s="212">
        <v>0</v>
      </c>
      <c r="AX28" s="212">
        <v>0</v>
      </c>
      <c r="BB28" s="212">
        <v>0</v>
      </c>
      <c r="BC28" s="212">
        <v>0</v>
      </c>
      <c r="BD28" s="212">
        <v>0</v>
      </c>
      <c r="BE28" s="212">
        <v>0</v>
      </c>
      <c r="BF28" s="226">
        <v>0</v>
      </c>
      <c r="BG28" s="226"/>
      <c r="BJ28" s="112"/>
      <c r="BK28" s="112"/>
    </row>
    <row r="29" spans="1:63" ht="39.950000000000003" customHeight="1" x14ac:dyDescent="0.2">
      <c r="A29" s="65" t="s">
        <v>194</v>
      </c>
      <c r="B29" s="65" t="s">
        <v>23</v>
      </c>
      <c r="C29" s="66" t="s">
        <v>89</v>
      </c>
      <c r="D29" s="14" t="s">
        <v>542</v>
      </c>
      <c r="E29" s="77" t="s">
        <v>193</v>
      </c>
      <c r="F29" s="14" t="s">
        <v>92</v>
      </c>
      <c r="G29" s="66" t="s">
        <v>134</v>
      </c>
      <c r="H29" s="14" t="s">
        <v>134</v>
      </c>
      <c r="I29" s="14" t="s">
        <v>220</v>
      </c>
      <c r="J29" s="14" t="s">
        <v>220</v>
      </c>
      <c r="K29" s="14" t="s">
        <v>22</v>
      </c>
      <c r="L29" s="65" t="s">
        <v>191</v>
      </c>
      <c r="M29" s="13" t="s">
        <v>59</v>
      </c>
      <c r="N29" s="13" t="s">
        <v>43</v>
      </c>
      <c r="O29" s="13" t="s">
        <v>531</v>
      </c>
      <c r="P29" s="13" t="s">
        <v>534</v>
      </c>
      <c r="Q29" s="64" t="s">
        <v>9</v>
      </c>
      <c r="R29" s="62">
        <v>23607.91967011867</v>
      </c>
      <c r="S29" s="63">
        <v>6923.076</v>
      </c>
      <c r="T29" s="150">
        <v>10895.9614718751</v>
      </c>
      <c r="U29" s="62">
        <v>99516.448109792589</v>
      </c>
      <c r="V29" s="150">
        <v>1204691.6805691083</v>
      </c>
      <c r="W29" s="61" t="s">
        <v>11</v>
      </c>
      <c r="X29" s="181">
        <v>2.8500000000000001E-2</v>
      </c>
      <c r="Y29" s="60">
        <v>43515</v>
      </c>
      <c r="Z29" s="60">
        <v>46042</v>
      </c>
      <c r="AA29" s="60">
        <v>46042</v>
      </c>
      <c r="AB29" s="58">
        <v>2528</v>
      </c>
      <c r="AC29" s="59" t="s">
        <v>10</v>
      </c>
      <c r="AD29" s="58">
        <v>1208</v>
      </c>
      <c r="AE29" s="57">
        <v>3.3095890410958906</v>
      </c>
      <c r="AF29" s="56"/>
      <c r="AG29" s="71" t="s">
        <v>1</v>
      </c>
      <c r="AH29" s="71" t="s">
        <v>1</v>
      </c>
      <c r="AI29" s="70" t="s">
        <v>269</v>
      </c>
      <c r="AJ29" s="11" t="s">
        <v>0</v>
      </c>
      <c r="AK29" s="11" t="s">
        <v>271</v>
      </c>
      <c r="AL29" s="13" t="s">
        <v>362</v>
      </c>
      <c r="AM29" s="11">
        <v>6472.5</v>
      </c>
      <c r="AO29" s="197" t="s">
        <v>193</v>
      </c>
      <c r="AP29" s="198" t="s">
        <v>92</v>
      </c>
      <c r="AS29" s="212">
        <v>0</v>
      </c>
      <c r="AT29" s="212">
        <v>1307.5153766250119</v>
      </c>
      <c r="AU29" s="212" t="b">
        <v>0</v>
      </c>
      <c r="AV29" s="212"/>
      <c r="AW29" s="212">
        <v>0</v>
      </c>
      <c r="AX29" s="212">
        <v>0</v>
      </c>
      <c r="BB29" s="212">
        <v>0</v>
      </c>
      <c r="BC29" s="212">
        <v>0</v>
      </c>
      <c r="BD29" s="212">
        <v>0</v>
      </c>
      <c r="BE29" s="212">
        <v>0</v>
      </c>
      <c r="BF29" s="226">
        <v>0</v>
      </c>
      <c r="BG29" s="226"/>
      <c r="BJ29" s="112"/>
      <c r="BK29" s="112"/>
    </row>
    <row r="30" spans="1:63" ht="39.950000000000003" customHeight="1" x14ac:dyDescent="0.2">
      <c r="A30" s="66" t="s">
        <v>192</v>
      </c>
      <c r="B30" s="65" t="s">
        <v>23</v>
      </c>
      <c r="C30" s="66" t="s">
        <v>149</v>
      </c>
      <c r="D30" s="14" t="s">
        <v>541</v>
      </c>
      <c r="E30" s="130" t="s">
        <v>37</v>
      </c>
      <c r="F30" s="14" t="s">
        <v>544</v>
      </c>
      <c r="G30" s="66" t="s">
        <v>178</v>
      </c>
      <c r="H30" s="66" t="s">
        <v>177</v>
      </c>
      <c r="I30" s="14" t="s">
        <v>148</v>
      </c>
      <c r="J30" s="14" t="s">
        <v>148</v>
      </c>
      <c r="K30" s="14" t="s">
        <v>29</v>
      </c>
      <c r="L30" s="65" t="s">
        <v>191</v>
      </c>
      <c r="M30" s="13" t="s">
        <v>59</v>
      </c>
      <c r="N30" s="13" t="s">
        <v>43</v>
      </c>
      <c r="O30" s="13" t="s">
        <v>539</v>
      </c>
      <c r="P30" s="13" t="s">
        <v>534</v>
      </c>
      <c r="Q30" s="64" t="s">
        <v>9</v>
      </c>
      <c r="R30" s="62">
        <v>11803.959835059335</v>
      </c>
      <c r="S30" s="63">
        <v>5025</v>
      </c>
      <c r="T30" s="150">
        <v>7908.6530894897551</v>
      </c>
      <c r="U30" s="62">
        <v>47215.83934023734</v>
      </c>
      <c r="V30" s="150">
        <v>636028.43967389595</v>
      </c>
      <c r="W30" s="61" t="s">
        <v>551</v>
      </c>
      <c r="X30" s="181">
        <v>3.5000000000000003E-2</v>
      </c>
      <c r="Y30" s="60">
        <v>43532</v>
      </c>
      <c r="Z30" s="60">
        <v>45323</v>
      </c>
      <c r="AA30" s="60">
        <v>45323</v>
      </c>
      <c r="AB30" s="58">
        <v>1792</v>
      </c>
      <c r="AC30" s="59" t="s">
        <v>10</v>
      </c>
      <c r="AD30" s="58">
        <v>489</v>
      </c>
      <c r="AE30" s="57">
        <v>1.3397260273972602</v>
      </c>
      <c r="AF30" s="56"/>
      <c r="AG30" s="71" t="s">
        <v>1</v>
      </c>
      <c r="AH30" s="71" t="s">
        <v>1</v>
      </c>
      <c r="AI30" s="71" t="s">
        <v>0</v>
      </c>
      <c r="AJ30" s="11" t="s">
        <v>0</v>
      </c>
      <c r="AK30" s="11" t="s">
        <v>271</v>
      </c>
      <c r="AL30" s="14" t="s">
        <v>363</v>
      </c>
      <c r="AM30" s="11">
        <v>8000</v>
      </c>
      <c r="AO30" s="197" t="s">
        <v>37</v>
      </c>
      <c r="AP30" s="198" t="s">
        <v>544</v>
      </c>
      <c r="AQ30" s="11">
        <v>1</v>
      </c>
      <c r="AR30" s="214">
        <v>7.4999999999999997E-2</v>
      </c>
      <c r="AS30" s="212">
        <v>593.14898171173161</v>
      </c>
      <c r="AT30" s="212">
        <v>949.0383707387706</v>
      </c>
      <c r="AU30" s="212" t="b">
        <v>0</v>
      </c>
      <c r="AV30" s="212"/>
      <c r="AW30" s="212">
        <v>593.14898171173161</v>
      </c>
      <c r="AX30" s="212">
        <v>369.87692851254269</v>
      </c>
      <c r="AY30" s="12" t="s">
        <v>896</v>
      </c>
      <c r="BB30" s="212">
        <v>593.14898171173161</v>
      </c>
      <c r="BC30" s="212">
        <v>369.87692851254269</v>
      </c>
      <c r="BD30" s="212">
        <v>337.81966816360563</v>
      </c>
      <c r="BE30" s="212">
        <v>783.67722250860299</v>
      </c>
      <c r="BF30" s="226">
        <v>1044.9029633448042</v>
      </c>
      <c r="BG30" s="226">
        <v>1038.2059800664451</v>
      </c>
      <c r="BJ30" s="112"/>
      <c r="BK30" s="112"/>
    </row>
    <row r="31" spans="1:63" ht="39.950000000000003" customHeight="1" x14ac:dyDescent="0.2">
      <c r="A31" s="148" t="s">
        <v>206</v>
      </c>
      <c r="B31" s="65" t="s">
        <v>23</v>
      </c>
      <c r="C31" s="66" t="s">
        <v>38</v>
      </c>
      <c r="D31" s="14" t="s">
        <v>541</v>
      </c>
      <c r="E31" s="130" t="s">
        <v>37</v>
      </c>
      <c r="F31" s="14" t="s">
        <v>891</v>
      </c>
      <c r="G31" s="66" t="s">
        <v>167</v>
      </c>
      <c r="H31" s="66" t="s">
        <v>167</v>
      </c>
      <c r="I31" s="66" t="s">
        <v>50</v>
      </c>
      <c r="J31" s="66" t="s">
        <v>21</v>
      </c>
      <c r="K31" s="14" t="s">
        <v>29</v>
      </c>
      <c r="L31" s="65" t="s">
        <v>191</v>
      </c>
      <c r="M31" s="13" t="s">
        <v>323</v>
      </c>
      <c r="N31" s="65" t="s">
        <v>43</v>
      </c>
      <c r="O31" s="65" t="s">
        <v>531</v>
      </c>
      <c r="P31" s="13" t="s">
        <v>548</v>
      </c>
      <c r="Q31" s="83" t="s">
        <v>9</v>
      </c>
      <c r="R31" s="62">
        <v>31477.226226824896</v>
      </c>
      <c r="S31" s="149">
        <v>20000</v>
      </c>
      <c r="T31" s="82">
        <v>31477.226226824896</v>
      </c>
      <c r="U31" s="82">
        <v>144795.24064339453</v>
      </c>
      <c r="V31" s="82">
        <v>1235751.8335484278</v>
      </c>
      <c r="W31" s="61" t="s">
        <v>11</v>
      </c>
      <c r="X31" s="181">
        <v>1.4500000000000001E-2</v>
      </c>
      <c r="Y31" s="81">
        <v>43609</v>
      </c>
      <c r="Z31" s="81">
        <v>45044</v>
      </c>
      <c r="AA31" s="81">
        <v>45044</v>
      </c>
      <c r="AB31" s="58">
        <v>1436</v>
      </c>
      <c r="AC31" s="151" t="s">
        <v>10</v>
      </c>
      <c r="AD31" s="80">
        <v>210</v>
      </c>
      <c r="AE31" s="57">
        <v>0.57534246575342463</v>
      </c>
      <c r="AF31" s="56" t="s">
        <v>436</v>
      </c>
      <c r="AG31" s="71" t="s">
        <v>1</v>
      </c>
      <c r="AH31" s="71" t="s">
        <v>1</v>
      </c>
      <c r="AI31" s="71" t="s">
        <v>0</v>
      </c>
      <c r="AJ31" s="11" t="s">
        <v>0</v>
      </c>
      <c r="AK31" s="11" t="s">
        <v>271</v>
      </c>
      <c r="AL31" s="14" t="s">
        <v>367</v>
      </c>
      <c r="AM31" s="11">
        <v>3500</v>
      </c>
      <c r="AO31" s="197" t="s">
        <v>37</v>
      </c>
      <c r="AP31" s="198" t="s">
        <v>891</v>
      </c>
      <c r="AS31" s="212">
        <v>0</v>
      </c>
      <c r="AT31" s="212">
        <v>3777.2671472189872</v>
      </c>
      <c r="AU31" s="212">
        <v>755.45342944379752</v>
      </c>
      <c r="AV31" s="212"/>
      <c r="AW31" s="212">
        <v>0</v>
      </c>
      <c r="AX31" s="212">
        <v>0</v>
      </c>
      <c r="BB31" s="212">
        <v>0</v>
      </c>
      <c r="BC31" s="212">
        <v>0</v>
      </c>
      <c r="BD31" s="212">
        <v>0</v>
      </c>
      <c r="BE31" s="212">
        <v>0</v>
      </c>
      <c r="BF31" s="226">
        <v>0</v>
      </c>
      <c r="BG31" s="226"/>
      <c r="BJ31" s="112"/>
      <c r="BK31" s="112"/>
    </row>
    <row r="32" spans="1:63" ht="39.950000000000003" customHeight="1" x14ac:dyDescent="0.2">
      <c r="A32" s="66" t="s">
        <v>205</v>
      </c>
      <c r="B32" s="65" t="s">
        <v>23</v>
      </c>
      <c r="C32" s="66" t="s">
        <v>38</v>
      </c>
      <c r="D32" s="14" t="s">
        <v>540</v>
      </c>
      <c r="E32" s="161" t="s">
        <v>36</v>
      </c>
      <c r="F32" s="14" t="s">
        <v>92</v>
      </c>
      <c r="G32" s="66" t="s">
        <v>134</v>
      </c>
      <c r="H32" s="66" t="s">
        <v>134</v>
      </c>
      <c r="I32" s="66" t="s">
        <v>50</v>
      </c>
      <c r="J32" s="66" t="s">
        <v>21</v>
      </c>
      <c r="K32" s="14" t="s">
        <v>22</v>
      </c>
      <c r="L32" s="65" t="s">
        <v>191</v>
      </c>
      <c r="M32" s="13" t="s">
        <v>323</v>
      </c>
      <c r="N32" s="65" t="s">
        <v>43</v>
      </c>
      <c r="O32" s="65" t="s">
        <v>531</v>
      </c>
      <c r="P32" s="65" t="s">
        <v>534</v>
      </c>
      <c r="Q32" s="83" t="s">
        <v>9</v>
      </c>
      <c r="R32" s="62">
        <v>31870.691554660207</v>
      </c>
      <c r="S32" s="264">
        <v>12127.9912810926</v>
      </c>
      <c r="T32" s="82">
        <v>19087.776261595583</v>
      </c>
      <c r="U32" s="82">
        <v>91244.283561602584</v>
      </c>
      <c r="V32" s="82">
        <v>993600.67990808655</v>
      </c>
      <c r="W32" s="61" t="s">
        <v>11</v>
      </c>
      <c r="X32" s="181">
        <v>1.4E-2</v>
      </c>
      <c r="Y32" s="81">
        <v>43609</v>
      </c>
      <c r="Z32" s="81">
        <v>46457</v>
      </c>
      <c r="AA32" s="81">
        <v>46457</v>
      </c>
      <c r="AB32" s="58">
        <v>2849</v>
      </c>
      <c r="AC32" s="151" t="s">
        <v>10</v>
      </c>
      <c r="AD32" s="80">
        <v>1623</v>
      </c>
      <c r="AE32" s="57">
        <v>4.4465753424657537</v>
      </c>
      <c r="AF32" s="56" t="s">
        <v>436</v>
      </c>
      <c r="AG32" s="71" t="s">
        <v>1</v>
      </c>
      <c r="AH32" s="71" t="s">
        <v>1</v>
      </c>
      <c r="AI32" s="267" t="s">
        <v>883</v>
      </c>
      <c r="AJ32" s="11" t="s">
        <v>0</v>
      </c>
      <c r="AK32" s="11" t="s">
        <v>271</v>
      </c>
      <c r="AL32" s="14" t="s">
        <v>366</v>
      </c>
      <c r="AM32" s="11">
        <v>8100</v>
      </c>
      <c r="AO32" s="197" t="s">
        <v>36</v>
      </c>
      <c r="AP32" s="198" t="s">
        <v>92</v>
      </c>
      <c r="AS32" s="212">
        <v>0</v>
      </c>
      <c r="AT32" s="212">
        <v>2290.5331513914698</v>
      </c>
      <c r="AU32" s="212">
        <v>458.10663027829401</v>
      </c>
      <c r="AV32" s="212"/>
      <c r="AW32" s="212">
        <v>0</v>
      </c>
      <c r="AX32" s="212">
        <v>0</v>
      </c>
      <c r="BB32" s="212">
        <v>0</v>
      </c>
      <c r="BC32" s="212">
        <v>0</v>
      </c>
      <c r="BD32" s="212">
        <v>0</v>
      </c>
      <c r="BE32" s="212">
        <v>0</v>
      </c>
      <c r="BF32" s="226">
        <v>0</v>
      </c>
      <c r="BG32" s="226"/>
      <c r="BJ32" s="112"/>
      <c r="BK32" s="112"/>
    </row>
    <row r="33" spans="1:63" ht="39.950000000000003" customHeight="1" x14ac:dyDescent="0.2">
      <c r="A33" s="65" t="s">
        <v>210</v>
      </c>
      <c r="B33" s="65" t="s">
        <v>51</v>
      </c>
      <c r="C33" s="66" t="s">
        <v>211</v>
      </c>
      <c r="D33" s="14" t="s">
        <v>542</v>
      </c>
      <c r="E33" s="77" t="s">
        <v>211</v>
      </c>
      <c r="F33" s="14" t="s">
        <v>102</v>
      </c>
      <c r="G33" s="66" t="s">
        <v>102</v>
      </c>
      <c r="H33" s="66" t="s">
        <v>122</v>
      </c>
      <c r="I33" s="66" t="s">
        <v>212</v>
      </c>
      <c r="J33" s="66" t="s">
        <v>220</v>
      </c>
      <c r="K33" s="14" t="s">
        <v>13</v>
      </c>
      <c r="L33" s="65" t="s">
        <v>191</v>
      </c>
      <c r="M33" s="13" t="s">
        <v>59</v>
      </c>
      <c r="N33" s="65" t="s">
        <v>43</v>
      </c>
      <c r="O33" s="65" t="s">
        <v>538</v>
      </c>
      <c r="P33" s="65" t="s">
        <v>534</v>
      </c>
      <c r="Q33" s="64" t="s">
        <v>59</v>
      </c>
      <c r="R33" s="62">
        <v>12289.309716630181</v>
      </c>
      <c r="S33" s="149">
        <v>8027.5</v>
      </c>
      <c r="T33" s="82">
        <v>12289.309716630181</v>
      </c>
      <c r="U33" s="82">
        <v>24578.619433260363</v>
      </c>
      <c r="V33" s="62">
        <v>749899.1595352185</v>
      </c>
      <c r="W33" s="61" t="s">
        <v>11</v>
      </c>
      <c r="X33" s="181">
        <v>2.5000000000000001E-2</v>
      </c>
      <c r="Y33" s="81">
        <v>43626</v>
      </c>
      <c r="Z33" s="60">
        <v>45301</v>
      </c>
      <c r="AA33" s="157">
        <v>45301</v>
      </c>
      <c r="AB33" s="58">
        <v>1676</v>
      </c>
      <c r="AC33" s="151" t="s">
        <v>10</v>
      </c>
      <c r="AD33" s="80">
        <v>467</v>
      </c>
      <c r="AE33" s="57">
        <v>1.2794520547945205</v>
      </c>
      <c r="AF33" s="56"/>
      <c r="AG33" s="71" t="s">
        <v>1</v>
      </c>
      <c r="AH33" s="71" t="s">
        <v>1</v>
      </c>
      <c r="AI33" s="71" t="s">
        <v>0</v>
      </c>
      <c r="AJ33" s="11" t="s">
        <v>0</v>
      </c>
      <c r="AK33" s="11" t="s">
        <v>271</v>
      </c>
      <c r="AL33" s="14" t="s">
        <v>368</v>
      </c>
      <c r="AM33" s="11">
        <v>11000</v>
      </c>
      <c r="AO33" s="197" t="s">
        <v>211</v>
      </c>
      <c r="AP33" s="198" t="s">
        <v>102</v>
      </c>
      <c r="AS33" s="212">
        <v>0</v>
      </c>
      <c r="AT33" s="212">
        <v>1474.7171659956216</v>
      </c>
      <c r="AU33" s="212" t="b">
        <v>0</v>
      </c>
      <c r="AV33" s="212"/>
      <c r="AW33" s="212">
        <v>0</v>
      </c>
      <c r="AX33" s="212">
        <v>0</v>
      </c>
      <c r="BB33" s="212">
        <v>0</v>
      </c>
      <c r="BC33" s="212">
        <v>0</v>
      </c>
      <c r="BD33" s="212">
        <v>0</v>
      </c>
      <c r="BE33" s="212">
        <v>0</v>
      </c>
      <c r="BF33" s="226">
        <v>0</v>
      </c>
      <c r="BG33" s="226"/>
      <c r="BJ33" s="112"/>
      <c r="BK33" s="112"/>
    </row>
    <row r="34" spans="1:63" ht="39.950000000000003" customHeight="1" x14ac:dyDescent="0.2">
      <c r="A34" s="13" t="s">
        <v>213</v>
      </c>
      <c r="B34" s="65" t="s">
        <v>67</v>
      </c>
      <c r="C34" s="66" t="s">
        <v>87</v>
      </c>
      <c r="D34" s="14" t="s">
        <v>34</v>
      </c>
      <c r="E34" s="77" t="s">
        <v>34</v>
      </c>
      <c r="F34" s="14" t="s">
        <v>48</v>
      </c>
      <c r="G34" s="66" t="s">
        <v>120</v>
      </c>
      <c r="H34" s="66" t="s">
        <v>214</v>
      </c>
      <c r="I34" s="14" t="s">
        <v>181</v>
      </c>
      <c r="J34" s="14" t="s">
        <v>33</v>
      </c>
      <c r="K34" s="14" t="s">
        <v>209</v>
      </c>
      <c r="L34" s="65" t="s">
        <v>191</v>
      </c>
      <c r="M34" s="13" t="s">
        <v>59</v>
      </c>
      <c r="N34" s="13" t="s">
        <v>43</v>
      </c>
      <c r="O34" s="13" t="s">
        <v>533</v>
      </c>
      <c r="P34" s="13" t="s">
        <v>532</v>
      </c>
      <c r="Q34" s="64" t="s">
        <v>9</v>
      </c>
      <c r="R34" s="62">
        <v>39346.532783531118</v>
      </c>
      <c r="S34" s="264">
        <v>10900</v>
      </c>
      <c r="T34" s="150">
        <v>17155.088293619567</v>
      </c>
      <c r="U34" s="62">
        <v>72051.370833202178</v>
      </c>
      <c r="V34" s="76">
        <v>1700063.521042526</v>
      </c>
      <c r="W34" s="61" t="s">
        <v>11</v>
      </c>
      <c r="X34" s="181">
        <v>0.02</v>
      </c>
      <c r="Y34" s="60">
        <v>43630</v>
      </c>
      <c r="Z34" s="60">
        <v>45365</v>
      </c>
      <c r="AA34" s="60">
        <v>45365</v>
      </c>
      <c r="AB34" s="58">
        <v>1736</v>
      </c>
      <c r="AC34" s="59" t="s">
        <v>10</v>
      </c>
      <c r="AD34" s="58">
        <v>531</v>
      </c>
      <c r="AE34" s="57">
        <v>1.4547945205479451</v>
      </c>
      <c r="AF34" s="56" t="s">
        <v>436</v>
      </c>
      <c r="AG34" s="71" t="s">
        <v>1</v>
      </c>
      <c r="AH34" s="71" t="s">
        <v>1</v>
      </c>
      <c r="AI34" s="187" t="s">
        <v>719</v>
      </c>
      <c r="AJ34" s="11" t="s">
        <v>0</v>
      </c>
      <c r="AK34" s="11" t="s">
        <v>271</v>
      </c>
      <c r="AL34" s="13" t="s">
        <v>370</v>
      </c>
      <c r="AM34" s="11">
        <v>8500</v>
      </c>
      <c r="AO34" s="197" t="s">
        <v>34</v>
      </c>
      <c r="AP34" s="198" t="s">
        <v>48</v>
      </c>
      <c r="AS34" s="212">
        <v>0</v>
      </c>
      <c r="AT34" s="212">
        <v>2058.6105952343478</v>
      </c>
      <c r="AU34" s="212">
        <v>411.72211904686958</v>
      </c>
      <c r="AV34" s="212"/>
      <c r="AW34" s="212">
        <v>0</v>
      </c>
      <c r="AX34" s="212">
        <v>0</v>
      </c>
      <c r="BB34" s="212">
        <v>0</v>
      </c>
      <c r="BC34" s="212">
        <v>0</v>
      </c>
      <c r="BD34" s="212">
        <v>0</v>
      </c>
      <c r="BE34" s="212">
        <v>0</v>
      </c>
      <c r="BF34" s="226">
        <v>0</v>
      </c>
      <c r="BG34" s="226"/>
      <c r="BJ34" s="112"/>
      <c r="BK34" s="112"/>
    </row>
    <row r="35" spans="1:63" ht="39.950000000000003" customHeight="1" x14ac:dyDescent="0.2">
      <c r="A35" s="14" t="s">
        <v>215</v>
      </c>
      <c r="B35" s="65" t="s">
        <v>67</v>
      </c>
      <c r="C35" s="66" t="s">
        <v>38</v>
      </c>
      <c r="D35" s="14" t="s">
        <v>541</v>
      </c>
      <c r="E35" s="77" t="s">
        <v>37</v>
      </c>
      <c r="F35" s="14" t="s">
        <v>102</v>
      </c>
      <c r="G35" s="66" t="s">
        <v>102</v>
      </c>
      <c r="H35" s="14" t="s">
        <v>122</v>
      </c>
      <c r="I35" s="14" t="s">
        <v>142</v>
      </c>
      <c r="J35" s="66" t="s">
        <v>218</v>
      </c>
      <c r="K35" s="14" t="s">
        <v>101</v>
      </c>
      <c r="L35" s="65" t="s">
        <v>191</v>
      </c>
      <c r="M35" s="13" t="s">
        <v>323</v>
      </c>
      <c r="N35" s="13" t="s">
        <v>43</v>
      </c>
      <c r="O35" s="13" t="s">
        <v>531</v>
      </c>
      <c r="P35" s="13" t="s">
        <v>534</v>
      </c>
      <c r="Q35" s="64" t="s">
        <v>54</v>
      </c>
      <c r="R35" s="62">
        <v>39100.880271099435</v>
      </c>
      <c r="S35" s="63">
        <v>158000</v>
      </c>
      <c r="T35" s="62">
        <v>39100.880271099435</v>
      </c>
      <c r="U35" s="62">
        <v>487257.12337831606</v>
      </c>
      <c r="V35" s="76">
        <v>635598.20536985423</v>
      </c>
      <c r="W35" s="61" t="s">
        <v>551</v>
      </c>
      <c r="X35" s="181">
        <v>1.6799999999999999E-2</v>
      </c>
      <c r="Y35" s="60">
        <v>43633</v>
      </c>
      <c r="Z35" s="60">
        <v>45046</v>
      </c>
      <c r="AA35" s="60">
        <v>45046</v>
      </c>
      <c r="AB35" s="58">
        <v>1414</v>
      </c>
      <c r="AC35" s="59" t="s">
        <v>10</v>
      </c>
      <c r="AD35" s="58">
        <v>212</v>
      </c>
      <c r="AE35" s="57">
        <v>0.58082191780821912</v>
      </c>
      <c r="AF35" s="56" t="s">
        <v>436</v>
      </c>
      <c r="AG35" s="152" t="s">
        <v>1</v>
      </c>
      <c r="AH35" s="152" t="s">
        <v>1</v>
      </c>
      <c r="AI35" s="153" t="s">
        <v>0</v>
      </c>
      <c r="AJ35" s="11" t="s">
        <v>0</v>
      </c>
      <c r="AK35" s="11" t="s">
        <v>271</v>
      </c>
      <c r="AL35" s="14" t="s">
        <v>374</v>
      </c>
      <c r="AM35" s="11">
        <v>8500</v>
      </c>
      <c r="AO35" s="197" t="s">
        <v>37</v>
      </c>
      <c r="AP35" s="198" t="s">
        <v>102</v>
      </c>
      <c r="AQ35" s="11">
        <v>1</v>
      </c>
      <c r="AR35" s="11">
        <v>2.5000000000000001E-2</v>
      </c>
      <c r="AS35" s="212">
        <v>977.5220067774859</v>
      </c>
      <c r="AT35" s="212">
        <v>4692.1056325319323</v>
      </c>
      <c r="AU35" s="212">
        <v>938.42112650638649</v>
      </c>
      <c r="AV35" s="212"/>
      <c r="AW35" s="212">
        <v>977.5220067774859</v>
      </c>
      <c r="AX35" s="212">
        <v>0</v>
      </c>
      <c r="AY35" s="11" t="s">
        <v>897</v>
      </c>
      <c r="BB35" s="212">
        <v>977.5220067774859</v>
      </c>
      <c r="BC35" s="212">
        <v>0</v>
      </c>
      <c r="BD35" s="212">
        <v>0</v>
      </c>
      <c r="BE35" s="212">
        <v>0</v>
      </c>
      <c r="BF35" s="226">
        <v>0</v>
      </c>
      <c r="BG35" s="226"/>
      <c r="BJ35" s="112"/>
      <c r="BK35" s="112"/>
    </row>
    <row r="36" spans="1:63" ht="39.950000000000003" customHeight="1" x14ac:dyDescent="0.2">
      <c r="A36" s="14" t="s">
        <v>223</v>
      </c>
      <c r="B36" s="65" t="s">
        <v>24</v>
      </c>
      <c r="C36" s="66" t="s">
        <v>38</v>
      </c>
      <c r="D36" s="14" t="s">
        <v>540</v>
      </c>
      <c r="E36" s="77" t="s">
        <v>229</v>
      </c>
      <c r="F36" s="14" t="s">
        <v>92</v>
      </c>
      <c r="G36" s="66" t="s">
        <v>100</v>
      </c>
      <c r="H36" s="14" t="s">
        <v>100</v>
      </c>
      <c r="I36" s="14" t="s">
        <v>230</v>
      </c>
      <c r="J36" s="66" t="s">
        <v>231</v>
      </c>
      <c r="K36" s="14" t="s">
        <v>44</v>
      </c>
      <c r="L36" s="65" t="s">
        <v>191</v>
      </c>
      <c r="M36" s="13" t="s">
        <v>323</v>
      </c>
      <c r="N36" s="13" t="s">
        <v>43</v>
      </c>
      <c r="O36" s="13" t="s">
        <v>539</v>
      </c>
      <c r="P36" s="13" t="s">
        <v>534</v>
      </c>
      <c r="Q36" s="64" t="s">
        <v>9</v>
      </c>
      <c r="R36" s="62">
        <v>17312.474424753691</v>
      </c>
      <c r="S36" s="63">
        <v>8583.8989999999994</v>
      </c>
      <c r="T36" s="62">
        <v>13509.866536560799</v>
      </c>
      <c r="U36" s="62">
        <v>56042.053574239042</v>
      </c>
      <c r="V36" s="76">
        <v>858281.65822027775</v>
      </c>
      <c r="W36" s="61" t="s">
        <v>551</v>
      </c>
      <c r="X36" s="181">
        <v>1.7500000000000002E-2</v>
      </c>
      <c r="Y36" s="60">
        <v>43670</v>
      </c>
      <c r="Z36" s="60">
        <v>47992</v>
      </c>
      <c r="AA36" s="60">
        <v>47992</v>
      </c>
      <c r="AB36" s="58">
        <v>4323</v>
      </c>
      <c r="AC36" s="59" t="s">
        <v>10</v>
      </c>
      <c r="AD36" s="58">
        <v>3158</v>
      </c>
      <c r="AE36" s="57">
        <v>8.6520547945205486</v>
      </c>
      <c r="AF36" s="56"/>
      <c r="AG36" s="71" t="s">
        <v>1</v>
      </c>
      <c r="AH36" s="71" t="s">
        <v>1</v>
      </c>
      <c r="AI36" s="263" t="s">
        <v>882</v>
      </c>
      <c r="AJ36" s="11" t="s">
        <v>0</v>
      </c>
      <c r="AK36" s="11" t="s">
        <v>271</v>
      </c>
      <c r="AL36" s="14" t="s">
        <v>375</v>
      </c>
      <c r="AM36" s="11">
        <v>19997.5</v>
      </c>
      <c r="AO36" s="197" t="s">
        <v>229</v>
      </c>
      <c r="AP36" s="198" t="s">
        <v>92</v>
      </c>
      <c r="AQ36" s="11">
        <v>1</v>
      </c>
      <c r="AR36" s="214">
        <v>7.4999999999999997E-2</v>
      </c>
      <c r="AS36" s="212">
        <v>1013.2399902420599</v>
      </c>
      <c r="AT36" s="212">
        <v>1621.1839843872958</v>
      </c>
      <c r="AU36" s="212" t="b">
        <v>0</v>
      </c>
      <c r="AV36" s="212"/>
      <c r="AW36" s="212">
        <v>1013.2399902420599</v>
      </c>
      <c r="AX36" s="212">
        <v>1035.6367403721588</v>
      </c>
      <c r="BB36" s="212">
        <v>1013.2399902420599</v>
      </c>
      <c r="BC36" s="212">
        <v>1035.6367403721588</v>
      </c>
      <c r="BD36" s="212">
        <v>630.58535240809965</v>
      </c>
      <c r="BE36" s="212">
        <v>653.40088050489715</v>
      </c>
      <c r="BF36" s="226">
        <v>653.40088050489715</v>
      </c>
      <c r="BG36" s="226">
        <v>0</v>
      </c>
      <c r="BJ36" s="112"/>
      <c r="BK36" s="112"/>
    </row>
    <row r="37" spans="1:63" ht="39.950000000000003" customHeight="1" x14ac:dyDescent="0.2">
      <c r="A37" s="14" t="s">
        <v>226</v>
      </c>
      <c r="B37" s="65" t="s">
        <v>23</v>
      </c>
      <c r="C37" s="66" t="s">
        <v>87</v>
      </c>
      <c r="D37" s="14" t="s">
        <v>496</v>
      </c>
      <c r="E37" s="77" t="s">
        <v>872</v>
      </c>
      <c r="F37" s="14" t="s">
        <v>475</v>
      </c>
      <c r="G37" s="66" t="s">
        <v>227</v>
      </c>
      <c r="H37" s="14" t="s">
        <v>228</v>
      </c>
      <c r="I37" s="14" t="s">
        <v>181</v>
      </c>
      <c r="J37" s="14" t="s">
        <v>33</v>
      </c>
      <c r="K37" s="14" t="s">
        <v>209</v>
      </c>
      <c r="L37" s="65" t="s">
        <v>191</v>
      </c>
      <c r="M37" s="13" t="s">
        <v>59</v>
      </c>
      <c r="N37" s="13" t="s">
        <v>43</v>
      </c>
      <c r="O37" s="13" t="s">
        <v>538</v>
      </c>
      <c r="P37" s="13" t="s">
        <v>534</v>
      </c>
      <c r="Q37" s="64" t="s">
        <v>9</v>
      </c>
      <c r="R37" s="62">
        <v>35411.879505178003</v>
      </c>
      <c r="S37" s="63">
        <v>22500</v>
      </c>
      <c r="T37" s="62">
        <v>35411.879505178003</v>
      </c>
      <c r="U37" s="62">
        <v>236079.19670118671</v>
      </c>
      <c r="V37" s="76">
        <v>1037325.6948597691</v>
      </c>
      <c r="W37" s="61" t="s">
        <v>11</v>
      </c>
      <c r="X37" s="181">
        <v>1.8499999999999999E-2</v>
      </c>
      <c r="Y37" s="60">
        <v>43672</v>
      </c>
      <c r="Z37" s="60">
        <v>45197</v>
      </c>
      <c r="AA37" s="60">
        <v>45197</v>
      </c>
      <c r="AB37" s="58">
        <v>1526</v>
      </c>
      <c r="AC37" s="59" t="s">
        <v>10</v>
      </c>
      <c r="AD37" s="58">
        <v>363</v>
      </c>
      <c r="AE37" s="57">
        <v>0.9945205479452055</v>
      </c>
      <c r="AF37" s="56" t="s">
        <v>436</v>
      </c>
      <c r="AG37" s="71" t="s">
        <v>1</v>
      </c>
      <c r="AH37" s="71" t="s">
        <v>1</v>
      </c>
      <c r="AI37" s="70" t="s">
        <v>0</v>
      </c>
      <c r="AJ37" s="11" t="s">
        <v>0</v>
      </c>
      <c r="AK37" s="11" t="s">
        <v>271</v>
      </c>
      <c r="AL37" s="14" t="s">
        <v>350</v>
      </c>
      <c r="AM37" s="11">
        <v>9195</v>
      </c>
      <c r="AO37" s="197" t="s">
        <v>872</v>
      </c>
      <c r="AP37" s="198" t="s">
        <v>475</v>
      </c>
      <c r="AS37" s="212">
        <v>0</v>
      </c>
      <c r="AT37" s="212">
        <v>4249.4255406213606</v>
      </c>
      <c r="AU37" s="212">
        <v>849.88510812427216</v>
      </c>
      <c r="AV37" s="212"/>
      <c r="AW37" s="212">
        <v>0</v>
      </c>
      <c r="AX37" s="212">
        <v>0</v>
      </c>
      <c r="BB37" s="212">
        <v>0</v>
      </c>
      <c r="BC37" s="212">
        <v>0</v>
      </c>
      <c r="BD37" s="212">
        <v>0</v>
      </c>
      <c r="BE37" s="212">
        <v>0</v>
      </c>
      <c r="BF37" s="226">
        <v>0</v>
      </c>
      <c r="BG37" s="226"/>
      <c r="BJ37" s="112"/>
      <c r="BK37" s="112"/>
    </row>
    <row r="38" spans="1:63" ht="39.950000000000003" customHeight="1" x14ac:dyDescent="0.2">
      <c r="A38" s="14" t="s">
        <v>247</v>
      </c>
      <c r="B38" s="65" t="s">
        <v>67</v>
      </c>
      <c r="C38" s="66" t="s">
        <v>87</v>
      </c>
      <c r="D38" s="14" t="s">
        <v>542</v>
      </c>
      <c r="E38" s="77" t="s">
        <v>87</v>
      </c>
      <c r="F38" s="14" t="s">
        <v>48</v>
      </c>
      <c r="G38" s="66" t="s">
        <v>95</v>
      </c>
      <c r="H38" s="66" t="s">
        <v>447</v>
      </c>
      <c r="I38" s="14" t="s">
        <v>246</v>
      </c>
      <c r="J38" s="14" t="s">
        <v>219</v>
      </c>
      <c r="K38" s="14" t="s">
        <v>140</v>
      </c>
      <c r="L38" s="65" t="s">
        <v>191</v>
      </c>
      <c r="M38" s="13" t="s">
        <v>59</v>
      </c>
      <c r="N38" s="13" t="s">
        <v>43</v>
      </c>
      <c r="O38" s="13" t="s">
        <v>538</v>
      </c>
      <c r="P38" s="13" t="s">
        <v>534</v>
      </c>
      <c r="Q38" s="64" t="s">
        <v>9</v>
      </c>
      <c r="R38" s="62">
        <v>31477.226226824896</v>
      </c>
      <c r="S38" s="63">
        <v>20000</v>
      </c>
      <c r="T38" s="62">
        <v>31477.226226824896</v>
      </c>
      <c r="U38" s="62">
        <v>157386.13113412447</v>
      </c>
      <c r="V38" s="76">
        <v>2144242.972709245</v>
      </c>
      <c r="W38" s="61" t="s">
        <v>11</v>
      </c>
      <c r="X38" s="181">
        <v>8.6999999999999994E-3</v>
      </c>
      <c r="Y38" s="60">
        <v>43732</v>
      </c>
      <c r="Z38" s="60">
        <v>46598</v>
      </c>
      <c r="AA38" s="60">
        <v>46598</v>
      </c>
      <c r="AB38" s="58">
        <v>2867</v>
      </c>
      <c r="AC38" s="59" t="s">
        <v>10</v>
      </c>
      <c r="AD38" s="58">
        <v>1764</v>
      </c>
      <c r="AE38" s="57">
        <v>4.8328767123287673</v>
      </c>
      <c r="AF38" s="56" t="s">
        <v>436</v>
      </c>
      <c r="AG38" s="152" t="s">
        <v>1</v>
      </c>
      <c r="AH38" s="152" t="s">
        <v>1</v>
      </c>
      <c r="AI38" s="153" t="s">
        <v>0</v>
      </c>
      <c r="AJ38" s="11" t="s">
        <v>0</v>
      </c>
      <c r="AK38" s="11" t="s">
        <v>271</v>
      </c>
      <c r="AL38" s="14" t="s">
        <v>381</v>
      </c>
      <c r="AM38" s="11">
        <v>13000</v>
      </c>
      <c r="AO38" s="197" t="s">
        <v>87</v>
      </c>
      <c r="AP38" s="198" t="s">
        <v>48</v>
      </c>
      <c r="AS38" s="212">
        <v>0</v>
      </c>
      <c r="AT38" s="212">
        <v>3777.2671472189872</v>
      </c>
      <c r="AU38" s="212">
        <v>755.45342944379752</v>
      </c>
      <c r="AV38" s="212"/>
      <c r="AW38" s="212">
        <v>0</v>
      </c>
      <c r="AX38" s="212">
        <v>0</v>
      </c>
      <c r="BB38" s="212">
        <v>0</v>
      </c>
      <c r="BC38" s="212">
        <v>0</v>
      </c>
      <c r="BD38" s="212">
        <v>0</v>
      </c>
      <c r="BE38" s="212">
        <v>0</v>
      </c>
      <c r="BF38" s="226">
        <v>0</v>
      </c>
      <c r="BG38" s="226"/>
      <c r="BJ38" s="112"/>
      <c r="BK38" s="112"/>
    </row>
    <row r="39" spans="1:63" ht="39.950000000000003" customHeight="1" x14ac:dyDescent="0.2">
      <c r="A39" s="14" t="s">
        <v>240</v>
      </c>
      <c r="B39" s="65" t="s">
        <v>51</v>
      </c>
      <c r="C39" s="66" t="s">
        <v>38</v>
      </c>
      <c r="D39" s="14" t="s">
        <v>541</v>
      </c>
      <c r="E39" s="77" t="s">
        <v>38</v>
      </c>
      <c r="F39" s="14" t="s">
        <v>102</v>
      </c>
      <c r="G39" s="66" t="s">
        <v>102</v>
      </c>
      <c r="H39" s="14" t="s">
        <v>474</v>
      </c>
      <c r="I39" s="14" t="s">
        <v>237</v>
      </c>
      <c r="J39" s="14" t="s">
        <v>219</v>
      </c>
      <c r="K39" s="14" t="s">
        <v>101</v>
      </c>
      <c r="L39" s="65" t="s">
        <v>191</v>
      </c>
      <c r="M39" s="13" t="s">
        <v>323</v>
      </c>
      <c r="N39" s="13" t="s">
        <v>43</v>
      </c>
      <c r="O39" s="13" t="s">
        <v>538</v>
      </c>
      <c r="P39" s="13" t="s">
        <v>534</v>
      </c>
      <c r="Q39" s="64" t="s">
        <v>238</v>
      </c>
      <c r="R39" s="62">
        <v>30708.151917614414</v>
      </c>
      <c r="S39" s="63">
        <v>28000</v>
      </c>
      <c r="T39" s="62">
        <v>30708.151917614414</v>
      </c>
      <c r="U39" s="62">
        <v>109671.97113433719</v>
      </c>
      <c r="V39" s="76">
        <v>1385540.7924896635</v>
      </c>
      <c r="W39" s="61" t="s">
        <v>11</v>
      </c>
      <c r="X39" s="181">
        <v>2.0400000000000001E-2</v>
      </c>
      <c r="Y39" s="60">
        <v>43738</v>
      </c>
      <c r="Z39" s="60">
        <v>45148</v>
      </c>
      <c r="AA39" s="60">
        <v>45148</v>
      </c>
      <c r="AB39" s="58">
        <v>1411</v>
      </c>
      <c r="AC39" s="59" t="s">
        <v>10</v>
      </c>
      <c r="AD39" s="58">
        <v>314</v>
      </c>
      <c r="AE39" s="57">
        <v>0.86027397260273974</v>
      </c>
      <c r="AF39" s="56" t="s">
        <v>436</v>
      </c>
      <c r="AG39" s="152" t="s">
        <v>1</v>
      </c>
      <c r="AH39" s="152" t="s">
        <v>1</v>
      </c>
      <c r="AI39" s="153" t="s">
        <v>0</v>
      </c>
      <c r="AJ39" s="11" t="s">
        <v>0</v>
      </c>
      <c r="AK39" s="11" t="s">
        <v>271</v>
      </c>
      <c r="AL39" s="14" t="s">
        <v>379</v>
      </c>
      <c r="AM39" s="11">
        <v>10372.5</v>
      </c>
      <c r="AO39" s="197" t="s">
        <v>38</v>
      </c>
      <c r="AP39" s="198" t="s">
        <v>102</v>
      </c>
      <c r="AS39" s="212">
        <v>0</v>
      </c>
      <c r="AT39" s="212">
        <v>3684.9782301137293</v>
      </c>
      <c r="AU39" s="212">
        <v>736.99564602274586</v>
      </c>
      <c r="AV39" s="212"/>
      <c r="AW39" s="212">
        <v>0</v>
      </c>
      <c r="AX39" s="212">
        <v>0</v>
      </c>
      <c r="BB39" s="212">
        <v>0</v>
      </c>
      <c r="BC39" s="212">
        <v>0</v>
      </c>
      <c r="BD39" s="212">
        <v>0</v>
      </c>
      <c r="BE39" s="212">
        <v>0</v>
      </c>
      <c r="BF39" s="226">
        <v>0</v>
      </c>
      <c r="BG39" s="226"/>
      <c r="BJ39" s="112"/>
      <c r="BK39" s="112"/>
    </row>
    <row r="40" spans="1:63" ht="39.950000000000003" customHeight="1" x14ac:dyDescent="0.2">
      <c r="A40" s="14" t="s">
        <v>244</v>
      </c>
      <c r="B40" s="65" t="s">
        <v>23</v>
      </c>
      <c r="C40" s="66" t="s">
        <v>38</v>
      </c>
      <c r="D40" s="14" t="s">
        <v>541</v>
      </c>
      <c r="E40" s="77" t="s">
        <v>38</v>
      </c>
      <c r="F40" s="14" t="s">
        <v>106</v>
      </c>
      <c r="G40" s="66" t="s">
        <v>106</v>
      </c>
      <c r="H40" s="14" t="s">
        <v>245</v>
      </c>
      <c r="I40" s="14" t="s">
        <v>50</v>
      </c>
      <c r="J40" s="14" t="s">
        <v>21</v>
      </c>
      <c r="K40" s="14" t="s">
        <v>101</v>
      </c>
      <c r="L40" s="65" t="s">
        <v>191</v>
      </c>
      <c r="M40" s="13" t="s">
        <v>323</v>
      </c>
      <c r="N40" s="13" t="s">
        <v>43</v>
      </c>
      <c r="O40" s="13" t="s">
        <v>533</v>
      </c>
      <c r="P40" s="13" t="s">
        <v>534</v>
      </c>
      <c r="Q40" s="64" t="s">
        <v>8</v>
      </c>
      <c r="R40" s="62">
        <v>25000</v>
      </c>
      <c r="S40" s="63">
        <v>25000</v>
      </c>
      <c r="T40" s="62">
        <v>25000</v>
      </c>
      <c r="U40" s="62">
        <v>75000</v>
      </c>
      <c r="V40" s="76">
        <v>711986.31</v>
      </c>
      <c r="W40" s="61" t="s">
        <v>11</v>
      </c>
      <c r="X40" s="181">
        <v>1.35E-2</v>
      </c>
      <c r="Y40" s="60">
        <v>43756</v>
      </c>
      <c r="Z40" s="60">
        <v>45520</v>
      </c>
      <c r="AA40" s="60">
        <v>45520</v>
      </c>
      <c r="AB40" s="58">
        <v>1765</v>
      </c>
      <c r="AC40" s="59" t="s">
        <v>10</v>
      </c>
      <c r="AD40" s="58">
        <v>686</v>
      </c>
      <c r="AE40" s="57">
        <v>1.8794520547945206</v>
      </c>
      <c r="AF40" s="56" t="s">
        <v>436</v>
      </c>
      <c r="AG40" s="71" t="s">
        <v>1</v>
      </c>
      <c r="AH40" s="71" t="s">
        <v>1</v>
      </c>
      <c r="AI40" s="70" t="s">
        <v>0</v>
      </c>
      <c r="AJ40" s="11" t="s">
        <v>0</v>
      </c>
      <c r="AK40" s="11" t="s">
        <v>271</v>
      </c>
      <c r="AL40" s="14" t="s">
        <v>371</v>
      </c>
      <c r="AM40" s="11">
        <v>6000</v>
      </c>
      <c r="AO40" s="197" t="s">
        <v>38</v>
      </c>
      <c r="AP40" s="198" t="s">
        <v>106</v>
      </c>
      <c r="AS40" s="212">
        <v>0</v>
      </c>
      <c r="AT40" s="212">
        <v>3000</v>
      </c>
      <c r="AU40" s="212">
        <v>600</v>
      </c>
      <c r="AV40" s="212"/>
      <c r="AW40" s="212">
        <v>0</v>
      </c>
      <c r="AX40" s="212">
        <v>0</v>
      </c>
      <c r="BB40" s="212">
        <v>0</v>
      </c>
      <c r="BC40" s="212">
        <v>0</v>
      </c>
      <c r="BD40" s="212">
        <v>0</v>
      </c>
      <c r="BE40" s="212">
        <v>0</v>
      </c>
      <c r="BF40" s="226">
        <v>0</v>
      </c>
      <c r="BG40" s="226"/>
      <c r="BJ40" s="112"/>
      <c r="BK40" s="112"/>
    </row>
    <row r="41" spans="1:63" ht="39.950000000000003" customHeight="1" x14ac:dyDescent="0.2">
      <c r="A41" s="14" t="s">
        <v>248</v>
      </c>
      <c r="B41" s="65" t="s">
        <v>24</v>
      </c>
      <c r="C41" s="66" t="s">
        <v>127</v>
      </c>
      <c r="D41" s="14" t="s">
        <v>542</v>
      </c>
      <c r="E41" s="77" t="s">
        <v>127</v>
      </c>
      <c r="F41" s="14" t="s">
        <v>891</v>
      </c>
      <c r="G41" s="66" t="s">
        <v>249</v>
      </c>
      <c r="H41" s="14" t="s">
        <v>767</v>
      </c>
      <c r="I41" s="14" t="s">
        <v>158</v>
      </c>
      <c r="J41" s="14" t="s">
        <v>220</v>
      </c>
      <c r="K41" s="14" t="s">
        <v>29</v>
      </c>
      <c r="L41" s="65" t="s">
        <v>191</v>
      </c>
      <c r="M41" s="13" t="s">
        <v>59</v>
      </c>
      <c r="N41" s="13" t="s">
        <v>43</v>
      </c>
      <c r="O41" s="13" t="s">
        <v>538</v>
      </c>
      <c r="P41" s="13" t="s">
        <v>534</v>
      </c>
      <c r="Q41" s="64" t="s">
        <v>59</v>
      </c>
      <c r="R41" s="62">
        <v>15309.01241560907</v>
      </c>
      <c r="S41" s="63">
        <v>10000</v>
      </c>
      <c r="T41" s="62">
        <v>15309.01241560907</v>
      </c>
      <c r="U41" s="62">
        <v>201412.04206916611</v>
      </c>
      <c r="V41" s="76">
        <v>800443.39492659329</v>
      </c>
      <c r="W41" s="61" t="s">
        <v>11</v>
      </c>
      <c r="X41" s="181">
        <v>1.7500000000000002E-2</v>
      </c>
      <c r="Y41" s="60">
        <v>43784</v>
      </c>
      <c r="Z41" s="60">
        <v>45627</v>
      </c>
      <c r="AA41" s="60">
        <v>45627</v>
      </c>
      <c r="AB41" s="58">
        <v>1844</v>
      </c>
      <c r="AC41" s="59" t="s">
        <v>10</v>
      </c>
      <c r="AD41" s="58">
        <v>793</v>
      </c>
      <c r="AE41" s="57">
        <v>2.1726027397260275</v>
      </c>
      <c r="AF41" s="56"/>
      <c r="AG41" s="71" t="s">
        <v>1</v>
      </c>
      <c r="AH41" s="71" t="s">
        <v>1</v>
      </c>
      <c r="AI41" s="70" t="s">
        <v>0</v>
      </c>
      <c r="AJ41" s="11" t="s">
        <v>0</v>
      </c>
      <c r="AK41" s="11" t="s">
        <v>271</v>
      </c>
      <c r="AL41" s="14" t="s">
        <v>372</v>
      </c>
      <c r="AM41" s="11">
        <v>8100</v>
      </c>
      <c r="AO41" s="197" t="s">
        <v>127</v>
      </c>
      <c r="AP41" s="198" t="s">
        <v>891</v>
      </c>
      <c r="AS41" s="212">
        <v>0</v>
      </c>
      <c r="AT41" s="212">
        <v>1837.0814898730882</v>
      </c>
      <c r="AU41" s="212" t="b">
        <v>0</v>
      </c>
      <c r="AV41" s="212"/>
      <c r="AW41" s="212">
        <v>0</v>
      </c>
      <c r="AX41" s="212">
        <v>0</v>
      </c>
      <c r="BB41" s="212">
        <v>0</v>
      </c>
      <c r="BC41" s="212">
        <v>0</v>
      </c>
      <c r="BD41" s="212">
        <v>0</v>
      </c>
      <c r="BE41" s="212">
        <v>0</v>
      </c>
      <c r="BF41" s="226">
        <v>0</v>
      </c>
      <c r="BG41" s="226"/>
      <c r="BJ41" s="112"/>
      <c r="BK41" s="112"/>
    </row>
    <row r="42" spans="1:63" ht="39.950000000000003" customHeight="1" x14ac:dyDescent="0.2">
      <c r="A42" s="14" t="s">
        <v>260</v>
      </c>
      <c r="B42" s="65" t="s">
        <v>51</v>
      </c>
      <c r="C42" s="66" t="s">
        <v>119</v>
      </c>
      <c r="D42" s="14" t="s">
        <v>542</v>
      </c>
      <c r="E42" s="77" t="s">
        <v>119</v>
      </c>
      <c r="F42" s="14" t="s">
        <v>106</v>
      </c>
      <c r="G42" s="66" t="s">
        <v>106</v>
      </c>
      <c r="H42" s="14" t="s">
        <v>263</v>
      </c>
      <c r="I42" s="14" t="s">
        <v>264</v>
      </c>
      <c r="J42" s="14" t="s">
        <v>221</v>
      </c>
      <c r="K42" s="14" t="s">
        <v>13</v>
      </c>
      <c r="L42" s="65" t="s">
        <v>191</v>
      </c>
      <c r="M42" s="13" t="s">
        <v>59</v>
      </c>
      <c r="N42" s="13" t="s">
        <v>43</v>
      </c>
      <c r="O42" s="13" t="s">
        <v>538</v>
      </c>
      <c r="P42" s="13" t="s">
        <v>534</v>
      </c>
      <c r="Q42" s="64" t="s">
        <v>59</v>
      </c>
      <c r="R42" s="62">
        <v>22963.518623413605</v>
      </c>
      <c r="S42" s="63">
        <v>15000</v>
      </c>
      <c r="T42" s="62">
        <v>22963.518623413605</v>
      </c>
      <c r="U42" s="62">
        <v>74401.800339860085</v>
      </c>
      <c r="V42" s="76">
        <v>890209.79470614344</v>
      </c>
      <c r="W42" s="61" t="s">
        <v>11</v>
      </c>
      <c r="X42" s="181">
        <v>2.1999999999999999E-2</v>
      </c>
      <c r="Y42" s="60">
        <v>43805</v>
      </c>
      <c r="Z42" s="60">
        <v>45306</v>
      </c>
      <c r="AA42" s="60">
        <v>45306</v>
      </c>
      <c r="AB42" s="58">
        <v>1502</v>
      </c>
      <c r="AC42" s="59" t="s">
        <v>10</v>
      </c>
      <c r="AD42" s="58">
        <v>472</v>
      </c>
      <c r="AE42" s="57">
        <v>1.2931506849315069</v>
      </c>
      <c r="AF42" s="56"/>
      <c r="AG42" s="71" t="s">
        <v>1</v>
      </c>
      <c r="AH42" s="71" t="s">
        <v>1</v>
      </c>
      <c r="AI42" s="70" t="s">
        <v>0</v>
      </c>
      <c r="AJ42" s="11" t="s">
        <v>0</v>
      </c>
      <c r="AK42" s="11" t="s">
        <v>271</v>
      </c>
      <c r="AL42" s="14" t="s">
        <v>380</v>
      </c>
      <c r="AM42" s="11">
        <v>7250</v>
      </c>
      <c r="AO42" s="197" t="s">
        <v>119</v>
      </c>
      <c r="AP42" s="198" t="s">
        <v>106</v>
      </c>
      <c r="AS42" s="212">
        <v>0</v>
      </c>
      <c r="AT42" s="212">
        <v>2755.6222348096326</v>
      </c>
      <c r="AU42" s="212" t="b">
        <v>0</v>
      </c>
      <c r="AV42" s="212"/>
      <c r="AW42" s="212">
        <v>0</v>
      </c>
      <c r="AX42" s="212">
        <v>0</v>
      </c>
      <c r="BB42" s="212">
        <v>0</v>
      </c>
      <c r="BC42" s="212">
        <v>0</v>
      </c>
      <c r="BD42" s="212">
        <v>0</v>
      </c>
      <c r="BE42" s="212">
        <v>0</v>
      </c>
      <c r="BF42" s="226">
        <v>0</v>
      </c>
      <c r="BG42" s="226"/>
      <c r="BJ42" s="112"/>
      <c r="BK42" s="112"/>
    </row>
    <row r="43" spans="1:63" ht="39.950000000000003" customHeight="1" x14ac:dyDescent="0.2">
      <c r="A43" s="14" t="s">
        <v>261</v>
      </c>
      <c r="B43" s="65" t="s">
        <v>51</v>
      </c>
      <c r="C43" s="66" t="s">
        <v>119</v>
      </c>
      <c r="D43" s="14" t="s">
        <v>542</v>
      </c>
      <c r="E43" s="77" t="s">
        <v>119</v>
      </c>
      <c r="F43" s="14" t="s">
        <v>106</v>
      </c>
      <c r="G43" s="66" t="s">
        <v>106</v>
      </c>
      <c r="H43" s="14" t="s">
        <v>263</v>
      </c>
      <c r="I43" s="14" t="s">
        <v>264</v>
      </c>
      <c r="J43" s="14" t="s">
        <v>221</v>
      </c>
      <c r="K43" s="14" t="s">
        <v>13</v>
      </c>
      <c r="L43" s="65" t="s">
        <v>191</v>
      </c>
      <c r="M43" s="13" t="s">
        <v>59</v>
      </c>
      <c r="N43" s="13" t="s">
        <v>43</v>
      </c>
      <c r="O43" s="13" t="s">
        <v>538</v>
      </c>
      <c r="P43" s="13" t="s">
        <v>534</v>
      </c>
      <c r="Q43" s="64" t="s">
        <v>59</v>
      </c>
      <c r="R43" s="62">
        <v>30618.024831218139</v>
      </c>
      <c r="S43" s="63">
        <v>20000</v>
      </c>
      <c r="T43" s="62">
        <v>30618.024831218139</v>
      </c>
      <c r="U43" s="62">
        <v>138163.83705087187</v>
      </c>
      <c r="V43" s="76">
        <v>733053.38252629328</v>
      </c>
      <c r="W43" s="61" t="s">
        <v>11</v>
      </c>
      <c r="X43" s="181">
        <v>1.7999999999999999E-2</v>
      </c>
      <c r="Y43" s="60">
        <v>43809</v>
      </c>
      <c r="Z43" s="60">
        <v>45674</v>
      </c>
      <c r="AA43" s="60">
        <v>44943</v>
      </c>
      <c r="AB43" s="58">
        <v>1135</v>
      </c>
      <c r="AC43" s="59" t="s">
        <v>10</v>
      </c>
      <c r="AD43" s="58">
        <v>109</v>
      </c>
      <c r="AE43" s="57">
        <v>0.29863013698630136</v>
      </c>
      <c r="AF43" s="56" t="s">
        <v>436</v>
      </c>
      <c r="AG43" s="152" t="s">
        <v>1</v>
      </c>
      <c r="AH43" s="152" t="s">
        <v>1</v>
      </c>
      <c r="AI43" s="153" t="s">
        <v>0</v>
      </c>
      <c r="AJ43" s="11" t="s">
        <v>0</v>
      </c>
      <c r="AK43" s="11" t="s">
        <v>271</v>
      </c>
      <c r="AL43" s="14" t="s">
        <v>383</v>
      </c>
      <c r="AM43" s="11">
        <v>5937.5</v>
      </c>
      <c r="AO43" s="197" t="s">
        <v>119</v>
      </c>
      <c r="AP43" s="198" t="s">
        <v>106</v>
      </c>
      <c r="AS43" s="212">
        <v>0</v>
      </c>
      <c r="AT43" s="212">
        <v>3674.1629797461765</v>
      </c>
      <c r="AU43" s="212">
        <v>734.83259594923538</v>
      </c>
      <c r="AV43" s="212"/>
      <c r="AW43" s="212">
        <v>0</v>
      </c>
      <c r="AX43" s="212">
        <v>0</v>
      </c>
      <c r="BB43" s="212">
        <v>0</v>
      </c>
      <c r="BC43" s="212">
        <v>0</v>
      </c>
      <c r="BD43" s="212">
        <v>0</v>
      </c>
      <c r="BE43" s="212">
        <v>0</v>
      </c>
      <c r="BF43" s="226">
        <v>0</v>
      </c>
      <c r="BG43" s="226"/>
      <c r="BJ43" s="112"/>
      <c r="BK43" s="112"/>
    </row>
    <row r="44" spans="1:63" ht="39.950000000000003" customHeight="1" x14ac:dyDescent="0.2">
      <c r="A44" s="14" t="s">
        <v>276</v>
      </c>
      <c r="B44" s="65" t="s">
        <v>51</v>
      </c>
      <c r="C44" s="66" t="s">
        <v>38</v>
      </c>
      <c r="D44" s="14" t="s">
        <v>540</v>
      </c>
      <c r="E44" s="77" t="s">
        <v>274</v>
      </c>
      <c r="F44" s="14" t="s">
        <v>48</v>
      </c>
      <c r="G44" s="66" t="s">
        <v>95</v>
      </c>
      <c r="H44" s="14" t="s">
        <v>275</v>
      </c>
      <c r="I44" s="14" t="s">
        <v>50</v>
      </c>
      <c r="J44" s="14" t="s">
        <v>21</v>
      </c>
      <c r="K44" s="14" t="s">
        <v>45</v>
      </c>
      <c r="L44" s="65" t="s">
        <v>191</v>
      </c>
      <c r="M44" s="13" t="s">
        <v>323</v>
      </c>
      <c r="N44" s="13" t="s">
        <v>43</v>
      </c>
      <c r="O44" s="13" t="s">
        <v>538</v>
      </c>
      <c r="P44" s="13" t="s">
        <v>548</v>
      </c>
      <c r="Q44" s="64" t="s">
        <v>9</v>
      </c>
      <c r="R44" s="62">
        <v>31477.226226824896</v>
      </c>
      <c r="S44" s="63">
        <v>20000</v>
      </c>
      <c r="T44" s="62">
        <v>31477.226226824896</v>
      </c>
      <c r="U44" s="62">
        <v>175000</v>
      </c>
      <c r="V44" s="76">
        <v>788285.75025968719</v>
      </c>
      <c r="W44" s="61" t="s">
        <v>11</v>
      </c>
      <c r="X44" s="181">
        <v>1.77E-2</v>
      </c>
      <c r="Y44" s="60">
        <v>43850</v>
      </c>
      <c r="Z44" s="60">
        <v>45562</v>
      </c>
      <c r="AA44" s="60">
        <v>45562</v>
      </c>
      <c r="AB44" s="58">
        <v>1713</v>
      </c>
      <c r="AC44" s="59" t="s">
        <v>10</v>
      </c>
      <c r="AD44" s="58">
        <v>728</v>
      </c>
      <c r="AE44" s="57">
        <v>1.9945205479452055</v>
      </c>
      <c r="AF44" s="56" t="s">
        <v>436</v>
      </c>
      <c r="AG44" s="71" t="s">
        <v>1</v>
      </c>
      <c r="AH44" s="71" t="s">
        <v>1</v>
      </c>
      <c r="AI44" s="70" t="s">
        <v>0</v>
      </c>
      <c r="AJ44" s="11" t="s">
        <v>0</v>
      </c>
      <c r="AK44" s="11" t="s">
        <v>271</v>
      </c>
      <c r="AL44" s="14" t="s">
        <v>385</v>
      </c>
      <c r="AM44" s="11">
        <v>6697.5</v>
      </c>
      <c r="AN44" s="11">
        <v>7000</v>
      </c>
      <c r="AO44" s="197" t="s">
        <v>274</v>
      </c>
      <c r="AP44" s="198" t="s">
        <v>48</v>
      </c>
      <c r="AS44" s="212">
        <v>0</v>
      </c>
      <c r="AT44" s="212">
        <v>3777.2671472189872</v>
      </c>
      <c r="AU44" s="212">
        <v>755.45342944379752</v>
      </c>
      <c r="AV44" s="212"/>
      <c r="AW44" s="212">
        <v>0</v>
      </c>
      <c r="AX44" s="212">
        <v>0</v>
      </c>
      <c r="BB44" s="212">
        <v>0</v>
      </c>
      <c r="BC44" s="212">
        <v>0</v>
      </c>
      <c r="BD44" s="212">
        <v>0</v>
      </c>
      <c r="BE44" s="212">
        <v>0</v>
      </c>
      <c r="BF44" s="226">
        <v>0</v>
      </c>
      <c r="BG44" s="226"/>
      <c r="BJ44" s="112"/>
      <c r="BK44" s="112"/>
    </row>
    <row r="45" spans="1:63" ht="39.950000000000003" customHeight="1" x14ac:dyDescent="0.2">
      <c r="A45" s="14" t="s">
        <v>284</v>
      </c>
      <c r="B45" s="65" t="s">
        <v>24</v>
      </c>
      <c r="C45" s="66" t="s">
        <v>127</v>
      </c>
      <c r="D45" s="14" t="s">
        <v>542</v>
      </c>
      <c r="E45" s="77" t="s">
        <v>88</v>
      </c>
      <c r="F45" s="14" t="s">
        <v>104</v>
      </c>
      <c r="G45" s="66" t="s">
        <v>105</v>
      </c>
      <c r="H45" s="14" t="s">
        <v>285</v>
      </c>
      <c r="I45" s="14" t="s">
        <v>286</v>
      </c>
      <c r="J45" s="14" t="s">
        <v>220</v>
      </c>
      <c r="K45" s="14" t="s">
        <v>209</v>
      </c>
      <c r="L45" s="65" t="s">
        <v>191</v>
      </c>
      <c r="M45" s="13" t="s">
        <v>59</v>
      </c>
      <c r="N45" s="13" t="s">
        <v>43</v>
      </c>
      <c r="O45" s="13" t="s">
        <v>538</v>
      </c>
      <c r="P45" s="13" t="s">
        <v>548</v>
      </c>
      <c r="Q45" s="64" t="s">
        <v>59</v>
      </c>
      <c r="R45" s="62">
        <v>22963.518623413605</v>
      </c>
      <c r="S45" s="63">
        <v>12567.567569999999</v>
      </c>
      <c r="T45" s="62">
        <v>19239.704796313588</v>
      </c>
      <c r="U45" s="62">
        <v>183708.14898730884</v>
      </c>
      <c r="V45" s="62">
        <v>870236.84573108202</v>
      </c>
      <c r="W45" s="61" t="s">
        <v>11</v>
      </c>
      <c r="X45" s="181">
        <v>0.01</v>
      </c>
      <c r="Y45" s="60">
        <v>43861</v>
      </c>
      <c r="Z45" s="60">
        <v>45868</v>
      </c>
      <c r="AA45" s="60">
        <v>45868</v>
      </c>
      <c r="AB45" s="58">
        <v>2008</v>
      </c>
      <c r="AC45" s="75" t="s">
        <v>10</v>
      </c>
      <c r="AD45" s="58">
        <v>1034</v>
      </c>
      <c r="AE45" s="57">
        <v>2.8328767123287673</v>
      </c>
      <c r="AF45" s="56"/>
      <c r="AG45" s="71" t="s">
        <v>1</v>
      </c>
      <c r="AH45" s="71" t="s">
        <v>1</v>
      </c>
      <c r="AI45" s="187" t="s">
        <v>890</v>
      </c>
      <c r="AJ45" s="11" t="s">
        <v>0</v>
      </c>
      <c r="AK45" s="11" t="s">
        <v>271</v>
      </c>
      <c r="AL45" s="14" t="s">
        <v>389</v>
      </c>
      <c r="AM45" s="11">
        <v>10000</v>
      </c>
      <c r="AN45" s="11">
        <v>30000</v>
      </c>
      <c r="AO45" s="197" t="s">
        <v>88</v>
      </c>
      <c r="AP45" s="198" t="s">
        <v>104</v>
      </c>
      <c r="AS45" s="212">
        <v>0</v>
      </c>
      <c r="AT45" s="212">
        <v>2308.7645755576305</v>
      </c>
      <c r="AU45" s="212" t="b">
        <v>0</v>
      </c>
      <c r="AV45" s="212"/>
      <c r="AW45" s="212">
        <v>0</v>
      </c>
      <c r="AX45" s="212">
        <v>0</v>
      </c>
      <c r="BB45" s="212">
        <v>0</v>
      </c>
      <c r="BC45" s="212">
        <v>0</v>
      </c>
      <c r="BD45" s="212">
        <v>0</v>
      </c>
      <c r="BE45" s="212">
        <v>0</v>
      </c>
      <c r="BF45" s="226">
        <v>0</v>
      </c>
      <c r="BG45" s="226"/>
      <c r="BJ45" s="112"/>
      <c r="BK45" s="112"/>
    </row>
    <row r="46" spans="1:63" ht="39.950000000000003" customHeight="1" x14ac:dyDescent="0.2">
      <c r="A46" s="14" t="s">
        <v>289</v>
      </c>
      <c r="B46" s="65" t="s">
        <v>24</v>
      </c>
      <c r="C46" s="66" t="s">
        <v>38</v>
      </c>
      <c r="D46" s="14" t="s">
        <v>540</v>
      </c>
      <c r="E46" s="77" t="s">
        <v>35</v>
      </c>
      <c r="F46" s="14" t="s">
        <v>892</v>
      </c>
      <c r="G46" s="66" t="s">
        <v>259</v>
      </c>
      <c r="H46" s="14" t="s">
        <v>258</v>
      </c>
      <c r="I46" s="133" t="s">
        <v>638</v>
      </c>
      <c r="J46" s="14" t="s">
        <v>687</v>
      </c>
      <c r="K46" s="14" t="s">
        <v>209</v>
      </c>
      <c r="L46" s="65" t="s">
        <v>191</v>
      </c>
      <c r="M46" s="13" t="s">
        <v>323</v>
      </c>
      <c r="N46" s="13" t="s">
        <v>43</v>
      </c>
      <c r="O46" s="13" t="s">
        <v>531</v>
      </c>
      <c r="P46" s="13" t="s">
        <v>534</v>
      </c>
      <c r="Q46" s="64" t="s">
        <v>9</v>
      </c>
      <c r="R46" s="62">
        <v>15738.613113412448</v>
      </c>
      <c r="S46" s="73">
        <v>10000</v>
      </c>
      <c r="T46" s="62">
        <v>15738.613113412448</v>
      </c>
      <c r="U46" s="62">
        <v>47215.83934023734</v>
      </c>
      <c r="V46" s="62">
        <v>2577714.5487739621</v>
      </c>
      <c r="W46" s="61" t="s">
        <v>11</v>
      </c>
      <c r="X46" s="181">
        <v>0.04</v>
      </c>
      <c r="Y46" s="60">
        <v>44629</v>
      </c>
      <c r="Z46" s="60">
        <v>46442</v>
      </c>
      <c r="AA46" s="60">
        <v>46486</v>
      </c>
      <c r="AB46" s="58">
        <v>1858</v>
      </c>
      <c r="AC46" s="59" t="s">
        <v>10</v>
      </c>
      <c r="AD46" s="58">
        <v>1652</v>
      </c>
      <c r="AE46" s="57">
        <v>4.5260273972602736</v>
      </c>
      <c r="AF46" s="56"/>
      <c r="AG46" s="71" t="s">
        <v>1</v>
      </c>
      <c r="AH46" s="71" t="s">
        <v>1</v>
      </c>
      <c r="AI46" s="70" t="s">
        <v>752</v>
      </c>
      <c r="AJ46" s="11" t="s">
        <v>0</v>
      </c>
      <c r="AK46" s="11" t="s">
        <v>563</v>
      </c>
      <c r="AL46" s="14" t="s">
        <v>386</v>
      </c>
      <c r="AM46" s="11">
        <v>10000</v>
      </c>
      <c r="AN46" s="11">
        <v>66600</v>
      </c>
      <c r="AO46" s="197" t="s">
        <v>35</v>
      </c>
      <c r="AP46" s="198" t="s">
        <v>892</v>
      </c>
      <c r="AS46" s="212">
        <v>0</v>
      </c>
      <c r="AT46" s="212">
        <v>1888.6335736094936</v>
      </c>
      <c r="AU46" s="212" t="b">
        <v>0</v>
      </c>
      <c r="AV46" s="212"/>
      <c r="AW46" s="212">
        <v>0</v>
      </c>
      <c r="AX46" s="212">
        <v>0</v>
      </c>
      <c r="BB46" s="212">
        <v>0</v>
      </c>
      <c r="BC46" s="212">
        <v>0</v>
      </c>
      <c r="BD46" s="212">
        <v>0</v>
      </c>
      <c r="BE46" s="212">
        <v>0</v>
      </c>
      <c r="BF46" s="226">
        <v>0</v>
      </c>
      <c r="BG46" s="226"/>
      <c r="BJ46" s="112"/>
      <c r="BK46" s="112"/>
    </row>
    <row r="47" spans="1:63" ht="39.950000000000003" customHeight="1" x14ac:dyDescent="0.2">
      <c r="A47" s="14" t="s">
        <v>280</v>
      </c>
      <c r="B47" s="65" t="s">
        <v>23</v>
      </c>
      <c r="C47" s="66" t="s">
        <v>89</v>
      </c>
      <c r="D47" s="14" t="s">
        <v>542</v>
      </c>
      <c r="E47" s="77" t="s">
        <v>89</v>
      </c>
      <c r="F47" s="14" t="s">
        <v>891</v>
      </c>
      <c r="G47" s="66" t="s">
        <v>249</v>
      </c>
      <c r="H47" s="14" t="s">
        <v>767</v>
      </c>
      <c r="I47" s="14" t="s">
        <v>281</v>
      </c>
      <c r="J47" s="14" t="s">
        <v>256</v>
      </c>
      <c r="K47" s="14" t="s">
        <v>29</v>
      </c>
      <c r="L47" s="65" t="s">
        <v>191</v>
      </c>
      <c r="M47" s="13" t="s">
        <v>59</v>
      </c>
      <c r="N47" s="65" t="s">
        <v>43</v>
      </c>
      <c r="O47" s="65" t="s">
        <v>538</v>
      </c>
      <c r="P47" s="65" t="s">
        <v>534</v>
      </c>
      <c r="Q47" s="64" t="s">
        <v>9</v>
      </c>
      <c r="R47" s="62">
        <v>11803.959835059335</v>
      </c>
      <c r="S47" s="63">
        <v>7500</v>
      </c>
      <c r="T47" s="62">
        <v>11803.959835059335</v>
      </c>
      <c r="U47" s="62">
        <v>180049.7340174384</v>
      </c>
      <c r="V47" s="62">
        <v>524953.60256854177</v>
      </c>
      <c r="W47" s="61" t="s">
        <v>11</v>
      </c>
      <c r="X47" s="181">
        <v>2.2499999999999999E-2</v>
      </c>
      <c r="Y47" s="60">
        <v>43872</v>
      </c>
      <c r="Z47" s="60">
        <v>45558</v>
      </c>
      <c r="AA47" s="60">
        <v>45558</v>
      </c>
      <c r="AB47" s="58">
        <v>1687</v>
      </c>
      <c r="AC47" s="59" t="s">
        <v>10</v>
      </c>
      <c r="AD47" s="58">
        <v>724</v>
      </c>
      <c r="AE47" s="57">
        <v>1.9835616438356165</v>
      </c>
      <c r="AF47" s="56"/>
      <c r="AG47" s="71" t="s">
        <v>1</v>
      </c>
      <c r="AH47" s="71" t="s">
        <v>1</v>
      </c>
      <c r="AI47" s="70" t="s">
        <v>0</v>
      </c>
      <c r="AJ47" s="11" t="s">
        <v>0</v>
      </c>
      <c r="AK47" s="11" t="s">
        <v>271</v>
      </c>
      <c r="AL47" s="14" t="s">
        <v>387</v>
      </c>
      <c r="AM47" s="11">
        <v>7255</v>
      </c>
      <c r="AN47" s="11">
        <v>25000</v>
      </c>
      <c r="AO47" s="197" t="s">
        <v>89</v>
      </c>
      <c r="AP47" s="198" t="s">
        <v>891</v>
      </c>
      <c r="AS47" s="212">
        <v>0</v>
      </c>
      <c r="AT47" s="212">
        <v>1416.47518020712</v>
      </c>
      <c r="AU47" s="212" t="b">
        <v>0</v>
      </c>
      <c r="AV47" s="212"/>
      <c r="AW47" s="212">
        <v>0</v>
      </c>
      <c r="AX47" s="212">
        <v>0</v>
      </c>
      <c r="BB47" s="212">
        <v>0</v>
      </c>
      <c r="BC47" s="212">
        <v>0</v>
      </c>
      <c r="BD47" s="212">
        <v>0</v>
      </c>
      <c r="BE47" s="212">
        <v>0</v>
      </c>
      <c r="BF47" s="226">
        <v>0</v>
      </c>
      <c r="BG47" s="226"/>
      <c r="BJ47" s="112"/>
      <c r="BK47" s="112"/>
    </row>
    <row r="48" spans="1:63" ht="39.950000000000003" customHeight="1" x14ac:dyDescent="0.2">
      <c r="A48" s="14" t="s">
        <v>282</v>
      </c>
      <c r="B48" s="65" t="s">
        <v>23</v>
      </c>
      <c r="C48" s="66" t="s">
        <v>88</v>
      </c>
      <c r="D48" s="14" t="s">
        <v>540</v>
      </c>
      <c r="E48" s="77" t="s">
        <v>49</v>
      </c>
      <c r="F48" s="14" t="s">
        <v>104</v>
      </c>
      <c r="G48" s="66" t="s">
        <v>111</v>
      </c>
      <c r="H48" s="14" t="s">
        <v>135</v>
      </c>
      <c r="I48" s="14" t="s">
        <v>283</v>
      </c>
      <c r="J48" s="14" t="s">
        <v>148</v>
      </c>
      <c r="K48" s="14" t="s">
        <v>140</v>
      </c>
      <c r="L48" s="65" t="s">
        <v>191</v>
      </c>
      <c r="M48" s="13" t="s">
        <v>59</v>
      </c>
      <c r="N48" s="13" t="s">
        <v>43</v>
      </c>
      <c r="O48" s="13" t="s">
        <v>531</v>
      </c>
      <c r="P48" s="13" t="s">
        <v>534</v>
      </c>
      <c r="Q48" s="64" t="s">
        <v>9</v>
      </c>
      <c r="R48" s="62">
        <v>11803.959835059335</v>
      </c>
      <c r="S48" s="63">
        <v>7500</v>
      </c>
      <c r="T48" s="62">
        <v>11803.959835059335</v>
      </c>
      <c r="U48" s="62">
        <v>23607.91967011867</v>
      </c>
      <c r="V48" s="62">
        <v>1478373.2569485977</v>
      </c>
      <c r="W48" s="61" t="s">
        <v>11</v>
      </c>
      <c r="X48" s="181">
        <v>3.0700000000000002E-2</v>
      </c>
      <c r="Y48" s="60">
        <v>43878</v>
      </c>
      <c r="Z48" s="60">
        <v>47382</v>
      </c>
      <c r="AA48" s="60">
        <v>47382</v>
      </c>
      <c r="AB48" s="58">
        <v>3505</v>
      </c>
      <c r="AC48" s="59" t="s">
        <v>10</v>
      </c>
      <c r="AD48" s="58">
        <v>2548</v>
      </c>
      <c r="AE48" s="57">
        <v>6.9808219178082194</v>
      </c>
      <c r="AF48" s="56"/>
      <c r="AG48" s="71" t="s">
        <v>1</v>
      </c>
      <c r="AH48" s="71" t="s">
        <v>1</v>
      </c>
      <c r="AI48" s="70" t="s">
        <v>0</v>
      </c>
      <c r="AJ48" s="11" t="s">
        <v>0</v>
      </c>
      <c r="AK48" s="11" t="s">
        <v>271</v>
      </c>
      <c r="AL48" s="14" t="s">
        <v>388</v>
      </c>
      <c r="AM48" s="11">
        <v>7700</v>
      </c>
      <c r="AN48" s="11">
        <v>50000</v>
      </c>
      <c r="AO48" s="197" t="s">
        <v>49</v>
      </c>
      <c r="AP48" s="198" t="s">
        <v>104</v>
      </c>
      <c r="AS48" s="212">
        <v>0</v>
      </c>
      <c r="AT48" s="212">
        <v>1416.47518020712</v>
      </c>
      <c r="AU48" s="212" t="b">
        <v>0</v>
      </c>
      <c r="AV48" s="212"/>
      <c r="AW48" s="212">
        <v>0</v>
      </c>
      <c r="AX48" s="212">
        <v>0</v>
      </c>
      <c r="BB48" s="212">
        <v>0</v>
      </c>
      <c r="BC48" s="212">
        <v>0</v>
      </c>
      <c r="BD48" s="212">
        <v>0</v>
      </c>
      <c r="BE48" s="212">
        <v>0</v>
      </c>
      <c r="BF48" s="226">
        <v>0</v>
      </c>
      <c r="BG48" s="226"/>
      <c r="BJ48" s="112"/>
      <c r="BK48" s="112"/>
    </row>
    <row r="49" spans="1:63" ht="39.950000000000003" customHeight="1" x14ac:dyDescent="0.2">
      <c r="A49" s="13" t="s">
        <v>317</v>
      </c>
      <c r="B49" s="65" t="s">
        <v>23</v>
      </c>
      <c r="C49" s="66" t="s">
        <v>34</v>
      </c>
      <c r="D49" s="14" t="s">
        <v>34</v>
      </c>
      <c r="E49" s="77" t="s">
        <v>34</v>
      </c>
      <c r="F49" s="14" t="s">
        <v>48</v>
      </c>
      <c r="G49" s="66" t="s">
        <v>95</v>
      </c>
      <c r="H49" s="14" t="s">
        <v>130</v>
      </c>
      <c r="I49" s="14" t="s">
        <v>321</v>
      </c>
      <c r="J49" s="14" t="s">
        <v>26</v>
      </c>
      <c r="K49" s="14" t="s">
        <v>29</v>
      </c>
      <c r="L49" s="65" t="s">
        <v>191</v>
      </c>
      <c r="M49" s="13" t="s">
        <v>323</v>
      </c>
      <c r="N49" s="13" t="s">
        <v>43</v>
      </c>
      <c r="O49" s="13" t="s">
        <v>537</v>
      </c>
      <c r="P49" s="13" t="s">
        <v>534</v>
      </c>
      <c r="Q49" s="64" t="s">
        <v>8</v>
      </c>
      <c r="R49" s="62">
        <v>7000</v>
      </c>
      <c r="S49" s="62">
        <v>7000</v>
      </c>
      <c r="T49" s="62">
        <v>7000</v>
      </c>
      <c r="U49" s="62">
        <v>50000</v>
      </c>
      <c r="V49" s="62">
        <v>395727.29</v>
      </c>
      <c r="W49" s="61" t="s">
        <v>11</v>
      </c>
      <c r="X49" s="181">
        <v>2.1499999999999998E-2</v>
      </c>
      <c r="Y49" s="60">
        <v>43886</v>
      </c>
      <c r="Z49" s="60">
        <v>45152</v>
      </c>
      <c r="AA49" s="60">
        <v>45152</v>
      </c>
      <c r="AB49" s="58">
        <v>1267</v>
      </c>
      <c r="AC49" s="59" t="s">
        <v>10</v>
      </c>
      <c r="AD49" s="58">
        <v>318</v>
      </c>
      <c r="AE49" s="57">
        <v>0.87123287671232874</v>
      </c>
      <c r="AF49" s="56"/>
      <c r="AG49" s="71" t="s">
        <v>1</v>
      </c>
      <c r="AH49" s="71" t="s">
        <v>1</v>
      </c>
      <c r="AI49" s="70" t="s">
        <v>0</v>
      </c>
      <c r="AJ49" s="11" t="s">
        <v>0</v>
      </c>
      <c r="AK49" s="11" t="s">
        <v>271</v>
      </c>
      <c r="AL49" s="78" t="s">
        <v>399</v>
      </c>
      <c r="AO49" s="197" t="s">
        <v>34</v>
      </c>
      <c r="AP49" s="198" t="s">
        <v>48</v>
      </c>
      <c r="AS49" s="212">
        <v>0</v>
      </c>
      <c r="AT49" s="212">
        <v>840</v>
      </c>
      <c r="AU49" s="212" t="b">
        <v>0</v>
      </c>
      <c r="AV49" s="212"/>
      <c r="AW49" s="212">
        <v>0</v>
      </c>
      <c r="AX49" s="212">
        <v>0</v>
      </c>
      <c r="BB49" s="212">
        <v>0</v>
      </c>
      <c r="BC49" s="212">
        <v>0</v>
      </c>
      <c r="BD49" s="212">
        <v>0</v>
      </c>
      <c r="BE49" s="212">
        <v>0</v>
      </c>
      <c r="BF49" s="226">
        <v>0</v>
      </c>
      <c r="BG49" s="226"/>
      <c r="BJ49" s="112"/>
      <c r="BK49" s="112"/>
    </row>
    <row r="50" spans="1:63" ht="39.950000000000003" customHeight="1" x14ac:dyDescent="0.2">
      <c r="A50" s="14" t="s">
        <v>294</v>
      </c>
      <c r="B50" s="65" t="s">
        <v>24</v>
      </c>
      <c r="C50" s="66" t="s">
        <v>295</v>
      </c>
      <c r="D50" s="14" t="s">
        <v>34</v>
      </c>
      <c r="E50" s="77" t="s">
        <v>295</v>
      </c>
      <c r="F50" s="14" t="s">
        <v>106</v>
      </c>
      <c r="G50" s="66" t="s">
        <v>106</v>
      </c>
      <c r="H50" s="66" t="s">
        <v>107</v>
      </c>
      <c r="I50" s="66" t="s">
        <v>296</v>
      </c>
      <c r="J50" s="66" t="s">
        <v>687</v>
      </c>
      <c r="K50" s="14" t="s">
        <v>101</v>
      </c>
      <c r="L50" s="65" t="s">
        <v>191</v>
      </c>
      <c r="M50" s="65" t="s">
        <v>323</v>
      </c>
      <c r="N50" s="13" t="s">
        <v>43</v>
      </c>
      <c r="O50" s="13" t="s">
        <v>531</v>
      </c>
      <c r="P50" s="13" t="s">
        <v>534</v>
      </c>
      <c r="Q50" s="64" t="s">
        <v>297</v>
      </c>
      <c r="R50" s="62">
        <v>30337.128232283118</v>
      </c>
      <c r="S50" s="63">
        <v>31927.589</v>
      </c>
      <c r="T50" s="62">
        <v>28177.203247727473</v>
      </c>
      <c r="U50" s="62">
        <v>62534.348371723594</v>
      </c>
      <c r="V50" s="62">
        <v>1223796.1256729325</v>
      </c>
      <c r="W50" s="61" t="s">
        <v>11</v>
      </c>
      <c r="X50" s="181">
        <v>2.5000000000000001E-2</v>
      </c>
      <c r="Y50" s="60">
        <v>43910</v>
      </c>
      <c r="Z50" s="60">
        <v>45377</v>
      </c>
      <c r="AA50" s="60">
        <v>45397</v>
      </c>
      <c r="AB50" s="58">
        <v>1488</v>
      </c>
      <c r="AC50" s="59" t="s">
        <v>10</v>
      </c>
      <c r="AD50" s="58">
        <v>563</v>
      </c>
      <c r="AE50" s="57">
        <v>1.5424657534246575</v>
      </c>
      <c r="AF50" s="56" t="s">
        <v>436</v>
      </c>
      <c r="AG50" s="71" t="s">
        <v>1</v>
      </c>
      <c r="AH50" s="71" t="s">
        <v>1</v>
      </c>
      <c r="AI50" s="70" t="s">
        <v>0</v>
      </c>
      <c r="AJ50" s="11" t="s">
        <v>0</v>
      </c>
      <c r="AK50" s="11" t="s">
        <v>271</v>
      </c>
      <c r="AL50" s="14" t="s">
        <v>391</v>
      </c>
      <c r="AM50" s="11">
        <v>13000</v>
      </c>
      <c r="AN50" s="11">
        <v>60000</v>
      </c>
      <c r="AO50" s="197" t="s">
        <v>295</v>
      </c>
      <c r="AP50" s="198" t="s">
        <v>106</v>
      </c>
      <c r="AS50" s="212">
        <v>0</v>
      </c>
      <c r="AT50" s="212">
        <v>3381.2643897272965</v>
      </c>
      <c r="AU50" s="212">
        <v>676.25287794545932</v>
      </c>
      <c r="AV50" s="212"/>
      <c r="AW50" s="212">
        <v>0</v>
      </c>
      <c r="AX50" s="212">
        <v>0</v>
      </c>
      <c r="BB50" s="212">
        <v>0</v>
      </c>
      <c r="BC50" s="212">
        <v>0</v>
      </c>
      <c r="BD50" s="212">
        <v>0</v>
      </c>
      <c r="BE50" s="212">
        <v>0</v>
      </c>
      <c r="BF50" s="226">
        <v>0</v>
      </c>
      <c r="BG50" s="226"/>
      <c r="BJ50" s="112"/>
      <c r="BK50" s="112"/>
    </row>
    <row r="51" spans="1:63" ht="39.950000000000003" customHeight="1" x14ac:dyDescent="0.2">
      <c r="A51" s="14" t="s">
        <v>313</v>
      </c>
      <c r="B51" s="65" t="s">
        <v>67</v>
      </c>
      <c r="C51" s="66" t="s">
        <v>87</v>
      </c>
      <c r="D51" s="14" t="s">
        <v>499</v>
      </c>
      <c r="E51" s="77" t="s">
        <v>162</v>
      </c>
      <c r="F51" s="14" t="s">
        <v>891</v>
      </c>
      <c r="G51" s="66" t="s">
        <v>167</v>
      </c>
      <c r="H51" s="66" t="s">
        <v>167</v>
      </c>
      <c r="I51" s="14" t="s">
        <v>298</v>
      </c>
      <c r="J51" s="66" t="s">
        <v>218</v>
      </c>
      <c r="K51" s="14" t="s">
        <v>209</v>
      </c>
      <c r="L51" s="65" t="s">
        <v>191</v>
      </c>
      <c r="M51" s="65" t="s">
        <v>59</v>
      </c>
      <c r="N51" s="13" t="s">
        <v>43</v>
      </c>
      <c r="O51" s="13" t="s">
        <v>531</v>
      </c>
      <c r="P51" s="13" t="s">
        <v>534</v>
      </c>
      <c r="Q51" s="64" t="s">
        <v>9</v>
      </c>
      <c r="R51" s="62">
        <v>23607.91967011867</v>
      </c>
      <c r="S51" s="76">
        <v>15000</v>
      </c>
      <c r="T51" s="62">
        <v>23607.91967011867</v>
      </c>
      <c r="U51" s="62">
        <v>47215.83934023734</v>
      </c>
      <c r="V51" s="62">
        <v>4407467.4840253079</v>
      </c>
      <c r="W51" s="61" t="s">
        <v>11</v>
      </c>
      <c r="X51" s="181">
        <v>5.3800000000000001E-2</v>
      </c>
      <c r="Y51" s="60">
        <v>43915</v>
      </c>
      <c r="Z51" s="60">
        <v>46372</v>
      </c>
      <c r="AA51" s="60">
        <v>46372</v>
      </c>
      <c r="AB51" s="58">
        <v>2458</v>
      </c>
      <c r="AC51" s="75" t="s">
        <v>10</v>
      </c>
      <c r="AD51" s="58">
        <v>1538</v>
      </c>
      <c r="AE51" s="57">
        <v>4.2136986301369861</v>
      </c>
      <c r="AF51" s="56"/>
      <c r="AG51" s="71" t="s">
        <v>182</v>
      </c>
      <c r="AH51" s="71" t="s">
        <v>182</v>
      </c>
      <c r="AI51" s="70" t="s">
        <v>0</v>
      </c>
      <c r="AJ51" s="11" t="s">
        <v>0</v>
      </c>
      <c r="AK51" s="11" t="s">
        <v>271</v>
      </c>
      <c r="AL51" s="14" t="s">
        <v>392</v>
      </c>
      <c r="AM51" s="11">
        <v>12000</v>
      </c>
      <c r="AN51" s="11">
        <v>250000</v>
      </c>
      <c r="AO51" s="197" t="s">
        <v>162</v>
      </c>
      <c r="AP51" s="198" t="s">
        <v>891</v>
      </c>
      <c r="AS51" s="212">
        <v>0</v>
      </c>
      <c r="AT51" s="212">
        <v>2832.9503604142401</v>
      </c>
      <c r="AU51" s="212" t="b">
        <v>0</v>
      </c>
      <c r="AV51" s="212"/>
      <c r="AW51" s="212">
        <v>0</v>
      </c>
      <c r="AX51" s="212">
        <v>0</v>
      </c>
      <c r="BB51" s="212">
        <v>0</v>
      </c>
      <c r="BC51" s="212">
        <v>0</v>
      </c>
      <c r="BD51" s="212">
        <v>0</v>
      </c>
      <c r="BE51" s="212">
        <v>0</v>
      </c>
      <c r="BF51" s="226">
        <v>0</v>
      </c>
      <c r="BG51" s="226"/>
      <c r="BJ51" s="112"/>
      <c r="BK51" s="112"/>
    </row>
    <row r="52" spans="1:63" ht="39.950000000000003" customHeight="1" x14ac:dyDescent="0.2">
      <c r="A52" s="13" t="s">
        <v>301</v>
      </c>
      <c r="B52" s="65" t="s">
        <v>24</v>
      </c>
      <c r="C52" s="66" t="s">
        <v>37</v>
      </c>
      <c r="D52" s="14" t="s">
        <v>542</v>
      </c>
      <c r="E52" s="130" t="s">
        <v>87</v>
      </c>
      <c r="F52" s="14" t="s">
        <v>102</v>
      </c>
      <c r="G52" s="66" t="s">
        <v>102</v>
      </c>
      <c r="H52" s="66" t="s">
        <v>110</v>
      </c>
      <c r="I52" s="14" t="s">
        <v>55</v>
      </c>
      <c r="J52" s="66" t="s">
        <v>218</v>
      </c>
      <c r="K52" s="14" t="s">
        <v>101</v>
      </c>
      <c r="L52" s="65" t="s">
        <v>191</v>
      </c>
      <c r="M52" s="13" t="s">
        <v>323</v>
      </c>
      <c r="N52" s="13" t="s">
        <v>43</v>
      </c>
      <c r="O52" s="13" t="s">
        <v>538</v>
      </c>
      <c r="P52" s="13" t="s">
        <v>534</v>
      </c>
      <c r="Q52" s="15" t="s">
        <v>59</v>
      </c>
      <c r="R52" s="62">
        <v>28514.609798608646</v>
      </c>
      <c r="S52" s="63">
        <v>18626.02826654915</v>
      </c>
      <c r="T52" s="62">
        <v>28514.609798608646</v>
      </c>
      <c r="U52" s="62">
        <v>38019.465411454934</v>
      </c>
      <c r="V52" s="62">
        <v>990416.1847460412</v>
      </c>
      <c r="W52" s="61" t="s">
        <v>11</v>
      </c>
      <c r="X52" s="181">
        <v>2.6499999999999999E-2</v>
      </c>
      <c r="Y52" s="60">
        <v>43915</v>
      </c>
      <c r="Z52" s="60">
        <v>44970</v>
      </c>
      <c r="AA52" s="60">
        <v>44970</v>
      </c>
      <c r="AB52" s="58">
        <v>1056</v>
      </c>
      <c r="AC52" s="59" t="s">
        <v>10</v>
      </c>
      <c r="AD52" s="58">
        <v>136</v>
      </c>
      <c r="AE52" s="57">
        <v>0.37260273972602742</v>
      </c>
      <c r="AF52" s="56" t="s">
        <v>436</v>
      </c>
      <c r="AG52" s="71" t="s">
        <v>1</v>
      </c>
      <c r="AH52" s="71" t="s">
        <v>1</v>
      </c>
      <c r="AI52" s="70" t="s">
        <v>0</v>
      </c>
      <c r="AJ52" s="11" t="s">
        <v>0</v>
      </c>
      <c r="AK52" s="11" t="s">
        <v>271</v>
      </c>
      <c r="AL52" s="14" t="s">
        <v>394</v>
      </c>
      <c r="AM52" s="11">
        <v>6000</v>
      </c>
      <c r="AN52" s="11">
        <v>55000</v>
      </c>
      <c r="AO52" s="197" t="s">
        <v>87</v>
      </c>
      <c r="AP52" s="198" t="s">
        <v>102</v>
      </c>
      <c r="AS52" s="212">
        <v>0</v>
      </c>
      <c r="AT52" s="212">
        <v>3421.7531758330374</v>
      </c>
      <c r="AU52" s="212">
        <v>684.3506351666075</v>
      </c>
      <c r="AV52" s="212"/>
      <c r="AW52" s="212">
        <v>0</v>
      </c>
      <c r="AX52" s="212">
        <v>0</v>
      </c>
      <c r="BB52" s="212">
        <v>0</v>
      </c>
      <c r="BC52" s="212">
        <v>0</v>
      </c>
      <c r="BD52" s="212">
        <v>0</v>
      </c>
      <c r="BE52" s="212">
        <v>0</v>
      </c>
      <c r="BF52" s="226">
        <v>0</v>
      </c>
      <c r="BG52" s="226"/>
      <c r="BJ52" s="112"/>
      <c r="BK52" s="112"/>
    </row>
    <row r="53" spans="1:63" ht="39.950000000000003" customHeight="1" x14ac:dyDescent="0.2">
      <c r="A53" s="13" t="s">
        <v>306</v>
      </c>
      <c r="B53" s="65" t="s">
        <v>243</v>
      </c>
      <c r="C53" s="66" t="s">
        <v>89</v>
      </c>
      <c r="D53" s="14" t="s">
        <v>542</v>
      </c>
      <c r="E53" s="130" t="s">
        <v>308</v>
      </c>
      <c r="F53" s="14" t="s">
        <v>92</v>
      </c>
      <c r="G53" s="66" t="s">
        <v>134</v>
      </c>
      <c r="H53" s="66" t="s">
        <v>134</v>
      </c>
      <c r="I53" s="66" t="s">
        <v>311</v>
      </c>
      <c r="J53" s="66" t="s">
        <v>256</v>
      </c>
      <c r="K53" s="14" t="s">
        <v>68</v>
      </c>
      <c r="L53" s="65" t="s">
        <v>191</v>
      </c>
      <c r="M53" s="65" t="s">
        <v>59</v>
      </c>
      <c r="N53" s="13" t="s">
        <v>43</v>
      </c>
      <c r="O53" s="13" t="s">
        <v>538</v>
      </c>
      <c r="P53" s="13" t="s">
        <v>534</v>
      </c>
      <c r="Q53" s="64" t="s">
        <v>9</v>
      </c>
      <c r="R53" s="62">
        <v>12590.890490729958</v>
      </c>
      <c r="S53" s="264">
        <v>3226.66</v>
      </c>
      <c r="T53" s="62">
        <v>5078.3153388523406</v>
      </c>
      <c r="U53" s="62">
        <v>66154.637114797457</v>
      </c>
      <c r="V53" s="62">
        <v>433411.73785766005</v>
      </c>
      <c r="W53" s="61" t="s">
        <v>11</v>
      </c>
      <c r="X53" s="181">
        <v>0.02</v>
      </c>
      <c r="Y53" s="60">
        <v>43921</v>
      </c>
      <c r="Z53" s="60">
        <v>45660</v>
      </c>
      <c r="AA53" s="60">
        <v>45660</v>
      </c>
      <c r="AB53" s="58">
        <v>1740</v>
      </c>
      <c r="AC53" s="59" t="s">
        <v>10</v>
      </c>
      <c r="AD53" s="58">
        <v>826</v>
      </c>
      <c r="AE53" s="57">
        <v>2.2630136986301368</v>
      </c>
      <c r="AF53" s="56"/>
      <c r="AG53" s="71" t="s">
        <v>1</v>
      </c>
      <c r="AH53" s="71" t="s">
        <v>1</v>
      </c>
      <c r="AI53" s="187" t="s">
        <v>784</v>
      </c>
      <c r="AJ53" s="11" t="s">
        <v>0</v>
      </c>
      <c r="AK53" s="11" t="s">
        <v>271</v>
      </c>
      <c r="AL53" s="13" t="s">
        <v>396</v>
      </c>
      <c r="AM53" s="11">
        <v>10480</v>
      </c>
      <c r="AN53" s="11">
        <v>31210</v>
      </c>
      <c r="AO53" s="197" t="s">
        <v>308</v>
      </c>
      <c r="AP53" s="198" t="s">
        <v>92</v>
      </c>
      <c r="AS53" s="212">
        <v>0</v>
      </c>
      <c r="AT53" s="212">
        <v>609.39784066228083</v>
      </c>
      <c r="AU53" s="212" t="b">
        <v>0</v>
      </c>
      <c r="AV53" s="212"/>
      <c r="AW53" s="212">
        <v>0</v>
      </c>
      <c r="AX53" s="212">
        <v>0</v>
      </c>
      <c r="BB53" s="212">
        <v>0</v>
      </c>
      <c r="BC53" s="212">
        <v>0</v>
      </c>
      <c r="BD53" s="212">
        <v>0</v>
      </c>
      <c r="BE53" s="212">
        <v>0</v>
      </c>
      <c r="BF53" s="226">
        <v>0</v>
      </c>
      <c r="BG53" s="226"/>
      <c r="BJ53" s="112"/>
      <c r="BK53" s="112"/>
    </row>
    <row r="54" spans="1:63" ht="39.950000000000003" customHeight="1" x14ac:dyDescent="0.2">
      <c r="A54" s="13" t="s">
        <v>303</v>
      </c>
      <c r="B54" s="65" t="s">
        <v>23</v>
      </c>
      <c r="C54" s="66" t="s">
        <v>38</v>
      </c>
      <c r="D54" s="14" t="s">
        <v>540</v>
      </c>
      <c r="E54" s="130" t="s">
        <v>49</v>
      </c>
      <c r="F54" s="14" t="s">
        <v>544</v>
      </c>
      <c r="G54" s="66" t="s">
        <v>304</v>
      </c>
      <c r="H54" s="14" t="s">
        <v>310</v>
      </c>
      <c r="I54" s="66" t="s">
        <v>142</v>
      </c>
      <c r="J54" s="66" t="s">
        <v>218</v>
      </c>
      <c r="K54" s="14" t="s">
        <v>29</v>
      </c>
      <c r="L54" s="65" t="s">
        <v>191</v>
      </c>
      <c r="M54" s="65" t="s">
        <v>323</v>
      </c>
      <c r="N54" s="13" t="s">
        <v>43</v>
      </c>
      <c r="O54" s="13" t="s">
        <v>538</v>
      </c>
      <c r="P54" s="13" t="s">
        <v>534</v>
      </c>
      <c r="Q54" s="64" t="s">
        <v>59</v>
      </c>
      <c r="R54" s="62">
        <v>11481.759311706803</v>
      </c>
      <c r="S54" s="63">
        <v>7387.5</v>
      </c>
      <c r="T54" s="62">
        <v>11309.5329220312</v>
      </c>
      <c r="U54" s="62">
        <v>15309.01241560907</v>
      </c>
      <c r="V54" s="62">
        <v>623673.64247332409</v>
      </c>
      <c r="W54" s="61" t="s">
        <v>11</v>
      </c>
      <c r="X54" s="181">
        <v>2.7E-2</v>
      </c>
      <c r="Y54" s="60">
        <v>43921</v>
      </c>
      <c r="Z54" s="60">
        <v>45691</v>
      </c>
      <c r="AA54" s="60">
        <v>45691</v>
      </c>
      <c r="AB54" s="58">
        <v>1771</v>
      </c>
      <c r="AC54" s="59" t="s">
        <v>10</v>
      </c>
      <c r="AD54" s="58">
        <v>857</v>
      </c>
      <c r="AE54" s="57">
        <v>2.3479452054794518</v>
      </c>
      <c r="AF54" s="56"/>
      <c r="AG54" s="71" t="s">
        <v>1</v>
      </c>
      <c r="AH54" s="71" t="s">
        <v>1</v>
      </c>
      <c r="AI54" s="70" t="s">
        <v>663</v>
      </c>
      <c r="AJ54" s="11" t="s">
        <v>0</v>
      </c>
      <c r="AK54" s="11" t="s">
        <v>271</v>
      </c>
      <c r="AL54" s="14" t="s">
        <v>395</v>
      </c>
      <c r="AM54" s="11">
        <v>10000</v>
      </c>
      <c r="AN54" s="11">
        <v>45000</v>
      </c>
      <c r="AO54" s="197" t="s">
        <v>49</v>
      </c>
      <c r="AP54" s="198" t="s">
        <v>544</v>
      </c>
      <c r="AQ54" s="11">
        <v>1</v>
      </c>
      <c r="AR54" s="214">
        <v>0.15</v>
      </c>
      <c r="AS54" s="212">
        <v>1696.4299383046798</v>
      </c>
      <c r="AT54" s="212">
        <v>1357.1439506437439</v>
      </c>
      <c r="AU54" s="212" t="b">
        <v>0</v>
      </c>
      <c r="AV54" s="212"/>
      <c r="AW54" s="212">
        <v>1357.1439506437439</v>
      </c>
      <c r="AX54" s="212">
        <v>1116.2063338571256</v>
      </c>
      <c r="AY54" s="12" t="s">
        <v>896</v>
      </c>
      <c r="BB54" s="212">
        <v>1696.4299383046798</v>
      </c>
      <c r="BC54" s="212">
        <v>1116.2063338571256</v>
      </c>
      <c r="BD54" s="212">
        <v>1081.0063186093237</v>
      </c>
      <c r="BE54" s="212">
        <v>1411.5699873896597</v>
      </c>
      <c r="BF54" s="226">
        <v>1411.5699873896597</v>
      </c>
      <c r="BG54" s="226">
        <v>1198.713532738429</v>
      </c>
      <c r="BJ54" s="112"/>
      <c r="BK54" s="112"/>
    </row>
    <row r="55" spans="1:63" ht="39.950000000000003" customHeight="1" x14ac:dyDescent="0.2">
      <c r="A55" s="13" t="s">
        <v>320</v>
      </c>
      <c r="B55" s="65" t="s">
        <v>51</v>
      </c>
      <c r="C55" s="66" t="s">
        <v>87</v>
      </c>
      <c r="D55" s="14" t="s">
        <v>542</v>
      </c>
      <c r="E55" s="130" t="s">
        <v>87</v>
      </c>
      <c r="F55" s="14" t="s">
        <v>173</v>
      </c>
      <c r="G55" s="66" t="s">
        <v>316</v>
      </c>
      <c r="H55" s="14" t="s">
        <v>197</v>
      </c>
      <c r="I55" s="77" t="s">
        <v>75</v>
      </c>
      <c r="J55" s="66" t="s">
        <v>21</v>
      </c>
      <c r="K55" s="14" t="s">
        <v>29</v>
      </c>
      <c r="L55" s="65" t="s">
        <v>191</v>
      </c>
      <c r="M55" s="65" t="s">
        <v>59</v>
      </c>
      <c r="N55" s="13" t="s">
        <v>43</v>
      </c>
      <c r="O55" s="13" t="s">
        <v>538</v>
      </c>
      <c r="P55" s="13" t="s">
        <v>548</v>
      </c>
      <c r="Q55" s="64" t="s">
        <v>156</v>
      </c>
      <c r="R55" s="62">
        <v>17327.118673435794</v>
      </c>
      <c r="S55" s="63">
        <v>6500</v>
      </c>
      <c r="T55" s="62">
        <v>11262.627137733265</v>
      </c>
      <c r="U55" s="62">
        <v>138616.94938748635</v>
      </c>
      <c r="V55" s="62">
        <v>303901.09680661204</v>
      </c>
      <c r="W55" s="61" t="s">
        <v>11</v>
      </c>
      <c r="X55" s="181">
        <v>7.7000000000000002E-3</v>
      </c>
      <c r="Y55" s="60">
        <v>43927</v>
      </c>
      <c r="Z55" s="60">
        <v>46081</v>
      </c>
      <c r="AA55" s="60">
        <v>46081</v>
      </c>
      <c r="AB55" s="58">
        <v>2155</v>
      </c>
      <c r="AC55" s="75" t="s">
        <v>10</v>
      </c>
      <c r="AD55" s="58">
        <v>1247</v>
      </c>
      <c r="AE55" s="57">
        <v>3.4164383561643836</v>
      </c>
      <c r="AF55" s="56"/>
      <c r="AG55" s="71" t="s">
        <v>1</v>
      </c>
      <c r="AH55" s="71" t="s">
        <v>1</v>
      </c>
      <c r="AI55" s="70" t="s">
        <v>0</v>
      </c>
      <c r="AJ55" s="11" t="s">
        <v>0</v>
      </c>
      <c r="AK55" s="11" t="s">
        <v>271</v>
      </c>
      <c r="AL55" s="13" t="s">
        <v>398</v>
      </c>
      <c r="AM55" s="11">
        <v>10230</v>
      </c>
      <c r="AO55" s="197" t="s">
        <v>87</v>
      </c>
      <c r="AP55" s="198" t="s">
        <v>173</v>
      </c>
      <c r="AS55" s="212">
        <v>0</v>
      </c>
      <c r="AT55" s="212">
        <v>1351.5152565279918</v>
      </c>
      <c r="AU55" s="212" t="b">
        <v>0</v>
      </c>
      <c r="AV55" s="212"/>
      <c r="AW55" s="212">
        <v>0</v>
      </c>
      <c r="AX55" s="212">
        <v>0</v>
      </c>
      <c r="BB55" s="212">
        <v>0</v>
      </c>
      <c r="BC55" s="212">
        <v>0</v>
      </c>
      <c r="BD55" s="212">
        <v>0</v>
      </c>
      <c r="BE55" s="212">
        <v>0</v>
      </c>
      <c r="BF55" s="226">
        <v>0</v>
      </c>
      <c r="BG55" s="226"/>
      <c r="BJ55" s="112"/>
      <c r="BK55" s="112"/>
    </row>
    <row r="56" spans="1:63" ht="39.950000000000003" customHeight="1" x14ac:dyDescent="0.2">
      <c r="A56" s="13" t="s">
        <v>550</v>
      </c>
      <c r="B56" s="65" t="s">
        <v>23</v>
      </c>
      <c r="C56" s="66" t="s">
        <v>37</v>
      </c>
      <c r="D56" s="14" t="s">
        <v>540</v>
      </c>
      <c r="E56" s="161" t="s">
        <v>36</v>
      </c>
      <c r="F56" s="14" t="s">
        <v>104</v>
      </c>
      <c r="G56" s="66" t="s">
        <v>111</v>
      </c>
      <c r="H56" s="66" t="s">
        <v>135</v>
      </c>
      <c r="I56" s="14" t="s">
        <v>77</v>
      </c>
      <c r="J56" s="66" t="s">
        <v>220</v>
      </c>
      <c r="K56" s="14" t="s">
        <v>29</v>
      </c>
      <c r="L56" s="65" t="s">
        <v>191</v>
      </c>
      <c r="M56" s="13" t="s">
        <v>323</v>
      </c>
      <c r="N56" s="13" t="s">
        <v>43</v>
      </c>
      <c r="O56" s="13" t="s">
        <v>531</v>
      </c>
      <c r="P56" s="13" t="s">
        <v>548</v>
      </c>
      <c r="Q56" s="64" t="s">
        <v>9</v>
      </c>
      <c r="R56" s="62">
        <v>11017.029179388714</v>
      </c>
      <c r="S56" s="63">
        <v>7000</v>
      </c>
      <c r="T56" s="62">
        <v>11017.029179388714</v>
      </c>
      <c r="U56" s="62">
        <v>291164.34259813029</v>
      </c>
      <c r="V56" s="62">
        <v>945203.04384777625</v>
      </c>
      <c r="W56" s="61" t="s">
        <v>11</v>
      </c>
      <c r="X56" s="181">
        <v>3.7499999999999999E-2</v>
      </c>
      <c r="Y56" s="60">
        <v>43938</v>
      </c>
      <c r="Z56" s="60">
        <v>45063</v>
      </c>
      <c r="AA56" s="60">
        <v>45063</v>
      </c>
      <c r="AB56" s="58">
        <v>1126</v>
      </c>
      <c r="AC56" s="59" t="s">
        <v>10</v>
      </c>
      <c r="AD56" s="58">
        <v>229</v>
      </c>
      <c r="AE56" s="57">
        <v>0.62739726027397258</v>
      </c>
      <c r="AF56" s="56"/>
      <c r="AG56" s="71" t="s">
        <v>1</v>
      </c>
      <c r="AH56" s="71" t="s">
        <v>1</v>
      </c>
      <c r="AI56" s="263" t="s">
        <v>881</v>
      </c>
      <c r="AJ56" s="11" t="s">
        <v>0</v>
      </c>
      <c r="AK56" s="11" t="s">
        <v>271</v>
      </c>
      <c r="AL56" s="13" t="s">
        <v>401</v>
      </c>
      <c r="AM56" s="11">
        <v>12225</v>
      </c>
      <c r="AO56" s="197" t="s">
        <v>36</v>
      </c>
      <c r="AP56" s="198" t="s">
        <v>104</v>
      </c>
      <c r="AS56" s="212">
        <v>0</v>
      </c>
      <c r="AT56" s="212">
        <v>1322.0435015266455</v>
      </c>
      <c r="AU56" s="212" t="b">
        <v>0</v>
      </c>
      <c r="AV56" s="212"/>
      <c r="AW56" s="212">
        <v>0</v>
      </c>
      <c r="AX56" s="212">
        <v>0</v>
      </c>
      <c r="BB56" s="212">
        <v>0</v>
      </c>
      <c r="BC56" s="212">
        <v>0</v>
      </c>
      <c r="BD56" s="212">
        <v>0</v>
      </c>
      <c r="BE56" s="212">
        <v>0</v>
      </c>
      <c r="BF56" s="226">
        <v>0</v>
      </c>
      <c r="BG56" s="226"/>
      <c r="BJ56" s="112"/>
      <c r="BK56" s="112"/>
    </row>
    <row r="57" spans="1:63" ht="39.950000000000003" customHeight="1" x14ac:dyDescent="0.2">
      <c r="A57" s="13" t="s">
        <v>319</v>
      </c>
      <c r="B57" s="65" t="s">
        <v>23</v>
      </c>
      <c r="C57" s="66" t="s">
        <v>89</v>
      </c>
      <c r="D57" s="14" t="s">
        <v>542</v>
      </c>
      <c r="E57" s="130" t="s">
        <v>166</v>
      </c>
      <c r="F57" s="14" t="s">
        <v>92</v>
      </c>
      <c r="G57" s="66" t="s">
        <v>134</v>
      </c>
      <c r="H57" s="14" t="s">
        <v>134</v>
      </c>
      <c r="I57" s="66" t="s">
        <v>58</v>
      </c>
      <c r="J57" s="14" t="s">
        <v>220</v>
      </c>
      <c r="K57" s="14" t="s">
        <v>68</v>
      </c>
      <c r="L57" s="65" t="s">
        <v>191</v>
      </c>
      <c r="M57" s="65" t="s">
        <v>59</v>
      </c>
      <c r="N57" s="13" t="s">
        <v>43</v>
      </c>
      <c r="O57" s="13" t="s">
        <v>539</v>
      </c>
      <c r="P57" s="13" t="s">
        <v>534</v>
      </c>
      <c r="Q57" s="64" t="s">
        <v>9</v>
      </c>
      <c r="R57" s="62">
        <v>31477.226226824896</v>
      </c>
      <c r="S57" s="73">
        <v>12213.174999999999</v>
      </c>
      <c r="T57" s="62">
        <v>19221.843621140106</v>
      </c>
      <c r="U57" s="62">
        <v>84044.194025622463</v>
      </c>
      <c r="V57" s="62">
        <v>1394508.7978847306</v>
      </c>
      <c r="W57" s="61" t="s">
        <v>11</v>
      </c>
      <c r="X57" s="181">
        <v>2.1999999999999999E-2</v>
      </c>
      <c r="Y57" s="60">
        <v>43943</v>
      </c>
      <c r="Z57" s="60">
        <v>45860</v>
      </c>
      <c r="AA57" s="60">
        <v>45860</v>
      </c>
      <c r="AB57" s="58">
        <v>1918</v>
      </c>
      <c r="AC57" s="59" t="s">
        <v>10</v>
      </c>
      <c r="AD57" s="58">
        <v>1026</v>
      </c>
      <c r="AE57" s="57">
        <v>2.8109589041095893</v>
      </c>
      <c r="AF57" s="56" t="s">
        <v>436</v>
      </c>
      <c r="AG57" s="71" t="s">
        <v>1</v>
      </c>
      <c r="AH57" s="71" t="s">
        <v>1</v>
      </c>
      <c r="AI57" s="187" t="s">
        <v>889</v>
      </c>
      <c r="AJ57" s="11" t="s">
        <v>0</v>
      </c>
      <c r="AK57" s="11" t="s">
        <v>271</v>
      </c>
      <c r="AL57" s="13" t="s">
        <v>402</v>
      </c>
      <c r="AM57" s="11">
        <v>6000</v>
      </c>
      <c r="AO57" s="197" t="s">
        <v>166</v>
      </c>
      <c r="AP57" s="198" t="s">
        <v>92</v>
      </c>
      <c r="AS57" s="212">
        <v>0</v>
      </c>
      <c r="AT57" s="212">
        <v>2306.6212345368126</v>
      </c>
      <c r="AU57" s="212">
        <v>461.32424690736252</v>
      </c>
      <c r="AV57" s="212"/>
      <c r="AW57" s="212">
        <v>0</v>
      </c>
      <c r="AX57" s="212">
        <v>0</v>
      </c>
      <c r="BB57" s="212">
        <v>0</v>
      </c>
      <c r="BC57" s="212">
        <v>0</v>
      </c>
      <c r="BD57" s="212">
        <v>0</v>
      </c>
      <c r="BE57" s="212">
        <v>0</v>
      </c>
      <c r="BF57" s="226">
        <v>0</v>
      </c>
      <c r="BG57" s="226"/>
      <c r="BJ57" s="112"/>
      <c r="BK57" s="112"/>
    </row>
    <row r="58" spans="1:63" ht="39.950000000000003" customHeight="1" x14ac:dyDescent="0.2">
      <c r="A58" s="13" t="s">
        <v>318</v>
      </c>
      <c r="B58" s="65" t="s">
        <v>24</v>
      </c>
      <c r="C58" s="66" t="s">
        <v>38</v>
      </c>
      <c r="D58" s="14" t="s">
        <v>540</v>
      </c>
      <c r="E58" s="161" t="s">
        <v>36</v>
      </c>
      <c r="F58" s="14" t="s">
        <v>102</v>
      </c>
      <c r="G58" s="14" t="s">
        <v>102</v>
      </c>
      <c r="H58" s="130" t="s">
        <v>473</v>
      </c>
      <c r="I58" s="133" t="s">
        <v>706</v>
      </c>
      <c r="J58" s="14" t="s">
        <v>220</v>
      </c>
      <c r="K58" s="14" t="s">
        <v>101</v>
      </c>
      <c r="L58" s="65" t="s">
        <v>191</v>
      </c>
      <c r="M58" s="65" t="s">
        <v>323</v>
      </c>
      <c r="N58" s="13" t="s">
        <v>43</v>
      </c>
      <c r="O58" s="13" t="s">
        <v>531</v>
      </c>
      <c r="P58" s="13" t="s">
        <v>534</v>
      </c>
      <c r="Q58" s="64" t="s">
        <v>238</v>
      </c>
      <c r="R58" s="62">
        <v>15463.747929941544</v>
      </c>
      <c r="S58" s="63">
        <v>14100</v>
      </c>
      <c r="T58" s="62">
        <v>15463.747929941544</v>
      </c>
      <c r="U58" s="62">
        <v>56700.409076452328</v>
      </c>
      <c r="V58" s="62">
        <v>858195.6109277152</v>
      </c>
      <c r="W58" s="61" t="s">
        <v>11</v>
      </c>
      <c r="X58" s="181">
        <v>2.3E-2</v>
      </c>
      <c r="Y58" s="60">
        <v>43948</v>
      </c>
      <c r="Z58" s="60">
        <v>45748</v>
      </c>
      <c r="AA58" s="60">
        <v>45748</v>
      </c>
      <c r="AB58" s="58">
        <v>1801</v>
      </c>
      <c r="AC58" s="59" t="s">
        <v>10</v>
      </c>
      <c r="AD58" s="58">
        <v>914</v>
      </c>
      <c r="AE58" s="57">
        <v>2.504109589041096</v>
      </c>
      <c r="AF58" s="56"/>
      <c r="AG58" s="71" t="s">
        <v>1</v>
      </c>
      <c r="AH58" s="71" t="s">
        <v>1</v>
      </c>
      <c r="AI58" s="70" t="s">
        <v>0</v>
      </c>
      <c r="AJ58" s="11" t="s">
        <v>0</v>
      </c>
      <c r="AK58" s="11" t="s">
        <v>271</v>
      </c>
      <c r="AL58" s="14" t="s">
        <v>400</v>
      </c>
      <c r="AM58" s="11">
        <v>15933</v>
      </c>
      <c r="AO58" s="197" t="s">
        <v>36</v>
      </c>
      <c r="AP58" s="198" t="s">
        <v>102</v>
      </c>
      <c r="AS58" s="212">
        <v>0</v>
      </c>
      <c r="AT58" s="212">
        <v>1855.6497515929852</v>
      </c>
      <c r="AU58" s="212" t="b">
        <v>0</v>
      </c>
      <c r="AV58" s="212"/>
      <c r="AW58" s="212">
        <v>0</v>
      </c>
      <c r="AX58" s="212">
        <v>0</v>
      </c>
      <c r="BB58" s="212">
        <v>0</v>
      </c>
      <c r="BC58" s="212">
        <v>0</v>
      </c>
      <c r="BD58" s="212">
        <v>0</v>
      </c>
      <c r="BE58" s="212">
        <v>0</v>
      </c>
      <c r="BF58" s="226">
        <v>0</v>
      </c>
      <c r="BG58" s="226"/>
      <c r="BJ58" s="112"/>
      <c r="BK58" s="112"/>
    </row>
    <row r="59" spans="1:63" ht="39.950000000000003" customHeight="1" x14ac:dyDescent="0.2">
      <c r="A59" s="13" t="s">
        <v>404</v>
      </c>
      <c r="B59" s="65" t="s">
        <v>67</v>
      </c>
      <c r="C59" s="66" t="s">
        <v>87</v>
      </c>
      <c r="D59" s="14" t="s">
        <v>34</v>
      </c>
      <c r="E59" s="130" t="s">
        <v>34</v>
      </c>
      <c r="F59" s="14" t="s">
        <v>891</v>
      </c>
      <c r="G59" s="66" t="s">
        <v>167</v>
      </c>
      <c r="H59" s="14" t="s">
        <v>167</v>
      </c>
      <c r="I59" s="66" t="s">
        <v>298</v>
      </c>
      <c r="J59" s="14" t="s">
        <v>218</v>
      </c>
      <c r="K59" s="14" t="s">
        <v>209</v>
      </c>
      <c r="L59" s="65" t="s">
        <v>191</v>
      </c>
      <c r="M59" s="65" t="s">
        <v>59</v>
      </c>
      <c r="N59" s="13" t="s">
        <v>43</v>
      </c>
      <c r="O59" s="13" t="s">
        <v>531</v>
      </c>
      <c r="P59" s="13" t="s">
        <v>534</v>
      </c>
      <c r="Q59" s="64" t="s">
        <v>8</v>
      </c>
      <c r="R59" s="62">
        <v>30000</v>
      </c>
      <c r="S59" s="63">
        <v>30000</v>
      </c>
      <c r="T59" s="62">
        <v>30000</v>
      </c>
      <c r="U59" s="62">
        <v>60000</v>
      </c>
      <c r="V59" s="62">
        <v>2983002.6799999997</v>
      </c>
      <c r="W59" s="61" t="s">
        <v>11</v>
      </c>
      <c r="X59" s="181">
        <v>4.4999999999999998E-2</v>
      </c>
      <c r="Y59" s="60">
        <v>43955</v>
      </c>
      <c r="Z59" s="60">
        <v>45768</v>
      </c>
      <c r="AA59" s="60">
        <v>45768</v>
      </c>
      <c r="AB59" s="58">
        <v>1814</v>
      </c>
      <c r="AC59" s="59" t="s">
        <v>10</v>
      </c>
      <c r="AD59" s="58">
        <v>934</v>
      </c>
      <c r="AE59" s="57">
        <v>2.558904109589041</v>
      </c>
      <c r="AF59" s="56" t="s">
        <v>436</v>
      </c>
      <c r="AG59" s="71" t="s">
        <v>1</v>
      </c>
      <c r="AH59" s="71" t="s">
        <v>1</v>
      </c>
      <c r="AI59" s="70" t="s">
        <v>0</v>
      </c>
      <c r="AJ59" s="11" t="s">
        <v>0</v>
      </c>
      <c r="AK59" s="11" t="s">
        <v>271</v>
      </c>
      <c r="AL59" s="13" t="s">
        <v>406</v>
      </c>
      <c r="AM59" s="11">
        <v>12267.5</v>
      </c>
      <c r="AO59" s="197" t="s">
        <v>34</v>
      </c>
      <c r="AP59" s="198" t="s">
        <v>891</v>
      </c>
      <c r="AS59" s="212">
        <v>0</v>
      </c>
      <c r="AT59" s="212">
        <v>3600</v>
      </c>
      <c r="AU59" s="212">
        <v>720</v>
      </c>
      <c r="AV59" s="212"/>
      <c r="AW59" s="212">
        <v>0</v>
      </c>
      <c r="AX59" s="212">
        <v>0</v>
      </c>
      <c r="BB59" s="212">
        <v>0</v>
      </c>
      <c r="BC59" s="212">
        <v>0</v>
      </c>
      <c r="BD59" s="212">
        <v>0</v>
      </c>
      <c r="BE59" s="212">
        <v>0</v>
      </c>
      <c r="BF59" s="226">
        <v>0</v>
      </c>
      <c r="BG59" s="226"/>
      <c r="BJ59" s="112"/>
      <c r="BK59" s="112"/>
    </row>
    <row r="60" spans="1:63" ht="39.950000000000003" customHeight="1" x14ac:dyDescent="0.2">
      <c r="A60" s="13" t="s">
        <v>405</v>
      </c>
      <c r="B60" s="65" t="s">
        <v>67</v>
      </c>
      <c r="C60" s="66" t="s">
        <v>34</v>
      </c>
      <c r="D60" s="14" t="s">
        <v>34</v>
      </c>
      <c r="E60" s="130" t="s">
        <v>34</v>
      </c>
      <c r="F60" s="14" t="s">
        <v>102</v>
      </c>
      <c r="G60" s="14" t="s">
        <v>102</v>
      </c>
      <c r="H60" s="130" t="s">
        <v>473</v>
      </c>
      <c r="I60" s="66" t="s">
        <v>409</v>
      </c>
      <c r="J60" s="14" t="s">
        <v>408</v>
      </c>
      <c r="K60" s="14" t="s">
        <v>29</v>
      </c>
      <c r="L60" s="65" t="s">
        <v>191</v>
      </c>
      <c r="M60" s="13" t="s">
        <v>323</v>
      </c>
      <c r="N60" s="13" t="s">
        <v>43</v>
      </c>
      <c r="O60" s="13" t="s">
        <v>533</v>
      </c>
      <c r="P60" s="13" t="s">
        <v>534</v>
      </c>
      <c r="Q60" s="64" t="s">
        <v>8</v>
      </c>
      <c r="R60" s="62">
        <v>25000</v>
      </c>
      <c r="S60" s="63">
        <v>25000</v>
      </c>
      <c r="T60" s="62">
        <v>25000</v>
      </c>
      <c r="U60" s="62">
        <v>50000</v>
      </c>
      <c r="V60" s="62">
        <v>1429880.14</v>
      </c>
      <c r="W60" s="61" t="s">
        <v>11</v>
      </c>
      <c r="X60" s="181">
        <v>2.1999999999999999E-2</v>
      </c>
      <c r="Y60" s="60">
        <v>43957</v>
      </c>
      <c r="Z60" s="60">
        <v>45628</v>
      </c>
      <c r="AA60" s="60">
        <v>45628</v>
      </c>
      <c r="AB60" s="58">
        <v>1672</v>
      </c>
      <c r="AC60" s="59" t="s">
        <v>10</v>
      </c>
      <c r="AD60" s="58">
        <v>794</v>
      </c>
      <c r="AE60" s="57">
        <v>2.1753424657534248</v>
      </c>
      <c r="AF60" s="56" t="s">
        <v>436</v>
      </c>
      <c r="AG60" s="71" t="s">
        <v>1</v>
      </c>
      <c r="AH60" s="71" t="s">
        <v>1</v>
      </c>
      <c r="AI60" s="70" t="s">
        <v>0</v>
      </c>
      <c r="AJ60" s="11" t="s">
        <v>0</v>
      </c>
      <c r="AK60" s="11" t="s">
        <v>271</v>
      </c>
      <c r="AL60" s="13" t="s">
        <v>407</v>
      </c>
      <c r="AM60" s="11">
        <v>4500</v>
      </c>
      <c r="AO60" s="197" t="s">
        <v>34</v>
      </c>
      <c r="AP60" s="198" t="s">
        <v>102</v>
      </c>
      <c r="AS60" s="212">
        <v>0</v>
      </c>
      <c r="AT60" s="212">
        <v>3000</v>
      </c>
      <c r="AU60" s="212">
        <v>600</v>
      </c>
      <c r="AV60" s="212"/>
      <c r="AW60" s="212">
        <v>0</v>
      </c>
      <c r="AX60" s="212">
        <v>0</v>
      </c>
      <c r="BB60" s="212">
        <v>0</v>
      </c>
      <c r="BC60" s="212">
        <v>0</v>
      </c>
      <c r="BD60" s="212">
        <v>0</v>
      </c>
      <c r="BE60" s="212">
        <v>0</v>
      </c>
      <c r="BF60" s="226">
        <v>0</v>
      </c>
      <c r="BG60" s="226"/>
      <c r="BJ60" s="112"/>
      <c r="BK60" s="112"/>
    </row>
    <row r="61" spans="1:63" ht="39.950000000000003" customHeight="1" x14ac:dyDescent="0.2">
      <c r="A61" s="13" t="s">
        <v>412</v>
      </c>
      <c r="B61" s="65" t="s">
        <v>243</v>
      </c>
      <c r="C61" s="66" t="s">
        <v>87</v>
      </c>
      <c r="D61" s="14" t="s">
        <v>469</v>
      </c>
      <c r="E61" s="130" t="s">
        <v>413</v>
      </c>
      <c r="F61" s="14" t="s">
        <v>48</v>
      </c>
      <c r="G61" s="131" t="s">
        <v>95</v>
      </c>
      <c r="H61" s="130" t="s">
        <v>521</v>
      </c>
      <c r="I61" s="14" t="s">
        <v>181</v>
      </c>
      <c r="J61" s="14" t="s">
        <v>33</v>
      </c>
      <c r="K61" s="14" t="s">
        <v>140</v>
      </c>
      <c r="L61" s="65" t="s">
        <v>191</v>
      </c>
      <c r="M61" s="13" t="s">
        <v>59</v>
      </c>
      <c r="N61" s="13" t="s">
        <v>43</v>
      </c>
      <c r="O61" s="13" t="s">
        <v>538</v>
      </c>
      <c r="P61" s="13" t="s">
        <v>534</v>
      </c>
      <c r="Q61" s="64" t="s">
        <v>9</v>
      </c>
      <c r="R61" s="62">
        <v>11803.959835059335</v>
      </c>
      <c r="S61" s="63">
        <v>7500</v>
      </c>
      <c r="T61" s="62">
        <v>11803.959835059335</v>
      </c>
      <c r="U61" s="62">
        <v>39346.532783531118</v>
      </c>
      <c r="V61" s="62">
        <v>1431770.0273851869</v>
      </c>
      <c r="W61" s="61" t="s">
        <v>11</v>
      </c>
      <c r="X61" s="181">
        <v>3.7499999999999999E-2</v>
      </c>
      <c r="Y61" s="60">
        <v>43965</v>
      </c>
      <c r="Z61" s="60">
        <v>47238</v>
      </c>
      <c r="AA61" s="60">
        <v>47238</v>
      </c>
      <c r="AB61" s="58">
        <v>3274</v>
      </c>
      <c r="AC61" s="59" t="s">
        <v>10</v>
      </c>
      <c r="AD61" s="58">
        <v>2404</v>
      </c>
      <c r="AE61" s="57">
        <v>6.5863013698630137</v>
      </c>
      <c r="AF61" s="56"/>
      <c r="AG61" s="71" t="s">
        <v>1</v>
      </c>
      <c r="AH61" s="71" t="s">
        <v>1</v>
      </c>
      <c r="AI61" s="70" t="s">
        <v>0</v>
      </c>
      <c r="AJ61" s="11" t="s">
        <v>0</v>
      </c>
      <c r="AK61" s="11" t="s">
        <v>271</v>
      </c>
      <c r="AL61" s="13" t="s">
        <v>416</v>
      </c>
      <c r="AM61" s="11">
        <v>10237</v>
      </c>
      <c r="AO61" s="197" t="s">
        <v>413</v>
      </c>
      <c r="AP61" s="198" t="s">
        <v>48</v>
      </c>
      <c r="AS61" s="212">
        <v>0</v>
      </c>
      <c r="AT61" s="212">
        <v>1416.47518020712</v>
      </c>
      <c r="AU61" s="212" t="b">
        <v>0</v>
      </c>
      <c r="AV61" s="212"/>
      <c r="AW61" s="212">
        <v>0</v>
      </c>
      <c r="AX61" s="212">
        <v>0</v>
      </c>
      <c r="BB61" s="212">
        <v>0</v>
      </c>
      <c r="BC61" s="212">
        <v>0</v>
      </c>
      <c r="BD61" s="212">
        <v>0</v>
      </c>
      <c r="BE61" s="212">
        <v>0</v>
      </c>
      <c r="BF61" s="226">
        <v>0</v>
      </c>
      <c r="BG61" s="226"/>
      <c r="BJ61" s="112"/>
      <c r="BK61" s="112"/>
    </row>
    <row r="62" spans="1:63" ht="39.950000000000003" customHeight="1" x14ac:dyDescent="0.2">
      <c r="A62" s="13" t="s">
        <v>410</v>
      </c>
      <c r="B62" s="65" t="s">
        <v>23</v>
      </c>
      <c r="C62" s="66" t="s">
        <v>34</v>
      </c>
      <c r="D62" s="14" t="s">
        <v>34</v>
      </c>
      <c r="E62" s="130" t="s">
        <v>34</v>
      </c>
      <c r="F62" s="14" t="s">
        <v>543</v>
      </c>
      <c r="G62" s="131" t="s">
        <v>133</v>
      </c>
      <c r="H62" s="130" t="s">
        <v>133</v>
      </c>
      <c r="I62" s="66" t="s">
        <v>232</v>
      </c>
      <c r="J62" s="14" t="s">
        <v>21</v>
      </c>
      <c r="K62" s="14" t="s">
        <v>44</v>
      </c>
      <c r="L62" s="65" t="s">
        <v>191</v>
      </c>
      <c r="M62" s="13" t="s">
        <v>323</v>
      </c>
      <c r="N62" s="13" t="s">
        <v>43</v>
      </c>
      <c r="O62" s="13" t="s">
        <v>533</v>
      </c>
      <c r="P62" s="13" t="s">
        <v>534</v>
      </c>
      <c r="Q62" s="64" t="s">
        <v>9</v>
      </c>
      <c r="R62" s="62">
        <v>31477.226226824896</v>
      </c>
      <c r="S62" s="63">
        <v>20000</v>
      </c>
      <c r="T62" s="62">
        <v>31477.226226824896</v>
      </c>
      <c r="U62" s="62">
        <v>73499.323239636127</v>
      </c>
      <c r="V62" s="62">
        <v>1040134.5021876674</v>
      </c>
      <c r="W62" s="61" t="s">
        <v>11</v>
      </c>
      <c r="X62" s="181">
        <v>2.1000000000000001E-2</v>
      </c>
      <c r="Y62" s="60">
        <v>43966</v>
      </c>
      <c r="Z62" s="60">
        <v>45823</v>
      </c>
      <c r="AA62" s="60">
        <v>45823</v>
      </c>
      <c r="AB62" s="72">
        <v>1858</v>
      </c>
      <c r="AC62" s="59" t="s">
        <v>10</v>
      </c>
      <c r="AD62" s="58">
        <v>989</v>
      </c>
      <c r="AE62" s="57">
        <v>2.7095890410958905</v>
      </c>
      <c r="AF62" s="56" t="s">
        <v>436</v>
      </c>
      <c r="AG62" s="71" t="s">
        <v>1</v>
      </c>
      <c r="AH62" s="71" t="s">
        <v>1</v>
      </c>
      <c r="AI62" s="70" t="s">
        <v>0</v>
      </c>
      <c r="AJ62" s="11" t="s">
        <v>0</v>
      </c>
      <c r="AK62" s="11" t="s">
        <v>271</v>
      </c>
      <c r="AL62" s="13" t="s">
        <v>418</v>
      </c>
      <c r="AM62" s="11">
        <v>6000</v>
      </c>
      <c r="AO62" s="197" t="s">
        <v>34</v>
      </c>
      <c r="AP62" s="198" t="s">
        <v>543</v>
      </c>
      <c r="AS62" s="212">
        <v>0</v>
      </c>
      <c r="AT62" s="212">
        <v>3777.2671472189872</v>
      </c>
      <c r="AU62" s="212">
        <v>755.45342944379752</v>
      </c>
      <c r="AV62" s="212"/>
      <c r="AW62" s="212">
        <v>0</v>
      </c>
      <c r="AX62" s="212">
        <v>0</v>
      </c>
      <c r="BB62" s="212">
        <v>0</v>
      </c>
      <c r="BC62" s="212">
        <v>0</v>
      </c>
      <c r="BD62" s="212">
        <v>0</v>
      </c>
      <c r="BE62" s="212">
        <v>0</v>
      </c>
      <c r="BF62" s="226">
        <v>0</v>
      </c>
      <c r="BG62" s="226"/>
      <c r="BJ62" s="112"/>
      <c r="BK62" s="112"/>
    </row>
    <row r="63" spans="1:63" ht="39.950000000000003" customHeight="1" x14ac:dyDescent="0.2">
      <c r="A63" s="13" t="s">
        <v>414</v>
      </c>
      <c r="B63" s="65" t="s">
        <v>24</v>
      </c>
      <c r="C63" s="66" t="s">
        <v>166</v>
      </c>
      <c r="D63" s="14" t="s">
        <v>542</v>
      </c>
      <c r="E63" s="130" t="s">
        <v>166</v>
      </c>
      <c r="F63" s="14" t="s">
        <v>102</v>
      </c>
      <c r="G63" s="131" t="s">
        <v>102</v>
      </c>
      <c r="H63" s="130" t="s">
        <v>122</v>
      </c>
      <c r="I63" s="66" t="s">
        <v>704</v>
      </c>
      <c r="J63" s="14" t="s">
        <v>220</v>
      </c>
      <c r="K63" s="14" t="s">
        <v>101</v>
      </c>
      <c r="L63" s="65" t="s">
        <v>191</v>
      </c>
      <c r="M63" s="13" t="s">
        <v>59</v>
      </c>
      <c r="N63" s="13" t="s">
        <v>43</v>
      </c>
      <c r="O63" s="13" t="s">
        <v>531</v>
      </c>
      <c r="P63" s="13" t="s">
        <v>534</v>
      </c>
      <c r="Q63" s="64" t="s">
        <v>59</v>
      </c>
      <c r="R63" s="62">
        <v>22963.518623413605</v>
      </c>
      <c r="S63" s="63">
        <v>15000</v>
      </c>
      <c r="T63" s="62">
        <v>22963.518623413605</v>
      </c>
      <c r="U63" s="62">
        <v>81137.76580272807</v>
      </c>
      <c r="V63" s="62">
        <v>884049.53996417695</v>
      </c>
      <c r="W63" s="61" t="s">
        <v>11</v>
      </c>
      <c r="X63" s="181">
        <v>1.2E-2</v>
      </c>
      <c r="Y63" s="60">
        <v>43966</v>
      </c>
      <c r="Z63" s="60">
        <v>46523</v>
      </c>
      <c r="AA63" s="60">
        <v>46523</v>
      </c>
      <c r="AB63" s="58">
        <v>2558</v>
      </c>
      <c r="AC63" s="59" t="s">
        <v>10</v>
      </c>
      <c r="AD63" s="58">
        <v>1689</v>
      </c>
      <c r="AE63" s="57">
        <v>4.6273972602739724</v>
      </c>
      <c r="AF63" s="56"/>
      <c r="AG63" s="71" t="s">
        <v>1</v>
      </c>
      <c r="AH63" s="71" t="s">
        <v>1</v>
      </c>
      <c r="AI63" s="70" t="s">
        <v>0</v>
      </c>
      <c r="AJ63" s="11" t="s">
        <v>0</v>
      </c>
      <c r="AK63" s="11" t="s">
        <v>271</v>
      </c>
      <c r="AL63" s="13" t="s">
        <v>415</v>
      </c>
      <c r="AM63" s="11">
        <v>8850</v>
      </c>
      <c r="AO63" s="197" t="s">
        <v>166</v>
      </c>
      <c r="AP63" s="198" t="s">
        <v>102</v>
      </c>
      <c r="AS63" s="212">
        <v>0</v>
      </c>
      <c r="AT63" s="212">
        <v>2755.6222348096326</v>
      </c>
      <c r="AU63" s="212" t="b">
        <v>0</v>
      </c>
      <c r="AV63" s="212"/>
      <c r="AW63" s="212">
        <v>0</v>
      </c>
      <c r="AX63" s="212">
        <v>0</v>
      </c>
      <c r="BB63" s="212">
        <v>0</v>
      </c>
      <c r="BC63" s="212">
        <v>0</v>
      </c>
      <c r="BD63" s="212">
        <v>0</v>
      </c>
      <c r="BE63" s="212">
        <v>0</v>
      </c>
      <c r="BF63" s="226">
        <v>0</v>
      </c>
      <c r="BG63" s="226"/>
      <c r="BJ63" s="112"/>
      <c r="BK63" s="112"/>
    </row>
    <row r="64" spans="1:63" ht="39.950000000000003" customHeight="1" x14ac:dyDescent="0.2">
      <c r="A64" s="13" t="s">
        <v>419</v>
      </c>
      <c r="B64" s="65" t="s">
        <v>51</v>
      </c>
      <c r="C64" s="66" t="s">
        <v>166</v>
      </c>
      <c r="D64" s="14" t="s">
        <v>542</v>
      </c>
      <c r="E64" s="130" t="s">
        <v>166</v>
      </c>
      <c r="F64" s="14" t="s">
        <v>102</v>
      </c>
      <c r="G64" s="131" t="s">
        <v>102</v>
      </c>
      <c r="H64" s="130" t="s">
        <v>110</v>
      </c>
      <c r="I64" s="66" t="s">
        <v>145</v>
      </c>
      <c r="J64" s="14" t="s">
        <v>221</v>
      </c>
      <c r="K64" s="14" t="s">
        <v>101</v>
      </c>
      <c r="L64" s="65" t="s">
        <v>191</v>
      </c>
      <c r="M64" s="13" t="s">
        <v>59</v>
      </c>
      <c r="N64" s="13" t="s">
        <v>43</v>
      </c>
      <c r="O64" s="13" t="s">
        <v>538</v>
      </c>
      <c r="P64" s="13" t="s">
        <v>534</v>
      </c>
      <c r="Q64" s="64" t="s">
        <v>59</v>
      </c>
      <c r="R64" s="62">
        <v>30618.024831218139</v>
      </c>
      <c r="S64" s="63">
        <v>20000</v>
      </c>
      <c r="T64" s="62">
        <v>30618.024831218139</v>
      </c>
      <c r="U64" s="62">
        <v>99508.580701458952</v>
      </c>
      <c r="V64" s="62">
        <v>1204153.7943387274</v>
      </c>
      <c r="W64" s="61" t="s">
        <v>551</v>
      </c>
      <c r="X64" s="181">
        <v>2.5000000000000001E-2</v>
      </c>
      <c r="Y64" s="60">
        <v>43971</v>
      </c>
      <c r="Z64" s="60">
        <v>45046</v>
      </c>
      <c r="AA64" s="60">
        <v>45046</v>
      </c>
      <c r="AB64" s="58">
        <v>1076</v>
      </c>
      <c r="AC64" s="59" t="s">
        <v>10</v>
      </c>
      <c r="AD64" s="58">
        <v>212</v>
      </c>
      <c r="AE64" s="57">
        <v>0.58082191780821912</v>
      </c>
      <c r="AF64" s="56" t="s">
        <v>436</v>
      </c>
      <c r="AG64" s="71" t="s">
        <v>1</v>
      </c>
      <c r="AH64" s="71" t="s">
        <v>1</v>
      </c>
      <c r="AI64" s="70" t="s">
        <v>0</v>
      </c>
      <c r="AJ64" s="11" t="s">
        <v>0</v>
      </c>
      <c r="AK64" s="11" t="s">
        <v>271</v>
      </c>
      <c r="AL64" s="13" t="s">
        <v>420</v>
      </c>
      <c r="AM64" s="11">
        <v>3367.5</v>
      </c>
      <c r="AO64" s="197" t="s">
        <v>166</v>
      </c>
      <c r="AP64" s="198" t="s">
        <v>102</v>
      </c>
      <c r="AS64" s="212">
        <v>0</v>
      </c>
      <c r="AT64" s="212">
        <v>3674.1629797461765</v>
      </c>
      <c r="AU64" s="212">
        <v>734.83259594923538</v>
      </c>
      <c r="AV64" s="212"/>
      <c r="AW64" s="212">
        <v>0</v>
      </c>
      <c r="AX64" s="212">
        <v>0</v>
      </c>
      <c r="BB64" s="212">
        <v>0</v>
      </c>
      <c r="BC64" s="212">
        <v>0</v>
      </c>
      <c r="BD64" s="212">
        <v>0</v>
      </c>
      <c r="BE64" s="212">
        <v>0</v>
      </c>
      <c r="BF64" s="226">
        <v>0</v>
      </c>
      <c r="BG64" s="226"/>
      <c r="BJ64" s="112"/>
      <c r="BK64" s="112"/>
    </row>
    <row r="65" spans="1:63" ht="39.950000000000003" customHeight="1" x14ac:dyDescent="0.2">
      <c r="A65" s="13" t="s">
        <v>421</v>
      </c>
      <c r="B65" s="69" t="s">
        <v>51</v>
      </c>
      <c r="C65" s="66" t="s">
        <v>127</v>
      </c>
      <c r="D65" s="14" t="s">
        <v>499</v>
      </c>
      <c r="E65" s="130" t="s">
        <v>162</v>
      </c>
      <c r="F65" s="14" t="s">
        <v>475</v>
      </c>
      <c r="G65" s="131" t="s">
        <v>227</v>
      </c>
      <c r="H65" s="130" t="s">
        <v>422</v>
      </c>
      <c r="I65" s="14" t="s">
        <v>158</v>
      </c>
      <c r="J65" s="14" t="s">
        <v>220</v>
      </c>
      <c r="K65" s="14" t="s">
        <v>209</v>
      </c>
      <c r="L65" s="65" t="s">
        <v>191</v>
      </c>
      <c r="M65" s="13" t="s">
        <v>59</v>
      </c>
      <c r="N65" s="13" t="s">
        <v>43</v>
      </c>
      <c r="O65" s="13" t="s">
        <v>533</v>
      </c>
      <c r="P65" s="13" t="s">
        <v>534</v>
      </c>
      <c r="Q65" s="64" t="s">
        <v>9</v>
      </c>
      <c r="R65" s="62">
        <v>31477.226226824896</v>
      </c>
      <c r="S65" s="63">
        <v>25000</v>
      </c>
      <c r="T65" s="62">
        <v>39346.532783531118</v>
      </c>
      <c r="U65" s="62">
        <v>550851.45896943565</v>
      </c>
      <c r="V65" s="62">
        <v>1674848.7834052064</v>
      </c>
      <c r="W65" s="61" t="s">
        <v>11</v>
      </c>
      <c r="X65" s="181">
        <v>1.7500000000000002E-2</v>
      </c>
      <c r="Y65" s="60">
        <v>44530</v>
      </c>
      <c r="Z65" s="60">
        <v>46386</v>
      </c>
      <c r="AA65" s="60">
        <v>46386</v>
      </c>
      <c r="AB65" s="72">
        <v>1857</v>
      </c>
      <c r="AC65" s="59" t="s">
        <v>10</v>
      </c>
      <c r="AD65" s="58">
        <v>1552</v>
      </c>
      <c r="AE65" s="57">
        <v>4.2520547945205482</v>
      </c>
      <c r="AF65" s="56" t="s">
        <v>436</v>
      </c>
      <c r="AG65" s="71" t="s">
        <v>1</v>
      </c>
      <c r="AH65" s="71" t="s">
        <v>1</v>
      </c>
      <c r="AI65" s="70" t="s">
        <v>731</v>
      </c>
      <c r="AJ65" s="11" t="s">
        <v>0</v>
      </c>
      <c r="AK65" s="11" t="s">
        <v>271</v>
      </c>
      <c r="AL65" s="13" t="s">
        <v>423</v>
      </c>
      <c r="AM65" s="11">
        <v>8500</v>
      </c>
      <c r="AO65" s="197" t="s">
        <v>162</v>
      </c>
      <c r="AP65" s="198" t="s">
        <v>475</v>
      </c>
      <c r="AS65" s="212">
        <v>0</v>
      </c>
      <c r="AT65" s="212">
        <v>4721.5839340237344</v>
      </c>
      <c r="AU65" s="212">
        <v>944.31678680474693</v>
      </c>
      <c r="AV65" s="212"/>
      <c r="AW65" s="212">
        <v>0</v>
      </c>
      <c r="AX65" s="212">
        <v>0</v>
      </c>
      <c r="BB65" s="212">
        <v>0</v>
      </c>
      <c r="BC65" s="212">
        <v>0</v>
      </c>
      <c r="BD65" s="212">
        <v>0</v>
      </c>
      <c r="BE65" s="212">
        <v>0</v>
      </c>
      <c r="BF65" s="226">
        <v>0</v>
      </c>
      <c r="BG65" s="226"/>
      <c r="BJ65" s="112"/>
      <c r="BK65" s="112"/>
    </row>
    <row r="66" spans="1:63" s="21" customFormat="1" ht="39.950000000000003" customHeight="1" x14ac:dyDescent="0.2">
      <c r="A66" s="13" t="s">
        <v>424</v>
      </c>
      <c r="B66" s="74" t="s">
        <v>67</v>
      </c>
      <c r="C66" s="66" t="s">
        <v>87</v>
      </c>
      <c r="D66" s="14" t="s">
        <v>541</v>
      </c>
      <c r="E66" s="130" t="s">
        <v>425</v>
      </c>
      <c r="F66" s="14" t="s">
        <v>439</v>
      </c>
      <c r="G66" s="131" t="s">
        <v>445</v>
      </c>
      <c r="H66" s="68" t="s">
        <v>463</v>
      </c>
      <c r="I66" s="66" t="s">
        <v>298</v>
      </c>
      <c r="J66" s="66" t="s">
        <v>218</v>
      </c>
      <c r="K66" s="65" t="s">
        <v>45</v>
      </c>
      <c r="L66" s="65" t="s">
        <v>191</v>
      </c>
      <c r="M66" s="65" t="s">
        <v>59</v>
      </c>
      <c r="N66" s="13" t="s">
        <v>43</v>
      </c>
      <c r="O66" s="13" t="s">
        <v>538</v>
      </c>
      <c r="P66" s="13" t="s">
        <v>534</v>
      </c>
      <c r="Q66" s="64" t="s">
        <v>9</v>
      </c>
      <c r="R66" s="62">
        <v>15738.613113412448</v>
      </c>
      <c r="S66" s="73">
        <v>9995.66</v>
      </c>
      <c r="T66" s="62">
        <v>15738.613113412448</v>
      </c>
      <c r="U66" s="62">
        <v>91283.956057792195</v>
      </c>
      <c r="V66" s="62">
        <v>1191573.4363687872</v>
      </c>
      <c r="W66" s="61" t="s">
        <v>11</v>
      </c>
      <c r="X66" s="181">
        <v>2.2499999999999999E-2</v>
      </c>
      <c r="Y66" s="60">
        <v>44006</v>
      </c>
      <c r="Z66" s="60">
        <v>47634</v>
      </c>
      <c r="AA66" s="60">
        <v>47634</v>
      </c>
      <c r="AB66" s="72">
        <v>3629</v>
      </c>
      <c r="AC66" s="59" t="s">
        <v>10</v>
      </c>
      <c r="AD66" s="58">
        <v>2800</v>
      </c>
      <c r="AE66" s="57">
        <v>7.6712328767123283</v>
      </c>
      <c r="AF66" s="56"/>
      <c r="AG66" s="71" t="s">
        <v>1</v>
      </c>
      <c r="AH66" s="71" t="s">
        <v>1</v>
      </c>
      <c r="AI66" s="187" t="s">
        <v>889</v>
      </c>
      <c r="AJ66" s="11" t="s">
        <v>0</v>
      </c>
      <c r="AK66" s="11" t="s">
        <v>271</v>
      </c>
      <c r="AL66" s="13" t="s">
        <v>426</v>
      </c>
      <c r="AM66" s="11">
        <v>8075</v>
      </c>
      <c r="AN66" s="11"/>
      <c r="AO66" s="197" t="s">
        <v>425</v>
      </c>
      <c r="AP66" s="198" t="s">
        <v>439</v>
      </c>
      <c r="AQ66" s="11">
        <v>1</v>
      </c>
      <c r="AR66" s="214">
        <v>7.4999999999999997E-2</v>
      </c>
      <c r="AS66" s="212">
        <v>1180.3959835059336</v>
      </c>
      <c r="AT66" s="212">
        <v>1888.6335736094936</v>
      </c>
      <c r="AU66" s="212" t="b">
        <v>0</v>
      </c>
      <c r="AV66" s="212"/>
      <c r="AW66" s="212">
        <v>1180.3959835059336</v>
      </c>
      <c r="AX66" s="212">
        <v>1104.110234365799</v>
      </c>
      <c r="AY66" s="12"/>
      <c r="BB66" s="259">
        <v>1180.3959835059336</v>
      </c>
      <c r="BC66" s="259">
        <v>1104.110234365799</v>
      </c>
      <c r="BD66" s="212">
        <v>1008.41691989136</v>
      </c>
      <c r="BE66" s="212">
        <v>1044.902963344804</v>
      </c>
      <c r="BF66" s="228">
        <v>1671.8447413516865</v>
      </c>
      <c r="BG66" s="228">
        <v>692.13732004429676</v>
      </c>
      <c r="BJ66" s="112"/>
      <c r="BK66" s="112"/>
    </row>
    <row r="67" spans="1:63" ht="39.950000000000003" customHeight="1" x14ac:dyDescent="0.2">
      <c r="A67" s="13" t="s">
        <v>465</v>
      </c>
      <c r="B67" s="74" t="s">
        <v>24</v>
      </c>
      <c r="C67" s="66" t="s">
        <v>34</v>
      </c>
      <c r="D67" s="14" t="s">
        <v>34</v>
      </c>
      <c r="E67" s="130" t="s">
        <v>34</v>
      </c>
      <c r="F67" s="14" t="s">
        <v>233</v>
      </c>
      <c r="G67" s="131" t="s">
        <v>443</v>
      </c>
      <c r="H67" s="131" t="s">
        <v>234</v>
      </c>
      <c r="I67" s="133" t="s">
        <v>706</v>
      </c>
      <c r="J67" s="66" t="s">
        <v>220</v>
      </c>
      <c r="K67" s="65" t="s">
        <v>29</v>
      </c>
      <c r="L67" s="65" t="s">
        <v>191</v>
      </c>
      <c r="M67" s="65" t="s">
        <v>323</v>
      </c>
      <c r="N67" s="13" t="s">
        <v>43</v>
      </c>
      <c r="O67" s="13" t="s">
        <v>538</v>
      </c>
      <c r="P67" s="13" t="s">
        <v>534</v>
      </c>
      <c r="Q67" s="64" t="s">
        <v>8</v>
      </c>
      <c r="R67" s="62">
        <v>15000</v>
      </c>
      <c r="S67" s="73">
        <v>15000</v>
      </c>
      <c r="T67" s="62">
        <v>15000</v>
      </c>
      <c r="U67" s="62">
        <v>95000</v>
      </c>
      <c r="V67" s="62">
        <v>426028.14</v>
      </c>
      <c r="W67" s="61" t="s">
        <v>11</v>
      </c>
      <c r="X67" s="181">
        <v>1.2500000000000001E-2</v>
      </c>
      <c r="Y67" s="60">
        <v>44014</v>
      </c>
      <c r="Z67" s="60">
        <v>45478</v>
      </c>
      <c r="AA67" s="60">
        <v>45478</v>
      </c>
      <c r="AB67" s="72">
        <v>1465</v>
      </c>
      <c r="AC67" s="59" t="s">
        <v>10</v>
      </c>
      <c r="AD67" s="58">
        <v>644</v>
      </c>
      <c r="AE67" s="57">
        <v>1.7643835616438357</v>
      </c>
      <c r="AF67" s="56"/>
      <c r="AG67" s="152" t="s">
        <v>1</v>
      </c>
      <c r="AH67" s="152" t="s">
        <v>1</v>
      </c>
      <c r="AI67" s="153" t="s">
        <v>0</v>
      </c>
      <c r="AJ67" s="11" t="s">
        <v>0</v>
      </c>
      <c r="AK67" s="154" t="s">
        <v>271</v>
      </c>
      <c r="AL67" s="13" t="s">
        <v>466</v>
      </c>
      <c r="AM67" s="11">
        <v>8000</v>
      </c>
      <c r="AO67" s="197" t="s">
        <v>34</v>
      </c>
      <c r="AP67" s="198" t="s">
        <v>233</v>
      </c>
      <c r="AS67" s="212">
        <v>0</v>
      </c>
      <c r="AT67" s="212">
        <v>1800</v>
      </c>
      <c r="AU67" s="212" t="b">
        <v>0</v>
      </c>
      <c r="AV67" s="212"/>
      <c r="AW67" s="212">
        <v>0</v>
      </c>
      <c r="AX67" s="212">
        <v>0</v>
      </c>
      <c r="BB67" s="212">
        <v>0</v>
      </c>
      <c r="BC67" s="212">
        <v>0</v>
      </c>
      <c r="BD67" s="212">
        <v>0</v>
      </c>
      <c r="BE67" s="212">
        <v>0</v>
      </c>
      <c r="BF67" s="226">
        <v>0</v>
      </c>
      <c r="BG67" s="226"/>
      <c r="BJ67" s="112"/>
      <c r="BK67" s="112"/>
    </row>
    <row r="68" spans="1:63" ht="39.950000000000003" customHeight="1" x14ac:dyDescent="0.2">
      <c r="A68" s="132" t="s">
        <v>520</v>
      </c>
      <c r="B68" s="132" t="s">
        <v>243</v>
      </c>
      <c r="C68" s="66" t="s">
        <v>87</v>
      </c>
      <c r="D68" s="131" t="s">
        <v>469</v>
      </c>
      <c r="E68" s="130" t="s">
        <v>413</v>
      </c>
      <c r="F68" s="66" t="s">
        <v>48</v>
      </c>
      <c r="G68" s="131" t="s">
        <v>95</v>
      </c>
      <c r="H68" s="130" t="s">
        <v>521</v>
      </c>
      <c r="I68" s="131" t="s">
        <v>522</v>
      </c>
      <c r="J68" s="133" t="s">
        <v>219</v>
      </c>
      <c r="K68" s="66" t="s">
        <v>45</v>
      </c>
      <c r="L68" s="134" t="s">
        <v>191</v>
      </c>
      <c r="M68" s="134" t="s">
        <v>59</v>
      </c>
      <c r="N68" s="132" t="s">
        <v>43</v>
      </c>
      <c r="O68" s="132" t="s">
        <v>538</v>
      </c>
      <c r="P68" s="132" t="s">
        <v>534</v>
      </c>
      <c r="Q68" s="135" t="s">
        <v>9</v>
      </c>
      <c r="R68" s="136">
        <v>15738.613113412448</v>
      </c>
      <c r="S68" s="73">
        <v>10000</v>
      </c>
      <c r="T68" s="136">
        <v>15738.613113412448</v>
      </c>
      <c r="U68" s="136">
        <v>157386.13113412447</v>
      </c>
      <c r="V68" s="136">
        <v>2053502.1404513835</v>
      </c>
      <c r="W68" s="147" t="s">
        <v>11</v>
      </c>
      <c r="X68" s="181">
        <v>3.7499999999999999E-2</v>
      </c>
      <c r="Y68" s="137">
        <v>44039</v>
      </c>
      <c r="Z68" s="137">
        <v>47238</v>
      </c>
      <c r="AA68" s="137">
        <v>47238</v>
      </c>
      <c r="AB68" s="138">
        <v>3200</v>
      </c>
      <c r="AC68" s="139" t="s">
        <v>10</v>
      </c>
      <c r="AD68" s="138">
        <v>2404</v>
      </c>
      <c r="AE68" s="140">
        <v>6.5863013698630137</v>
      </c>
      <c r="AF68" s="56"/>
      <c r="AG68" s="141" t="s">
        <v>1</v>
      </c>
      <c r="AH68" s="141" t="s">
        <v>1</v>
      </c>
      <c r="AI68" s="142" t="s">
        <v>523</v>
      </c>
      <c r="AJ68" s="11" t="s">
        <v>0</v>
      </c>
      <c r="AK68" s="154" t="s">
        <v>271</v>
      </c>
      <c r="AL68" s="132" t="s">
        <v>519</v>
      </c>
      <c r="AN68" s="52"/>
      <c r="AO68" s="197" t="s">
        <v>413</v>
      </c>
      <c r="AP68" s="198" t="s">
        <v>48</v>
      </c>
      <c r="AQ68" s="201"/>
      <c r="AS68" s="212">
        <v>0</v>
      </c>
      <c r="AT68" s="212">
        <v>1888.6335736094936</v>
      </c>
      <c r="AU68" s="212" t="b">
        <v>0</v>
      </c>
      <c r="AV68" s="212"/>
      <c r="AW68" s="212">
        <v>0</v>
      </c>
      <c r="AX68" s="212">
        <v>0</v>
      </c>
      <c r="BB68" s="212">
        <v>0</v>
      </c>
      <c r="BC68" s="212">
        <v>0</v>
      </c>
      <c r="BD68" s="212">
        <v>0</v>
      </c>
      <c r="BE68" s="212">
        <v>0</v>
      </c>
      <c r="BF68" s="226">
        <v>0</v>
      </c>
      <c r="BG68" s="226"/>
      <c r="BJ68" s="112"/>
      <c r="BK68" s="112"/>
    </row>
    <row r="69" spans="1:63" ht="39.950000000000003" customHeight="1" x14ac:dyDescent="0.2">
      <c r="A69" s="13" t="s">
        <v>492</v>
      </c>
      <c r="B69" s="74" t="s">
        <v>24</v>
      </c>
      <c r="C69" s="66" t="s">
        <v>34</v>
      </c>
      <c r="D69" s="14" t="s">
        <v>34</v>
      </c>
      <c r="E69" s="130" t="s">
        <v>34</v>
      </c>
      <c r="F69" s="14" t="s">
        <v>102</v>
      </c>
      <c r="G69" s="131" t="s">
        <v>102</v>
      </c>
      <c r="H69" s="130" t="s">
        <v>122</v>
      </c>
      <c r="I69" s="66" t="s">
        <v>70</v>
      </c>
      <c r="J69" s="66" t="s">
        <v>218</v>
      </c>
      <c r="K69" s="65" t="s">
        <v>101</v>
      </c>
      <c r="L69" s="65" t="s">
        <v>191</v>
      </c>
      <c r="M69" s="65" t="s">
        <v>323</v>
      </c>
      <c r="N69" s="13" t="s">
        <v>43</v>
      </c>
      <c r="O69" s="13" t="s">
        <v>531</v>
      </c>
      <c r="P69" s="13" t="s">
        <v>534</v>
      </c>
      <c r="Q69" s="64" t="s">
        <v>8</v>
      </c>
      <c r="R69" s="62">
        <v>25000</v>
      </c>
      <c r="S69" s="73">
        <v>25000</v>
      </c>
      <c r="T69" s="62">
        <v>25000</v>
      </c>
      <c r="U69" s="62">
        <v>50000</v>
      </c>
      <c r="V69" s="62">
        <v>1166537.21</v>
      </c>
      <c r="W69" s="61" t="s">
        <v>11</v>
      </c>
      <c r="X69" s="181">
        <v>1.7999999999999999E-2</v>
      </c>
      <c r="Y69" s="60">
        <v>44064</v>
      </c>
      <c r="Z69" s="60">
        <v>45674</v>
      </c>
      <c r="AA69" s="60">
        <v>45674</v>
      </c>
      <c r="AB69" s="72">
        <v>1611</v>
      </c>
      <c r="AC69" s="59" t="s">
        <v>10</v>
      </c>
      <c r="AD69" s="58">
        <v>840</v>
      </c>
      <c r="AE69" s="57">
        <v>2.3013698630136985</v>
      </c>
      <c r="AF69" s="56" t="s">
        <v>436</v>
      </c>
      <c r="AG69" s="71" t="s">
        <v>1</v>
      </c>
      <c r="AH69" s="71" t="s">
        <v>1</v>
      </c>
      <c r="AI69" s="70" t="s">
        <v>0</v>
      </c>
      <c r="AJ69" s="11" t="s">
        <v>0</v>
      </c>
      <c r="AK69" s="11" t="s">
        <v>271</v>
      </c>
      <c r="AL69" s="13" t="s">
        <v>478</v>
      </c>
      <c r="AM69" s="11">
        <v>8815</v>
      </c>
      <c r="AN69" s="52">
        <v>125000</v>
      </c>
      <c r="AO69" s="197" t="s">
        <v>34</v>
      </c>
      <c r="AP69" s="198" t="s">
        <v>102</v>
      </c>
      <c r="AQ69" s="201"/>
      <c r="AS69" s="212">
        <v>0</v>
      </c>
      <c r="AT69" s="212">
        <v>3000</v>
      </c>
      <c r="AU69" s="212">
        <v>600</v>
      </c>
      <c r="AV69" s="212"/>
      <c r="AW69" s="212">
        <v>0</v>
      </c>
      <c r="AX69" s="212">
        <v>0</v>
      </c>
      <c r="BB69" s="212">
        <v>0</v>
      </c>
      <c r="BC69" s="212">
        <v>0</v>
      </c>
      <c r="BD69" s="212">
        <v>0</v>
      </c>
      <c r="BE69" s="212">
        <v>0</v>
      </c>
      <c r="BF69" s="226">
        <v>0</v>
      </c>
      <c r="BG69" s="226"/>
      <c r="BJ69" s="112"/>
      <c r="BK69" s="112"/>
    </row>
    <row r="70" spans="1:63" ht="39.950000000000003" customHeight="1" x14ac:dyDescent="0.2">
      <c r="A70" s="14" t="s">
        <v>501</v>
      </c>
      <c r="B70" s="13" t="s">
        <v>51</v>
      </c>
      <c r="C70" s="66" t="s">
        <v>38</v>
      </c>
      <c r="D70" s="14" t="s">
        <v>541</v>
      </c>
      <c r="E70" s="66" t="s">
        <v>38</v>
      </c>
      <c r="F70" s="14" t="s">
        <v>547</v>
      </c>
      <c r="G70" s="131" t="s">
        <v>124</v>
      </c>
      <c r="H70" s="130" t="s">
        <v>123</v>
      </c>
      <c r="I70" s="66" t="s">
        <v>502</v>
      </c>
      <c r="J70" s="66" t="s">
        <v>219</v>
      </c>
      <c r="K70" s="65" t="s">
        <v>29</v>
      </c>
      <c r="L70" s="65" t="s">
        <v>191</v>
      </c>
      <c r="M70" s="66" t="s">
        <v>323</v>
      </c>
      <c r="N70" s="14" t="s">
        <v>43</v>
      </c>
      <c r="O70" s="14" t="s">
        <v>533</v>
      </c>
      <c r="P70" s="14" t="s">
        <v>532</v>
      </c>
      <c r="Q70" s="64" t="s">
        <v>9</v>
      </c>
      <c r="R70" s="62">
        <v>21561.899965375054</v>
      </c>
      <c r="S70" s="73">
        <v>1100</v>
      </c>
      <c r="T70" s="62">
        <v>1100</v>
      </c>
      <c r="U70" s="62">
        <v>133778.21146400581</v>
      </c>
      <c r="V70" s="62">
        <v>275204.3029368252</v>
      </c>
      <c r="W70" s="61" t="s">
        <v>11</v>
      </c>
      <c r="X70" s="181">
        <v>1.0999999999999999E-2</v>
      </c>
      <c r="Y70" s="60">
        <v>44084</v>
      </c>
      <c r="Z70" s="60">
        <v>45208</v>
      </c>
      <c r="AA70" s="60">
        <v>45208</v>
      </c>
      <c r="AB70" s="72">
        <v>1125</v>
      </c>
      <c r="AC70" s="59" t="s">
        <v>10</v>
      </c>
      <c r="AD70" s="58">
        <v>374</v>
      </c>
      <c r="AE70" s="57">
        <v>1.0246575342465754</v>
      </c>
      <c r="AF70" s="56"/>
      <c r="AG70" s="152" t="s">
        <v>1</v>
      </c>
      <c r="AH70" s="152" t="s">
        <v>182</v>
      </c>
      <c r="AI70" s="263" t="s">
        <v>880</v>
      </c>
      <c r="AJ70" s="11" t="s">
        <v>0</v>
      </c>
      <c r="AK70" s="154" t="s">
        <v>271</v>
      </c>
      <c r="AL70" s="13" t="s">
        <v>504</v>
      </c>
      <c r="AN70" s="52">
        <v>23607.91967011867</v>
      </c>
      <c r="AO70" s="197" t="s">
        <v>38</v>
      </c>
      <c r="AP70" s="198" t="s">
        <v>547</v>
      </c>
      <c r="AQ70" s="201"/>
      <c r="AS70" s="212">
        <v>0</v>
      </c>
      <c r="AT70" s="212">
        <v>132</v>
      </c>
      <c r="AU70" s="212" t="b">
        <v>0</v>
      </c>
      <c r="AV70" s="212"/>
      <c r="AW70" s="212">
        <v>0</v>
      </c>
      <c r="AX70" s="212">
        <v>0</v>
      </c>
      <c r="BB70" s="212">
        <v>0</v>
      </c>
      <c r="BC70" s="212">
        <v>0</v>
      </c>
      <c r="BD70" s="212">
        <v>0</v>
      </c>
      <c r="BE70" s="212">
        <v>0</v>
      </c>
      <c r="BF70" s="226">
        <v>0</v>
      </c>
      <c r="BG70" s="226"/>
      <c r="BJ70" s="112"/>
      <c r="BK70" s="112"/>
    </row>
    <row r="71" spans="1:63" ht="39.950000000000003" customHeight="1" x14ac:dyDescent="0.2">
      <c r="A71" s="13" t="s">
        <v>491</v>
      </c>
      <c r="B71" s="74" t="s">
        <v>67</v>
      </c>
      <c r="C71" s="66" t="s">
        <v>87</v>
      </c>
      <c r="D71" s="14" t="s">
        <v>499</v>
      </c>
      <c r="E71" s="130" t="s">
        <v>162</v>
      </c>
      <c r="F71" s="14" t="s">
        <v>891</v>
      </c>
      <c r="G71" s="14" t="s">
        <v>167</v>
      </c>
      <c r="H71" s="130" t="s">
        <v>167</v>
      </c>
      <c r="I71" s="66" t="s">
        <v>298</v>
      </c>
      <c r="J71" s="14" t="s">
        <v>218</v>
      </c>
      <c r="K71" s="65" t="s">
        <v>209</v>
      </c>
      <c r="L71" s="65" t="s">
        <v>191</v>
      </c>
      <c r="M71" s="65" t="s">
        <v>59</v>
      </c>
      <c r="N71" s="13" t="s">
        <v>43</v>
      </c>
      <c r="O71" s="13" t="s">
        <v>538</v>
      </c>
      <c r="P71" s="13" t="s">
        <v>534</v>
      </c>
      <c r="Q71" s="64" t="s">
        <v>9</v>
      </c>
      <c r="R71" s="62">
        <v>31477.226226824896</v>
      </c>
      <c r="S71" s="73">
        <v>20000</v>
      </c>
      <c r="T71" s="62">
        <v>31477.226226824896</v>
      </c>
      <c r="U71" s="62">
        <v>118039.59835059335</v>
      </c>
      <c r="V71" s="62">
        <v>1309753.2185463819</v>
      </c>
      <c r="W71" s="61" t="s">
        <v>11</v>
      </c>
      <c r="X71" s="181">
        <v>3.5000000000000003E-2</v>
      </c>
      <c r="Y71" s="60">
        <v>44088</v>
      </c>
      <c r="Z71" s="60">
        <v>45151</v>
      </c>
      <c r="AA71" s="60">
        <v>45151</v>
      </c>
      <c r="AB71" s="72">
        <v>1064</v>
      </c>
      <c r="AC71" s="59" t="s">
        <v>10</v>
      </c>
      <c r="AD71" s="58">
        <v>317</v>
      </c>
      <c r="AE71" s="57">
        <v>0.86849315068493149</v>
      </c>
      <c r="AF71" s="56" t="s">
        <v>436</v>
      </c>
      <c r="AG71" s="71" t="s">
        <v>1</v>
      </c>
      <c r="AH71" s="71" t="s">
        <v>1</v>
      </c>
      <c r="AI71" s="70" t="s">
        <v>0</v>
      </c>
      <c r="AJ71" s="11" t="s">
        <v>0</v>
      </c>
      <c r="AK71" s="11" t="s">
        <v>271</v>
      </c>
      <c r="AL71" s="13" t="s">
        <v>484</v>
      </c>
      <c r="AM71" s="11">
        <v>9855</v>
      </c>
      <c r="AN71" s="52">
        <v>100000</v>
      </c>
      <c r="AO71" s="197" t="s">
        <v>162</v>
      </c>
      <c r="AP71" s="198" t="s">
        <v>891</v>
      </c>
      <c r="AQ71" s="201"/>
      <c r="AS71" s="212">
        <v>0</v>
      </c>
      <c r="AT71" s="212">
        <v>3777.2671472189872</v>
      </c>
      <c r="AU71" s="212">
        <v>755.45342944379752</v>
      </c>
      <c r="AV71" s="212"/>
      <c r="AW71" s="212">
        <v>0</v>
      </c>
      <c r="AX71" s="212">
        <v>0</v>
      </c>
      <c r="BB71" s="212">
        <v>0</v>
      </c>
      <c r="BC71" s="212">
        <v>0</v>
      </c>
      <c r="BD71" s="212">
        <v>0</v>
      </c>
      <c r="BE71" s="212">
        <v>0</v>
      </c>
      <c r="BF71" s="226">
        <v>0</v>
      </c>
      <c r="BG71" s="226"/>
      <c r="BJ71" s="112"/>
      <c r="BK71" s="112"/>
    </row>
    <row r="72" spans="1:63" ht="39.950000000000003" customHeight="1" x14ac:dyDescent="0.2">
      <c r="A72" s="13" t="s">
        <v>493</v>
      </c>
      <c r="B72" s="69" t="s">
        <v>243</v>
      </c>
      <c r="C72" s="66" t="s">
        <v>87</v>
      </c>
      <c r="D72" s="14" t="s">
        <v>542</v>
      </c>
      <c r="E72" s="130" t="s">
        <v>308</v>
      </c>
      <c r="F72" s="14" t="s">
        <v>102</v>
      </c>
      <c r="G72" s="131" t="s">
        <v>102</v>
      </c>
      <c r="H72" s="130" t="s">
        <v>473</v>
      </c>
      <c r="I72" s="66" t="s">
        <v>298</v>
      </c>
      <c r="J72" s="66" t="s">
        <v>218</v>
      </c>
      <c r="K72" s="128" t="s">
        <v>101</v>
      </c>
      <c r="L72" s="65" t="s">
        <v>191</v>
      </c>
      <c r="M72" s="65" t="s">
        <v>59</v>
      </c>
      <c r="N72" s="13" t="s">
        <v>43</v>
      </c>
      <c r="O72" s="13" t="s">
        <v>533</v>
      </c>
      <c r="P72" s="13" t="s">
        <v>534</v>
      </c>
      <c r="Q72" s="64" t="s">
        <v>487</v>
      </c>
      <c r="R72" s="62">
        <v>23540.627750073338</v>
      </c>
      <c r="S72" s="63">
        <v>160500</v>
      </c>
      <c r="T72" s="62">
        <v>23540.627750073338</v>
      </c>
      <c r="U72" s="62">
        <v>145203.87210325609</v>
      </c>
      <c r="V72" s="62">
        <v>1394578.1754180111</v>
      </c>
      <c r="W72" s="61" t="s">
        <v>11</v>
      </c>
      <c r="X72" s="181">
        <v>2.5000000000000001E-2</v>
      </c>
      <c r="Y72" s="60">
        <v>44091</v>
      </c>
      <c r="Z72" s="60">
        <v>45595</v>
      </c>
      <c r="AA72" s="60">
        <v>45595</v>
      </c>
      <c r="AB72" s="58">
        <v>1505</v>
      </c>
      <c r="AC72" s="59" t="s">
        <v>10</v>
      </c>
      <c r="AD72" s="58">
        <v>761</v>
      </c>
      <c r="AE72" s="57">
        <v>2.0849315068493151</v>
      </c>
      <c r="AF72" s="56" t="s">
        <v>436</v>
      </c>
      <c r="AG72" s="55" t="s">
        <v>1</v>
      </c>
      <c r="AH72" s="55" t="s">
        <v>1</v>
      </c>
      <c r="AI72" s="54" t="s">
        <v>0</v>
      </c>
      <c r="AJ72" s="11" t="s">
        <v>0</v>
      </c>
      <c r="AK72" s="53" t="s">
        <v>271</v>
      </c>
      <c r="AL72" s="13" t="s">
        <v>483</v>
      </c>
      <c r="AM72" s="11">
        <v>900</v>
      </c>
      <c r="AN72" s="52"/>
      <c r="AO72" s="197" t="s">
        <v>308</v>
      </c>
      <c r="AP72" s="198" t="s">
        <v>102</v>
      </c>
      <c r="AQ72" s="201"/>
      <c r="AS72" s="212">
        <v>0</v>
      </c>
      <c r="AT72" s="212">
        <v>2824.8753300088006</v>
      </c>
      <c r="AU72" s="212">
        <v>564.97506600176018</v>
      </c>
      <c r="AV72" s="212"/>
      <c r="AW72" s="212">
        <v>0</v>
      </c>
      <c r="AX72" s="212">
        <v>0</v>
      </c>
      <c r="BB72" s="212">
        <v>0</v>
      </c>
      <c r="BC72" s="212">
        <v>0</v>
      </c>
      <c r="BD72" s="212">
        <v>0</v>
      </c>
      <c r="BE72" s="212">
        <v>0</v>
      </c>
      <c r="BF72" s="226">
        <v>0</v>
      </c>
      <c r="BG72" s="226"/>
      <c r="BJ72" s="112"/>
      <c r="BK72" s="112"/>
    </row>
    <row r="73" spans="1:63" ht="39.950000000000003" customHeight="1" x14ac:dyDescent="0.2">
      <c r="A73" s="13" t="s">
        <v>497</v>
      </c>
      <c r="B73" s="69" t="s">
        <v>24</v>
      </c>
      <c r="C73" s="66" t="s">
        <v>34</v>
      </c>
      <c r="D73" s="14" t="s">
        <v>34</v>
      </c>
      <c r="E73" s="14" t="s">
        <v>34</v>
      </c>
      <c r="F73" s="14" t="s">
        <v>92</v>
      </c>
      <c r="G73" s="131" t="s">
        <v>100</v>
      </c>
      <c r="H73" s="14" t="s">
        <v>100</v>
      </c>
      <c r="I73" s="66" t="s">
        <v>232</v>
      </c>
      <c r="J73" s="66" t="s">
        <v>21</v>
      </c>
      <c r="K73" s="65" t="s">
        <v>44</v>
      </c>
      <c r="L73" s="65" t="s">
        <v>191</v>
      </c>
      <c r="M73" s="65" t="s">
        <v>323</v>
      </c>
      <c r="N73" s="13" t="s">
        <v>43</v>
      </c>
      <c r="O73" s="13" t="s">
        <v>531</v>
      </c>
      <c r="P73" s="13" t="s">
        <v>534</v>
      </c>
      <c r="Q73" s="64" t="s">
        <v>8</v>
      </c>
      <c r="R73" s="62">
        <v>25000</v>
      </c>
      <c r="S73" s="63">
        <v>25000</v>
      </c>
      <c r="T73" s="62">
        <v>25000</v>
      </c>
      <c r="U73" s="62">
        <v>93608.577000000005</v>
      </c>
      <c r="V73" s="62">
        <v>1139545</v>
      </c>
      <c r="W73" s="61" t="s">
        <v>551</v>
      </c>
      <c r="X73" s="181">
        <v>3.5000000000000003E-2</v>
      </c>
      <c r="Y73" s="60">
        <v>44097</v>
      </c>
      <c r="Z73" s="60">
        <v>45277</v>
      </c>
      <c r="AA73" s="60">
        <v>45277</v>
      </c>
      <c r="AB73" s="58">
        <v>1181</v>
      </c>
      <c r="AC73" s="59" t="s">
        <v>10</v>
      </c>
      <c r="AD73" s="58">
        <v>443</v>
      </c>
      <c r="AE73" s="57">
        <v>1.2136986301369863</v>
      </c>
      <c r="AF73" s="56"/>
      <c r="AG73" s="55" t="s">
        <v>1</v>
      </c>
      <c r="AH73" s="55" t="s">
        <v>1</v>
      </c>
      <c r="AI73" s="54" t="s">
        <v>0</v>
      </c>
      <c r="AJ73" s="11" t="s">
        <v>0</v>
      </c>
      <c r="AK73" s="53" t="s">
        <v>271</v>
      </c>
      <c r="AL73" s="13" t="s">
        <v>486</v>
      </c>
      <c r="AM73" s="11">
        <v>17910</v>
      </c>
      <c r="AN73" s="52">
        <v>35000</v>
      </c>
      <c r="AO73" s="197" t="s">
        <v>34</v>
      </c>
      <c r="AP73" s="198" t="s">
        <v>92</v>
      </c>
      <c r="AQ73" s="199">
        <v>1</v>
      </c>
      <c r="AR73" s="214">
        <v>2.5000000000000001E-2</v>
      </c>
      <c r="AS73" s="212">
        <v>625</v>
      </c>
      <c r="AT73" s="212">
        <v>3000</v>
      </c>
      <c r="AU73" s="212" t="b">
        <v>0</v>
      </c>
      <c r="AV73" s="212"/>
      <c r="AW73" s="212">
        <v>625</v>
      </c>
      <c r="AX73" s="212">
        <v>625</v>
      </c>
      <c r="AY73" s="12"/>
      <c r="BB73" s="212">
        <v>625</v>
      </c>
      <c r="BC73" s="212">
        <v>625</v>
      </c>
      <c r="BD73" s="212">
        <v>1250</v>
      </c>
      <c r="BE73" s="212">
        <v>1250</v>
      </c>
      <c r="BF73" s="226">
        <v>1250</v>
      </c>
      <c r="BG73" s="226">
        <v>1250</v>
      </c>
      <c r="BJ73" s="112"/>
      <c r="BK73" s="112"/>
    </row>
    <row r="74" spans="1:63" ht="39.950000000000003" customHeight="1" x14ac:dyDescent="0.2">
      <c r="A74" s="13" t="s">
        <v>494</v>
      </c>
      <c r="B74" s="69" t="s">
        <v>243</v>
      </c>
      <c r="C74" s="66" t="s">
        <v>87</v>
      </c>
      <c r="D74" s="14" t="s">
        <v>541</v>
      </c>
      <c r="E74" s="130" t="s">
        <v>152</v>
      </c>
      <c r="F74" s="14" t="s">
        <v>439</v>
      </c>
      <c r="G74" s="131" t="s">
        <v>445</v>
      </c>
      <c r="H74" s="14" t="s">
        <v>463</v>
      </c>
      <c r="I74" s="14" t="s">
        <v>298</v>
      </c>
      <c r="J74" s="66" t="s">
        <v>218</v>
      </c>
      <c r="K74" s="65" t="s">
        <v>209</v>
      </c>
      <c r="L74" s="65" t="s">
        <v>191</v>
      </c>
      <c r="M74" s="13" t="s">
        <v>59</v>
      </c>
      <c r="N74" s="65" t="s">
        <v>43</v>
      </c>
      <c r="O74" s="65" t="s">
        <v>531</v>
      </c>
      <c r="P74" s="65" t="s">
        <v>534</v>
      </c>
      <c r="Q74" s="64" t="s">
        <v>488</v>
      </c>
      <c r="R74" s="62">
        <v>19929.629431368481</v>
      </c>
      <c r="S74" s="63">
        <v>1843650</v>
      </c>
      <c r="T74" s="62">
        <v>19929.629431368481</v>
      </c>
      <c r="U74" s="62">
        <v>150041.09050383451</v>
      </c>
      <c r="V74" s="62">
        <v>386879.50334064109</v>
      </c>
      <c r="W74" s="61" t="s">
        <v>11</v>
      </c>
      <c r="X74" s="181">
        <v>0.02</v>
      </c>
      <c r="Y74" s="60">
        <v>44099</v>
      </c>
      <c r="Z74" s="60">
        <v>45539</v>
      </c>
      <c r="AA74" s="60">
        <v>45539</v>
      </c>
      <c r="AB74" s="58">
        <v>1441</v>
      </c>
      <c r="AC74" s="59" t="s">
        <v>10</v>
      </c>
      <c r="AD74" s="58">
        <v>705</v>
      </c>
      <c r="AE74" s="57">
        <v>1.9315068493150684</v>
      </c>
      <c r="AF74" s="56" t="s">
        <v>436</v>
      </c>
      <c r="AG74" s="55" t="s">
        <v>1</v>
      </c>
      <c r="AH74" s="55" t="s">
        <v>1</v>
      </c>
      <c r="AI74" s="54" t="s">
        <v>0</v>
      </c>
      <c r="AJ74" s="11" t="s">
        <v>0</v>
      </c>
      <c r="AK74" s="53" t="s">
        <v>271</v>
      </c>
      <c r="AL74" s="13" t="s">
        <v>485</v>
      </c>
      <c r="AN74" s="52"/>
      <c r="AO74" s="197" t="s">
        <v>152</v>
      </c>
      <c r="AP74" s="198" t="s">
        <v>439</v>
      </c>
      <c r="AQ74" s="201"/>
      <c r="AS74" s="212">
        <v>0</v>
      </c>
      <c r="AT74" s="212">
        <v>2391.5555317642174</v>
      </c>
      <c r="AU74" s="212">
        <v>478.31110635284352</v>
      </c>
      <c r="AV74" s="212"/>
      <c r="AW74" s="212">
        <v>0</v>
      </c>
      <c r="AX74" s="212">
        <v>0</v>
      </c>
      <c r="BB74" s="212">
        <v>0</v>
      </c>
      <c r="BC74" s="212">
        <v>0</v>
      </c>
      <c r="BD74" s="212">
        <v>0</v>
      </c>
      <c r="BE74" s="212">
        <v>0</v>
      </c>
      <c r="BF74" s="226">
        <v>0</v>
      </c>
      <c r="BG74" s="226"/>
      <c r="BJ74" s="112"/>
      <c r="BK74" s="112"/>
    </row>
    <row r="75" spans="1:63" ht="39.950000000000003" customHeight="1" x14ac:dyDescent="0.2">
      <c r="A75" s="131" t="s">
        <v>505</v>
      </c>
      <c r="B75" s="132" t="s">
        <v>24</v>
      </c>
      <c r="C75" s="66" t="s">
        <v>162</v>
      </c>
      <c r="D75" s="14" t="s">
        <v>499</v>
      </c>
      <c r="E75" s="130" t="s">
        <v>162</v>
      </c>
      <c r="F75" s="14" t="s">
        <v>48</v>
      </c>
      <c r="G75" s="131" t="s">
        <v>95</v>
      </c>
      <c r="H75" s="130" t="s">
        <v>447</v>
      </c>
      <c r="I75" s="131" t="s">
        <v>506</v>
      </c>
      <c r="J75" s="131" t="s">
        <v>221</v>
      </c>
      <c r="K75" s="171" t="s">
        <v>209</v>
      </c>
      <c r="L75" s="134" t="s">
        <v>191</v>
      </c>
      <c r="M75" s="134" t="s">
        <v>59</v>
      </c>
      <c r="N75" s="132" t="s">
        <v>43</v>
      </c>
      <c r="O75" s="132" t="s">
        <v>538</v>
      </c>
      <c r="P75" s="132" t="s">
        <v>534</v>
      </c>
      <c r="Q75" s="135" t="s">
        <v>9</v>
      </c>
      <c r="R75" s="136">
        <v>15738.613113412448</v>
      </c>
      <c r="S75" s="73">
        <v>10000</v>
      </c>
      <c r="T75" s="136">
        <v>15738.613113412448</v>
      </c>
      <c r="U75" s="136">
        <v>146841.26034813814</v>
      </c>
      <c r="V75" s="136">
        <v>363565.11064245022</v>
      </c>
      <c r="W75" s="61" t="s">
        <v>11</v>
      </c>
      <c r="X75" s="181">
        <v>2.5000000000000001E-2</v>
      </c>
      <c r="Y75" s="137">
        <v>44136</v>
      </c>
      <c r="Z75" s="137">
        <v>45504</v>
      </c>
      <c r="AA75" s="137">
        <v>45504</v>
      </c>
      <c r="AB75" s="58">
        <v>1369</v>
      </c>
      <c r="AC75" s="59" t="s">
        <v>10</v>
      </c>
      <c r="AD75" s="138">
        <v>670</v>
      </c>
      <c r="AE75" s="140">
        <v>1.8356164383561644</v>
      </c>
      <c r="AF75" s="56"/>
      <c r="AG75" s="141" t="s">
        <v>1</v>
      </c>
      <c r="AH75" s="141" t="s">
        <v>1</v>
      </c>
      <c r="AI75" s="142" t="s">
        <v>0</v>
      </c>
      <c r="AJ75" s="11" t="s">
        <v>0</v>
      </c>
      <c r="AK75" s="144" t="s">
        <v>271</v>
      </c>
      <c r="AL75" s="132" t="s">
        <v>507</v>
      </c>
      <c r="AN75" s="52"/>
      <c r="AO75" s="197" t="s">
        <v>162</v>
      </c>
      <c r="AP75" s="198" t="s">
        <v>48</v>
      </c>
      <c r="AQ75" s="201"/>
      <c r="AS75" s="212">
        <v>0</v>
      </c>
      <c r="AT75" s="212">
        <v>1888.6335736094936</v>
      </c>
      <c r="AU75" s="212" t="b">
        <v>0</v>
      </c>
      <c r="AV75" s="212"/>
      <c r="AW75" s="212">
        <v>0</v>
      </c>
      <c r="AX75" s="212">
        <v>0</v>
      </c>
      <c r="BB75" s="212">
        <v>0</v>
      </c>
      <c r="BC75" s="212">
        <v>0</v>
      </c>
      <c r="BD75" s="212">
        <v>0</v>
      </c>
      <c r="BE75" s="212">
        <v>0</v>
      </c>
      <c r="BF75" s="226">
        <v>0</v>
      </c>
      <c r="BG75" s="226"/>
      <c r="BJ75" s="112"/>
      <c r="BK75" s="112"/>
    </row>
    <row r="76" spans="1:63" ht="39.950000000000003" customHeight="1" x14ac:dyDescent="0.2">
      <c r="A76" s="131" t="s">
        <v>511</v>
      </c>
      <c r="B76" s="132" t="s">
        <v>67</v>
      </c>
      <c r="C76" s="133" t="s">
        <v>127</v>
      </c>
      <c r="D76" s="14" t="s">
        <v>542</v>
      </c>
      <c r="E76" s="161" t="s">
        <v>127</v>
      </c>
      <c r="F76" s="14" t="s">
        <v>892</v>
      </c>
      <c r="G76" s="131" t="s">
        <v>259</v>
      </c>
      <c r="H76" s="14" t="s">
        <v>258</v>
      </c>
      <c r="I76" s="66" t="s">
        <v>158</v>
      </c>
      <c r="J76" s="66" t="s">
        <v>220</v>
      </c>
      <c r="K76" s="13" t="s">
        <v>45</v>
      </c>
      <c r="L76" s="65" t="s">
        <v>191</v>
      </c>
      <c r="M76" s="134" t="s">
        <v>59</v>
      </c>
      <c r="N76" s="132" t="s">
        <v>43</v>
      </c>
      <c r="O76" s="132" t="s">
        <v>533</v>
      </c>
      <c r="P76" s="13" t="s">
        <v>548</v>
      </c>
      <c r="Q76" s="135" t="s">
        <v>59</v>
      </c>
      <c r="R76" s="136">
        <v>22963.518623413605</v>
      </c>
      <c r="S76" s="73">
        <v>15000</v>
      </c>
      <c r="T76" s="136">
        <v>22963.518623413605</v>
      </c>
      <c r="U76" s="136">
        <v>324551.06321091228</v>
      </c>
      <c r="V76" s="136">
        <v>1048873.9915188071</v>
      </c>
      <c r="W76" s="61" t="s">
        <v>11</v>
      </c>
      <c r="X76" s="181">
        <v>1.17E-2</v>
      </c>
      <c r="Y76" s="137">
        <v>44146</v>
      </c>
      <c r="Z76" s="137">
        <v>46640</v>
      </c>
      <c r="AA76" s="137">
        <v>46640</v>
      </c>
      <c r="AB76" s="138">
        <v>2495</v>
      </c>
      <c r="AC76" s="59" t="s">
        <v>10</v>
      </c>
      <c r="AD76" s="138">
        <v>1806</v>
      </c>
      <c r="AE76" s="140">
        <v>4.9479452054794519</v>
      </c>
      <c r="AF76" s="56"/>
      <c r="AG76" s="141" t="s">
        <v>1</v>
      </c>
      <c r="AH76" s="141" t="s">
        <v>1</v>
      </c>
      <c r="AI76" s="142" t="s">
        <v>0</v>
      </c>
      <c r="AJ76" s="11" t="s">
        <v>0</v>
      </c>
      <c r="AK76" s="144" t="s">
        <v>271</v>
      </c>
      <c r="AL76" s="132" t="s">
        <v>512</v>
      </c>
      <c r="AN76" s="52"/>
      <c r="AO76" s="197" t="s">
        <v>127</v>
      </c>
      <c r="AP76" s="198" t="s">
        <v>892</v>
      </c>
      <c r="AQ76" s="201"/>
      <c r="AS76" s="212">
        <v>0</v>
      </c>
      <c r="AT76" s="212">
        <v>2755.6222348096326</v>
      </c>
      <c r="AU76" s="212" t="b">
        <v>0</v>
      </c>
      <c r="AV76" s="212"/>
      <c r="AW76" s="212">
        <v>0</v>
      </c>
      <c r="AX76" s="212">
        <v>0</v>
      </c>
      <c r="BB76" s="212">
        <v>0</v>
      </c>
      <c r="BC76" s="212">
        <v>0</v>
      </c>
      <c r="BD76" s="212">
        <v>0</v>
      </c>
      <c r="BE76" s="212">
        <v>0</v>
      </c>
      <c r="BF76" s="226">
        <v>0</v>
      </c>
      <c r="BG76" s="226"/>
      <c r="BJ76" s="112"/>
      <c r="BK76" s="112"/>
    </row>
    <row r="77" spans="1:63" ht="39.950000000000003" customHeight="1" x14ac:dyDescent="0.2">
      <c r="A77" s="131" t="s">
        <v>508</v>
      </c>
      <c r="B77" s="132" t="s">
        <v>243</v>
      </c>
      <c r="C77" s="66" t="s">
        <v>162</v>
      </c>
      <c r="D77" s="14" t="s">
        <v>499</v>
      </c>
      <c r="E77" s="130" t="s">
        <v>162</v>
      </c>
      <c r="F77" s="14" t="s">
        <v>102</v>
      </c>
      <c r="G77" s="131" t="s">
        <v>102</v>
      </c>
      <c r="H77" s="130" t="s">
        <v>103</v>
      </c>
      <c r="I77" s="131" t="s">
        <v>509</v>
      </c>
      <c r="J77" s="133" t="s">
        <v>222</v>
      </c>
      <c r="K77" s="65" t="s">
        <v>101</v>
      </c>
      <c r="L77" s="134" t="s">
        <v>191</v>
      </c>
      <c r="M77" s="134" t="s">
        <v>59</v>
      </c>
      <c r="N77" s="132" t="s">
        <v>43</v>
      </c>
      <c r="O77" s="132" t="s">
        <v>531</v>
      </c>
      <c r="P77" s="132" t="s">
        <v>534</v>
      </c>
      <c r="Q77" s="135" t="s">
        <v>9</v>
      </c>
      <c r="R77" s="136">
        <v>31477.226226824896</v>
      </c>
      <c r="S77" s="73">
        <v>20000</v>
      </c>
      <c r="T77" s="136">
        <v>31477.226226824896</v>
      </c>
      <c r="U77" s="136">
        <v>118039.59835059335</v>
      </c>
      <c r="V77" s="136">
        <v>764347</v>
      </c>
      <c r="W77" s="61" t="s">
        <v>11</v>
      </c>
      <c r="X77" s="181">
        <v>1.6E-2</v>
      </c>
      <c r="Y77" s="137">
        <v>44148</v>
      </c>
      <c r="Z77" s="137">
        <v>45734</v>
      </c>
      <c r="AA77" s="137">
        <v>45734</v>
      </c>
      <c r="AB77" s="58">
        <v>1587</v>
      </c>
      <c r="AC77" s="59" t="s">
        <v>10</v>
      </c>
      <c r="AD77" s="138">
        <v>900</v>
      </c>
      <c r="AE77" s="140">
        <v>2.4657534246575343</v>
      </c>
      <c r="AF77" s="56" t="s">
        <v>436</v>
      </c>
      <c r="AG77" s="141" t="s">
        <v>1</v>
      </c>
      <c r="AH77" s="141" t="s">
        <v>1</v>
      </c>
      <c r="AI77" s="142" t="s">
        <v>0</v>
      </c>
      <c r="AJ77" s="11" t="s">
        <v>0</v>
      </c>
      <c r="AK77" s="144" t="s">
        <v>271</v>
      </c>
      <c r="AL77" s="132" t="s">
        <v>510</v>
      </c>
      <c r="AN77" s="52"/>
      <c r="AO77" s="197" t="s">
        <v>162</v>
      </c>
      <c r="AP77" s="198" t="s">
        <v>102</v>
      </c>
      <c r="AQ77" s="201"/>
      <c r="AS77" s="212">
        <v>0</v>
      </c>
      <c r="AT77" s="212">
        <v>3777.2671472189872</v>
      </c>
      <c r="AU77" s="212">
        <v>755.45342944379752</v>
      </c>
      <c r="AV77" s="212"/>
      <c r="AW77" s="212">
        <v>0</v>
      </c>
      <c r="AX77" s="212">
        <v>0</v>
      </c>
      <c r="BB77" s="212">
        <v>0</v>
      </c>
      <c r="BC77" s="212">
        <v>0</v>
      </c>
      <c r="BD77" s="212">
        <v>0</v>
      </c>
      <c r="BE77" s="212">
        <v>0</v>
      </c>
      <c r="BF77" s="226">
        <v>0</v>
      </c>
      <c r="BG77" s="226"/>
      <c r="BJ77" s="112"/>
      <c r="BK77" s="112"/>
    </row>
    <row r="78" spans="1:63" ht="39.950000000000003" customHeight="1" x14ac:dyDescent="0.2">
      <c r="A78" s="132" t="s">
        <v>513</v>
      </c>
      <c r="B78" s="132" t="s">
        <v>51</v>
      </c>
      <c r="C78" s="133" t="s">
        <v>88</v>
      </c>
      <c r="D78" s="14" t="s">
        <v>542</v>
      </c>
      <c r="E78" s="145" t="s">
        <v>88</v>
      </c>
      <c r="F78" s="66" t="s">
        <v>106</v>
      </c>
      <c r="G78" s="131" t="s">
        <v>106</v>
      </c>
      <c r="H78" s="66" t="s">
        <v>107</v>
      </c>
      <c r="I78" s="133" t="s">
        <v>61</v>
      </c>
      <c r="J78" s="133" t="s">
        <v>220</v>
      </c>
      <c r="K78" s="14" t="s">
        <v>101</v>
      </c>
      <c r="L78" s="134" t="s">
        <v>191</v>
      </c>
      <c r="M78" s="134" t="s">
        <v>59</v>
      </c>
      <c r="N78" s="132" t="s">
        <v>43</v>
      </c>
      <c r="O78" s="132" t="s">
        <v>533</v>
      </c>
      <c r="P78" s="13" t="s">
        <v>548</v>
      </c>
      <c r="Q78" s="135" t="s">
        <v>59</v>
      </c>
      <c r="R78" s="136">
        <v>4592.7037246827213</v>
      </c>
      <c r="S78" s="73">
        <v>3000</v>
      </c>
      <c r="T78" s="136">
        <v>4592.7037246827213</v>
      </c>
      <c r="U78" s="136">
        <v>30618.024831218139</v>
      </c>
      <c r="V78" s="136">
        <v>115993</v>
      </c>
      <c r="W78" s="61" t="s">
        <v>11</v>
      </c>
      <c r="X78" s="181">
        <v>0.01</v>
      </c>
      <c r="Y78" s="137">
        <v>44159</v>
      </c>
      <c r="Z78" s="137">
        <v>45792</v>
      </c>
      <c r="AA78" s="137">
        <v>45792</v>
      </c>
      <c r="AB78" s="138">
        <v>1634</v>
      </c>
      <c r="AC78" s="139" t="s">
        <v>10</v>
      </c>
      <c r="AD78" s="138">
        <v>958</v>
      </c>
      <c r="AE78" s="140">
        <v>2.6246575342465754</v>
      </c>
      <c r="AF78" s="56"/>
      <c r="AG78" s="141" t="s">
        <v>1</v>
      </c>
      <c r="AH78" s="141" t="s">
        <v>1</v>
      </c>
      <c r="AI78" s="187" t="s">
        <v>0</v>
      </c>
      <c r="AJ78" s="11" t="s">
        <v>0</v>
      </c>
      <c r="AK78" s="144" t="s">
        <v>271</v>
      </c>
      <c r="AL78" s="132" t="s">
        <v>514</v>
      </c>
      <c r="AN78" s="52"/>
      <c r="AO78" s="197" t="s">
        <v>88</v>
      </c>
      <c r="AP78" s="198" t="s">
        <v>106</v>
      </c>
      <c r="AQ78" s="201"/>
      <c r="AS78" s="212">
        <v>0</v>
      </c>
      <c r="AT78" s="212">
        <v>551.12444696192654</v>
      </c>
      <c r="AU78" s="212" t="b">
        <v>0</v>
      </c>
      <c r="AV78" s="212"/>
      <c r="AW78" s="212">
        <v>0</v>
      </c>
      <c r="AX78" s="212">
        <v>0</v>
      </c>
      <c r="BB78" s="212">
        <v>0</v>
      </c>
      <c r="BC78" s="212">
        <v>0</v>
      </c>
      <c r="BD78" s="212">
        <v>0</v>
      </c>
      <c r="BE78" s="212">
        <v>0</v>
      </c>
      <c r="BF78" s="226">
        <v>0</v>
      </c>
      <c r="BG78" s="226"/>
      <c r="BJ78" s="112"/>
      <c r="BK78" s="112"/>
    </row>
    <row r="79" spans="1:63" ht="39.950000000000003" customHeight="1" x14ac:dyDescent="0.2">
      <c r="A79" s="132" t="s">
        <v>524</v>
      </c>
      <c r="B79" s="132" t="s">
        <v>24</v>
      </c>
      <c r="C79" s="133" t="s">
        <v>37</v>
      </c>
      <c r="D79" s="14" t="s">
        <v>541</v>
      </c>
      <c r="E79" s="145" t="s">
        <v>152</v>
      </c>
      <c r="F79" s="14" t="s">
        <v>102</v>
      </c>
      <c r="G79" s="131" t="s">
        <v>102</v>
      </c>
      <c r="H79" s="130" t="s">
        <v>473</v>
      </c>
      <c r="I79" s="146" t="s">
        <v>526</v>
      </c>
      <c r="J79" s="133" t="s">
        <v>221</v>
      </c>
      <c r="K79" s="14" t="s">
        <v>101</v>
      </c>
      <c r="L79" s="134" t="s">
        <v>191</v>
      </c>
      <c r="M79" s="134" t="s">
        <v>323</v>
      </c>
      <c r="N79" s="132" t="s">
        <v>43</v>
      </c>
      <c r="O79" s="132" t="s">
        <v>533</v>
      </c>
      <c r="P79" s="132" t="s">
        <v>534</v>
      </c>
      <c r="Q79" s="135" t="s">
        <v>488</v>
      </c>
      <c r="R79" s="136">
        <v>28105.679777375342</v>
      </c>
      <c r="S79" s="73">
        <v>2600000</v>
      </c>
      <c r="T79" s="136">
        <v>28105.679777375342</v>
      </c>
      <c r="U79" s="136">
        <v>75669.137862164382</v>
      </c>
      <c r="V79" s="136">
        <v>594666.32893728791</v>
      </c>
      <c r="W79" s="147" t="s">
        <v>11</v>
      </c>
      <c r="X79" s="181">
        <v>0.01</v>
      </c>
      <c r="Y79" s="137">
        <v>44166</v>
      </c>
      <c r="Z79" s="137">
        <v>45504</v>
      </c>
      <c r="AA79" s="137">
        <v>45504</v>
      </c>
      <c r="AB79" s="138">
        <v>1339</v>
      </c>
      <c r="AC79" s="139" t="s">
        <v>10</v>
      </c>
      <c r="AD79" s="138">
        <v>670</v>
      </c>
      <c r="AE79" s="140">
        <v>1.8356164383561644</v>
      </c>
      <c r="AF79" s="56" t="s">
        <v>436</v>
      </c>
      <c r="AG79" s="141" t="s">
        <v>1</v>
      </c>
      <c r="AH79" s="141" t="s">
        <v>1</v>
      </c>
      <c r="AI79" s="187" t="s">
        <v>0</v>
      </c>
      <c r="AJ79" s="11" t="s">
        <v>0</v>
      </c>
      <c r="AK79" s="164" t="s">
        <v>271</v>
      </c>
      <c r="AL79" s="132" t="s">
        <v>525</v>
      </c>
      <c r="AN79" s="52"/>
      <c r="AO79" s="197" t="s">
        <v>152</v>
      </c>
      <c r="AP79" s="198" t="s">
        <v>102</v>
      </c>
      <c r="AQ79" s="201"/>
      <c r="AS79" s="212">
        <v>0</v>
      </c>
      <c r="AT79" s="212">
        <v>3372.6815732850409</v>
      </c>
      <c r="AU79" s="212">
        <v>674.53631465700823</v>
      </c>
      <c r="AV79" s="212"/>
      <c r="AW79" s="212">
        <v>0</v>
      </c>
      <c r="AX79" s="212">
        <v>0</v>
      </c>
      <c r="BB79" s="212">
        <v>0</v>
      </c>
      <c r="BC79" s="212">
        <v>0</v>
      </c>
      <c r="BD79" s="212">
        <v>0</v>
      </c>
      <c r="BE79" s="212">
        <v>0</v>
      </c>
      <c r="BF79" s="226">
        <v>0</v>
      </c>
      <c r="BG79" s="226"/>
      <c r="BJ79" s="112"/>
      <c r="BK79" s="112"/>
    </row>
    <row r="80" spans="1:63" ht="39.950000000000003" customHeight="1" x14ac:dyDescent="0.2">
      <c r="A80" s="131" t="s">
        <v>155</v>
      </c>
      <c r="B80" s="132" t="s">
        <v>51</v>
      </c>
      <c r="C80" s="133" t="s">
        <v>87</v>
      </c>
      <c r="D80" s="14" t="s">
        <v>542</v>
      </c>
      <c r="E80" s="145" t="s">
        <v>87</v>
      </c>
      <c r="F80" s="14" t="s">
        <v>102</v>
      </c>
      <c r="G80" s="131" t="s">
        <v>102</v>
      </c>
      <c r="H80" s="130" t="s">
        <v>122</v>
      </c>
      <c r="I80" s="133" t="s">
        <v>705</v>
      </c>
      <c r="J80" s="133" t="s">
        <v>220</v>
      </c>
      <c r="K80" s="66" t="s">
        <v>101</v>
      </c>
      <c r="L80" s="134" t="s">
        <v>191</v>
      </c>
      <c r="M80" s="134" t="s">
        <v>59</v>
      </c>
      <c r="N80" s="132" t="s">
        <v>43</v>
      </c>
      <c r="O80" s="132" t="s">
        <v>533</v>
      </c>
      <c r="P80" s="132" t="s">
        <v>534</v>
      </c>
      <c r="Q80" s="135" t="s">
        <v>156</v>
      </c>
      <c r="R80" s="136">
        <v>8663.5593367178972</v>
      </c>
      <c r="S80" s="73">
        <v>5000</v>
      </c>
      <c r="T80" s="136">
        <v>8663.5593367178972</v>
      </c>
      <c r="U80" s="136">
        <v>62377.627224368858</v>
      </c>
      <c r="V80" s="136">
        <v>413026.52781868901</v>
      </c>
      <c r="W80" s="147" t="s">
        <v>11</v>
      </c>
      <c r="X80" s="181">
        <v>1.7999999999999999E-2</v>
      </c>
      <c r="Y80" s="137">
        <v>44211</v>
      </c>
      <c r="Z80" s="137">
        <v>46029</v>
      </c>
      <c r="AA80" s="137">
        <v>46029</v>
      </c>
      <c r="AB80" s="138">
        <v>1819</v>
      </c>
      <c r="AC80" s="172" t="s">
        <v>10</v>
      </c>
      <c r="AD80" s="138">
        <v>1195</v>
      </c>
      <c r="AE80" s="140">
        <v>3.2739726027397262</v>
      </c>
      <c r="AF80" s="56"/>
      <c r="AG80" s="162" t="s">
        <v>1</v>
      </c>
      <c r="AH80" s="162" t="s">
        <v>1</v>
      </c>
      <c r="AI80" s="187" t="s">
        <v>0</v>
      </c>
      <c r="AJ80" s="11" t="s">
        <v>0</v>
      </c>
      <c r="AK80" s="164" t="s">
        <v>271</v>
      </c>
      <c r="AL80" s="131" t="s">
        <v>348</v>
      </c>
      <c r="AM80" s="11">
        <v>6807.5</v>
      </c>
      <c r="AO80" s="197" t="s">
        <v>87</v>
      </c>
      <c r="AP80" s="198" t="s">
        <v>102</v>
      </c>
      <c r="AS80" s="212">
        <v>0</v>
      </c>
      <c r="AT80" s="212">
        <v>1039.6271204061477</v>
      </c>
      <c r="AU80" s="212" t="b">
        <v>0</v>
      </c>
      <c r="AV80" s="212"/>
      <c r="AW80" s="212">
        <v>0</v>
      </c>
      <c r="AX80" s="212">
        <v>0</v>
      </c>
      <c r="BB80" s="212">
        <v>0</v>
      </c>
      <c r="BC80" s="212">
        <v>0</v>
      </c>
      <c r="BD80" s="212">
        <v>0</v>
      </c>
      <c r="BE80" s="212">
        <v>0</v>
      </c>
      <c r="BF80" s="226">
        <v>0</v>
      </c>
      <c r="BG80" s="226"/>
      <c r="BJ80" s="112"/>
      <c r="BK80" s="112"/>
    </row>
    <row r="81" spans="1:63" ht="39.950000000000003" customHeight="1" x14ac:dyDescent="0.2">
      <c r="A81" s="132" t="s">
        <v>528</v>
      </c>
      <c r="B81" s="132" t="s">
        <v>24</v>
      </c>
      <c r="C81" s="133" t="s">
        <v>34</v>
      </c>
      <c r="D81" s="131" t="s">
        <v>34</v>
      </c>
      <c r="E81" s="161" t="s">
        <v>34</v>
      </c>
      <c r="F81" s="14" t="s">
        <v>102</v>
      </c>
      <c r="G81" s="131" t="s">
        <v>102</v>
      </c>
      <c r="H81" s="66" t="s">
        <v>103</v>
      </c>
      <c r="I81" s="66" t="s">
        <v>70</v>
      </c>
      <c r="J81" s="66" t="s">
        <v>218</v>
      </c>
      <c r="K81" s="13" t="s">
        <v>101</v>
      </c>
      <c r="L81" s="65" t="s">
        <v>191</v>
      </c>
      <c r="M81" s="65" t="s">
        <v>323</v>
      </c>
      <c r="N81" s="13" t="s">
        <v>43</v>
      </c>
      <c r="O81" s="13" t="s">
        <v>533</v>
      </c>
      <c r="P81" s="13" t="s">
        <v>534</v>
      </c>
      <c r="Q81" s="64" t="s">
        <v>8</v>
      </c>
      <c r="R81" s="136">
        <v>30000</v>
      </c>
      <c r="S81" s="73">
        <v>29059.561000000002</v>
      </c>
      <c r="T81" s="136">
        <v>30000</v>
      </c>
      <c r="U81" s="136">
        <v>319000</v>
      </c>
      <c r="V81" s="136">
        <v>1021098</v>
      </c>
      <c r="W81" s="61" t="s">
        <v>11</v>
      </c>
      <c r="X81" s="181">
        <v>3.15E-2</v>
      </c>
      <c r="Y81" s="137">
        <v>44218</v>
      </c>
      <c r="Z81" s="137">
        <v>44962</v>
      </c>
      <c r="AA81" s="137">
        <v>44962</v>
      </c>
      <c r="AB81" s="58">
        <v>745</v>
      </c>
      <c r="AC81" s="59" t="s">
        <v>10</v>
      </c>
      <c r="AD81" s="138">
        <v>128</v>
      </c>
      <c r="AE81" s="140">
        <v>0.35068493150684932</v>
      </c>
      <c r="AF81" s="56" t="s">
        <v>436</v>
      </c>
      <c r="AG81" s="141" t="s">
        <v>1</v>
      </c>
      <c r="AH81" s="141" t="s">
        <v>1</v>
      </c>
      <c r="AI81" s="142" t="s">
        <v>764</v>
      </c>
      <c r="AJ81" s="11" t="s">
        <v>0</v>
      </c>
      <c r="AK81" s="164" t="s">
        <v>271</v>
      </c>
      <c r="AL81" s="132" t="s">
        <v>529</v>
      </c>
      <c r="AN81" s="52"/>
      <c r="AO81" s="197" t="s">
        <v>34</v>
      </c>
      <c r="AP81" s="198" t="s">
        <v>102</v>
      </c>
      <c r="AQ81" s="201"/>
      <c r="AS81" s="212">
        <v>0</v>
      </c>
      <c r="AT81" s="212">
        <v>3600</v>
      </c>
      <c r="AU81" s="212">
        <v>720</v>
      </c>
      <c r="AV81" s="212"/>
      <c r="AW81" s="212">
        <v>0</v>
      </c>
      <c r="AX81" s="212">
        <v>0</v>
      </c>
      <c r="BB81" s="212">
        <v>0</v>
      </c>
      <c r="BC81" s="212">
        <v>0</v>
      </c>
      <c r="BD81" s="212">
        <v>0</v>
      </c>
      <c r="BE81" s="212">
        <v>0</v>
      </c>
      <c r="BF81" s="226">
        <v>0</v>
      </c>
      <c r="BG81" s="226"/>
      <c r="BJ81" s="112"/>
      <c r="BK81" s="112"/>
    </row>
    <row r="82" spans="1:63" ht="39.950000000000003" customHeight="1" x14ac:dyDescent="0.2">
      <c r="A82" s="131" t="s">
        <v>554</v>
      </c>
      <c r="B82" s="132" t="s">
        <v>51</v>
      </c>
      <c r="C82" s="133" t="s">
        <v>88</v>
      </c>
      <c r="D82" s="14" t="s">
        <v>542</v>
      </c>
      <c r="E82" s="133" t="s">
        <v>88</v>
      </c>
      <c r="F82" s="14" t="s">
        <v>102</v>
      </c>
      <c r="G82" s="131" t="s">
        <v>102</v>
      </c>
      <c r="H82" s="66" t="s">
        <v>474</v>
      </c>
      <c r="I82" s="133" t="s">
        <v>555</v>
      </c>
      <c r="J82" s="133" t="s">
        <v>220</v>
      </c>
      <c r="K82" s="14" t="s">
        <v>101</v>
      </c>
      <c r="L82" s="134" t="s">
        <v>191</v>
      </c>
      <c r="M82" s="134" t="s">
        <v>59</v>
      </c>
      <c r="N82" s="132" t="s">
        <v>43</v>
      </c>
      <c r="O82" s="132" t="s">
        <v>533</v>
      </c>
      <c r="P82" s="167" t="s">
        <v>548</v>
      </c>
      <c r="Q82" s="135" t="s">
        <v>59</v>
      </c>
      <c r="R82" s="136">
        <v>15309.01241560907</v>
      </c>
      <c r="S82" s="73">
        <v>10000</v>
      </c>
      <c r="T82" s="136">
        <v>15309.01241560907</v>
      </c>
      <c r="U82" s="136">
        <v>25000</v>
      </c>
      <c r="V82" s="136">
        <v>405172.14984461357</v>
      </c>
      <c r="W82" s="147" t="s">
        <v>11</v>
      </c>
      <c r="X82" s="181">
        <v>1.35E-2</v>
      </c>
      <c r="Y82" s="137">
        <v>44225</v>
      </c>
      <c r="Z82" s="137">
        <v>45337</v>
      </c>
      <c r="AA82" s="137">
        <v>45337</v>
      </c>
      <c r="AB82" s="138">
        <v>1113</v>
      </c>
      <c r="AC82" s="139" t="s">
        <v>10</v>
      </c>
      <c r="AD82" s="138">
        <v>503</v>
      </c>
      <c r="AE82" s="140">
        <v>1.3780821917808219</v>
      </c>
      <c r="AF82" s="56"/>
      <c r="AG82" s="162" t="s">
        <v>1</v>
      </c>
      <c r="AH82" s="162" t="s">
        <v>1</v>
      </c>
      <c r="AI82" s="187" t="s">
        <v>0</v>
      </c>
      <c r="AJ82" s="11" t="s">
        <v>0</v>
      </c>
      <c r="AK82" s="164" t="s">
        <v>271</v>
      </c>
      <c r="AL82" s="131" t="s">
        <v>556</v>
      </c>
      <c r="AO82" s="197" t="s">
        <v>88</v>
      </c>
      <c r="AP82" s="198" t="s">
        <v>102</v>
      </c>
      <c r="AS82" s="212">
        <v>0</v>
      </c>
      <c r="AT82" s="212">
        <v>1837.0814898730882</v>
      </c>
      <c r="AU82" s="212" t="b">
        <v>0</v>
      </c>
      <c r="AV82" s="212"/>
      <c r="AW82" s="212">
        <v>0</v>
      </c>
      <c r="AX82" s="212">
        <v>0</v>
      </c>
      <c r="BB82" s="212">
        <v>0</v>
      </c>
      <c r="BC82" s="212">
        <v>0</v>
      </c>
      <c r="BD82" s="212">
        <v>0</v>
      </c>
      <c r="BE82" s="212">
        <v>0</v>
      </c>
      <c r="BF82" s="226">
        <v>0</v>
      </c>
      <c r="BG82" s="226"/>
      <c r="BJ82" s="112"/>
      <c r="BK82" s="112"/>
    </row>
    <row r="83" spans="1:63" ht="39.950000000000003" customHeight="1" x14ac:dyDescent="0.2">
      <c r="A83" s="131" t="s">
        <v>557</v>
      </c>
      <c r="B83" s="132" t="s">
        <v>51</v>
      </c>
      <c r="C83" s="133" t="s">
        <v>89</v>
      </c>
      <c r="D83" s="14" t="s">
        <v>542</v>
      </c>
      <c r="E83" s="161" t="s">
        <v>89</v>
      </c>
      <c r="F83" s="131" t="s">
        <v>547</v>
      </c>
      <c r="G83" s="131" t="s">
        <v>124</v>
      </c>
      <c r="H83" s="130" t="s">
        <v>123</v>
      </c>
      <c r="I83" s="133" t="s">
        <v>220</v>
      </c>
      <c r="J83" s="133" t="s">
        <v>220</v>
      </c>
      <c r="K83" s="14" t="s">
        <v>29</v>
      </c>
      <c r="L83" s="134" t="s">
        <v>191</v>
      </c>
      <c r="M83" s="134" t="s">
        <v>59</v>
      </c>
      <c r="N83" s="132" t="s">
        <v>43</v>
      </c>
      <c r="O83" s="167" t="s">
        <v>538</v>
      </c>
      <c r="P83" s="167" t="s">
        <v>534</v>
      </c>
      <c r="Q83" s="135" t="s">
        <v>59</v>
      </c>
      <c r="R83" s="136">
        <v>15309.01241560907</v>
      </c>
      <c r="S83" s="73">
        <v>7070</v>
      </c>
      <c r="T83" s="136">
        <v>10823.471777835612</v>
      </c>
      <c r="U83" s="136">
        <v>85271.199154942515</v>
      </c>
      <c r="V83" s="136">
        <v>278624.02596408507</v>
      </c>
      <c r="W83" s="147" t="s">
        <v>11</v>
      </c>
      <c r="X83" s="181">
        <v>1.2999999999999999E-2</v>
      </c>
      <c r="Y83" s="137">
        <v>44236</v>
      </c>
      <c r="Z83" s="137">
        <v>45657</v>
      </c>
      <c r="AA83" s="137">
        <v>45657</v>
      </c>
      <c r="AB83" s="138">
        <v>1422</v>
      </c>
      <c r="AC83" s="139" t="s">
        <v>10</v>
      </c>
      <c r="AD83" s="138">
        <v>823</v>
      </c>
      <c r="AE83" s="140">
        <v>2.2547945205479452</v>
      </c>
      <c r="AF83" s="56"/>
      <c r="AG83" s="162" t="s">
        <v>1</v>
      </c>
      <c r="AH83" s="162" t="s">
        <v>1</v>
      </c>
      <c r="AI83" s="187" t="s">
        <v>0</v>
      </c>
      <c r="AJ83" s="11" t="s">
        <v>0</v>
      </c>
      <c r="AK83" s="164" t="s">
        <v>271</v>
      </c>
      <c r="AL83" s="131" t="s">
        <v>558</v>
      </c>
      <c r="AO83" s="197" t="s">
        <v>89</v>
      </c>
      <c r="AP83" s="198" t="s">
        <v>547</v>
      </c>
      <c r="AS83" s="212">
        <v>0</v>
      </c>
      <c r="AT83" s="212">
        <v>1298.8166133402733</v>
      </c>
      <c r="AU83" s="212" t="b">
        <v>0</v>
      </c>
      <c r="AV83" s="212"/>
      <c r="AW83" s="212">
        <v>0</v>
      </c>
      <c r="AX83" s="212">
        <v>0</v>
      </c>
      <c r="BB83" s="212">
        <v>0</v>
      </c>
      <c r="BC83" s="212">
        <v>0</v>
      </c>
      <c r="BD83" s="212">
        <v>0</v>
      </c>
      <c r="BE83" s="212">
        <v>0</v>
      </c>
      <c r="BF83" s="226">
        <v>0</v>
      </c>
      <c r="BG83" s="226"/>
      <c r="BJ83" s="112"/>
      <c r="BK83" s="112"/>
    </row>
    <row r="84" spans="1:63" ht="39.950000000000003" customHeight="1" x14ac:dyDescent="0.2">
      <c r="A84" s="131" t="s">
        <v>559</v>
      </c>
      <c r="B84" s="132" t="s">
        <v>243</v>
      </c>
      <c r="C84" s="133" t="s">
        <v>560</v>
      </c>
      <c r="D84" s="131" t="s">
        <v>499</v>
      </c>
      <c r="E84" s="161" t="s">
        <v>162</v>
      </c>
      <c r="F84" s="131" t="s">
        <v>48</v>
      </c>
      <c r="G84" s="131" t="s">
        <v>120</v>
      </c>
      <c r="H84" s="66" t="s">
        <v>121</v>
      </c>
      <c r="I84" s="133" t="s">
        <v>561</v>
      </c>
      <c r="J84" s="133" t="s">
        <v>220</v>
      </c>
      <c r="K84" s="14" t="s">
        <v>29</v>
      </c>
      <c r="L84" s="134" t="s">
        <v>191</v>
      </c>
      <c r="M84" s="134" t="s">
        <v>59</v>
      </c>
      <c r="N84" s="132" t="s">
        <v>43</v>
      </c>
      <c r="O84" s="167" t="s">
        <v>533</v>
      </c>
      <c r="P84" s="167" t="s">
        <v>534</v>
      </c>
      <c r="Q84" s="135" t="s">
        <v>9</v>
      </c>
      <c r="R84" s="136">
        <v>15738.613113412448</v>
      </c>
      <c r="S84" s="73">
        <v>9250</v>
      </c>
      <c r="T84" s="136">
        <v>14558.217129906514</v>
      </c>
      <c r="U84" s="136">
        <v>96005.539991815924</v>
      </c>
      <c r="V84" s="136">
        <v>1576018.3040070513</v>
      </c>
      <c r="W84" s="147" t="s">
        <v>11</v>
      </c>
      <c r="X84" s="181">
        <v>3.8100000000000002E-2</v>
      </c>
      <c r="Y84" s="137">
        <v>44246</v>
      </c>
      <c r="Z84" s="137">
        <v>46079</v>
      </c>
      <c r="AA84" s="137">
        <v>46079</v>
      </c>
      <c r="AB84" s="138">
        <v>1834</v>
      </c>
      <c r="AC84" s="139" t="s">
        <v>10</v>
      </c>
      <c r="AD84" s="138">
        <v>1245</v>
      </c>
      <c r="AE84" s="140">
        <v>3.4109589041095889</v>
      </c>
      <c r="AF84" s="56"/>
      <c r="AG84" s="162" t="s">
        <v>1</v>
      </c>
      <c r="AH84" s="162" t="s">
        <v>1</v>
      </c>
      <c r="AI84" s="187" t="s">
        <v>784</v>
      </c>
      <c r="AJ84" s="11" t="s">
        <v>0</v>
      </c>
      <c r="AK84" s="164" t="s">
        <v>271</v>
      </c>
      <c r="AL84" s="131" t="s">
        <v>562</v>
      </c>
      <c r="AO84" s="197" t="s">
        <v>162</v>
      </c>
      <c r="AP84" s="198" t="s">
        <v>48</v>
      </c>
      <c r="AS84" s="212">
        <v>0</v>
      </c>
      <c r="AT84" s="212">
        <v>1746.9860555887817</v>
      </c>
      <c r="AU84" s="212" t="b">
        <v>0</v>
      </c>
      <c r="AV84" s="212"/>
      <c r="AW84" s="212">
        <v>0</v>
      </c>
      <c r="AX84" s="212">
        <v>0</v>
      </c>
      <c r="BB84" s="212">
        <v>0</v>
      </c>
      <c r="BC84" s="212">
        <v>0</v>
      </c>
      <c r="BD84" s="212">
        <v>0</v>
      </c>
      <c r="BE84" s="212">
        <v>0</v>
      </c>
      <c r="BF84" s="226">
        <v>0</v>
      </c>
      <c r="BG84" s="226"/>
      <c r="BJ84" s="112"/>
      <c r="BK84" s="112"/>
    </row>
    <row r="85" spans="1:63" ht="39.950000000000003" customHeight="1" x14ac:dyDescent="0.2">
      <c r="A85" s="131" t="s">
        <v>566</v>
      </c>
      <c r="B85" s="132" t="s">
        <v>23</v>
      </c>
      <c r="C85" s="133" t="s">
        <v>88</v>
      </c>
      <c r="D85" s="131" t="s">
        <v>542</v>
      </c>
      <c r="E85" s="161" t="s">
        <v>166</v>
      </c>
      <c r="F85" s="131" t="s">
        <v>92</v>
      </c>
      <c r="G85" s="131" t="s">
        <v>134</v>
      </c>
      <c r="H85" s="66" t="s">
        <v>134</v>
      </c>
      <c r="I85" s="133" t="s">
        <v>61</v>
      </c>
      <c r="J85" s="133" t="s">
        <v>220</v>
      </c>
      <c r="K85" s="14" t="s">
        <v>68</v>
      </c>
      <c r="L85" s="134" t="s">
        <v>191</v>
      </c>
      <c r="M85" s="134" t="s">
        <v>59</v>
      </c>
      <c r="N85" s="132" t="s">
        <v>43</v>
      </c>
      <c r="O85" s="167" t="s">
        <v>538</v>
      </c>
      <c r="P85" s="167" t="s">
        <v>548</v>
      </c>
      <c r="Q85" s="135" t="s">
        <v>9</v>
      </c>
      <c r="R85" s="136">
        <v>7869.306556706224</v>
      </c>
      <c r="S85" s="73">
        <v>5000</v>
      </c>
      <c r="T85" s="136">
        <v>7869.306556706224</v>
      </c>
      <c r="U85" s="136">
        <v>149516.82457741824</v>
      </c>
      <c r="V85" s="136">
        <v>261736.31527589791</v>
      </c>
      <c r="W85" s="147" t="s">
        <v>11</v>
      </c>
      <c r="X85" s="181">
        <v>3.4000000000000002E-2</v>
      </c>
      <c r="Y85" s="137">
        <v>44274</v>
      </c>
      <c r="Z85" s="137">
        <v>45545</v>
      </c>
      <c r="AA85" s="137">
        <v>45545</v>
      </c>
      <c r="AB85" s="175">
        <v>1272</v>
      </c>
      <c r="AC85" s="176" t="s">
        <v>10</v>
      </c>
      <c r="AD85" s="175">
        <v>711</v>
      </c>
      <c r="AE85" s="177">
        <v>1.9479452054794522</v>
      </c>
      <c r="AF85" s="173"/>
      <c r="AG85" s="178" t="s">
        <v>1</v>
      </c>
      <c r="AH85" s="178" t="s">
        <v>1</v>
      </c>
      <c r="AI85" s="187" t="s">
        <v>0</v>
      </c>
      <c r="AJ85" s="11" t="s">
        <v>0</v>
      </c>
      <c r="AK85" s="164" t="s">
        <v>271</v>
      </c>
      <c r="AL85" s="168" t="s">
        <v>567</v>
      </c>
      <c r="AM85" s="11">
        <v>6000</v>
      </c>
      <c r="AO85" s="197" t="s">
        <v>166</v>
      </c>
      <c r="AP85" s="198" t="s">
        <v>92</v>
      </c>
      <c r="AS85" s="212">
        <v>0</v>
      </c>
      <c r="AT85" s="212">
        <v>944.31678680474681</v>
      </c>
      <c r="AU85" s="212" t="b">
        <v>0</v>
      </c>
      <c r="AV85" s="212"/>
      <c r="AW85" s="212">
        <v>0</v>
      </c>
      <c r="AX85" s="212">
        <v>0</v>
      </c>
      <c r="BB85" s="212">
        <v>0</v>
      </c>
      <c r="BC85" s="212">
        <v>0</v>
      </c>
      <c r="BD85" s="212">
        <v>0</v>
      </c>
      <c r="BE85" s="212">
        <v>0</v>
      </c>
      <c r="BF85" s="226">
        <v>0</v>
      </c>
      <c r="BG85" s="226"/>
      <c r="BJ85" s="112"/>
      <c r="BK85" s="112"/>
    </row>
    <row r="86" spans="1:63" ht="39.950000000000003" customHeight="1" x14ac:dyDescent="0.2">
      <c r="A86" s="131" t="s">
        <v>575</v>
      </c>
      <c r="B86" s="132" t="s">
        <v>23</v>
      </c>
      <c r="C86" s="133" t="s">
        <v>37</v>
      </c>
      <c r="D86" s="14" t="s">
        <v>540</v>
      </c>
      <c r="E86" s="161" t="s">
        <v>36</v>
      </c>
      <c r="F86" s="131" t="s">
        <v>104</v>
      </c>
      <c r="G86" s="131" t="s">
        <v>111</v>
      </c>
      <c r="H86" s="66" t="s">
        <v>135</v>
      </c>
      <c r="I86" s="133" t="s">
        <v>77</v>
      </c>
      <c r="J86" s="133" t="s">
        <v>220</v>
      </c>
      <c r="K86" s="14" t="s">
        <v>29</v>
      </c>
      <c r="L86" s="134" t="s">
        <v>191</v>
      </c>
      <c r="M86" s="134" t="s">
        <v>323</v>
      </c>
      <c r="N86" s="132" t="s">
        <v>43</v>
      </c>
      <c r="O86" s="167" t="s">
        <v>531</v>
      </c>
      <c r="P86" s="167" t="s">
        <v>548</v>
      </c>
      <c r="Q86" s="135" t="s">
        <v>9</v>
      </c>
      <c r="R86" s="136">
        <v>17312.474424753691</v>
      </c>
      <c r="S86" s="73">
        <v>11000</v>
      </c>
      <c r="T86" s="136">
        <v>17312.474424753691</v>
      </c>
      <c r="U86" s="136">
        <v>78693.065567062236</v>
      </c>
      <c r="V86" s="136">
        <v>1062202.1467468287</v>
      </c>
      <c r="W86" s="147" t="s">
        <v>11</v>
      </c>
      <c r="X86" s="181">
        <v>3.7999999999999999E-2</v>
      </c>
      <c r="Y86" s="137">
        <v>44285</v>
      </c>
      <c r="Z86" s="137">
        <v>45413</v>
      </c>
      <c r="AA86" s="174">
        <v>45413</v>
      </c>
      <c r="AB86" s="175">
        <v>1129</v>
      </c>
      <c r="AC86" s="176" t="s">
        <v>10</v>
      </c>
      <c r="AD86" s="175">
        <v>579</v>
      </c>
      <c r="AE86" s="177">
        <v>1.5863013698630137</v>
      </c>
      <c r="AF86" s="173"/>
      <c r="AG86" s="178" t="s">
        <v>1</v>
      </c>
      <c r="AH86" s="178" t="s">
        <v>1</v>
      </c>
      <c r="AI86" s="179" t="s">
        <v>817</v>
      </c>
      <c r="AJ86" s="11" t="s">
        <v>0</v>
      </c>
      <c r="AK86" s="164" t="s">
        <v>271</v>
      </c>
      <c r="AL86" s="168" t="s">
        <v>576</v>
      </c>
      <c r="AM86" s="11">
        <v>12225</v>
      </c>
      <c r="AO86" s="197" t="s">
        <v>36</v>
      </c>
      <c r="AP86" s="198" t="s">
        <v>104</v>
      </c>
      <c r="AS86" s="212">
        <v>0</v>
      </c>
      <c r="AT86" s="212">
        <v>2077.4969309704429</v>
      </c>
      <c r="AU86" s="212" t="b">
        <v>0</v>
      </c>
      <c r="AV86" s="212"/>
      <c r="AW86" s="212">
        <v>0</v>
      </c>
      <c r="AX86" s="212">
        <v>0</v>
      </c>
      <c r="BB86" s="212">
        <v>0</v>
      </c>
      <c r="BC86" s="212">
        <v>0</v>
      </c>
      <c r="BD86" s="212">
        <v>0</v>
      </c>
      <c r="BE86" s="212">
        <v>0</v>
      </c>
      <c r="BF86" s="226">
        <v>0</v>
      </c>
      <c r="BG86" s="226"/>
      <c r="BJ86" s="112"/>
      <c r="BK86" s="112"/>
    </row>
    <row r="87" spans="1:63" ht="39.950000000000003" customHeight="1" x14ac:dyDescent="0.2">
      <c r="A87" s="131" t="s">
        <v>578</v>
      </c>
      <c r="B87" s="132" t="s">
        <v>23</v>
      </c>
      <c r="C87" s="133" t="s">
        <v>149</v>
      </c>
      <c r="D87" s="131" t="s">
        <v>496</v>
      </c>
      <c r="E87" s="161" t="s">
        <v>125</v>
      </c>
      <c r="F87" s="131" t="s">
        <v>104</v>
      </c>
      <c r="G87" s="131" t="s">
        <v>111</v>
      </c>
      <c r="H87" s="66" t="s">
        <v>450</v>
      </c>
      <c r="I87" s="133" t="s">
        <v>283</v>
      </c>
      <c r="J87" s="133" t="s">
        <v>148</v>
      </c>
      <c r="K87" s="14" t="s">
        <v>209</v>
      </c>
      <c r="L87" s="134" t="s">
        <v>191</v>
      </c>
      <c r="M87" s="134" t="s">
        <v>59</v>
      </c>
      <c r="N87" s="132" t="s">
        <v>43</v>
      </c>
      <c r="O87" s="167" t="s">
        <v>531</v>
      </c>
      <c r="P87" s="167" t="s">
        <v>548</v>
      </c>
      <c r="Q87" s="135" t="s">
        <v>9</v>
      </c>
      <c r="R87" s="136">
        <v>23607.91967011867</v>
      </c>
      <c r="S87" s="73">
        <v>15000</v>
      </c>
      <c r="T87" s="136">
        <v>23607.91967011867</v>
      </c>
      <c r="U87" s="136">
        <v>125908.90490729958</v>
      </c>
      <c r="V87" s="136">
        <v>1239792.1873524506</v>
      </c>
      <c r="W87" s="147" t="s">
        <v>11</v>
      </c>
      <c r="X87" s="185">
        <v>0.03</v>
      </c>
      <c r="Y87" s="137">
        <v>44328</v>
      </c>
      <c r="Z87" s="137">
        <v>46505</v>
      </c>
      <c r="AA87" s="137">
        <v>46505</v>
      </c>
      <c r="AB87" s="175">
        <v>2178</v>
      </c>
      <c r="AC87" s="176" t="s">
        <v>10</v>
      </c>
      <c r="AD87" s="138">
        <v>1671</v>
      </c>
      <c r="AE87" s="140">
        <v>4.5780821917808217</v>
      </c>
      <c r="AF87" s="184"/>
      <c r="AG87" s="186" t="s">
        <v>1</v>
      </c>
      <c r="AH87" s="186" t="s">
        <v>1</v>
      </c>
      <c r="AI87" s="187" t="s">
        <v>0</v>
      </c>
      <c r="AJ87" s="11" t="s">
        <v>0</v>
      </c>
      <c r="AK87" s="164" t="s">
        <v>271</v>
      </c>
      <c r="AL87" s="188" t="s">
        <v>579</v>
      </c>
      <c r="AO87" s="197" t="s">
        <v>125</v>
      </c>
      <c r="AP87" s="198" t="s">
        <v>104</v>
      </c>
      <c r="AS87" s="212">
        <v>0</v>
      </c>
      <c r="AT87" s="212">
        <v>2832.9503604142401</v>
      </c>
      <c r="AU87" s="212" t="b">
        <v>0</v>
      </c>
      <c r="AV87" s="212"/>
      <c r="AW87" s="212">
        <v>0</v>
      </c>
      <c r="AX87" s="212">
        <v>0</v>
      </c>
      <c r="BB87" s="212">
        <v>0</v>
      </c>
      <c r="BC87" s="212">
        <v>0</v>
      </c>
      <c r="BD87" s="212">
        <v>0</v>
      </c>
      <c r="BE87" s="212">
        <v>0</v>
      </c>
      <c r="BF87" s="226">
        <v>0</v>
      </c>
      <c r="BG87" s="226"/>
      <c r="BJ87" s="112"/>
      <c r="BK87" s="112"/>
    </row>
    <row r="88" spans="1:63" ht="39.950000000000003" customHeight="1" x14ac:dyDescent="0.2">
      <c r="A88" s="131" t="s">
        <v>586</v>
      </c>
      <c r="B88" s="132" t="s">
        <v>67</v>
      </c>
      <c r="C88" s="133" t="s">
        <v>38</v>
      </c>
      <c r="D88" s="14" t="s">
        <v>540</v>
      </c>
      <c r="E88" s="161" t="s">
        <v>229</v>
      </c>
      <c r="F88" s="14" t="s">
        <v>102</v>
      </c>
      <c r="G88" s="131" t="s">
        <v>102</v>
      </c>
      <c r="H88" s="66" t="s">
        <v>474</v>
      </c>
      <c r="I88" s="133" t="s">
        <v>142</v>
      </c>
      <c r="J88" s="66" t="s">
        <v>218</v>
      </c>
      <c r="K88" s="14" t="s">
        <v>209</v>
      </c>
      <c r="L88" s="134" t="s">
        <v>191</v>
      </c>
      <c r="M88" s="134" t="s">
        <v>323</v>
      </c>
      <c r="N88" s="132" t="s">
        <v>43</v>
      </c>
      <c r="O88" s="167" t="s">
        <v>531</v>
      </c>
      <c r="P88" s="13" t="s">
        <v>534</v>
      </c>
      <c r="Q88" s="135" t="s">
        <v>9</v>
      </c>
      <c r="R88" s="136">
        <v>11803.959835059335</v>
      </c>
      <c r="S88" s="73">
        <v>7500</v>
      </c>
      <c r="T88" s="136">
        <v>11803.959835059335</v>
      </c>
      <c r="U88" s="136">
        <v>14754.949793824169</v>
      </c>
      <c r="V88" s="136">
        <v>1091718.7352450504</v>
      </c>
      <c r="W88" s="147" t="s">
        <v>11</v>
      </c>
      <c r="X88" s="185">
        <v>0.06</v>
      </c>
      <c r="Y88" s="137">
        <v>44349</v>
      </c>
      <c r="Z88" s="137">
        <v>45419</v>
      </c>
      <c r="AA88" s="137">
        <v>45419</v>
      </c>
      <c r="AB88" s="175">
        <v>1071</v>
      </c>
      <c r="AC88" s="176" t="s">
        <v>10</v>
      </c>
      <c r="AD88" s="138">
        <v>585</v>
      </c>
      <c r="AE88" s="140">
        <v>1.6027397260273972</v>
      </c>
      <c r="AF88" s="184"/>
      <c r="AG88" s="186" t="s">
        <v>1</v>
      </c>
      <c r="AH88" s="186" t="s">
        <v>1</v>
      </c>
      <c r="AI88" s="187" t="s">
        <v>0</v>
      </c>
      <c r="AJ88" s="11" t="s">
        <v>0</v>
      </c>
      <c r="AK88" s="164" t="s">
        <v>271</v>
      </c>
      <c r="AL88" s="188" t="s">
        <v>580</v>
      </c>
      <c r="AO88" s="197" t="s">
        <v>229</v>
      </c>
      <c r="AP88" s="198" t="s">
        <v>102</v>
      </c>
      <c r="AS88" s="212">
        <v>0</v>
      </c>
      <c r="AT88" s="212">
        <v>1416.47518020712</v>
      </c>
      <c r="AU88" s="212" t="b">
        <v>0</v>
      </c>
      <c r="AV88" s="212"/>
      <c r="AW88" s="212">
        <v>0</v>
      </c>
      <c r="AX88" s="212">
        <v>0</v>
      </c>
      <c r="BB88" s="212">
        <v>0</v>
      </c>
      <c r="BC88" s="212">
        <v>0</v>
      </c>
      <c r="BD88" s="212">
        <v>0</v>
      </c>
      <c r="BE88" s="212">
        <v>0</v>
      </c>
      <c r="BF88" s="226">
        <v>0</v>
      </c>
      <c r="BG88" s="226"/>
      <c r="BJ88" s="112"/>
      <c r="BK88" s="112"/>
    </row>
    <row r="89" spans="1:63" ht="39.950000000000003" customHeight="1" x14ac:dyDescent="0.2">
      <c r="A89" s="131" t="s">
        <v>587</v>
      </c>
      <c r="B89" s="132" t="s">
        <v>67</v>
      </c>
      <c r="C89" s="133" t="s">
        <v>588</v>
      </c>
      <c r="D89" s="131" t="s">
        <v>499</v>
      </c>
      <c r="E89" s="161" t="s">
        <v>162</v>
      </c>
      <c r="F89" s="131" t="s">
        <v>233</v>
      </c>
      <c r="G89" s="131" t="s">
        <v>443</v>
      </c>
      <c r="H89" s="131" t="s">
        <v>234</v>
      </c>
      <c r="I89" s="133" t="s">
        <v>589</v>
      </c>
      <c r="J89" s="66" t="s">
        <v>218</v>
      </c>
      <c r="K89" s="14" t="s">
        <v>209</v>
      </c>
      <c r="L89" s="134" t="s">
        <v>191</v>
      </c>
      <c r="M89" s="134" t="s">
        <v>59</v>
      </c>
      <c r="N89" s="132" t="s">
        <v>43</v>
      </c>
      <c r="O89" s="167" t="s">
        <v>531</v>
      </c>
      <c r="P89" s="13" t="s">
        <v>534</v>
      </c>
      <c r="Q89" s="135" t="s">
        <v>9</v>
      </c>
      <c r="R89" s="136">
        <v>23607.91967011867</v>
      </c>
      <c r="S89" s="73">
        <v>17500</v>
      </c>
      <c r="T89" s="136">
        <v>27542.572948471781</v>
      </c>
      <c r="U89" s="136">
        <v>47215.83934023734</v>
      </c>
      <c r="V89" s="136">
        <v>3091006.5000472162</v>
      </c>
      <c r="W89" s="147" t="s">
        <v>11</v>
      </c>
      <c r="X89" s="185">
        <v>5.7500000000000002E-2</v>
      </c>
      <c r="Y89" s="137">
        <v>44365</v>
      </c>
      <c r="Z89" s="137">
        <v>46107</v>
      </c>
      <c r="AA89" s="137">
        <v>46107</v>
      </c>
      <c r="AB89" s="175">
        <v>1743</v>
      </c>
      <c r="AC89" s="176" t="s">
        <v>10</v>
      </c>
      <c r="AD89" s="138">
        <v>1273</v>
      </c>
      <c r="AE89" s="140">
        <v>3.4876712328767123</v>
      </c>
      <c r="AF89" s="184" t="s">
        <v>436</v>
      </c>
      <c r="AG89" s="186" t="s">
        <v>1</v>
      </c>
      <c r="AH89" s="186" t="s">
        <v>1</v>
      </c>
      <c r="AI89" s="187" t="s">
        <v>0</v>
      </c>
      <c r="AJ89" s="11" t="s">
        <v>0</v>
      </c>
      <c r="AK89" s="164" t="s">
        <v>271</v>
      </c>
      <c r="AL89" s="188" t="s">
        <v>581</v>
      </c>
      <c r="AO89" s="197" t="s">
        <v>162</v>
      </c>
      <c r="AP89" s="198" t="s">
        <v>233</v>
      </c>
      <c r="AS89" s="212">
        <v>0</v>
      </c>
      <c r="AT89" s="212">
        <v>3305.1087538166134</v>
      </c>
      <c r="AU89" s="212">
        <v>661.02175076332276</v>
      </c>
      <c r="AV89" s="212"/>
      <c r="AW89" s="212">
        <v>0</v>
      </c>
      <c r="AX89" s="212">
        <v>0</v>
      </c>
      <c r="BB89" s="212">
        <v>0</v>
      </c>
      <c r="BC89" s="212">
        <v>0</v>
      </c>
      <c r="BD89" s="212">
        <v>0</v>
      </c>
      <c r="BE89" s="212">
        <v>0</v>
      </c>
      <c r="BF89" s="226">
        <v>0</v>
      </c>
      <c r="BG89" s="226"/>
      <c r="BJ89" s="112"/>
      <c r="BK89" s="112"/>
    </row>
    <row r="90" spans="1:63" ht="39.950000000000003" customHeight="1" x14ac:dyDescent="0.2">
      <c r="A90" s="131" t="s">
        <v>590</v>
      </c>
      <c r="B90" s="132" t="s">
        <v>24</v>
      </c>
      <c r="C90" s="192" t="s">
        <v>38</v>
      </c>
      <c r="D90" s="14" t="s">
        <v>540</v>
      </c>
      <c r="E90" s="161" t="s">
        <v>35</v>
      </c>
      <c r="F90" s="131" t="s">
        <v>104</v>
      </c>
      <c r="G90" s="131" t="s">
        <v>111</v>
      </c>
      <c r="H90" s="66" t="s">
        <v>450</v>
      </c>
      <c r="I90" s="133" t="s">
        <v>591</v>
      </c>
      <c r="J90" s="133" t="s">
        <v>218</v>
      </c>
      <c r="K90" s="168" t="s">
        <v>209</v>
      </c>
      <c r="L90" s="194" t="s">
        <v>191</v>
      </c>
      <c r="M90" s="134" t="s">
        <v>323</v>
      </c>
      <c r="N90" s="167" t="s">
        <v>43</v>
      </c>
      <c r="O90" s="167" t="s">
        <v>538</v>
      </c>
      <c r="P90" s="167" t="s">
        <v>534</v>
      </c>
      <c r="Q90" s="135" t="s">
        <v>66</v>
      </c>
      <c r="R90" s="136">
        <v>21130.125014249345</v>
      </c>
      <c r="S90" s="73">
        <v>1112163</v>
      </c>
      <c r="T90" s="136">
        <v>21130.125014249345</v>
      </c>
      <c r="U90" s="136">
        <v>63970.076376486679</v>
      </c>
      <c r="V90" s="136">
        <v>1301239.4115970666</v>
      </c>
      <c r="W90" s="147" t="s">
        <v>11</v>
      </c>
      <c r="X90" s="185">
        <v>0.05</v>
      </c>
      <c r="Y90" s="137">
        <v>44369</v>
      </c>
      <c r="Z90" s="137">
        <v>45415</v>
      </c>
      <c r="AA90" s="137">
        <v>45415</v>
      </c>
      <c r="AB90" s="138">
        <v>1047</v>
      </c>
      <c r="AC90" s="139" t="s">
        <v>10</v>
      </c>
      <c r="AD90" s="138">
        <v>581</v>
      </c>
      <c r="AE90" s="140">
        <v>1.5917808219178082</v>
      </c>
      <c r="AF90" s="184" t="s">
        <v>436</v>
      </c>
      <c r="AG90" s="186" t="s">
        <v>1</v>
      </c>
      <c r="AH90" s="186" t="s">
        <v>1</v>
      </c>
      <c r="AI90" s="187" t="s">
        <v>0</v>
      </c>
      <c r="AJ90" s="11" t="s">
        <v>0</v>
      </c>
      <c r="AK90" s="164" t="s">
        <v>271</v>
      </c>
      <c r="AL90" s="188" t="s">
        <v>592</v>
      </c>
      <c r="AO90" s="197" t="s">
        <v>35</v>
      </c>
      <c r="AP90" s="198" t="s">
        <v>104</v>
      </c>
      <c r="AS90" s="212">
        <v>0</v>
      </c>
      <c r="AT90" s="212">
        <v>2535.6150017099212</v>
      </c>
      <c r="AU90" s="212">
        <v>507.12300034198427</v>
      </c>
      <c r="AV90" s="212"/>
      <c r="AW90" s="212">
        <v>0</v>
      </c>
      <c r="AX90" s="212">
        <v>0</v>
      </c>
      <c r="BB90" s="212">
        <v>0</v>
      </c>
      <c r="BC90" s="212">
        <v>0</v>
      </c>
      <c r="BD90" s="212">
        <v>0</v>
      </c>
      <c r="BE90" s="212">
        <v>0</v>
      </c>
      <c r="BF90" s="226">
        <v>0</v>
      </c>
      <c r="BG90" s="226"/>
      <c r="BJ90" s="112"/>
      <c r="BK90" s="112"/>
    </row>
    <row r="91" spans="1:63" ht="39.950000000000003" customHeight="1" x14ac:dyDescent="0.2">
      <c r="A91" s="131" t="s">
        <v>593</v>
      </c>
      <c r="B91" s="132" t="s">
        <v>67</v>
      </c>
      <c r="C91" s="133" t="s">
        <v>588</v>
      </c>
      <c r="D91" s="188" t="s">
        <v>542</v>
      </c>
      <c r="E91" s="161" t="s">
        <v>127</v>
      </c>
      <c r="F91" s="14" t="s">
        <v>891</v>
      </c>
      <c r="G91" s="66" t="s">
        <v>167</v>
      </c>
      <c r="H91" s="131" t="s">
        <v>167</v>
      </c>
      <c r="I91" s="133" t="s">
        <v>589</v>
      </c>
      <c r="J91" s="133" t="s">
        <v>218</v>
      </c>
      <c r="K91" s="14" t="s">
        <v>140</v>
      </c>
      <c r="L91" s="194" t="s">
        <v>191</v>
      </c>
      <c r="M91" s="134" t="s">
        <v>59</v>
      </c>
      <c r="N91" s="167" t="s">
        <v>43</v>
      </c>
      <c r="O91" s="167" t="s">
        <v>538</v>
      </c>
      <c r="P91" s="167" t="s">
        <v>534</v>
      </c>
      <c r="Q91" s="135" t="s">
        <v>59</v>
      </c>
      <c r="R91" s="136">
        <v>22963.518623413605</v>
      </c>
      <c r="S91" s="73">
        <v>15000</v>
      </c>
      <c r="T91" s="136">
        <v>22963.518623413605</v>
      </c>
      <c r="U91" s="136">
        <v>153090.12415609069</v>
      </c>
      <c r="V91" s="136">
        <v>1552410.1437516266</v>
      </c>
      <c r="W91" s="147" t="s">
        <v>11</v>
      </c>
      <c r="X91" s="185">
        <v>2.8500000000000001E-2</v>
      </c>
      <c r="Y91" s="137">
        <v>44372</v>
      </c>
      <c r="Z91" s="137">
        <v>46475</v>
      </c>
      <c r="AA91" s="137">
        <v>46475</v>
      </c>
      <c r="AB91" s="138">
        <v>2104</v>
      </c>
      <c r="AC91" s="139" t="s">
        <v>10</v>
      </c>
      <c r="AD91" s="138">
        <v>1641</v>
      </c>
      <c r="AE91" s="140">
        <v>4.4958904109589044</v>
      </c>
      <c r="AF91" s="184"/>
      <c r="AG91" s="186" t="s">
        <v>1</v>
      </c>
      <c r="AH91" s="186" t="s">
        <v>1</v>
      </c>
      <c r="AI91" s="187" t="s">
        <v>0</v>
      </c>
      <c r="AJ91" s="11" t="s">
        <v>0</v>
      </c>
      <c r="AK91" s="164" t="s">
        <v>271</v>
      </c>
      <c r="AL91" s="188" t="s">
        <v>582</v>
      </c>
      <c r="AO91" s="197" t="s">
        <v>127</v>
      </c>
      <c r="AP91" s="198" t="s">
        <v>891</v>
      </c>
      <c r="AS91" s="212">
        <v>0</v>
      </c>
      <c r="AT91" s="212">
        <v>2755.6222348096326</v>
      </c>
      <c r="AU91" s="212" t="b">
        <v>0</v>
      </c>
      <c r="AV91" s="212"/>
      <c r="AW91" s="212">
        <v>0</v>
      </c>
      <c r="AX91" s="212">
        <v>0</v>
      </c>
      <c r="BB91" s="212">
        <v>0</v>
      </c>
      <c r="BC91" s="212">
        <v>0</v>
      </c>
      <c r="BD91" s="212">
        <v>0</v>
      </c>
      <c r="BE91" s="212">
        <v>0</v>
      </c>
      <c r="BF91" s="226">
        <v>0</v>
      </c>
      <c r="BG91" s="226"/>
      <c r="BJ91" s="112"/>
      <c r="BK91" s="112"/>
    </row>
    <row r="92" spans="1:63" ht="39.950000000000003" customHeight="1" x14ac:dyDescent="0.2">
      <c r="A92" s="131" t="s">
        <v>594</v>
      </c>
      <c r="B92" s="132" t="s">
        <v>67</v>
      </c>
      <c r="C92" s="133" t="s">
        <v>588</v>
      </c>
      <c r="D92" s="188" t="s">
        <v>499</v>
      </c>
      <c r="E92" s="193" t="s">
        <v>162</v>
      </c>
      <c r="F92" s="188" t="s">
        <v>233</v>
      </c>
      <c r="G92" s="131" t="s">
        <v>443</v>
      </c>
      <c r="H92" s="131" t="s">
        <v>234</v>
      </c>
      <c r="I92" s="133" t="s">
        <v>589</v>
      </c>
      <c r="J92" s="133" t="s">
        <v>218</v>
      </c>
      <c r="K92" s="168" t="s">
        <v>209</v>
      </c>
      <c r="L92" s="194" t="s">
        <v>191</v>
      </c>
      <c r="M92" s="134" t="s">
        <v>59</v>
      </c>
      <c r="N92" s="167" t="s">
        <v>43</v>
      </c>
      <c r="O92" s="167" t="s">
        <v>538</v>
      </c>
      <c r="P92" s="167" t="s">
        <v>534</v>
      </c>
      <c r="Q92" s="135" t="s">
        <v>9</v>
      </c>
      <c r="R92" s="136">
        <v>23607.91967011867</v>
      </c>
      <c r="S92" s="73">
        <v>15000</v>
      </c>
      <c r="T92" s="136">
        <v>23607.91967011867</v>
      </c>
      <c r="U92" s="136">
        <v>109855.51953161888</v>
      </c>
      <c r="V92" s="136">
        <v>2000955.5698951809</v>
      </c>
      <c r="W92" s="147" t="s">
        <v>11</v>
      </c>
      <c r="X92" s="185">
        <v>4.4999999999999998E-2</v>
      </c>
      <c r="Y92" s="137">
        <v>44372</v>
      </c>
      <c r="Z92" s="137">
        <v>46112</v>
      </c>
      <c r="AA92" s="137">
        <v>46112</v>
      </c>
      <c r="AB92" s="138">
        <v>1741</v>
      </c>
      <c r="AC92" s="139" t="s">
        <v>10</v>
      </c>
      <c r="AD92" s="138">
        <v>1278</v>
      </c>
      <c r="AE92" s="140">
        <v>3.5013698630136987</v>
      </c>
      <c r="AF92" s="184"/>
      <c r="AG92" s="186" t="s">
        <v>1</v>
      </c>
      <c r="AH92" s="186" t="s">
        <v>1</v>
      </c>
      <c r="AI92" s="187" t="s">
        <v>0</v>
      </c>
      <c r="AJ92" s="11" t="s">
        <v>0</v>
      </c>
      <c r="AK92" s="164" t="s">
        <v>271</v>
      </c>
      <c r="AL92" s="188" t="s">
        <v>583</v>
      </c>
      <c r="AO92" s="197" t="s">
        <v>162</v>
      </c>
      <c r="AP92" s="198" t="s">
        <v>233</v>
      </c>
      <c r="AS92" s="212">
        <v>0</v>
      </c>
      <c r="AT92" s="212">
        <v>2832.9503604142401</v>
      </c>
      <c r="AU92" s="212" t="b">
        <v>0</v>
      </c>
      <c r="AV92" s="212"/>
      <c r="AW92" s="212">
        <v>0</v>
      </c>
      <c r="AX92" s="212">
        <v>0</v>
      </c>
      <c r="BB92" s="212">
        <v>0</v>
      </c>
      <c r="BC92" s="212">
        <v>0</v>
      </c>
      <c r="BD92" s="212">
        <v>0</v>
      </c>
      <c r="BE92" s="212">
        <v>0</v>
      </c>
      <c r="BF92" s="226">
        <v>0</v>
      </c>
      <c r="BG92" s="226"/>
      <c r="BJ92" s="112"/>
      <c r="BK92" s="112"/>
    </row>
    <row r="93" spans="1:63" ht="39.950000000000003" customHeight="1" x14ac:dyDescent="0.2">
      <c r="A93" s="131" t="s">
        <v>595</v>
      </c>
      <c r="B93" s="132" t="s">
        <v>51</v>
      </c>
      <c r="C93" s="192" t="s">
        <v>38</v>
      </c>
      <c r="D93" s="14" t="s">
        <v>540</v>
      </c>
      <c r="E93" s="161" t="s">
        <v>36</v>
      </c>
      <c r="F93" s="188" t="s">
        <v>102</v>
      </c>
      <c r="G93" s="131" t="s">
        <v>102</v>
      </c>
      <c r="H93" s="190" t="s">
        <v>474</v>
      </c>
      <c r="I93" s="133" t="s">
        <v>142</v>
      </c>
      <c r="J93" s="133" t="s">
        <v>218</v>
      </c>
      <c r="K93" s="168" t="s">
        <v>209</v>
      </c>
      <c r="L93" s="194" t="s">
        <v>191</v>
      </c>
      <c r="M93" s="134" t="s">
        <v>323</v>
      </c>
      <c r="N93" s="167" t="s">
        <v>43</v>
      </c>
      <c r="O93" s="167" t="s">
        <v>538</v>
      </c>
      <c r="P93" s="167" t="s">
        <v>534</v>
      </c>
      <c r="Q93" s="135" t="s">
        <v>9</v>
      </c>
      <c r="R93" s="136">
        <v>23607.91967011867</v>
      </c>
      <c r="S93" s="73">
        <v>15000</v>
      </c>
      <c r="T93" s="136">
        <v>23607.91967011867</v>
      </c>
      <c r="U93" s="136">
        <v>47215.83934023734</v>
      </c>
      <c r="V93" s="136">
        <v>2876887.3430073345</v>
      </c>
      <c r="W93" s="147" t="s">
        <v>11</v>
      </c>
      <c r="X93" s="185">
        <v>7.85E-2</v>
      </c>
      <c r="Y93" s="137">
        <v>44377</v>
      </c>
      <c r="Z93" s="137">
        <v>45460</v>
      </c>
      <c r="AA93" s="137">
        <v>45460</v>
      </c>
      <c r="AB93" s="138">
        <v>1084</v>
      </c>
      <c r="AC93" s="139" t="s">
        <v>10</v>
      </c>
      <c r="AD93" s="138">
        <v>626</v>
      </c>
      <c r="AE93" s="140">
        <v>1.715068493150685</v>
      </c>
      <c r="AF93" s="184"/>
      <c r="AG93" s="186" t="s">
        <v>1</v>
      </c>
      <c r="AH93" s="186" t="s">
        <v>1</v>
      </c>
      <c r="AI93" s="187" t="s">
        <v>0</v>
      </c>
      <c r="AJ93" s="11" t="s">
        <v>0</v>
      </c>
      <c r="AK93" s="164" t="s">
        <v>271</v>
      </c>
      <c r="AL93" s="188" t="s">
        <v>584</v>
      </c>
      <c r="AO93" s="197" t="s">
        <v>36</v>
      </c>
      <c r="AP93" s="198" t="s">
        <v>102</v>
      </c>
      <c r="AS93" s="212">
        <v>0</v>
      </c>
      <c r="AT93" s="212">
        <v>2832.9503604142401</v>
      </c>
      <c r="AU93" s="212" t="b">
        <v>0</v>
      </c>
      <c r="AV93" s="212"/>
      <c r="AW93" s="212">
        <v>0</v>
      </c>
      <c r="AX93" s="212">
        <v>0</v>
      </c>
      <c r="BB93" s="212">
        <v>0</v>
      </c>
      <c r="BC93" s="212">
        <v>0</v>
      </c>
      <c r="BD93" s="212">
        <v>0</v>
      </c>
      <c r="BE93" s="212">
        <v>0</v>
      </c>
      <c r="BF93" s="226">
        <v>0</v>
      </c>
      <c r="BG93" s="226"/>
      <c r="BJ93" s="112"/>
      <c r="BK93" s="112"/>
    </row>
    <row r="94" spans="1:63" ht="39.950000000000003" customHeight="1" x14ac:dyDescent="0.2">
      <c r="A94" s="131" t="s">
        <v>596</v>
      </c>
      <c r="B94" s="132" t="s">
        <v>24</v>
      </c>
      <c r="C94" s="133" t="s">
        <v>166</v>
      </c>
      <c r="D94" s="188" t="s">
        <v>542</v>
      </c>
      <c r="E94" s="161" t="s">
        <v>166</v>
      </c>
      <c r="F94" s="188" t="s">
        <v>102</v>
      </c>
      <c r="G94" s="131" t="s">
        <v>102</v>
      </c>
      <c r="H94" s="66" t="s">
        <v>103</v>
      </c>
      <c r="I94" s="133" t="s">
        <v>597</v>
      </c>
      <c r="J94" s="192" t="s">
        <v>220</v>
      </c>
      <c r="K94" s="168" t="s">
        <v>101</v>
      </c>
      <c r="L94" s="194" t="s">
        <v>191</v>
      </c>
      <c r="M94" s="134" t="s">
        <v>59</v>
      </c>
      <c r="N94" s="167" t="s">
        <v>43</v>
      </c>
      <c r="O94" s="167" t="s">
        <v>538</v>
      </c>
      <c r="P94" s="167" t="s">
        <v>534</v>
      </c>
      <c r="Q94" s="135" t="s">
        <v>59</v>
      </c>
      <c r="R94" s="136">
        <v>33679.827314339957</v>
      </c>
      <c r="S94" s="73">
        <v>22000</v>
      </c>
      <c r="T94" s="136">
        <v>33679.827314339957</v>
      </c>
      <c r="U94" s="136">
        <v>284135.27043370437</v>
      </c>
      <c r="V94" s="136">
        <v>1665189.1275393828</v>
      </c>
      <c r="W94" s="147" t="s">
        <v>11</v>
      </c>
      <c r="X94" s="185">
        <v>1.4500000000000001E-2</v>
      </c>
      <c r="Y94" s="137">
        <v>44376</v>
      </c>
      <c r="Z94" s="137">
        <v>46565</v>
      </c>
      <c r="AA94" s="137">
        <v>46565</v>
      </c>
      <c r="AB94" s="138">
        <v>2190</v>
      </c>
      <c r="AC94" s="139" t="s">
        <v>10</v>
      </c>
      <c r="AD94" s="138">
        <v>1731</v>
      </c>
      <c r="AE94" s="140">
        <v>4.7424657534246579</v>
      </c>
      <c r="AF94" s="184" t="s">
        <v>436</v>
      </c>
      <c r="AG94" s="186" t="s">
        <v>1</v>
      </c>
      <c r="AH94" s="186" t="s">
        <v>1</v>
      </c>
      <c r="AI94" s="187" t="s">
        <v>0</v>
      </c>
      <c r="AJ94" s="11" t="s">
        <v>0</v>
      </c>
      <c r="AK94" s="164" t="s">
        <v>271</v>
      </c>
      <c r="AL94" s="188" t="s">
        <v>585</v>
      </c>
      <c r="AO94" s="197" t="s">
        <v>166</v>
      </c>
      <c r="AP94" s="198" t="s">
        <v>102</v>
      </c>
      <c r="AS94" s="212">
        <v>0</v>
      </c>
      <c r="AT94" s="212">
        <v>4041.5792777207948</v>
      </c>
      <c r="AU94" s="212">
        <v>808.31585554415904</v>
      </c>
      <c r="AV94" s="212"/>
      <c r="AW94" s="212">
        <v>0</v>
      </c>
      <c r="AX94" s="212">
        <v>0</v>
      </c>
      <c r="BB94" s="212">
        <v>0</v>
      </c>
      <c r="BC94" s="212">
        <v>0</v>
      </c>
      <c r="BD94" s="212">
        <v>0</v>
      </c>
      <c r="BE94" s="212">
        <v>0</v>
      </c>
      <c r="BF94" s="226">
        <v>0</v>
      </c>
      <c r="BG94" s="226"/>
      <c r="BJ94" s="112"/>
      <c r="BK94" s="112"/>
    </row>
    <row r="95" spans="1:63" ht="39.950000000000003" customHeight="1" x14ac:dyDescent="0.2">
      <c r="A95" s="131" t="s">
        <v>625</v>
      </c>
      <c r="B95" s="132" t="s">
        <v>67</v>
      </c>
      <c r="C95" s="133" t="s">
        <v>127</v>
      </c>
      <c r="D95" s="188" t="s">
        <v>542</v>
      </c>
      <c r="E95" s="161" t="s">
        <v>88</v>
      </c>
      <c r="F95" s="131" t="s">
        <v>233</v>
      </c>
      <c r="G95" s="131" t="s">
        <v>443</v>
      </c>
      <c r="H95" s="131" t="s">
        <v>234</v>
      </c>
      <c r="I95" s="133" t="s">
        <v>165</v>
      </c>
      <c r="J95" s="192" t="s">
        <v>220</v>
      </c>
      <c r="K95" s="168" t="s">
        <v>140</v>
      </c>
      <c r="L95" s="194" t="s">
        <v>191</v>
      </c>
      <c r="M95" s="134" t="s">
        <v>59</v>
      </c>
      <c r="N95" s="167" t="s">
        <v>43</v>
      </c>
      <c r="O95" s="167" t="s">
        <v>538</v>
      </c>
      <c r="P95" s="167" t="s">
        <v>534</v>
      </c>
      <c r="Q95" s="135" t="s">
        <v>59</v>
      </c>
      <c r="R95" s="136">
        <v>15309.01241560907</v>
      </c>
      <c r="S95" s="73">
        <v>10000</v>
      </c>
      <c r="T95" s="136">
        <v>15309.01241560907</v>
      </c>
      <c r="U95" s="136">
        <v>76545.062078045346</v>
      </c>
      <c r="V95" s="136">
        <v>1453372.7744523201</v>
      </c>
      <c r="W95" s="147" t="s">
        <v>11</v>
      </c>
      <c r="X95" s="185">
        <v>2.5000000000000001E-2</v>
      </c>
      <c r="Y95" s="137">
        <v>44341</v>
      </c>
      <c r="Z95" s="137">
        <v>46837</v>
      </c>
      <c r="AA95" s="137">
        <v>46853</v>
      </c>
      <c r="AB95" s="138">
        <v>2513</v>
      </c>
      <c r="AC95" s="139" t="s">
        <v>10</v>
      </c>
      <c r="AD95" s="138">
        <v>2019</v>
      </c>
      <c r="AE95" s="140">
        <v>5.5315068493150683</v>
      </c>
      <c r="AF95" s="184"/>
      <c r="AG95" s="186" t="s">
        <v>1</v>
      </c>
      <c r="AH95" s="186" t="s">
        <v>1</v>
      </c>
      <c r="AI95" s="187" t="s">
        <v>0</v>
      </c>
      <c r="AJ95" s="11" t="s">
        <v>0</v>
      </c>
      <c r="AK95" s="164" t="s">
        <v>271</v>
      </c>
      <c r="AL95" s="188" t="s">
        <v>626</v>
      </c>
      <c r="AO95" s="197" t="s">
        <v>88</v>
      </c>
      <c r="AP95" s="198" t="s">
        <v>233</v>
      </c>
      <c r="AS95" s="212">
        <v>0</v>
      </c>
      <c r="AT95" s="212">
        <v>1837.0814898730882</v>
      </c>
      <c r="AU95" s="212" t="b">
        <v>0</v>
      </c>
      <c r="AV95" s="212"/>
      <c r="AW95" s="212">
        <v>0</v>
      </c>
      <c r="AX95" s="212">
        <v>0</v>
      </c>
      <c r="BB95" s="212">
        <v>0</v>
      </c>
      <c r="BC95" s="212">
        <v>0</v>
      </c>
      <c r="BD95" s="212">
        <v>0</v>
      </c>
      <c r="BE95" s="212">
        <v>0</v>
      </c>
      <c r="BF95" s="226">
        <v>0</v>
      </c>
      <c r="BG95" s="226"/>
      <c r="BJ95" s="112"/>
      <c r="BK95" s="112"/>
    </row>
    <row r="96" spans="1:63" ht="39.950000000000003" customHeight="1" x14ac:dyDescent="0.2">
      <c r="A96" s="131" t="s">
        <v>630</v>
      </c>
      <c r="B96" s="132" t="s">
        <v>23</v>
      </c>
      <c r="C96" s="133" t="s">
        <v>89</v>
      </c>
      <c r="D96" s="188" t="s">
        <v>542</v>
      </c>
      <c r="E96" s="161" t="s">
        <v>87</v>
      </c>
      <c r="F96" s="188" t="s">
        <v>92</v>
      </c>
      <c r="G96" s="131" t="s">
        <v>134</v>
      </c>
      <c r="H96" s="66" t="s">
        <v>134</v>
      </c>
      <c r="I96" s="133" t="s">
        <v>631</v>
      </c>
      <c r="J96" s="192" t="s">
        <v>256</v>
      </c>
      <c r="K96" s="168" t="s">
        <v>140</v>
      </c>
      <c r="L96" s="194" t="s">
        <v>191</v>
      </c>
      <c r="M96" s="134" t="s">
        <v>59</v>
      </c>
      <c r="N96" s="167" t="s">
        <v>43</v>
      </c>
      <c r="O96" s="167" t="s">
        <v>533</v>
      </c>
      <c r="P96" s="167" t="s">
        <v>534</v>
      </c>
      <c r="Q96" s="135" t="s">
        <v>9</v>
      </c>
      <c r="R96" s="136">
        <v>23607.91967011867</v>
      </c>
      <c r="S96" s="73">
        <v>15000</v>
      </c>
      <c r="T96" s="136">
        <v>23607.91967011867</v>
      </c>
      <c r="U96" s="136">
        <v>196732.66391765559</v>
      </c>
      <c r="V96" s="136">
        <v>856188.13938115782</v>
      </c>
      <c r="W96" s="147" t="s">
        <v>11</v>
      </c>
      <c r="X96" s="185">
        <v>1.9E-2</v>
      </c>
      <c r="Y96" s="137">
        <v>44385</v>
      </c>
      <c r="Z96" s="137">
        <v>46386</v>
      </c>
      <c r="AA96" s="137">
        <v>46386</v>
      </c>
      <c r="AB96" s="138">
        <v>2002</v>
      </c>
      <c r="AC96" s="139" t="s">
        <v>10</v>
      </c>
      <c r="AD96" s="138">
        <v>1552</v>
      </c>
      <c r="AE96" s="140">
        <v>4.2520547945205482</v>
      </c>
      <c r="AF96" s="184"/>
      <c r="AG96" s="186" t="s">
        <v>1</v>
      </c>
      <c r="AH96" s="186" t="s">
        <v>1</v>
      </c>
      <c r="AI96" s="187" t="s">
        <v>0</v>
      </c>
      <c r="AJ96" s="11" t="s">
        <v>0</v>
      </c>
      <c r="AK96" s="164" t="s">
        <v>271</v>
      </c>
      <c r="AL96" s="188" t="s">
        <v>628</v>
      </c>
      <c r="AO96" s="197" t="s">
        <v>87</v>
      </c>
      <c r="AP96" s="198" t="s">
        <v>92</v>
      </c>
      <c r="AS96" s="212">
        <v>0</v>
      </c>
      <c r="AT96" s="212">
        <v>2832.9503604142401</v>
      </c>
      <c r="AU96" s="212" t="b">
        <v>0</v>
      </c>
      <c r="AV96" s="212"/>
      <c r="AW96" s="212">
        <v>0</v>
      </c>
      <c r="AX96" s="212">
        <v>0</v>
      </c>
      <c r="BB96" s="212">
        <v>0</v>
      </c>
      <c r="BC96" s="212">
        <v>0</v>
      </c>
      <c r="BD96" s="212">
        <v>0</v>
      </c>
      <c r="BE96" s="212">
        <v>0</v>
      </c>
      <c r="BF96" s="226">
        <v>0</v>
      </c>
      <c r="BG96" s="226"/>
      <c r="BJ96" s="112"/>
      <c r="BK96" s="112"/>
    </row>
    <row r="97" spans="1:63" ht="39.950000000000003" customHeight="1" x14ac:dyDescent="0.2">
      <c r="A97" s="131" t="s">
        <v>636</v>
      </c>
      <c r="B97" s="132" t="s">
        <v>243</v>
      </c>
      <c r="C97" s="133" t="s">
        <v>37</v>
      </c>
      <c r="D97" s="188" t="s">
        <v>541</v>
      </c>
      <c r="E97" s="161" t="s">
        <v>152</v>
      </c>
      <c r="F97" s="188" t="s">
        <v>439</v>
      </c>
      <c r="G97" s="131" t="s">
        <v>445</v>
      </c>
      <c r="H97" s="66" t="s">
        <v>463</v>
      </c>
      <c r="I97" s="133" t="s">
        <v>526</v>
      </c>
      <c r="J97" s="192" t="s">
        <v>221</v>
      </c>
      <c r="K97" s="168" t="s">
        <v>140</v>
      </c>
      <c r="L97" s="194" t="s">
        <v>191</v>
      </c>
      <c r="M97" s="134" t="s">
        <v>323</v>
      </c>
      <c r="N97" s="167" t="s">
        <v>43</v>
      </c>
      <c r="O97" s="167" t="s">
        <v>538</v>
      </c>
      <c r="P97" s="167" t="s">
        <v>534</v>
      </c>
      <c r="Q97" s="135" t="s">
        <v>488</v>
      </c>
      <c r="R97" s="136">
        <v>10667.641615872497</v>
      </c>
      <c r="S97" s="136">
        <v>986842.10525999998</v>
      </c>
      <c r="T97" s="136">
        <v>10667.641615872497</v>
      </c>
      <c r="U97" s="136">
        <v>2390820.8060553297</v>
      </c>
      <c r="V97" s="136">
        <v>227333.18522360749</v>
      </c>
      <c r="W97" s="147" t="s">
        <v>11</v>
      </c>
      <c r="X97" s="185">
        <v>2.2499999999999999E-2</v>
      </c>
      <c r="Y97" s="137">
        <v>44418</v>
      </c>
      <c r="Z97" s="137">
        <v>45290</v>
      </c>
      <c r="AA97" s="137">
        <v>45290</v>
      </c>
      <c r="AB97" s="138">
        <v>873</v>
      </c>
      <c r="AC97" s="139" t="s">
        <v>10</v>
      </c>
      <c r="AD97" s="138">
        <v>456</v>
      </c>
      <c r="AE97" s="140">
        <v>1.2493150684931507</v>
      </c>
      <c r="AF97" s="184"/>
      <c r="AG97" s="186" t="s">
        <v>1</v>
      </c>
      <c r="AH97" s="186" t="s">
        <v>1</v>
      </c>
      <c r="AI97" s="187" t="s">
        <v>0</v>
      </c>
      <c r="AJ97" s="11" t="s">
        <v>0</v>
      </c>
      <c r="AK97" s="164" t="s">
        <v>271</v>
      </c>
      <c r="AL97" s="188" t="s">
        <v>632</v>
      </c>
      <c r="AO97" s="197" t="s">
        <v>152</v>
      </c>
      <c r="AP97" s="198" t="s">
        <v>439</v>
      </c>
      <c r="AS97" s="212">
        <v>0</v>
      </c>
      <c r="AT97" s="212">
        <v>1280.1169939046995</v>
      </c>
      <c r="AU97" s="212" t="b">
        <v>0</v>
      </c>
      <c r="AV97" s="212"/>
      <c r="AW97" s="212">
        <v>0</v>
      </c>
      <c r="AX97" s="212">
        <v>0</v>
      </c>
      <c r="BB97" s="212">
        <v>0</v>
      </c>
      <c r="BC97" s="212">
        <v>0</v>
      </c>
      <c r="BD97" s="212">
        <v>0</v>
      </c>
      <c r="BE97" s="212">
        <v>0</v>
      </c>
      <c r="BF97" s="226">
        <v>0</v>
      </c>
      <c r="BG97" s="226"/>
      <c r="BJ97" s="112"/>
      <c r="BK97" s="112"/>
    </row>
    <row r="98" spans="1:63" ht="39.950000000000003" customHeight="1" x14ac:dyDescent="0.2">
      <c r="A98" s="131" t="s">
        <v>637</v>
      </c>
      <c r="B98" s="132" t="s">
        <v>67</v>
      </c>
      <c r="C98" s="133" t="s">
        <v>38</v>
      </c>
      <c r="D98" s="14" t="s">
        <v>540</v>
      </c>
      <c r="E98" s="161" t="s">
        <v>35</v>
      </c>
      <c r="F98" s="14" t="s">
        <v>892</v>
      </c>
      <c r="G98" s="188" t="s">
        <v>259</v>
      </c>
      <c r="H98" s="188" t="s">
        <v>258</v>
      </c>
      <c r="I98" s="133" t="s">
        <v>638</v>
      </c>
      <c r="J98" s="192" t="s">
        <v>687</v>
      </c>
      <c r="K98" s="168" t="s">
        <v>209</v>
      </c>
      <c r="L98" s="194" t="s">
        <v>191</v>
      </c>
      <c r="M98" s="134" t="s">
        <v>323</v>
      </c>
      <c r="N98" s="167" t="s">
        <v>43</v>
      </c>
      <c r="O98" s="167" t="s">
        <v>538</v>
      </c>
      <c r="P98" s="167" t="s">
        <v>534</v>
      </c>
      <c r="Q98" s="135" t="s">
        <v>9</v>
      </c>
      <c r="R98" s="136">
        <v>15738.613113412448</v>
      </c>
      <c r="S98" s="73">
        <v>10000</v>
      </c>
      <c r="T98" s="136">
        <v>15738.613113412448</v>
      </c>
      <c r="U98" s="136">
        <v>31477.226226824896</v>
      </c>
      <c r="V98" s="136">
        <v>889864.11281437881</v>
      </c>
      <c r="W98" s="147" t="s">
        <v>11</v>
      </c>
      <c r="X98" s="185">
        <v>0.04</v>
      </c>
      <c r="Y98" s="137">
        <v>44425</v>
      </c>
      <c r="Z98" s="137">
        <v>46233</v>
      </c>
      <c r="AA98" s="137">
        <v>46233</v>
      </c>
      <c r="AB98" s="138">
        <v>1809</v>
      </c>
      <c r="AC98" s="139" t="s">
        <v>10</v>
      </c>
      <c r="AD98" s="138">
        <v>1399</v>
      </c>
      <c r="AE98" s="140">
        <v>3.8328767123287673</v>
      </c>
      <c r="AF98" s="184"/>
      <c r="AG98" s="186" t="s">
        <v>1</v>
      </c>
      <c r="AH98" s="186" t="s">
        <v>1</v>
      </c>
      <c r="AI98" s="187" t="s">
        <v>0</v>
      </c>
      <c r="AJ98" s="11" t="s">
        <v>0</v>
      </c>
      <c r="AK98" s="164" t="s">
        <v>271</v>
      </c>
      <c r="AL98" s="188" t="s">
        <v>633</v>
      </c>
      <c r="AO98" s="197" t="s">
        <v>35</v>
      </c>
      <c r="AP98" s="198" t="s">
        <v>892</v>
      </c>
      <c r="AS98" s="212">
        <v>0</v>
      </c>
      <c r="AT98" s="212">
        <v>1888.6335736094936</v>
      </c>
      <c r="AU98" s="212" t="b">
        <v>0</v>
      </c>
      <c r="AV98" s="212"/>
      <c r="AW98" s="212">
        <v>0</v>
      </c>
      <c r="AX98" s="212">
        <v>0</v>
      </c>
      <c r="BB98" s="212">
        <v>0</v>
      </c>
      <c r="BC98" s="212">
        <v>0</v>
      </c>
      <c r="BD98" s="212">
        <v>0</v>
      </c>
      <c r="BE98" s="212">
        <v>0</v>
      </c>
      <c r="BF98" s="226">
        <v>0</v>
      </c>
      <c r="BG98" s="226"/>
      <c r="BJ98" s="112"/>
      <c r="BK98" s="112"/>
    </row>
    <row r="99" spans="1:63" ht="39.950000000000003" customHeight="1" x14ac:dyDescent="0.2">
      <c r="A99" s="131" t="s">
        <v>639</v>
      </c>
      <c r="B99" s="132" t="s">
        <v>24</v>
      </c>
      <c r="C99" s="133" t="s">
        <v>38</v>
      </c>
      <c r="D99" s="14" t="s">
        <v>540</v>
      </c>
      <c r="E99" s="161" t="s">
        <v>35</v>
      </c>
      <c r="F99" s="14" t="s">
        <v>892</v>
      </c>
      <c r="G99" s="188" t="s">
        <v>259</v>
      </c>
      <c r="H99" s="188" t="s">
        <v>258</v>
      </c>
      <c r="I99" s="133" t="s">
        <v>638</v>
      </c>
      <c r="J99" s="192" t="s">
        <v>687</v>
      </c>
      <c r="K99" s="168" t="s">
        <v>139</v>
      </c>
      <c r="L99" s="194" t="s">
        <v>191</v>
      </c>
      <c r="M99" s="134" t="s">
        <v>323</v>
      </c>
      <c r="N99" s="167" t="s">
        <v>43</v>
      </c>
      <c r="O99" s="167" t="s">
        <v>538</v>
      </c>
      <c r="P99" s="167" t="s">
        <v>534</v>
      </c>
      <c r="Q99" s="135" t="s">
        <v>9</v>
      </c>
      <c r="R99" s="136">
        <v>31477.226226824896</v>
      </c>
      <c r="S99" s="73">
        <v>15000</v>
      </c>
      <c r="T99" s="136">
        <v>23607.91967011867</v>
      </c>
      <c r="U99" s="136">
        <v>62954.452453649792</v>
      </c>
      <c r="V99" s="136">
        <v>2202139.192294375</v>
      </c>
      <c r="W99" s="147" t="s">
        <v>11</v>
      </c>
      <c r="X99" s="185">
        <v>3.3300000000000003E-2</v>
      </c>
      <c r="Y99" s="137">
        <v>44425</v>
      </c>
      <c r="Z99" s="137">
        <v>46240</v>
      </c>
      <c r="AA99" s="137">
        <v>46270</v>
      </c>
      <c r="AB99" s="138">
        <v>1846</v>
      </c>
      <c r="AC99" s="139" t="s">
        <v>10</v>
      </c>
      <c r="AD99" s="138">
        <v>1436</v>
      </c>
      <c r="AE99" s="140">
        <v>3.9342465753424656</v>
      </c>
      <c r="AF99" s="184" t="s">
        <v>436</v>
      </c>
      <c r="AG99" s="186" t="s">
        <v>1</v>
      </c>
      <c r="AH99" s="186" t="s">
        <v>1</v>
      </c>
      <c r="AI99" s="187" t="s">
        <v>0</v>
      </c>
      <c r="AJ99" s="11" t="s">
        <v>0</v>
      </c>
      <c r="AK99" s="164" t="s">
        <v>271</v>
      </c>
      <c r="AL99" s="188" t="s">
        <v>640</v>
      </c>
      <c r="AO99" s="197" t="s">
        <v>35</v>
      </c>
      <c r="AP99" s="198" t="s">
        <v>892</v>
      </c>
      <c r="AS99" s="212">
        <v>0</v>
      </c>
      <c r="AT99" s="212">
        <v>2832.9503604142401</v>
      </c>
      <c r="AU99" s="212">
        <v>566.590072082848</v>
      </c>
      <c r="AV99" s="212"/>
      <c r="AW99" s="212">
        <v>0</v>
      </c>
      <c r="AX99" s="212">
        <v>0</v>
      </c>
      <c r="BB99" s="212">
        <v>0</v>
      </c>
      <c r="BC99" s="212">
        <v>0</v>
      </c>
      <c r="BD99" s="212">
        <v>0</v>
      </c>
      <c r="BE99" s="212">
        <v>0</v>
      </c>
      <c r="BF99" s="226">
        <v>0</v>
      </c>
      <c r="BG99" s="226"/>
      <c r="BJ99" s="112"/>
      <c r="BK99" s="112"/>
    </row>
    <row r="100" spans="1:63" ht="39.950000000000003" customHeight="1" x14ac:dyDescent="0.2">
      <c r="A100" s="131" t="s">
        <v>641</v>
      </c>
      <c r="B100" s="132" t="s">
        <v>51</v>
      </c>
      <c r="C100" s="133" t="s">
        <v>38</v>
      </c>
      <c r="D100" s="14" t="s">
        <v>540</v>
      </c>
      <c r="E100" s="161" t="s">
        <v>35</v>
      </c>
      <c r="F100" s="188" t="s">
        <v>475</v>
      </c>
      <c r="G100" s="131" t="s">
        <v>138</v>
      </c>
      <c r="H100" s="66" t="s">
        <v>138</v>
      </c>
      <c r="I100" s="133" t="s">
        <v>638</v>
      </c>
      <c r="J100" s="192" t="s">
        <v>687</v>
      </c>
      <c r="K100" s="168" t="s">
        <v>209</v>
      </c>
      <c r="L100" s="194" t="s">
        <v>191</v>
      </c>
      <c r="M100" s="134" t="s">
        <v>323</v>
      </c>
      <c r="N100" s="167" t="s">
        <v>43</v>
      </c>
      <c r="O100" s="167" t="s">
        <v>538</v>
      </c>
      <c r="P100" s="167" t="s">
        <v>534</v>
      </c>
      <c r="Q100" s="135" t="s">
        <v>9</v>
      </c>
      <c r="R100" s="136">
        <v>11803.959835059335</v>
      </c>
      <c r="S100" s="73">
        <v>7500</v>
      </c>
      <c r="T100" s="136">
        <v>11803.959835059335</v>
      </c>
      <c r="U100" s="136">
        <v>23607.91967011867</v>
      </c>
      <c r="V100" s="136">
        <v>1705573.0429034594</v>
      </c>
      <c r="W100" s="147" t="s">
        <v>11</v>
      </c>
      <c r="X100" s="185">
        <v>6.7500000000000004E-2</v>
      </c>
      <c r="Y100" s="137">
        <v>44434</v>
      </c>
      <c r="Z100" s="137">
        <v>45791</v>
      </c>
      <c r="AA100" s="137">
        <v>45821</v>
      </c>
      <c r="AB100" s="138">
        <v>1388</v>
      </c>
      <c r="AC100" s="139" t="s">
        <v>10</v>
      </c>
      <c r="AD100" s="138">
        <v>987</v>
      </c>
      <c r="AE100" s="140">
        <v>2.7041095890410958</v>
      </c>
      <c r="AF100" s="184"/>
      <c r="AG100" s="186" t="s">
        <v>1</v>
      </c>
      <c r="AH100" s="186" t="s">
        <v>1</v>
      </c>
      <c r="AI100" s="187" t="s">
        <v>0</v>
      </c>
      <c r="AJ100" s="11" t="s">
        <v>0</v>
      </c>
      <c r="AK100" s="164" t="s">
        <v>271</v>
      </c>
      <c r="AL100" s="188" t="s">
        <v>634</v>
      </c>
      <c r="AO100" s="197" t="s">
        <v>35</v>
      </c>
      <c r="AP100" s="198" t="s">
        <v>475</v>
      </c>
      <c r="AS100" s="212">
        <v>0</v>
      </c>
      <c r="AT100" s="212">
        <v>1416.47518020712</v>
      </c>
      <c r="AU100" s="212" t="b">
        <v>0</v>
      </c>
      <c r="AV100" s="212"/>
      <c r="AW100" s="212">
        <v>0</v>
      </c>
      <c r="AX100" s="212">
        <v>0</v>
      </c>
      <c r="BB100" s="212">
        <v>0</v>
      </c>
      <c r="BC100" s="212">
        <v>0</v>
      </c>
      <c r="BD100" s="212">
        <v>0</v>
      </c>
      <c r="BE100" s="212">
        <v>0</v>
      </c>
      <c r="BF100" s="226">
        <v>0</v>
      </c>
      <c r="BG100" s="226"/>
      <c r="BJ100" s="112"/>
      <c r="BK100" s="112"/>
    </row>
    <row r="101" spans="1:63" ht="39.950000000000003" customHeight="1" x14ac:dyDescent="0.2">
      <c r="A101" s="131" t="s">
        <v>642</v>
      </c>
      <c r="B101" s="132" t="s">
        <v>67</v>
      </c>
      <c r="C101" s="133" t="s">
        <v>588</v>
      </c>
      <c r="D101" s="188" t="s">
        <v>499</v>
      </c>
      <c r="E101" s="161" t="s">
        <v>643</v>
      </c>
      <c r="F101" s="14" t="s">
        <v>891</v>
      </c>
      <c r="G101" s="66" t="s">
        <v>167</v>
      </c>
      <c r="H101" s="66" t="s">
        <v>167</v>
      </c>
      <c r="I101" s="133" t="s">
        <v>589</v>
      </c>
      <c r="J101" s="192" t="s">
        <v>218</v>
      </c>
      <c r="K101" s="168" t="s">
        <v>209</v>
      </c>
      <c r="L101" s="194" t="s">
        <v>191</v>
      </c>
      <c r="M101" s="134" t="s">
        <v>59</v>
      </c>
      <c r="N101" s="167" t="s">
        <v>43</v>
      </c>
      <c r="O101" s="167" t="s">
        <v>538</v>
      </c>
      <c r="P101" s="167" t="s">
        <v>534</v>
      </c>
      <c r="Q101" s="135" t="s">
        <v>644</v>
      </c>
      <c r="R101" s="136">
        <v>17178.785345350847</v>
      </c>
      <c r="S101" s="73">
        <v>15000</v>
      </c>
      <c r="T101" s="136">
        <v>17178.785345350847</v>
      </c>
      <c r="U101" s="136">
        <v>34357.570690701694</v>
      </c>
      <c r="V101" s="136">
        <v>2303247.0767433606</v>
      </c>
      <c r="W101" s="147" t="s">
        <v>11</v>
      </c>
      <c r="X101" s="185">
        <v>5.7500000000000002E-2</v>
      </c>
      <c r="Y101" s="137">
        <v>44433</v>
      </c>
      <c r="Z101" s="137">
        <v>46142</v>
      </c>
      <c r="AA101" s="137">
        <v>46163</v>
      </c>
      <c r="AB101" s="138">
        <v>1731</v>
      </c>
      <c r="AC101" s="139" t="s">
        <v>10</v>
      </c>
      <c r="AD101" s="138">
        <v>1329</v>
      </c>
      <c r="AE101" s="140">
        <v>3.6410958904109587</v>
      </c>
      <c r="AF101" s="184"/>
      <c r="AG101" s="186" t="s">
        <v>1</v>
      </c>
      <c r="AH101" s="186" t="s">
        <v>1</v>
      </c>
      <c r="AI101" s="187" t="s">
        <v>0</v>
      </c>
      <c r="AJ101" s="11" t="s">
        <v>0</v>
      </c>
      <c r="AK101" s="164" t="s">
        <v>271</v>
      </c>
      <c r="AL101" s="188" t="s">
        <v>635</v>
      </c>
      <c r="AO101" s="197" t="s">
        <v>643</v>
      </c>
      <c r="AP101" s="198" t="s">
        <v>891</v>
      </c>
      <c r="AS101" s="212">
        <v>0</v>
      </c>
      <c r="AT101" s="212">
        <v>2061.4542414421016</v>
      </c>
      <c r="AU101" s="212" t="b">
        <v>0</v>
      </c>
      <c r="AV101" s="212"/>
      <c r="AW101" s="212">
        <v>0</v>
      </c>
      <c r="AX101" s="212">
        <v>0</v>
      </c>
      <c r="BB101" s="212">
        <v>0</v>
      </c>
      <c r="BC101" s="212">
        <v>0</v>
      </c>
      <c r="BD101" s="212">
        <v>0</v>
      </c>
      <c r="BE101" s="212">
        <v>0</v>
      </c>
      <c r="BF101" s="226">
        <v>0</v>
      </c>
      <c r="BG101" s="226"/>
      <c r="BJ101" s="112"/>
      <c r="BK101" s="112"/>
    </row>
    <row r="102" spans="1:63" ht="39.950000000000003" customHeight="1" x14ac:dyDescent="0.2">
      <c r="A102" s="131" t="s">
        <v>646</v>
      </c>
      <c r="B102" s="132" t="s">
        <v>67</v>
      </c>
      <c r="C102" s="133" t="s">
        <v>38</v>
      </c>
      <c r="D102" s="14" t="s">
        <v>540</v>
      </c>
      <c r="E102" s="161" t="s">
        <v>35</v>
      </c>
      <c r="F102" s="14" t="s">
        <v>892</v>
      </c>
      <c r="G102" s="188" t="s">
        <v>259</v>
      </c>
      <c r="H102" s="188" t="s">
        <v>258</v>
      </c>
      <c r="I102" s="133" t="s">
        <v>142</v>
      </c>
      <c r="J102" s="192" t="s">
        <v>218</v>
      </c>
      <c r="K102" s="168" t="s">
        <v>209</v>
      </c>
      <c r="L102" s="194" t="s">
        <v>191</v>
      </c>
      <c r="M102" s="134" t="s">
        <v>323</v>
      </c>
      <c r="N102" s="167" t="s">
        <v>43</v>
      </c>
      <c r="O102" s="167" t="s">
        <v>538</v>
      </c>
      <c r="P102" s="167" t="s">
        <v>534</v>
      </c>
      <c r="Q102" s="135" t="s">
        <v>9</v>
      </c>
      <c r="R102" s="136">
        <v>10859.643048254589</v>
      </c>
      <c r="S102" s="73">
        <v>6146.2755399999996</v>
      </c>
      <c r="T102" s="136">
        <v>9673.3852812490168</v>
      </c>
      <c r="U102" s="136">
        <v>21719.286096509179</v>
      </c>
      <c r="V102" s="136">
        <v>911680.30155182746</v>
      </c>
      <c r="W102" s="147" t="s">
        <v>11</v>
      </c>
      <c r="X102" s="185">
        <v>0.04</v>
      </c>
      <c r="Y102" s="137">
        <v>44441</v>
      </c>
      <c r="Z102" s="137">
        <v>46217</v>
      </c>
      <c r="AA102" s="137">
        <v>46217</v>
      </c>
      <c r="AB102" s="138">
        <v>1777</v>
      </c>
      <c r="AC102" s="139" t="s">
        <v>10</v>
      </c>
      <c r="AD102" s="138">
        <v>1383</v>
      </c>
      <c r="AE102" s="140">
        <v>3.7890410958904108</v>
      </c>
      <c r="AF102" s="184"/>
      <c r="AG102" s="186" t="s">
        <v>1</v>
      </c>
      <c r="AH102" s="186" t="s">
        <v>1</v>
      </c>
      <c r="AI102" s="187" t="s">
        <v>0</v>
      </c>
      <c r="AJ102" s="11" t="s">
        <v>0</v>
      </c>
      <c r="AK102" s="164" t="s">
        <v>271</v>
      </c>
      <c r="AL102" s="188" t="s">
        <v>645</v>
      </c>
      <c r="AO102" s="197" t="s">
        <v>35</v>
      </c>
      <c r="AP102" s="198" t="s">
        <v>892</v>
      </c>
      <c r="AS102" s="212">
        <v>0</v>
      </c>
      <c r="AT102" s="212">
        <v>1160.806233749882</v>
      </c>
      <c r="AU102" s="212" t="b">
        <v>0</v>
      </c>
      <c r="AV102" s="212"/>
      <c r="AW102" s="212">
        <v>0</v>
      </c>
      <c r="AX102" s="212">
        <v>0</v>
      </c>
      <c r="BB102" s="212">
        <v>0</v>
      </c>
      <c r="BC102" s="212">
        <v>0</v>
      </c>
      <c r="BD102" s="212">
        <v>0</v>
      </c>
      <c r="BE102" s="212">
        <v>0</v>
      </c>
      <c r="BF102" s="226">
        <v>0</v>
      </c>
      <c r="BG102" s="226"/>
      <c r="BJ102" s="112"/>
      <c r="BK102" s="112"/>
    </row>
    <row r="103" spans="1:63" ht="39.950000000000003" customHeight="1" x14ac:dyDescent="0.2">
      <c r="A103" s="131" t="s">
        <v>647</v>
      </c>
      <c r="B103" s="132" t="s">
        <v>243</v>
      </c>
      <c r="C103" s="133" t="s">
        <v>38</v>
      </c>
      <c r="D103" s="14" t="s">
        <v>540</v>
      </c>
      <c r="E103" s="161" t="s">
        <v>36</v>
      </c>
      <c r="F103" s="188" t="s">
        <v>102</v>
      </c>
      <c r="G103" s="131" t="s">
        <v>102</v>
      </c>
      <c r="H103" s="130" t="s">
        <v>473</v>
      </c>
      <c r="I103" s="133" t="s">
        <v>142</v>
      </c>
      <c r="J103" s="192" t="s">
        <v>218</v>
      </c>
      <c r="K103" s="168" t="s">
        <v>101</v>
      </c>
      <c r="L103" s="194" t="s">
        <v>191</v>
      </c>
      <c r="M103" s="134" t="s">
        <v>323</v>
      </c>
      <c r="N103" s="167" t="s">
        <v>43</v>
      </c>
      <c r="O103" s="167" t="s">
        <v>538</v>
      </c>
      <c r="P103" s="167" t="s">
        <v>534</v>
      </c>
      <c r="Q103" s="135" t="s">
        <v>9</v>
      </c>
      <c r="R103" s="136">
        <v>23607.91967011867</v>
      </c>
      <c r="S103" s="73">
        <v>15000</v>
      </c>
      <c r="T103" s="136">
        <v>23607.91967011867</v>
      </c>
      <c r="U103" s="136">
        <v>162107.71506814822</v>
      </c>
      <c r="V103" s="136">
        <v>869722.3079102271</v>
      </c>
      <c r="W103" s="147" t="s">
        <v>11</v>
      </c>
      <c r="X103" s="185">
        <v>2.5000000000000001E-2</v>
      </c>
      <c r="Y103" s="137">
        <v>44441</v>
      </c>
      <c r="Z103" s="137">
        <v>45516</v>
      </c>
      <c r="AA103" s="137">
        <v>45516</v>
      </c>
      <c r="AB103" s="138">
        <v>1076</v>
      </c>
      <c r="AC103" s="139" t="s">
        <v>10</v>
      </c>
      <c r="AD103" s="138">
        <v>682</v>
      </c>
      <c r="AE103" s="140">
        <v>1.8684931506849316</v>
      </c>
      <c r="AF103" s="184"/>
      <c r="AG103" s="186" t="s">
        <v>1</v>
      </c>
      <c r="AH103" s="186" t="s">
        <v>1</v>
      </c>
      <c r="AI103" s="187" t="s">
        <v>0</v>
      </c>
      <c r="AJ103" s="11" t="s">
        <v>0</v>
      </c>
      <c r="AK103" s="164" t="s">
        <v>271</v>
      </c>
      <c r="AL103" s="188" t="s">
        <v>648</v>
      </c>
      <c r="AO103" s="197" t="s">
        <v>36</v>
      </c>
      <c r="AP103" s="198" t="s">
        <v>102</v>
      </c>
      <c r="AS103" s="212">
        <v>0</v>
      </c>
      <c r="AT103" s="212">
        <v>2832.9503604142401</v>
      </c>
      <c r="AU103" s="212" t="b">
        <v>0</v>
      </c>
      <c r="AV103" s="212"/>
      <c r="AW103" s="212">
        <v>0</v>
      </c>
      <c r="AX103" s="212">
        <v>0</v>
      </c>
      <c r="BB103" s="212">
        <v>0</v>
      </c>
      <c r="BC103" s="212">
        <v>0</v>
      </c>
      <c r="BD103" s="212">
        <v>0</v>
      </c>
      <c r="BE103" s="212">
        <v>0</v>
      </c>
      <c r="BF103" s="226">
        <v>0</v>
      </c>
      <c r="BG103" s="226"/>
      <c r="BJ103" s="112"/>
      <c r="BK103" s="112"/>
    </row>
    <row r="104" spans="1:63" ht="39.950000000000003" customHeight="1" x14ac:dyDescent="0.2">
      <c r="A104" s="131" t="s">
        <v>655</v>
      </c>
      <c r="B104" s="132" t="s">
        <v>23</v>
      </c>
      <c r="C104" s="133" t="s">
        <v>34</v>
      </c>
      <c r="D104" s="188" t="s">
        <v>34</v>
      </c>
      <c r="E104" s="161" t="s">
        <v>34</v>
      </c>
      <c r="F104" s="188" t="s">
        <v>475</v>
      </c>
      <c r="G104" s="131" t="s">
        <v>227</v>
      </c>
      <c r="H104" s="14" t="s">
        <v>228</v>
      </c>
      <c r="I104" s="133" t="s">
        <v>656</v>
      </c>
      <c r="J104" s="192" t="s">
        <v>656</v>
      </c>
      <c r="K104" s="168" t="s">
        <v>209</v>
      </c>
      <c r="L104" s="194" t="s">
        <v>191</v>
      </c>
      <c r="M104" s="134" t="s">
        <v>323</v>
      </c>
      <c r="N104" s="167" t="s">
        <v>43</v>
      </c>
      <c r="O104" s="167" t="s">
        <v>531</v>
      </c>
      <c r="P104" s="167" t="s">
        <v>534</v>
      </c>
      <c r="Q104" s="135" t="s">
        <v>8</v>
      </c>
      <c r="R104" s="136">
        <v>15000</v>
      </c>
      <c r="S104" s="73">
        <v>25000</v>
      </c>
      <c r="T104" s="136">
        <v>25000</v>
      </c>
      <c r="U104" s="136">
        <v>72688</v>
      </c>
      <c r="V104" s="136">
        <v>1465806.08</v>
      </c>
      <c r="W104" s="147" t="s">
        <v>11</v>
      </c>
      <c r="X104" s="185">
        <v>3.5000000000000003E-2</v>
      </c>
      <c r="Y104" s="137">
        <v>44466</v>
      </c>
      <c r="Z104" s="137">
        <v>45473</v>
      </c>
      <c r="AA104" s="137">
        <v>45473</v>
      </c>
      <c r="AB104" s="138">
        <v>1008</v>
      </c>
      <c r="AC104" s="139" t="s">
        <v>10</v>
      </c>
      <c r="AD104" s="138">
        <v>639</v>
      </c>
      <c r="AE104" s="140">
        <v>1.7506849315068493</v>
      </c>
      <c r="AF104" s="184" t="s">
        <v>436</v>
      </c>
      <c r="AG104" s="186" t="s">
        <v>1</v>
      </c>
      <c r="AH104" s="186" t="s">
        <v>1</v>
      </c>
      <c r="AI104" s="187" t="s">
        <v>0</v>
      </c>
      <c r="AJ104" s="143" t="s">
        <v>0</v>
      </c>
      <c r="AK104" s="164" t="s">
        <v>271</v>
      </c>
      <c r="AL104" s="188" t="s">
        <v>650</v>
      </c>
      <c r="AO104" s="197" t="s">
        <v>34</v>
      </c>
      <c r="AP104" s="198" t="s">
        <v>475</v>
      </c>
      <c r="AS104" s="212">
        <v>0</v>
      </c>
      <c r="AT104" s="212">
        <v>3000</v>
      </c>
      <c r="AU104" s="212">
        <v>600</v>
      </c>
      <c r="AV104" s="212"/>
      <c r="AW104" s="212">
        <v>0</v>
      </c>
      <c r="AX104" s="212">
        <v>0</v>
      </c>
      <c r="BB104" s="212">
        <v>0</v>
      </c>
      <c r="BC104" s="212">
        <v>0</v>
      </c>
      <c r="BD104" s="212">
        <v>0</v>
      </c>
      <c r="BE104" s="212">
        <v>0</v>
      </c>
      <c r="BF104" s="226">
        <v>0</v>
      </c>
      <c r="BG104" s="226"/>
      <c r="BJ104" s="112"/>
      <c r="BK104" s="112"/>
    </row>
    <row r="105" spans="1:63" ht="39.950000000000003" customHeight="1" x14ac:dyDescent="0.2">
      <c r="A105" s="14" t="s">
        <v>76</v>
      </c>
      <c r="B105" s="65" t="s">
        <v>51</v>
      </c>
      <c r="C105" s="66" t="s">
        <v>34</v>
      </c>
      <c r="D105" s="14" t="s">
        <v>34</v>
      </c>
      <c r="E105" s="77" t="s">
        <v>34</v>
      </c>
      <c r="F105" s="14" t="s">
        <v>104</v>
      </c>
      <c r="G105" s="131" t="s">
        <v>111</v>
      </c>
      <c r="H105" s="66" t="s">
        <v>112</v>
      </c>
      <c r="I105" s="66" t="s">
        <v>232</v>
      </c>
      <c r="J105" s="14" t="s">
        <v>21</v>
      </c>
      <c r="K105" s="13" t="s">
        <v>29</v>
      </c>
      <c r="L105" s="65" t="s">
        <v>191</v>
      </c>
      <c r="M105" s="13" t="s">
        <v>323</v>
      </c>
      <c r="N105" s="13" t="s">
        <v>43</v>
      </c>
      <c r="O105" s="167" t="s">
        <v>533</v>
      </c>
      <c r="P105" s="167" t="s">
        <v>548</v>
      </c>
      <c r="Q105" s="135" t="s">
        <v>9</v>
      </c>
      <c r="R105" s="136">
        <v>31477.226226824896</v>
      </c>
      <c r="S105" s="73">
        <v>20000</v>
      </c>
      <c r="T105" s="136">
        <v>31477.226226824896</v>
      </c>
      <c r="U105" s="136">
        <v>116937.89543265449</v>
      </c>
      <c r="V105" s="136">
        <v>1287580.0151090687</v>
      </c>
      <c r="W105" s="147" t="s">
        <v>11</v>
      </c>
      <c r="X105" s="185">
        <v>1.9E-2</v>
      </c>
      <c r="Y105" s="137">
        <v>44470</v>
      </c>
      <c r="Z105" s="137">
        <v>46203</v>
      </c>
      <c r="AA105" s="137">
        <v>46203</v>
      </c>
      <c r="AB105" s="138">
        <v>1734</v>
      </c>
      <c r="AC105" s="139" t="s">
        <v>10</v>
      </c>
      <c r="AD105" s="138">
        <v>1369</v>
      </c>
      <c r="AE105" s="140">
        <v>3.7506849315068491</v>
      </c>
      <c r="AF105" s="184" t="s">
        <v>436</v>
      </c>
      <c r="AG105" s="186" t="s">
        <v>1</v>
      </c>
      <c r="AH105" s="186" t="s">
        <v>1</v>
      </c>
      <c r="AI105" s="187" t="s">
        <v>0</v>
      </c>
      <c r="AJ105" s="143" t="s">
        <v>0</v>
      </c>
      <c r="AK105" s="164" t="s">
        <v>271</v>
      </c>
      <c r="AL105" s="188" t="s">
        <v>651</v>
      </c>
      <c r="AO105" s="197" t="s">
        <v>34</v>
      </c>
      <c r="AP105" s="198" t="s">
        <v>104</v>
      </c>
      <c r="AS105" s="212">
        <v>0</v>
      </c>
      <c r="AT105" s="212">
        <v>3777.2671472189872</v>
      </c>
      <c r="AU105" s="212">
        <v>755.45342944379752</v>
      </c>
      <c r="AV105" s="212"/>
      <c r="AW105" s="212">
        <v>0</v>
      </c>
      <c r="AX105" s="212">
        <v>0</v>
      </c>
      <c r="BB105" s="212">
        <v>0</v>
      </c>
      <c r="BC105" s="212">
        <v>0</v>
      </c>
      <c r="BD105" s="212">
        <v>0</v>
      </c>
      <c r="BE105" s="212">
        <v>0</v>
      </c>
      <c r="BF105" s="226">
        <v>0</v>
      </c>
      <c r="BG105" s="226"/>
      <c r="BJ105" s="112"/>
      <c r="BK105" s="112"/>
    </row>
    <row r="106" spans="1:63" ht="39.950000000000003" customHeight="1" x14ac:dyDescent="0.2">
      <c r="A106" s="131" t="s">
        <v>678</v>
      </c>
      <c r="B106" s="132" t="s">
        <v>67</v>
      </c>
      <c r="C106" s="133" t="s">
        <v>127</v>
      </c>
      <c r="D106" s="131" t="s">
        <v>542</v>
      </c>
      <c r="E106" s="161" t="s">
        <v>308</v>
      </c>
      <c r="F106" s="14" t="s">
        <v>891</v>
      </c>
      <c r="G106" s="66" t="s">
        <v>167</v>
      </c>
      <c r="H106" s="66" t="s">
        <v>167</v>
      </c>
      <c r="I106" s="133" t="s">
        <v>677</v>
      </c>
      <c r="J106" s="192" t="s">
        <v>218</v>
      </c>
      <c r="K106" s="168" t="s">
        <v>209</v>
      </c>
      <c r="L106" s="65" t="s">
        <v>191</v>
      </c>
      <c r="M106" s="134" t="s">
        <v>59</v>
      </c>
      <c r="N106" s="13" t="s">
        <v>43</v>
      </c>
      <c r="O106" s="167" t="s">
        <v>538</v>
      </c>
      <c r="P106" s="167" t="s">
        <v>534</v>
      </c>
      <c r="Q106" s="135" t="s">
        <v>487</v>
      </c>
      <c r="R106" s="136">
        <v>28918.441182918959</v>
      </c>
      <c r="S106" s="73">
        <v>198457.14311</v>
      </c>
      <c r="T106" s="136">
        <v>28918.441182918959</v>
      </c>
      <c r="U106" s="136">
        <v>57836.882367370119</v>
      </c>
      <c r="V106" s="136">
        <v>1887869.7856149462</v>
      </c>
      <c r="W106" s="147" t="s">
        <v>11</v>
      </c>
      <c r="X106" s="185">
        <v>0.03</v>
      </c>
      <c r="Y106" s="137">
        <v>44476</v>
      </c>
      <c r="Z106" s="137">
        <v>46251</v>
      </c>
      <c r="AA106" s="137">
        <v>46256</v>
      </c>
      <c r="AB106" s="138">
        <v>1781</v>
      </c>
      <c r="AC106" s="139" t="s">
        <v>10</v>
      </c>
      <c r="AD106" s="138">
        <v>1422</v>
      </c>
      <c r="AE106" s="140">
        <v>3.8958904109589043</v>
      </c>
      <c r="AF106" s="184" t="s">
        <v>436</v>
      </c>
      <c r="AG106" s="186" t="s">
        <v>1</v>
      </c>
      <c r="AH106" s="186" t="s">
        <v>1</v>
      </c>
      <c r="AI106" s="187" t="s">
        <v>0</v>
      </c>
      <c r="AJ106" s="143" t="s">
        <v>0</v>
      </c>
      <c r="AK106" s="164" t="s">
        <v>271</v>
      </c>
      <c r="AL106" s="188" t="s">
        <v>673</v>
      </c>
      <c r="AO106" s="197" t="s">
        <v>308</v>
      </c>
      <c r="AP106" s="198" t="s">
        <v>891</v>
      </c>
      <c r="AS106" s="212">
        <v>0</v>
      </c>
      <c r="AT106" s="212">
        <v>3470.2129419502749</v>
      </c>
      <c r="AU106" s="212">
        <v>694.04258839005502</v>
      </c>
      <c r="AV106" s="212"/>
      <c r="AW106" s="212">
        <v>0</v>
      </c>
      <c r="AX106" s="212">
        <v>0</v>
      </c>
      <c r="BB106" s="212">
        <v>0</v>
      </c>
      <c r="BC106" s="212">
        <v>0</v>
      </c>
      <c r="BD106" s="212">
        <v>0</v>
      </c>
      <c r="BE106" s="212">
        <v>0</v>
      </c>
      <c r="BF106" s="226"/>
      <c r="BG106" s="226"/>
      <c r="BJ106" s="112"/>
      <c r="BK106" s="112"/>
    </row>
    <row r="107" spans="1:63" ht="39.950000000000003" customHeight="1" x14ac:dyDescent="0.2">
      <c r="A107" s="131" t="s">
        <v>678</v>
      </c>
      <c r="B107" s="132" t="s">
        <v>243</v>
      </c>
      <c r="C107" s="133" t="s">
        <v>588</v>
      </c>
      <c r="D107" s="131" t="s">
        <v>542</v>
      </c>
      <c r="E107" s="161" t="s">
        <v>87</v>
      </c>
      <c r="F107" s="131" t="s">
        <v>48</v>
      </c>
      <c r="G107" s="131" t="s">
        <v>95</v>
      </c>
      <c r="H107" s="130" t="s">
        <v>447</v>
      </c>
      <c r="I107" s="133" t="s">
        <v>681</v>
      </c>
      <c r="J107" s="133" t="s">
        <v>680</v>
      </c>
      <c r="K107" s="168" t="s">
        <v>209</v>
      </c>
      <c r="L107" s="65" t="s">
        <v>191</v>
      </c>
      <c r="M107" s="134" t="s">
        <v>59</v>
      </c>
      <c r="N107" s="13" t="s">
        <v>43</v>
      </c>
      <c r="O107" s="167" t="s">
        <v>538</v>
      </c>
      <c r="P107" s="167" t="s">
        <v>534</v>
      </c>
      <c r="Q107" s="135" t="s">
        <v>9</v>
      </c>
      <c r="R107" s="136">
        <v>15738.613113412448</v>
      </c>
      <c r="S107" s="73">
        <v>15000</v>
      </c>
      <c r="T107" s="136">
        <v>23607.91967011867</v>
      </c>
      <c r="U107" s="136">
        <v>448550.47373225476</v>
      </c>
      <c r="V107" s="136">
        <v>1037753.4861028048</v>
      </c>
      <c r="W107" s="147" t="s">
        <v>11</v>
      </c>
      <c r="X107" s="185">
        <v>3.2500000000000001E-2</v>
      </c>
      <c r="Y107" s="137">
        <v>44491</v>
      </c>
      <c r="Z107" s="137">
        <v>46714</v>
      </c>
      <c r="AA107" s="137">
        <v>46714</v>
      </c>
      <c r="AB107" s="138">
        <v>2224</v>
      </c>
      <c r="AC107" s="139" t="s">
        <v>10</v>
      </c>
      <c r="AD107" s="138">
        <v>1880</v>
      </c>
      <c r="AE107" s="140">
        <v>5.1506849315068495</v>
      </c>
      <c r="AF107" s="184"/>
      <c r="AG107" s="186" t="s">
        <v>1</v>
      </c>
      <c r="AH107" s="186" t="s">
        <v>1</v>
      </c>
      <c r="AI107" s="187" t="s">
        <v>818</v>
      </c>
      <c r="AJ107" s="143" t="s">
        <v>0</v>
      </c>
      <c r="AK107" s="164" t="s">
        <v>271</v>
      </c>
      <c r="AL107" s="188" t="s">
        <v>674</v>
      </c>
      <c r="AO107" s="197" t="s">
        <v>87</v>
      </c>
      <c r="AP107" s="198" t="s">
        <v>48</v>
      </c>
      <c r="AS107" s="212">
        <v>0</v>
      </c>
      <c r="AT107" s="212">
        <v>2832.9503604142401</v>
      </c>
      <c r="AU107" s="212" t="b">
        <v>0</v>
      </c>
      <c r="AV107" s="212"/>
      <c r="AW107" s="212">
        <v>0</v>
      </c>
      <c r="AX107" s="212">
        <v>0</v>
      </c>
      <c r="BB107" s="212">
        <v>0</v>
      </c>
      <c r="BC107" s="212">
        <v>0</v>
      </c>
      <c r="BD107" s="212">
        <v>0</v>
      </c>
      <c r="BE107" s="212">
        <v>0</v>
      </c>
      <c r="BF107" s="226"/>
      <c r="BG107" s="226"/>
      <c r="BJ107" s="112"/>
      <c r="BK107" s="112"/>
    </row>
    <row r="108" spans="1:63" ht="39.950000000000003" customHeight="1" x14ac:dyDescent="0.2">
      <c r="A108" s="131" t="s">
        <v>683</v>
      </c>
      <c r="B108" s="132" t="s">
        <v>67</v>
      </c>
      <c r="C108" s="133" t="s">
        <v>684</v>
      </c>
      <c r="D108" s="131" t="s">
        <v>806</v>
      </c>
      <c r="E108" s="161" t="s">
        <v>685</v>
      </c>
      <c r="F108" s="14" t="s">
        <v>891</v>
      </c>
      <c r="G108" s="66" t="s">
        <v>167</v>
      </c>
      <c r="H108" s="66" t="s">
        <v>167</v>
      </c>
      <c r="I108" s="133" t="s">
        <v>165</v>
      </c>
      <c r="J108" s="133" t="s">
        <v>220</v>
      </c>
      <c r="K108" s="223" t="s">
        <v>140</v>
      </c>
      <c r="L108" s="65" t="s">
        <v>191</v>
      </c>
      <c r="M108" s="134" t="s">
        <v>59</v>
      </c>
      <c r="N108" s="13" t="s">
        <v>43</v>
      </c>
      <c r="O108" s="167" t="s">
        <v>531</v>
      </c>
      <c r="P108" s="167" t="s">
        <v>534</v>
      </c>
      <c r="Q108" s="135" t="s">
        <v>59</v>
      </c>
      <c r="R108" s="136">
        <v>7654.5062078045348</v>
      </c>
      <c r="S108" s="73">
        <v>5000</v>
      </c>
      <c r="T108" s="136">
        <v>7654.5062078045348</v>
      </c>
      <c r="U108" s="136">
        <v>36619.157698136893</v>
      </c>
      <c r="V108" s="136">
        <v>584911.43736317579</v>
      </c>
      <c r="W108" s="147" t="s">
        <v>11</v>
      </c>
      <c r="X108" s="185">
        <v>2.75E-2</v>
      </c>
      <c r="Y108" s="137">
        <v>44427</v>
      </c>
      <c r="Z108" s="137">
        <v>46982</v>
      </c>
      <c r="AA108" s="137">
        <v>46982</v>
      </c>
      <c r="AB108" s="138">
        <v>2556</v>
      </c>
      <c r="AC108" s="139" t="s">
        <v>10</v>
      </c>
      <c r="AD108" s="138">
        <v>2148</v>
      </c>
      <c r="AE108" s="140">
        <v>5.8849315068493153</v>
      </c>
      <c r="AF108" s="184"/>
      <c r="AG108" s="186" t="s">
        <v>1</v>
      </c>
      <c r="AH108" s="186" t="s">
        <v>1</v>
      </c>
      <c r="AI108" s="187" t="s">
        <v>0</v>
      </c>
      <c r="AJ108" s="143" t="s">
        <v>0</v>
      </c>
      <c r="AK108" s="164" t="s">
        <v>271</v>
      </c>
      <c r="AL108" s="188" t="s">
        <v>686</v>
      </c>
      <c r="AO108" s="197" t="s">
        <v>685</v>
      </c>
      <c r="AP108" s="198" t="s">
        <v>891</v>
      </c>
      <c r="AS108" s="212">
        <v>0</v>
      </c>
      <c r="AT108" s="212">
        <v>918.54074493654412</v>
      </c>
      <c r="AU108" s="212" t="b">
        <v>0</v>
      </c>
      <c r="AV108" s="212"/>
      <c r="AW108" s="212">
        <v>0</v>
      </c>
      <c r="AX108" s="212">
        <v>0</v>
      </c>
      <c r="BB108" s="212">
        <v>0</v>
      </c>
      <c r="BC108" s="212">
        <v>0</v>
      </c>
      <c r="BD108" s="212">
        <v>0</v>
      </c>
      <c r="BE108" s="212">
        <v>0</v>
      </c>
      <c r="BF108" s="226"/>
      <c r="BG108" s="226"/>
      <c r="BJ108" s="112"/>
      <c r="BK108" s="112"/>
    </row>
    <row r="109" spans="1:63" ht="39.950000000000003" customHeight="1" x14ac:dyDescent="0.2">
      <c r="A109" s="131" t="s">
        <v>693</v>
      </c>
      <c r="B109" s="132" t="s">
        <v>24</v>
      </c>
      <c r="C109" s="133" t="s">
        <v>34</v>
      </c>
      <c r="D109" s="131" t="s">
        <v>34</v>
      </c>
      <c r="E109" s="161" t="s">
        <v>34</v>
      </c>
      <c r="F109" s="131" t="s">
        <v>475</v>
      </c>
      <c r="G109" s="131" t="s">
        <v>227</v>
      </c>
      <c r="H109" s="14" t="s">
        <v>228</v>
      </c>
      <c r="I109" s="133" t="s">
        <v>70</v>
      </c>
      <c r="J109" s="192" t="s">
        <v>218</v>
      </c>
      <c r="K109" s="168" t="s">
        <v>209</v>
      </c>
      <c r="L109" s="65" t="s">
        <v>191</v>
      </c>
      <c r="M109" s="134" t="s">
        <v>323</v>
      </c>
      <c r="N109" s="13" t="s">
        <v>43</v>
      </c>
      <c r="O109" s="167" t="s">
        <v>538</v>
      </c>
      <c r="P109" s="167" t="s">
        <v>534</v>
      </c>
      <c r="Q109" s="135" t="s">
        <v>8</v>
      </c>
      <c r="R109" s="136">
        <v>15000</v>
      </c>
      <c r="S109" s="73">
        <v>15000</v>
      </c>
      <c r="T109" s="136">
        <v>15000</v>
      </c>
      <c r="U109" s="136">
        <v>41500</v>
      </c>
      <c r="V109" s="136">
        <v>1397273.98</v>
      </c>
      <c r="W109" s="147" t="s">
        <v>11</v>
      </c>
      <c r="X109" s="185">
        <v>0.04</v>
      </c>
      <c r="Y109" s="137">
        <v>44515</v>
      </c>
      <c r="Z109" s="137">
        <v>46309</v>
      </c>
      <c r="AA109" s="137">
        <v>46320</v>
      </c>
      <c r="AB109" s="138">
        <v>1806</v>
      </c>
      <c r="AC109" s="139" t="s">
        <v>10</v>
      </c>
      <c r="AD109" s="138">
        <v>1486</v>
      </c>
      <c r="AE109" s="140">
        <v>4.0712328767123287</v>
      </c>
      <c r="AF109" s="184"/>
      <c r="AG109" s="186" t="s">
        <v>1</v>
      </c>
      <c r="AH109" s="186" t="s">
        <v>1</v>
      </c>
      <c r="AI109" s="187" t="s">
        <v>0</v>
      </c>
      <c r="AJ109" s="143" t="s">
        <v>0</v>
      </c>
      <c r="AK109" s="164" t="s">
        <v>271</v>
      </c>
      <c r="AL109" s="188" t="s">
        <v>689</v>
      </c>
      <c r="AO109" s="197" t="s">
        <v>34</v>
      </c>
      <c r="AP109" s="198" t="s">
        <v>475</v>
      </c>
      <c r="AS109" s="212">
        <v>0</v>
      </c>
      <c r="AT109" s="212">
        <v>1800</v>
      </c>
      <c r="AU109" s="212" t="b">
        <v>0</v>
      </c>
      <c r="AV109" s="212"/>
      <c r="AW109" s="212">
        <v>0</v>
      </c>
      <c r="AX109" s="212">
        <v>0</v>
      </c>
      <c r="BB109" s="212">
        <v>0</v>
      </c>
      <c r="BC109" s="212">
        <v>0</v>
      </c>
      <c r="BD109" s="212">
        <v>0</v>
      </c>
      <c r="BE109" s="212">
        <v>0</v>
      </c>
      <c r="BF109" s="226"/>
      <c r="BG109" s="226"/>
      <c r="BJ109" s="112"/>
      <c r="BK109" s="112"/>
    </row>
    <row r="110" spans="1:63" ht="39.950000000000003" customHeight="1" x14ac:dyDescent="0.2">
      <c r="A110" s="131" t="s">
        <v>694</v>
      </c>
      <c r="B110" s="132" t="s">
        <v>51</v>
      </c>
      <c r="C110" s="133" t="s">
        <v>38</v>
      </c>
      <c r="D110" s="14" t="s">
        <v>541</v>
      </c>
      <c r="E110" s="161" t="s">
        <v>38</v>
      </c>
      <c r="F110" s="14" t="s">
        <v>173</v>
      </c>
      <c r="G110" s="66" t="s">
        <v>316</v>
      </c>
      <c r="H110" s="66" t="s">
        <v>197</v>
      </c>
      <c r="I110" s="14" t="s">
        <v>50</v>
      </c>
      <c r="J110" s="77" t="s">
        <v>21</v>
      </c>
      <c r="K110" s="168" t="s">
        <v>209</v>
      </c>
      <c r="L110" s="65" t="s">
        <v>191</v>
      </c>
      <c r="M110" s="134" t="s">
        <v>323</v>
      </c>
      <c r="N110" s="13" t="s">
        <v>43</v>
      </c>
      <c r="O110" s="167" t="s">
        <v>531</v>
      </c>
      <c r="P110" s="167" t="s">
        <v>534</v>
      </c>
      <c r="Q110" s="135" t="s">
        <v>9</v>
      </c>
      <c r="R110" s="136">
        <v>7475.8412288709123</v>
      </c>
      <c r="S110" s="73">
        <v>4750</v>
      </c>
      <c r="T110" s="136">
        <v>7475.8412288709123</v>
      </c>
      <c r="U110" s="136">
        <v>14951.682457741825</v>
      </c>
      <c r="V110" s="136">
        <v>621172.76275614602</v>
      </c>
      <c r="W110" s="147" t="s">
        <v>11</v>
      </c>
      <c r="X110" s="185">
        <v>3.2500000000000001E-2</v>
      </c>
      <c r="Y110" s="137">
        <v>44511</v>
      </c>
      <c r="Z110" s="137">
        <v>44511</v>
      </c>
      <c r="AA110" s="137">
        <v>46277</v>
      </c>
      <c r="AB110" s="138">
        <v>1767</v>
      </c>
      <c r="AC110" s="139" t="s">
        <v>10</v>
      </c>
      <c r="AD110" s="138">
        <v>1443</v>
      </c>
      <c r="AE110" s="140">
        <v>3.9534246575342467</v>
      </c>
      <c r="AF110" s="184"/>
      <c r="AG110" s="186" t="s">
        <v>1</v>
      </c>
      <c r="AH110" s="186" t="s">
        <v>1</v>
      </c>
      <c r="AI110" s="187" t="s">
        <v>0</v>
      </c>
      <c r="AJ110" s="143" t="s">
        <v>0</v>
      </c>
      <c r="AK110" s="164" t="s">
        <v>271</v>
      </c>
      <c r="AL110" s="188" t="s">
        <v>690</v>
      </c>
      <c r="AO110" s="197" t="s">
        <v>38</v>
      </c>
      <c r="AP110" s="198" t="s">
        <v>173</v>
      </c>
      <c r="AS110" s="212">
        <v>0</v>
      </c>
      <c r="AT110" s="212">
        <v>897.10094746450943</v>
      </c>
      <c r="AU110" s="212" t="b">
        <v>0</v>
      </c>
      <c r="AV110" s="212"/>
      <c r="AW110" s="212">
        <v>0</v>
      </c>
      <c r="AX110" s="212">
        <v>0</v>
      </c>
      <c r="BB110" s="212">
        <v>0</v>
      </c>
      <c r="BC110" s="212">
        <v>0</v>
      </c>
      <c r="BD110" s="212">
        <v>0</v>
      </c>
      <c r="BE110" s="212">
        <v>0</v>
      </c>
      <c r="BF110" s="226"/>
      <c r="BG110" s="226"/>
      <c r="BJ110" s="112"/>
      <c r="BK110" s="112"/>
    </row>
    <row r="111" spans="1:63" ht="39.950000000000003" customHeight="1" x14ac:dyDescent="0.2">
      <c r="A111" s="131" t="s">
        <v>695</v>
      </c>
      <c r="B111" s="132" t="s">
        <v>23</v>
      </c>
      <c r="C111" s="133" t="s">
        <v>149</v>
      </c>
      <c r="D111" s="131" t="s">
        <v>542</v>
      </c>
      <c r="E111" s="161" t="s">
        <v>166</v>
      </c>
      <c r="F111" s="188" t="s">
        <v>102</v>
      </c>
      <c r="G111" s="131" t="s">
        <v>102</v>
      </c>
      <c r="H111" s="66" t="s">
        <v>103</v>
      </c>
      <c r="I111" s="133" t="s">
        <v>148</v>
      </c>
      <c r="J111" s="133" t="s">
        <v>148</v>
      </c>
      <c r="K111" s="168" t="s">
        <v>101</v>
      </c>
      <c r="L111" s="65" t="s">
        <v>191</v>
      </c>
      <c r="M111" s="134" t="s">
        <v>59</v>
      </c>
      <c r="N111" s="13" t="s">
        <v>43</v>
      </c>
      <c r="O111" s="167" t="s">
        <v>538</v>
      </c>
      <c r="P111" s="167" t="s">
        <v>534</v>
      </c>
      <c r="Q111" s="135" t="s">
        <v>59</v>
      </c>
      <c r="R111" s="136">
        <v>9568.1327597556683</v>
      </c>
      <c r="S111" s="73">
        <v>6250</v>
      </c>
      <c r="T111" s="136">
        <v>9568.1327597556683</v>
      </c>
      <c r="U111" s="136">
        <v>107163.0869092635</v>
      </c>
      <c r="V111" s="136">
        <v>690699.53001331887</v>
      </c>
      <c r="W111" s="147" t="s">
        <v>11</v>
      </c>
      <c r="X111" s="185">
        <v>1.6500000000000001E-2</v>
      </c>
      <c r="Y111" s="137">
        <v>44498</v>
      </c>
      <c r="Z111" s="137">
        <v>46920</v>
      </c>
      <c r="AA111" s="137">
        <v>46920</v>
      </c>
      <c r="AB111" s="138">
        <v>2423</v>
      </c>
      <c r="AC111" s="139" t="s">
        <v>10</v>
      </c>
      <c r="AD111" s="138">
        <v>2086</v>
      </c>
      <c r="AE111" s="140">
        <v>5.7150684931506852</v>
      </c>
      <c r="AF111" s="184"/>
      <c r="AG111" s="186" t="s">
        <v>1</v>
      </c>
      <c r="AH111" s="186" t="s">
        <v>188</v>
      </c>
      <c r="AI111" s="187" t="s">
        <v>0</v>
      </c>
      <c r="AJ111" s="143" t="s">
        <v>0</v>
      </c>
      <c r="AK111" s="164" t="s">
        <v>271</v>
      </c>
      <c r="AL111" s="188" t="s">
        <v>691</v>
      </c>
      <c r="AO111" s="197" t="s">
        <v>166</v>
      </c>
      <c r="AP111" s="198" t="s">
        <v>102</v>
      </c>
      <c r="AS111" s="212">
        <v>0</v>
      </c>
      <c r="AT111" s="212">
        <v>1148.1759311706801</v>
      </c>
      <c r="AU111" s="212" t="b">
        <v>0</v>
      </c>
      <c r="AV111" s="212"/>
      <c r="AW111" s="212">
        <v>0</v>
      </c>
      <c r="AX111" s="212">
        <v>0</v>
      </c>
      <c r="BB111" s="212">
        <v>0</v>
      </c>
      <c r="BC111" s="212">
        <v>0</v>
      </c>
      <c r="BD111" s="212">
        <v>0</v>
      </c>
      <c r="BE111" s="212">
        <v>0</v>
      </c>
      <c r="BF111" s="226"/>
      <c r="BG111" s="226"/>
      <c r="BJ111" s="112"/>
      <c r="BK111" s="112"/>
    </row>
    <row r="112" spans="1:63" ht="39.950000000000003" customHeight="1" x14ac:dyDescent="0.2">
      <c r="A112" s="131" t="s">
        <v>696</v>
      </c>
      <c r="B112" s="132" t="s">
        <v>24</v>
      </c>
      <c r="C112" s="133" t="s">
        <v>38</v>
      </c>
      <c r="D112" s="14" t="s">
        <v>540</v>
      </c>
      <c r="E112" s="161" t="s">
        <v>49</v>
      </c>
      <c r="F112" s="131" t="s">
        <v>48</v>
      </c>
      <c r="G112" s="131" t="s">
        <v>95</v>
      </c>
      <c r="H112" s="130" t="s">
        <v>447</v>
      </c>
      <c r="I112" s="133" t="s">
        <v>142</v>
      </c>
      <c r="J112" s="192" t="s">
        <v>218</v>
      </c>
      <c r="K112" s="13" t="s">
        <v>29</v>
      </c>
      <c r="L112" s="65" t="s">
        <v>191</v>
      </c>
      <c r="M112" s="134" t="s">
        <v>323</v>
      </c>
      <c r="N112" s="13" t="s">
        <v>43</v>
      </c>
      <c r="O112" s="167" t="s">
        <v>531</v>
      </c>
      <c r="P112" s="167" t="s">
        <v>534</v>
      </c>
      <c r="Q112" s="135" t="s">
        <v>9</v>
      </c>
      <c r="R112" s="136">
        <v>15738.613113412448</v>
      </c>
      <c r="S112" s="73">
        <v>9850</v>
      </c>
      <c r="T112" s="136">
        <v>15502.533916711262</v>
      </c>
      <c r="U112" s="136">
        <v>24732.106314331584</v>
      </c>
      <c r="V112" s="136">
        <v>1468296.3738235387</v>
      </c>
      <c r="W112" s="147" t="s">
        <v>11</v>
      </c>
      <c r="X112" s="185">
        <v>0.06</v>
      </c>
      <c r="Y112" s="137">
        <v>44519</v>
      </c>
      <c r="Z112" s="137">
        <v>46125</v>
      </c>
      <c r="AA112" s="137">
        <v>46125</v>
      </c>
      <c r="AB112" s="138">
        <v>1607</v>
      </c>
      <c r="AC112" s="139" t="s">
        <v>10</v>
      </c>
      <c r="AD112" s="138">
        <v>1291</v>
      </c>
      <c r="AE112" s="140">
        <v>3.536986301369863</v>
      </c>
      <c r="AF112" s="184"/>
      <c r="AG112" s="186" t="s">
        <v>1</v>
      </c>
      <c r="AH112" s="186" t="s">
        <v>1</v>
      </c>
      <c r="AI112" s="187" t="s">
        <v>697</v>
      </c>
      <c r="AJ112" s="143" t="s">
        <v>0</v>
      </c>
      <c r="AK112" s="164" t="s">
        <v>271</v>
      </c>
      <c r="AL112" s="188" t="s">
        <v>748</v>
      </c>
      <c r="AO112" s="197" t="s">
        <v>49</v>
      </c>
      <c r="AP112" s="198" t="s">
        <v>48</v>
      </c>
      <c r="AS112" s="212">
        <v>0</v>
      </c>
      <c r="AT112" s="212">
        <v>1860.3040700053514</v>
      </c>
      <c r="AU112" s="212" t="b">
        <v>0</v>
      </c>
      <c r="AV112" s="212"/>
      <c r="AW112" s="212">
        <v>0</v>
      </c>
      <c r="AX112" s="212">
        <v>0</v>
      </c>
      <c r="BB112" s="212">
        <v>0</v>
      </c>
      <c r="BC112" s="212">
        <v>0</v>
      </c>
      <c r="BD112" s="212">
        <v>0</v>
      </c>
      <c r="BE112" s="212">
        <v>0</v>
      </c>
      <c r="BF112" s="226"/>
      <c r="BG112" s="226"/>
      <c r="BJ112" s="112"/>
      <c r="BK112" s="112"/>
    </row>
    <row r="113" spans="1:63" ht="39.950000000000003" customHeight="1" x14ac:dyDescent="0.2">
      <c r="A113" s="131" t="s">
        <v>698</v>
      </c>
      <c r="B113" s="132" t="s">
        <v>23</v>
      </c>
      <c r="C113" s="133" t="s">
        <v>37</v>
      </c>
      <c r="D113" s="14" t="s">
        <v>540</v>
      </c>
      <c r="E113" s="161" t="s">
        <v>36</v>
      </c>
      <c r="F113" s="131" t="s">
        <v>543</v>
      </c>
      <c r="G113" s="131" t="s">
        <v>133</v>
      </c>
      <c r="H113" s="131" t="s">
        <v>133</v>
      </c>
      <c r="I113" s="133" t="s">
        <v>236</v>
      </c>
      <c r="J113" s="192" t="s">
        <v>21</v>
      </c>
      <c r="K113" s="13" t="s">
        <v>29</v>
      </c>
      <c r="L113" s="65" t="s">
        <v>191</v>
      </c>
      <c r="M113" s="134" t="s">
        <v>323</v>
      </c>
      <c r="N113" s="13" t="s">
        <v>43</v>
      </c>
      <c r="O113" s="167" t="s">
        <v>538</v>
      </c>
      <c r="P113" s="167" t="s">
        <v>548</v>
      </c>
      <c r="Q113" s="135" t="s">
        <v>9</v>
      </c>
      <c r="R113" s="136">
        <v>23607.91967011867</v>
      </c>
      <c r="S113" s="73">
        <v>15000</v>
      </c>
      <c r="T113" s="136">
        <v>23607.91967011867</v>
      </c>
      <c r="U113" s="136">
        <v>70823.759010356007</v>
      </c>
      <c r="V113" s="136">
        <v>812254.08417010296</v>
      </c>
      <c r="W113" s="147" t="s">
        <v>11</v>
      </c>
      <c r="X113" s="185">
        <v>1.4E-2</v>
      </c>
      <c r="Y113" s="137">
        <v>44524</v>
      </c>
      <c r="Z113" s="137">
        <v>46493</v>
      </c>
      <c r="AA113" s="137">
        <v>46493</v>
      </c>
      <c r="AB113" s="138">
        <v>1970</v>
      </c>
      <c r="AC113" s="139" t="s">
        <v>10</v>
      </c>
      <c r="AD113" s="138">
        <v>1659</v>
      </c>
      <c r="AE113" s="140">
        <v>4.5452054794520551</v>
      </c>
      <c r="AF113" s="184"/>
      <c r="AG113" s="186" t="s">
        <v>1</v>
      </c>
      <c r="AH113" s="186" t="s">
        <v>1</v>
      </c>
      <c r="AI113" s="187" t="s">
        <v>0</v>
      </c>
      <c r="AJ113" s="143" t="s">
        <v>0</v>
      </c>
      <c r="AK113" s="164" t="s">
        <v>271</v>
      </c>
      <c r="AL113" s="188" t="s">
        <v>699</v>
      </c>
      <c r="AO113" s="197" t="s">
        <v>36</v>
      </c>
      <c r="AP113" s="198" t="s">
        <v>543</v>
      </c>
      <c r="AS113" s="212">
        <v>0</v>
      </c>
      <c r="AT113" s="212">
        <v>2832.9503604142401</v>
      </c>
      <c r="AU113" s="212" t="b">
        <v>0</v>
      </c>
      <c r="AV113" s="212"/>
      <c r="AW113" s="212">
        <v>0</v>
      </c>
      <c r="AX113" s="212">
        <v>0</v>
      </c>
      <c r="BB113" s="212">
        <v>0</v>
      </c>
      <c r="BC113" s="212">
        <v>0</v>
      </c>
      <c r="BD113" s="212">
        <v>0</v>
      </c>
      <c r="BE113" s="212">
        <v>0</v>
      </c>
      <c r="BF113" s="226"/>
      <c r="BG113" s="226"/>
      <c r="BJ113" s="112"/>
      <c r="BK113" s="112"/>
    </row>
    <row r="114" spans="1:63" ht="39.950000000000003" customHeight="1" x14ac:dyDescent="0.2">
      <c r="A114" s="131" t="s">
        <v>701</v>
      </c>
      <c r="B114" s="132" t="s">
        <v>24</v>
      </c>
      <c r="C114" s="133" t="s">
        <v>38</v>
      </c>
      <c r="D114" s="14" t="s">
        <v>540</v>
      </c>
      <c r="E114" s="161" t="s">
        <v>35</v>
      </c>
      <c r="F114" s="14" t="s">
        <v>892</v>
      </c>
      <c r="G114" s="188" t="s">
        <v>259</v>
      </c>
      <c r="H114" s="188" t="s">
        <v>258</v>
      </c>
      <c r="I114" s="133" t="s">
        <v>50</v>
      </c>
      <c r="J114" s="192" t="s">
        <v>21</v>
      </c>
      <c r="K114" s="168" t="s">
        <v>139</v>
      </c>
      <c r="L114" s="194" t="s">
        <v>191</v>
      </c>
      <c r="M114" s="134" t="s">
        <v>323</v>
      </c>
      <c r="N114" s="167" t="s">
        <v>43</v>
      </c>
      <c r="O114" s="167" t="s">
        <v>538</v>
      </c>
      <c r="P114" s="167" t="s">
        <v>534</v>
      </c>
      <c r="Q114" s="135" t="s">
        <v>9</v>
      </c>
      <c r="R114" s="136">
        <v>7869.306556706224</v>
      </c>
      <c r="S114" s="73">
        <v>4755</v>
      </c>
      <c r="T114" s="136">
        <v>7483.7105354276191</v>
      </c>
      <c r="U114" s="136">
        <v>55085.145896943563</v>
      </c>
      <c r="V114" s="136">
        <v>483208.88287324127</v>
      </c>
      <c r="W114" s="147" t="s">
        <v>11</v>
      </c>
      <c r="X114" s="185">
        <v>3.3300000000000003E-2</v>
      </c>
      <c r="Y114" s="137">
        <v>44526</v>
      </c>
      <c r="Z114" s="137">
        <v>46271</v>
      </c>
      <c r="AA114" s="137">
        <v>46271</v>
      </c>
      <c r="AB114" s="138">
        <v>1746</v>
      </c>
      <c r="AC114" s="139" t="s">
        <v>10</v>
      </c>
      <c r="AD114" s="138">
        <v>1437</v>
      </c>
      <c r="AE114" s="140">
        <v>3.9369863013698629</v>
      </c>
      <c r="AF114" s="184"/>
      <c r="AG114" s="186" t="s">
        <v>1</v>
      </c>
      <c r="AH114" s="186" t="s">
        <v>1</v>
      </c>
      <c r="AI114" s="187" t="s">
        <v>0</v>
      </c>
      <c r="AJ114" s="11" t="s">
        <v>0</v>
      </c>
      <c r="AK114" s="164" t="s">
        <v>271</v>
      </c>
      <c r="AL114" s="188" t="s">
        <v>700</v>
      </c>
      <c r="AO114" s="197" t="s">
        <v>35</v>
      </c>
      <c r="AP114" s="198" t="s">
        <v>892</v>
      </c>
      <c r="AS114" s="212">
        <v>0</v>
      </c>
      <c r="AT114" s="212">
        <v>898.04526425131428</v>
      </c>
      <c r="AU114" s="212" t="b">
        <v>0</v>
      </c>
      <c r="AV114" s="212"/>
      <c r="AW114" s="212">
        <v>0</v>
      </c>
      <c r="AX114" s="212">
        <v>0</v>
      </c>
      <c r="BB114" s="212">
        <v>0</v>
      </c>
      <c r="BC114" s="212">
        <v>0</v>
      </c>
      <c r="BD114" s="212">
        <v>0</v>
      </c>
      <c r="BE114" s="212">
        <v>0</v>
      </c>
      <c r="BF114" s="226"/>
      <c r="BG114" s="226"/>
      <c r="BJ114" s="112"/>
      <c r="BK114" s="112"/>
    </row>
    <row r="115" spans="1:63" ht="39.950000000000003" customHeight="1" x14ac:dyDescent="0.2">
      <c r="A115" s="131" t="s">
        <v>702</v>
      </c>
      <c r="B115" s="132" t="s">
        <v>67</v>
      </c>
      <c r="C115" s="133" t="s">
        <v>38</v>
      </c>
      <c r="D115" s="131" t="s">
        <v>34</v>
      </c>
      <c r="E115" s="161" t="s">
        <v>34</v>
      </c>
      <c r="F115" s="14" t="s">
        <v>891</v>
      </c>
      <c r="G115" s="66" t="s">
        <v>167</v>
      </c>
      <c r="H115" s="130" t="s">
        <v>167</v>
      </c>
      <c r="I115" s="133" t="s">
        <v>706</v>
      </c>
      <c r="J115" s="192" t="s">
        <v>220</v>
      </c>
      <c r="K115" s="168" t="s">
        <v>209</v>
      </c>
      <c r="L115" s="194" t="s">
        <v>191</v>
      </c>
      <c r="M115" s="134" t="s">
        <v>323</v>
      </c>
      <c r="N115" s="167" t="s">
        <v>43</v>
      </c>
      <c r="O115" s="167" t="s">
        <v>538</v>
      </c>
      <c r="P115" s="167" t="s">
        <v>534</v>
      </c>
      <c r="Q115" s="135" t="s">
        <v>8</v>
      </c>
      <c r="R115" s="136">
        <v>20000</v>
      </c>
      <c r="S115" s="73">
        <v>20000</v>
      </c>
      <c r="T115" s="136">
        <v>20000</v>
      </c>
      <c r="U115" s="136">
        <v>155000</v>
      </c>
      <c r="V115" s="136">
        <v>1137586.8400000001</v>
      </c>
      <c r="W115" s="147" t="s">
        <v>11</v>
      </c>
      <c r="X115" s="185">
        <v>1.9E-2</v>
      </c>
      <c r="Y115" s="137">
        <v>44533</v>
      </c>
      <c r="Z115" s="137">
        <v>46359</v>
      </c>
      <c r="AA115" s="137">
        <v>46359</v>
      </c>
      <c r="AB115" s="138">
        <v>1827</v>
      </c>
      <c r="AC115" s="139" t="s">
        <v>10</v>
      </c>
      <c r="AD115" s="138">
        <v>1525</v>
      </c>
      <c r="AE115" s="140">
        <v>4.1780821917808222</v>
      </c>
      <c r="AF115" s="184"/>
      <c r="AG115" s="186" t="s">
        <v>1</v>
      </c>
      <c r="AH115" s="186" t="s">
        <v>1</v>
      </c>
      <c r="AI115" s="187" t="s">
        <v>0</v>
      </c>
      <c r="AJ115" s="143" t="s">
        <v>0</v>
      </c>
      <c r="AK115" s="164" t="s">
        <v>271</v>
      </c>
      <c r="AL115" s="188" t="s">
        <v>703</v>
      </c>
      <c r="AO115" s="197" t="s">
        <v>34</v>
      </c>
      <c r="AP115" s="198" t="s">
        <v>891</v>
      </c>
      <c r="AS115" s="212">
        <v>0</v>
      </c>
      <c r="AT115" s="212">
        <v>2400</v>
      </c>
      <c r="AU115" s="212" t="b">
        <v>0</v>
      </c>
      <c r="AV115" s="212"/>
      <c r="AW115" s="212">
        <v>0</v>
      </c>
      <c r="AX115" s="212">
        <v>0</v>
      </c>
      <c r="BB115" s="212">
        <v>0</v>
      </c>
      <c r="BC115" s="212">
        <v>0</v>
      </c>
      <c r="BD115" s="212">
        <v>0</v>
      </c>
      <c r="BE115" s="212">
        <v>0</v>
      </c>
      <c r="BF115" s="226"/>
      <c r="BG115" s="226"/>
      <c r="BJ115" s="112"/>
      <c r="BK115" s="112"/>
    </row>
    <row r="116" spans="1:63" ht="39.950000000000003" customHeight="1" x14ac:dyDescent="0.2">
      <c r="A116" s="131" t="s">
        <v>713</v>
      </c>
      <c r="B116" s="132" t="s">
        <v>24</v>
      </c>
      <c r="C116" s="133" t="s">
        <v>38</v>
      </c>
      <c r="D116" s="131" t="s">
        <v>34</v>
      </c>
      <c r="E116" s="161" t="s">
        <v>295</v>
      </c>
      <c r="F116" s="131" t="s">
        <v>544</v>
      </c>
      <c r="G116" s="131" t="s">
        <v>201</v>
      </c>
      <c r="H116" s="130" t="s">
        <v>200</v>
      </c>
      <c r="I116" s="133" t="s">
        <v>638</v>
      </c>
      <c r="J116" s="192" t="s">
        <v>687</v>
      </c>
      <c r="K116" s="168" t="s">
        <v>209</v>
      </c>
      <c r="L116" s="194" t="s">
        <v>191</v>
      </c>
      <c r="M116" s="134" t="s">
        <v>323</v>
      </c>
      <c r="N116" s="167" t="s">
        <v>43</v>
      </c>
      <c r="O116" s="167" t="s">
        <v>538</v>
      </c>
      <c r="P116" s="167" t="s">
        <v>534</v>
      </c>
      <c r="Q116" s="135" t="s">
        <v>297</v>
      </c>
      <c r="R116" s="136">
        <v>12083.1486</v>
      </c>
      <c r="S116" s="73">
        <v>12083.1486</v>
      </c>
      <c r="T116" s="136">
        <v>12083.1486</v>
      </c>
      <c r="U116" s="136">
        <v>24166.296999999999</v>
      </c>
      <c r="V116" s="136">
        <v>1652428.53</v>
      </c>
      <c r="W116" s="147" t="s">
        <v>11</v>
      </c>
      <c r="X116" s="185">
        <v>4.2500000000000003E-2</v>
      </c>
      <c r="Y116" s="137">
        <v>44540</v>
      </c>
      <c r="Z116" s="137">
        <v>46691</v>
      </c>
      <c r="AA116" s="137">
        <v>46691</v>
      </c>
      <c r="AB116" s="138">
        <v>2152</v>
      </c>
      <c r="AC116" s="139" t="s">
        <v>10</v>
      </c>
      <c r="AD116" s="138">
        <v>1857</v>
      </c>
      <c r="AE116" s="140">
        <v>5.087671232876712</v>
      </c>
      <c r="AF116" s="184"/>
      <c r="AG116" s="186" t="s">
        <v>1</v>
      </c>
      <c r="AH116" s="186" t="s">
        <v>1</v>
      </c>
      <c r="AI116" s="187" t="s">
        <v>0</v>
      </c>
      <c r="AJ116" s="143" t="s">
        <v>0</v>
      </c>
      <c r="AK116" s="164" t="s">
        <v>563</v>
      </c>
      <c r="AL116" s="188" t="s">
        <v>707</v>
      </c>
      <c r="AO116" s="197" t="s">
        <v>295</v>
      </c>
      <c r="AP116" s="198" t="s">
        <v>544</v>
      </c>
      <c r="AS116" s="212">
        <v>0</v>
      </c>
      <c r="AT116" s="212">
        <v>1449.977832</v>
      </c>
      <c r="AU116" s="212" t="b">
        <v>0</v>
      </c>
      <c r="AV116" s="212"/>
      <c r="AW116" s="212">
        <v>0</v>
      </c>
      <c r="AX116" s="212">
        <v>0</v>
      </c>
      <c r="BB116" s="212">
        <v>0</v>
      </c>
      <c r="BC116" s="212">
        <v>0</v>
      </c>
      <c r="BD116" s="212">
        <v>0</v>
      </c>
      <c r="BE116" s="212">
        <v>0</v>
      </c>
      <c r="BF116" s="226"/>
      <c r="BG116" s="226"/>
      <c r="BJ116" s="112"/>
      <c r="BK116" s="112"/>
    </row>
    <row r="117" spans="1:63" ht="39.950000000000003" customHeight="1" x14ac:dyDescent="0.2">
      <c r="A117" s="131" t="s">
        <v>718</v>
      </c>
      <c r="B117" s="132" t="s">
        <v>23</v>
      </c>
      <c r="C117" s="133" t="s">
        <v>88</v>
      </c>
      <c r="D117" s="131" t="s">
        <v>499</v>
      </c>
      <c r="E117" s="161" t="s">
        <v>162</v>
      </c>
      <c r="F117" s="131" t="s">
        <v>92</v>
      </c>
      <c r="G117" s="131" t="s">
        <v>134</v>
      </c>
      <c r="H117" s="130" t="s">
        <v>134</v>
      </c>
      <c r="I117" s="133" t="s">
        <v>61</v>
      </c>
      <c r="J117" s="192" t="s">
        <v>220</v>
      </c>
      <c r="K117" s="13" t="s">
        <v>68</v>
      </c>
      <c r="L117" s="194" t="s">
        <v>191</v>
      </c>
      <c r="M117" s="134" t="s">
        <v>59</v>
      </c>
      <c r="N117" s="167" t="s">
        <v>43</v>
      </c>
      <c r="O117" s="167" t="s">
        <v>533</v>
      </c>
      <c r="P117" s="167" t="s">
        <v>548</v>
      </c>
      <c r="Q117" s="135" t="s">
        <v>9</v>
      </c>
      <c r="R117" s="136">
        <v>11803.959835059335</v>
      </c>
      <c r="S117" s="73">
        <v>6900</v>
      </c>
      <c r="T117" s="136">
        <v>10859.643048254589</v>
      </c>
      <c r="U117" s="136">
        <v>236079.19670118671</v>
      </c>
      <c r="V117" s="136">
        <v>363044.19402562251</v>
      </c>
      <c r="W117" s="147" t="s">
        <v>11</v>
      </c>
      <c r="X117" s="185">
        <v>1.375E-2</v>
      </c>
      <c r="Y117" s="137">
        <v>44550</v>
      </c>
      <c r="Z117" s="137">
        <v>46200</v>
      </c>
      <c r="AA117" s="137">
        <v>46200</v>
      </c>
      <c r="AB117" s="138">
        <v>1651</v>
      </c>
      <c r="AC117" s="139" t="s">
        <v>10</v>
      </c>
      <c r="AD117" s="138">
        <v>1366</v>
      </c>
      <c r="AE117" s="140">
        <v>3.7424657534246575</v>
      </c>
      <c r="AF117" s="184"/>
      <c r="AG117" s="186" t="s">
        <v>1</v>
      </c>
      <c r="AH117" s="186" t="s">
        <v>1</v>
      </c>
      <c r="AI117" s="187" t="s">
        <v>784</v>
      </c>
      <c r="AJ117" s="143" t="s">
        <v>0</v>
      </c>
      <c r="AK117" s="164" t="s">
        <v>563</v>
      </c>
      <c r="AL117" s="188" t="s">
        <v>708</v>
      </c>
      <c r="AO117" s="197" t="s">
        <v>162</v>
      </c>
      <c r="AP117" s="198" t="s">
        <v>92</v>
      </c>
      <c r="AS117" s="212">
        <v>0</v>
      </c>
      <c r="AT117" s="212">
        <v>1303.1571657905506</v>
      </c>
      <c r="AU117" s="212" t="b">
        <v>0</v>
      </c>
      <c r="AV117" s="212"/>
      <c r="AW117" s="212">
        <v>0</v>
      </c>
      <c r="AX117" s="212">
        <v>0</v>
      </c>
      <c r="BB117" s="212">
        <v>0</v>
      </c>
      <c r="BC117" s="212">
        <v>0</v>
      </c>
      <c r="BD117" s="212">
        <v>0</v>
      </c>
      <c r="BE117" s="212">
        <v>0</v>
      </c>
      <c r="BF117" s="226"/>
      <c r="BG117" s="226"/>
      <c r="BJ117" s="112"/>
      <c r="BK117" s="112"/>
    </row>
    <row r="118" spans="1:63" ht="39.950000000000003" customHeight="1" x14ac:dyDescent="0.2">
      <c r="A118" s="131" t="s">
        <v>720</v>
      </c>
      <c r="B118" s="132" t="s">
        <v>67</v>
      </c>
      <c r="C118" s="133" t="s">
        <v>127</v>
      </c>
      <c r="D118" s="131" t="s">
        <v>499</v>
      </c>
      <c r="E118" s="161" t="s">
        <v>162</v>
      </c>
      <c r="F118" s="131" t="s">
        <v>233</v>
      </c>
      <c r="G118" s="131" t="s">
        <v>443</v>
      </c>
      <c r="H118" s="131" t="s">
        <v>234</v>
      </c>
      <c r="I118" s="133" t="s">
        <v>218</v>
      </c>
      <c r="J118" s="192" t="s">
        <v>218</v>
      </c>
      <c r="K118" s="168" t="s">
        <v>209</v>
      </c>
      <c r="L118" s="194" t="s">
        <v>191</v>
      </c>
      <c r="M118" s="134" t="s">
        <v>59</v>
      </c>
      <c r="N118" s="167" t="s">
        <v>43</v>
      </c>
      <c r="O118" s="167" t="s">
        <v>538</v>
      </c>
      <c r="P118" s="167" t="s">
        <v>534</v>
      </c>
      <c r="Q118" s="135" t="s">
        <v>59</v>
      </c>
      <c r="R118" s="136">
        <v>30618.024831218139</v>
      </c>
      <c r="S118" s="73">
        <v>20000</v>
      </c>
      <c r="T118" s="136">
        <v>30618.024831218139</v>
      </c>
      <c r="U118" s="136">
        <v>57429.179808313842</v>
      </c>
      <c r="V118" s="136">
        <v>1404081.0459117284</v>
      </c>
      <c r="W118" s="147" t="s">
        <v>11</v>
      </c>
      <c r="X118" s="185">
        <v>0.03</v>
      </c>
      <c r="Y118" s="137">
        <v>44547</v>
      </c>
      <c r="Z118" s="137">
        <v>46280</v>
      </c>
      <c r="AA118" s="137">
        <v>46285</v>
      </c>
      <c r="AB118" s="138">
        <v>1739</v>
      </c>
      <c r="AC118" s="139" t="s">
        <v>10</v>
      </c>
      <c r="AD118" s="138">
        <v>1451</v>
      </c>
      <c r="AE118" s="140">
        <v>3.9753424657534246</v>
      </c>
      <c r="AF118" s="184"/>
      <c r="AG118" s="186" t="s">
        <v>1</v>
      </c>
      <c r="AH118" s="186" t="s">
        <v>1</v>
      </c>
      <c r="AI118" s="187" t="s">
        <v>0</v>
      </c>
      <c r="AJ118" s="143" t="s">
        <v>0</v>
      </c>
      <c r="AK118" s="164" t="s">
        <v>271</v>
      </c>
      <c r="AL118" s="188" t="s">
        <v>709</v>
      </c>
      <c r="AO118" s="197" t="s">
        <v>162</v>
      </c>
      <c r="AP118" s="198" t="s">
        <v>233</v>
      </c>
      <c r="AS118" s="212">
        <v>0</v>
      </c>
      <c r="AT118" s="212">
        <v>3674.1629797461765</v>
      </c>
      <c r="AU118" s="212" t="b">
        <v>0</v>
      </c>
      <c r="AV118" s="212"/>
      <c r="AW118" s="212">
        <v>0</v>
      </c>
      <c r="AX118" s="212">
        <v>0</v>
      </c>
      <c r="BB118" s="212">
        <v>0</v>
      </c>
      <c r="BC118" s="212">
        <v>0</v>
      </c>
      <c r="BD118" s="212">
        <v>0</v>
      </c>
      <c r="BE118" s="212">
        <v>0</v>
      </c>
      <c r="BF118" s="226"/>
      <c r="BG118" s="226"/>
      <c r="BJ118" s="112"/>
      <c r="BK118" s="112"/>
    </row>
    <row r="119" spans="1:63" ht="39.950000000000003" customHeight="1" x14ac:dyDescent="0.2">
      <c r="A119" s="131" t="s">
        <v>721</v>
      </c>
      <c r="B119" s="132" t="s">
        <v>24</v>
      </c>
      <c r="C119" s="133" t="s">
        <v>38</v>
      </c>
      <c r="D119" s="14" t="s">
        <v>541</v>
      </c>
      <c r="E119" s="161" t="s">
        <v>37</v>
      </c>
      <c r="F119" s="131" t="s">
        <v>233</v>
      </c>
      <c r="G119" s="131" t="s">
        <v>443</v>
      </c>
      <c r="H119" s="131" t="s">
        <v>234</v>
      </c>
      <c r="I119" s="133" t="s">
        <v>142</v>
      </c>
      <c r="J119" s="192" t="s">
        <v>218</v>
      </c>
      <c r="K119" s="168" t="s">
        <v>209</v>
      </c>
      <c r="L119" s="194" t="s">
        <v>191</v>
      </c>
      <c r="M119" s="134" t="s">
        <v>323</v>
      </c>
      <c r="N119" s="167" t="s">
        <v>43</v>
      </c>
      <c r="O119" s="167" t="s">
        <v>538</v>
      </c>
      <c r="P119" s="167" t="s">
        <v>534</v>
      </c>
      <c r="Q119" s="135" t="s">
        <v>54</v>
      </c>
      <c r="R119" s="136">
        <v>24062.080166830423</v>
      </c>
      <c r="S119" s="73">
        <v>120000</v>
      </c>
      <c r="T119" s="136">
        <v>24062.080166830423</v>
      </c>
      <c r="U119" s="136">
        <v>34374.400152393173</v>
      </c>
      <c r="V119" s="136">
        <v>1288858.5931703798</v>
      </c>
      <c r="W119" s="147" t="s">
        <v>11</v>
      </c>
      <c r="X119" s="185">
        <v>2.1999999999999999E-2</v>
      </c>
      <c r="Y119" s="137">
        <v>44550</v>
      </c>
      <c r="Z119" s="137">
        <v>46316</v>
      </c>
      <c r="AA119" s="137">
        <v>46316</v>
      </c>
      <c r="AB119" s="138">
        <v>1767</v>
      </c>
      <c r="AC119" s="139" t="s">
        <v>10</v>
      </c>
      <c r="AD119" s="138">
        <v>1482</v>
      </c>
      <c r="AE119" s="140">
        <v>4.0602739726027401</v>
      </c>
      <c r="AF119" s="184"/>
      <c r="AG119" s="186" t="s">
        <v>1</v>
      </c>
      <c r="AH119" s="186" t="s">
        <v>1</v>
      </c>
      <c r="AI119" s="187" t="s">
        <v>0</v>
      </c>
      <c r="AJ119" s="143" t="s">
        <v>0</v>
      </c>
      <c r="AK119" s="164" t="s">
        <v>563</v>
      </c>
      <c r="AL119" s="188" t="s">
        <v>722</v>
      </c>
      <c r="AO119" s="197" t="s">
        <v>37</v>
      </c>
      <c r="AP119" s="198" t="s">
        <v>233</v>
      </c>
      <c r="AS119" s="212">
        <v>0</v>
      </c>
      <c r="AT119" s="212">
        <v>2887.4496200196509</v>
      </c>
      <c r="AU119" s="212" t="b">
        <v>0</v>
      </c>
      <c r="AV119" s="212"/>
      <c r="AW119" s="212">
        <v>0</v>
      </c>
      <c r="AX119" s="212">
        <v>0</v>
      </c>
      <c r="BB119" s="212">
        <v>0</v>
      </c>
      <c r="BC119" s="212">
        <v>0</v>
      </c>
      <c r="BD119" s="212">
        <v>0</v>
      </c>
      <c r="BE119" s="212">
        <v>0</v>
      </c>
      <c r="BF119" s="226"/>
      <c r="BG119" s="226"/>
      <c r="BJ119" s="112"/>
      <c r="BK119" s="112"/>
    </row>
    <row r="120" spans="1:63" ht="39.950000000000003" customHeight="1" x14ac:dyDescent="0.2">
      <c r="A120" s="131" t="s">
        <v>723</v>
      </c>
      <c r="B120" s="132" t="s">
        <v>23</v>
      </c>
      <c r="C120" s="133" t="s">
        <v>127</v>
      </c>
      <c r="D120" s="131" t="s">
        <v>542</v>
      </c>
      <c r="E120" s="161" t="s">
        <v>91</v>
      </c>
      <c r="F120" s="131" t="s">
        <v>233</v>
      </c>
      <c r="G120" s="131" t="s">
        <v>443</v>
      </c>
      <c r="H120" s="131" t="s">
        <v>234</v>
      </c>
      <c r="I120" s="133" t="s">
        <v>165</v>
      </c>
      <c r="J120" s="192" t="s">
        <v>220</v>
      </c>
      <c r="K120" s="223" t="s">
        <v>140</v>
      </c>
      <c r="L120" s="194" t="s">
        <v>191</v>
      </c>
      <c r="M120" s="134" t="s">
        <v>59</v>
      </c>
      <c r="N120" s="167" t="s">
        <v>43</v>
      </c>
      <c r="O120" s="167" t="s">
        <v>538</v>
      </c>
      <c r="P120" s="167" t="s">
        <v>534</v>
      </c>
      <c r="Q120" s="135" t="s">
        <v>59</v>
      </c>
      <c r="R120" s="136">
        <v>11481.759311706803</v>
      </c>
      <c r="S120" s="73">
        <v>7500</v>
      </c>
      <c r="T120" s="136">
        <v>11481.759311706803</v>
      </c>
      <c r="U120" s="136">
        <v>131657.50677423799</v>
      </c>
      <c r="V120" s="136">
        <v>1260386.5057163229</v>
      </c>
      <c r="W120" s="147" t="s">
        <v>11</v>
      </c>
      <c r="X120" s="185">
        <v>2.75E-2</v>
      </c>
      <c r="Y120" s="137">
        <v>44545</v>
      </c>
      <c r="Z120" s="137">
        <v>46951</v>
      </c>
      <c r="AA120" s="137">
        <v>46951</v>
      </c>
      <c r="AB120" s="138">
        <v>2407</v>
      </c>
      <c r="AC120" s="139" t="s">
        <v>10</v>
      </c>
      <c r="AD120" s="138">
        <v>2117</v>
      </c>
      <c r="AE120" s="140">
        <v>5.8</v>
      </c>
      <c r="AF120" s="184"/>
      <c r="AG120" s="186" t="s">
        <v>1</v>
      </c>
      <c r="AH120" s="186" t="s">
        <v>1</v>
      </c>
      <c r="AI120" s="187" t="s">
        <v>0</v>
      </c>
      <c r="AJ120" s="143" t="s">
        <v>0</v>
      </c>
      <c r="AK120" s="164" t="s">
        <v>563</v>
      </c>
      <c r="AL120" s="188" t="s">
        <v>710</v>
      </c>
      <c r="AO120" s="197" t="s">
        <v>91</v>
      </c>
      <c r="AP120" s="198" t="s">
        <v>233</v>
      </c>
      <c r="AS120" s="212">
        <v>0</v>
      </c>
      <c r="AT120" s="212">
        <v>1377.8111174048163</v>
      </c>
      <c r="AU120" s="212" t="b">
        <v>0</v>
      </c>
      <c r="AV120" s="212"/>
      <c r="AW120" s="212">
        <v>0</v>
      </c>
      <c r="AX120" s="212">
        <v>0</v>
      </c>
      <c r="BB120" s="212">
        <v>0</v>
      </c>
      <c r="BC120" s="212">
        <v>0</v>
      </c>
      <c r="BD120" s="212">
        <v>0</v>
      </c>
      <c r="BE120" s="212">
        <v>0</v>
      </c>
      <c r="BF120" s="226"/>
      <c r="BG120" s="226"/>
      <c r="BJ120" s="112"/>
      <c r="BK120" s="112"/>
    </row>
    <row r="121" spans="1:63" ht="39.950000000000003" customHeight="1" x14ac:dyDescent="0.2">
      <c r="A121" s="14" t="s">
        <v>725</v>
      </c>
      <c r="B121" s="65" t="s">
        <v>23</v>
      </c>
      <c r="C121" s="66" t="s">
        <v>37</v>
      </c>
      <c r="D121" s="131" t="s">
        <v>542</v>
      </c>
      <c r="E121" s="77" t="s">
        <v>87</v>
      </c>
      <c r="F121" s="14" t="s">
        <v>102</v>
      </c>
      <c r="G121" s="66" t="s">
        <v>102</v>
      </c>
      <c r="H121" s="14" t="s">
        <v>474</v>
      </c>
      <c r="I121" s="14" t="s">
        <v>79</v>
      </c>
      <c r="J121" s="14" t="s">
        <v>222</v>
      </c>
      <c r="K121" s="168" t="s">
        <v>209</v>
      </c>
      <c r="L121" s="65" t="s">
        <v>191</v>
      </c>
      <c r="M121" s="13" t="s">
        <v>323</v>
      </c>
      <c r="N121" s="13" t="s">
        <v>43</v>
      </c>
      <c r="O121" s="13" t="s">
        <v>531</v>
      </c>
      <c r="P121" s="13" t="s">
        <v>548</v>
      </c>
      <c r="Q121" s="64" t="s">
        <v>9</v>
      </c>
      <c r="R121" s="62">
        <v>31477.226226824896</v>
      </c>
      <c r="S121" s="63">
        <v>20000</v>
      </c>
      <c r="T121" s="62">
        <v>31477.226226824896</v>
      </c>
      <c r="U121" s="62">
        <v>236079.19670118671</v>
      </c>
      <c r="V121" s="62">
        <v>1838409.9121785387</v>
      </c>
      <c r="W121" s="61" t="s">
        <v>11</v>
      </c>
      <c r="X121" s="181">
        <v>2.0799999999999999E-2</v>
      </c>
      <c r="Y121" s="60">
        <v>44560</v>
      </c>
      <c r="Z121" s="60">
        <v>46350</v>
      </c>
      <c r="AA121" s="60">
        <v>46350</v>
      </c>
      <c r="AB121" s="58">
        <v>1791</v>
      </c>
      <c r="AC121" s="59" t="s">
        <v>10</v>
      </c>
      <c r="AD121" s="58">
        <v>1516</v>
      </c>
      <c r="AE121" s="57">
        <v>4.1534246575342468</v>
      </c>
      <c r="AF121" s="56" t="s">
        <v>436</v>
      </c>
      <c r="AG121" s="71" t="s">
        <v>1</v>
      </c>
      <c r="AH121" s="71" t="s">
        <v>1</v>
      </c>
      <c r="AI121" s="70" t="s">
        <v>0</v>
      </c>
      <c r="AJ121" s="11" t="s">
        <v>0</v>
      </c>
      <c r="AK121" s="164" t="s">
        <v>271</v>
      </c>
      <c r="AL121" s="14" t="s">
        <v>724</v>
      </c>
      <c r="AM121" s="11">
        <v>5000</v>
      </c>
      <c r="AN121" s="11">
        <v>75000</v>
      </c>
      <c r="AO121" s="197" t="s">
        <v>87</v>
      </c>
      <c r="AP121" s="198" t="s">
        <v>102</v>
      </c>
      <c r="AS121" s="212">
        <v>0</v>
      </c>
      <c r="AT121" s="212">
        <v>3777.2671472189872</v>
      </c>
      <c r="AU121" s="212">
        <v>755.45342944379752</v>
      </c>
      <c r="AV121" s="212"/>
      <c r="AW121" s="212">
        <v>0</v>
      </c>
      <c r="AX121" s="212">
        <v>0</v>
      </c>
      <c r="BB121" s="212">
        <v>0</v>
      </c>
      <c r="BC121" s="212">
        <v>0</v>
      </c>
      <c r="BD121" s="212">
        <v>0</v>
      </c>
      <c r="BE121" s="212">
        <v>0</v>
      </c>
      <c r="BF121" s="226">
        <v>0</v>
      </c>
      <c r="BG121" s="226"/>
      <c r="BJ121" s="112"/>
      <c r="BK121" s="112"/>
    </row>
    <row r="122" spans="1:63" ht="39.950000000000003" customHeight="1" x14ac:dyDescent="0.2">
      <c r="A122" s="131" t="s">
        <v>726</v>
      </c>
      <c r="B122" s="132" t="s">
        <v>243</v>
      </c>
      <c r="C122" s="133" t="s">
        <v>38</v>
      </c>
      <c r="D122" s="14" t="s">
        <v>540</v>
      </c>
      <c r="E122" s="161" t="s">
        <v>35</v>
      </c>
      <c r="F122" s="14" t="s">
        <v>892</v>
      </c>
      <c r="G122" s="188" t="s">
        <v>259</v>
      </c>
      <c r="H122" s="188" t="s">
        <v>459</v>
      </c>
      <c r="I122" s="133" t="s">
        <v>142</v>
      </c>
      <c r="J122" s="192" t="s">
        <v>218</v>
      </c>
      <c r="K122" s="168" t="s">
        <v>209</v>
      </c>
      <c r="L122" s="194" t="s">
        <v>191</v>
      </c>
      <c r="M122" s="134" t="s">
        <v>323</v>
      </c>
      <c r="N122" s="167" t="s">
        <v>43</v>
      </c>
      <c r="O122" s="167" t="s">
        <v>538</v>
      </c>
      <c r="P122" s="167" t="s">
        <v>534</v>
      </c>
      <c r="Q122" s="135" t="s">
        <v>9</v>
      </c>
      <c r="R122" s="136">
        <v>15738.613113412448</v>
      </c>
      <c r="S122" s="73">
        <v>10000</v>
      </c>
      <c r="T122" s="136">
        <v>15738.613113412448</v>
      </c>
      <c r="U122" s="136">
        <v>26231.020806446541</v>
      </c>
      <c r="V122" s="136">
        <v>1523926.1859044982</v>
      </c>
      <c r="W122" s="147" t="s">
        <v>11</v>
      </c>
      <c r="X122" s="185">
        <v>0.04</v>
      </c>
      <c r="Y122" s="137">
        <v>44559</v>
      </c>
      <c r="Z122" s="137">
        <v>46385</v>
      </c>
      <c r="AA122" s="137">
        <v>46385</v>
      </c>
      <c r="AB122" s="138">
        <v>1827</v>
      </c>
      <c r="AC122" s="139" t="s">
        <v>10</v>
      </c>
      <c r="AD122" s="138">
        <v>1551</v>
      </c>
      <c r="AE122" s="140">
        <v>4.2493150684931509</v>
      </c>
      <c r="AF122" s="184"/>
      <c r="AG122" s="186" t="s">
        <v>1</v>
      </c>
      <c r="AH122" s="186" t="s">
        <v>1</v>
      </c>
      <c r="AI122" s="187" t="s">
        <v>727</v>
      </c>
      <c r="AJ122" s="143" t="s">
        <v>0</v>
      </c>
      <c r="AK122" s="164" t="s">
        <v>563</v>
      </c>
      <c r="AL122" s="188" t="s">
        <v>711</v>
      </c>
      <c r="AO122" s="197" t="s">
        <v>35</v>
      </c>
      <c r="AP122" s="198" t="s">
        <v>892</v>
      </c>
      <c r="AS122" s="212">
        <v>0</v>
      </c>
      <c r="AT122" s="212">
        <v>1888.6335736094936</v>
      </c>
      <c r="AU122" s="212" t="b">
        <v>0</v>
      </c>
      <c r="AV122" s="212"/>
      <c r="AW122" s="212">
        <v>0</v>
      </c>
      <c r="AX122" s="212">
        <v>0</v>
      </c>
      <c r="BB122" s="212">
        <v>0</v>
      </c>
      <c r="BC122" s="212">
        <v>0</v>
      </c>
      <c r="BD122" s="212">
        <v>0</v>
      </c>
      <c r="BE122" s="212">
        <v>0</v>
      </c>
      <c r="BF122" s="226"/>
      <c r="BG122" s="226"/>
      <c r="BJ122" s="112"/>
      <c r="BK122" s="112"/>
    </row>
    <row r="123" spans="1:63" ht="39.950000000000003" customHeight="1" x14ac:dyDescent="0.2">
      <c r="A123" s="13" t="s">
        <v>729</v>
      </c>
      <c r="B123" s="65" t="s">
        <v>23</v>
      </c>
      <c r="C123" s="66" t="s">
        <v>37</v>
      </c>
      <c r="D123" s="14" t="s">
        <v>540</v>
      </c>
      <c r="E123" s="161" t="s">
        <v>36</v>
      </c>
      <c r="F123" s="66" t="s">
        <v>106</v>
      </c>
      <c r="G123" s="66" t="s">
        <v>106</v>
      </c>
      <c r="H123" s="66" t="s">
        <v>107</v>
      </c>
      <c r="I123" s="14" t="s">
        <v>72</v>
      </c>
      <c r="J123" s="66" t="s">
        <v>219</v>
      </c>
      <c r="K123" s="13" t="s">
        <v>29</v>
      </c>
      <c r="L123" s="65" t="s">
        <v>191</v>
      </c>
      <c r="M123" s="13" t="s">
        <v>323</v>
      </c>
      <c r="N123" s="13" t="s">
        <v>43</v>
      </c>
      <c r="O123" s="167" t="s">
        <v>538</v>
      </c>
      <c r="P123" s="13" t="s">
        <v>548</v>
      </c>
      <c r="Q123" s="64" t="s">
        <v>9</v>
      </c>
      <c r="R123" s="62">
        <v>23607.91967011867</v>
      </c>
      <c r="S123" s="63">
        <v>15000</v>
      </c>
      <c r="T123" s="150">
        <v>23607.91967011867</v>
      </c>
      <c r="U123" s="62">
        <v>188863.35736094936</v>
      </c>
      <c r="V123" s="150">
        <v>1178018.7919040574</v>
      </c>
      <c r="W123" s="61" t="s">
        <v>551</v>
      </c>
      <c r="X123" s="181">
        <v>2.5000000000000001E-2</v>
      </c>
      <c r="Y123" s="60">
        <v>44554</v>
      </c>
      <c r="Z123" s="60">
        <v>45799</v>
      </c>
      <c r="AA123" s="60">
        <v>45799</v>
      </c>
      <c r="AB123" s="58">
        <v>1246</v>
      </c>
      <c r="AC123" s="59" t="s">
        <v>10</v>
      </c>
      <c r="AD123" s="58">
        <v>965</v>
      </c>
      <c r="AE123" s="57">
        <v>2.6438356164383561</v>
      </c>
      <c r="AF123" s="56"/>
      <c r="AG123" s="71" t="s">
        <v>1</v>
      </c>
      <c r="AH123" s="71" t="s">
        <v>1</v>
      </c>
      <c r="AI123" s="70" t="s">
        <v>730</v>
      </c>
      <c r="AJ123" s="11" t="s">
        <v>0</v>
      </c>
      <c r="AK123" s="164" t="s">
        <v>271</v>
      </c>
      <c r="AL123" s="13" t="s">
        <v>728</v>
      </c>
      <c r="AM123" s="11">
        <v>8921</v>
      </c>
      <c r="AO123" s="197" t="s">
        <v>36</v>
      </c>
      <c r="AP123" s="198" t="s">
        <v>106</v>
      </c>
      <c r="AQ123" s="11">
        <v>1</v>
      </c>
      <c r="AR123" s="214">
        <v>0.25</v>
      </c>
      <c r="AS123" s="212">
        <v>5901.9799175296675</v>
      </c>
      <c r="AT123" s="212">
        <v>2832.9503604142401</v>
      </c>
      <c r="AU123" s="212" t="b">
        <v>0</v>
      </c>
      <c r="AV123" s="212"/>
      <c r="AW123" s="212">
        <v>2832.9503604142401</v>
      </c>
      <c r="AX123" s="212">
        <v>2649.8645624779178</v>
      </c>
      <c r="AY123" s="12"/>
      <c r="BB123" s="212">
        <v>5901.9799175296675</v>
      </c>
      <c r="BC123" s="212">
        <v>2649.8645624779178</v>
      </c>
      <c r="BD123" s="212">
        <v>2420.2006077392639</v>
      </c>
      <c r="BE123" s="212">
        <v>1567.354445017206</v>
      </c>
      <c r="BF123" s="226">
        <v>1044.9029633448042</v>
      </c>
      <c r="BG123" s="226">
        <v>0</v>
      </c>
      <c r="BJ123" s="112"/>
      <c r="BK123" s="112"/>
    </row>
    <row r="124" spans="1:63" ht="39.950000000000003" customHeight="1" x14ac:dyDescent="0.2">
      <c r="A124" s="131" t="s">
        <v>732</v>
      </c>
      <c r="B124" s="132" t="s">
        <v>67</v>
      </c>
      <c r="C124" s="133" t="s">
        <v>89</v>
      </c>
      <c r="D124" s="131" t="s">
        <v>542</v>
      </c>
      <c r="E124" s="161" t="s">
        <v>211</v>
      </c>
      <c r="F124" s="131" t="s">
        <v>233</v>
      </c>
      <c r="G124" s="131" t="s">
        <v>443</v>
      </c>
      <c r="H124" s="131" t="s">
        <v>234</v>
      </c>
      <c r="I124" s="133" t="s">
        <v>60</v>
      </c>
      <c r="J124" s="192" t="s">
        <v>220</v>
      </c>
      <c r="K124" s="168" t="s">
        <v>209</v>
      </c>
      <c r="L124" s="194" t="s">
        <v>191</v>
      </c>
      <c r="M124" s="134" t="s">
        <v>59</v>
      </c>
      <c r="N124" s="167" t="s">
        <v>43</v>
      </c>
      <c r="O124" s="167" t="s">
        <v>538</v>
      </c>
      <c r="P124" s="167" t="s">
        <v>534</v>
      </c>
      <c r="Q124" s="135" t="s">
        <v>59</v>
      </c>
      <c r="R124" s="136">
        <v>15309.01241560907</v>
      </c>
      <c r="S124" s="73">
        <v>10000</v>
      </c>
      <c r="T124" s="136">
        <v>15309.01241560907</v>
      </c>
      <c r="U124" s="136">
        <v>61236.049662436279</v>
      </c>
      <c r="V124" s="136">
        <v>1758246.8731342142</v>
      </c>
      <c r="W124" s="147" t="s">
        <v>11</v>
      </c>
      <c r="X124" s="185">
        <v>3.2500000000000001E-2</v>
      </c>
      <c r="Y124" s="137">
        <v>44487</v>
      </c>
      <c r="Z124" s="137">
        <v>46929</v>
      </c>
      <c r="AA124" s="137">
        <v>46929</v>
      </c>
      <c r="AB124" s="138">
        <v>2443</v>
      </c>
      <c r="AC124" s="139" t="s">
        <v>10</v>
      </c>
      <c r="AD124" s="138">
        <v>2095</v>
      </c>
      <c r="AE124" s="140">
        <v>5.7397260273972606</v>
      </c>
      <c r="AF124" s="184"/>
      <c r="AG124" s="186" t="s">
        <v>1</v>
      </c>
      <c r="AH124" s="186" t="s">
        <v>1</v>
      </c>
      <c r="AI124" s="187" t="s">
        <v>0</v>
      </c>
      <c r="AJ124" s="143" t="s">
        <v>0</v>
      </c>
      <c r="AK124" s="164" t="s">
        <v>271</v>
      </c>
      <c r="AL124" s="188" t="s">
        <v>712</v>
      </c>
      <c r="AO124" s="197" t="s">
        <v>211</v>
      </c>
      <c r="AP124" s="198" t="s">
        <v>233</v>
      </c>
      <c r="AS124" s="212">
        <v>0</v>
      </c>
      <c r="AT124" s="212">
        <v>1837.0814898730882</v>
      </c>
      <c r="AU124" s="212" t="b">
        <v>0</v>
      </c>
      <c r="AV124" s="212"/>
      <c r="AW124" s="212">
        <v>0</v>
      </c>
      <c r="AX124" s="212">
        <v>0</v>
      </c>
      <c r="BB124" s="212">
        <v>0</v>
      </c>
      <c r="BC124" s="212">
        <v>0</v>
      </c>
      <c r="BD124" s="212">
        <v>0</v>
      </c>
      <c r="BE124" s="212">
        <v>0</v>
      </c>
      <c r="BF124" s="226"/>
      <c r="BJ124" s="112"/>
      <c r="BK124" s="112"/>
    </row>
    <row r="125" spans="1:63" ht="39.950000000000003" customHeight="1" x14ac:dyDescent="0.2">
      <c r="A125" s="131" t="s">
        <v>744</v>
      </c>
      <c r="B125" s="132" t="s">
        <v>51</v>
      </c>
      <c r="C125" s="133" t="s">
        <v>119</v>
      </c>
      <c r="D125" s="131" t="s">
        <v>542</v>
      </c>
      <c r="E125" s="161" t="s">
        <v>119</v>
      </c>
      <c r="F125" s="131" t="s">
        <v>102</v>
      </c>
      <c r="G125" s="131" t="s">
        <v>102</v>
      </c>
      <c r="H125" s="131" t="s">
        <v>122</v>
      </c>
      <c r="I125" s="133" t="s">
        <v>745</v>
      </c>
      <c r="J125" s="192" t="s">
        <v>220</v>
      </c>
      <c r="K125" s="168" t="s">
        <v>101</v>
      </c>
      <c r="L125" s="194" t="s">
        <v>191</v>
      </c>
      <c r="M125" s="134" t="s">
        <v>59</v>
      </c>
      <c r="N125" s="167" t="s">
        <v>43</v>
      </c>
      <c r="O125" s="167" t="s">
        <v>538</v>
      </c>
      <c r="P125" s="167" t="s">
        <v>534</v>
      </c>
      <c r="Q125" s="135" t="s">
        <v>59</v>
      </c>
      <c r="R125" s="136">
        <v>15309.01241560907</v>
      </c>
      <c r="S125" s="73">
        <v>10000</v>
      </c>
      <c r="T125" s="136">
        <v>15309.01241560907</v>
      </c>
      <c r="U125" s="136">
        <v>45927.037246827211</v>
      </c>
      <c r="V125" s="136">
        <v>769737.14425682405</v>
      </c>
      <c r="W125" s="147" t="s">
        <v>11</v>
      </c>
      <c r="X125" s="185">
        <v>1.7999999999999999E-2</v>
      </c>
      <c r="Y125" s="137">
        <v>44591</v>
      </c>
      <c r="Z125" s="137">
        <v>46416</v>
      </c>
      <c r="AA125" s="137">
        <v>46416</v>
      </c>
      <c r="AB125" s="138">
        <v>1826</v>
      </c>
      <c r="AC125" s="139" t="s">
        <v>10</v>
      </c>
      <c r="AD125" s="138">
        <v>1582</v>
      </c>
      <c r="AE125" s="140">
        <v>4.3342465753424655</v>
      </c>
      <c r="AF125" s="184"/>
      <c r="AG125" s="186" t="s">
        <v>1</v>
      </c>
      <c r="AH125" s="186" t="s">
        <v>1</v>
      </c>
      <c r="AI125" s="187" t="s">
        <v>0</v>
      </c>
      <c r="AJ125" s="143" t="s">
        <v>0</v>
      </c>
      <c r="AK125" s="164" t="s">
        <v>271</v>
      </c>
      <c r="AL125" s="188" t="s">
        <v>742</v>
      </c>
      <c r="AO125" s="197" t="s">
        <v>119</v>
      </c>
      <c r="AP125" s="198" t="s">
        <v>102</v>
      </c>
      <c r="AS125" s="212">
        <v>0</v>
      </c>
      <c r="AT125" s="212">
        <v>1837.0814898730882</v>
      </c>
      <c r="AU125" s="212" t="b">
        <v>0</v>
      </c>
      <c r="AV125" s="212"/>
      <c r="AW125" s="212">
        <v>0</v>
      </c>
      <c r="AX125" s="212">
        <v>0</v>
      </c>
      <c r="BB125" s="212">
        <v>0</v>
      </c>
      <c r="BC125" s="212">
        <v>0</v>
      </c>
      <c r="BD125" s="212">
        <v>0</v>
      </c>
      <c r="BE125" s="212">
        <v>0</v>
      </c>
      <c r="BF125" s="226"/>
      <c r="BJ125" s="112"/>
      <c r="BK125" s="112"/>
    </row>
    <row r="126" spans="1:63" ht="39.950000000000003" customHeight="1" x14ac:dyDescent="0.2">
      <c r="A126" s="131" t="s">
        <v>751</v>
      </c>
      <c r="B126" s="132" t="s">
        <v>51</v>
      </c>
      <c r="C126" s="133" t="s">
        <v>746</v>
      </c>
      <c r="D126" s="131" t="s">
        <v>806</v>
      </c>
      <c r="E126" s="133" t="s">
        <v>749</v>
      </c>
      <c r="F126" s="131" t="s">
        <v>106</v>
      </c>
      <c r="G126" s="131" t="s">
        <v>106</v>
      </c>
      <c r="H126" s="131" t="s">
        <v>263</v>
      </c>
      <c r="I126" s="133" t="s">
        <v>747</v>
      </c>
      <c r="J126" s="192" t="s">
        <v>221</v>
      </c>
      <c r="K126" s="168" t="s">
        <v>101</v>
      </c>
      <c r="L126" s="194" t="s">
        <v>191</v>
      </c>
      <c r="M126" s="134" t="s">
        <v>59</v>
      </c>
      <c r="N126" s="167" t="s">
        <v>43</v>
      </c>
      <c r="O126" s="167" t="s">
        <v>538</v>
      </c>
      <c r="P126" s="167" t="s">
        <v>534</v>
      </c>
      <c r="Q126" s="135" t="s">
        <v>59</v>
      </c>
      <c r="R126" s="136">
        <v>11941.029684175075</v>
      </c>
      <c r="S126" s="73">
        <v>7800</v>
      </c>
      <c r="T126" s="230">
        <v>11941.029684175075</v>
      </c>
      <c r="U126" s="136">
        <v>99508.580701458952</v>
      </c>
      <c r="V126" s="136">
        <v>591378.72965814976</v>
      </c>
      <c r="W126" s="147" t="s">
        <v>11</v>
      </c>
      <c r="X126" s="185">
        <v>1.8499999999999999E-2</v>
      </c>
      <c r="Y126" s="137">
        <v>44592</v>
      </c>
      <c r="Z126" s="137">
        <v>46472</v>
      </c>
      <c r="AA126" s="137">
        <v>46472</v>
      </c>
      <c r="AB126" s="138">
        <v>1881</v>
      </c>
      <c r="AC126" s="139" t="s">
        <v>10</v>
      </c>
      <c r="AD126" s="138">
        <v>1638</v>
      </c>
      <c r="AE126" s="140">
        <v>4.4876712328767123</v>
      </c>
      <c r="AF126" s="184"/>
      <c r="AG126" s="186" t="s">
        <v>1</v>
      </c>
      <c r="AH126" s="186" t="s">
        <v>1</v>
      </c>
      <c r="AI126" s="187" t="s">
        <v>0</v>
      </c>
      <c r="AJ126" s="180" t="s">
        <v>0</v>
      </c>
      <c r="AK126" s="164" t="s">
        <v>271</v>
      </c>
      <c r="AL126" s="188" t="s">
        <v>743</v>
      </c>
      <c r="AO126" s="197" t="s">
        <v>749</v>
      </c>
      <c r="AP126" s="198" t="s">
        <v>106</v>
      </c>
      <c r="AS126" s="212">
        <v>0</v>
      </c>
      <c r="AT126" s="212">
        <v>1432.9235621010089</v>
      </c>
      <c r="AU126" s="212" t="b">
        <v>0</v>
      </c>
      <c r="AV126" s="212"/>
      <c r="AW126" s="212">
        <v>0</v>
      </c>
      <c r="AX126" s="212">
        <v>0</v>
      </c>
      <c r="BB126" s="212">
        <v>0</v>
      </c>
      <c r="BC126" s="212">
        <v>0</v>
      </c>
      <c r="BD126" s="212">
        <v>0</v>
      </c>
      <c r="BE126" s="212">
        <v>0</v>
      </c>
      <c r="BF126" s="226"/>
      <c r="BJ126" s="112"/>
      <c r="BK126" s="112"/>
    </row>
    <row r="127" spans="1:63" ht="39.950000000000003" customHeight="1" x14ac:dyDescent="0.2">
      <c r="A127" s="131" t="s">
        <v>750</v>
      </c>
      <c r="B127" s="132" t="s">
        <v>51</v>
      </c>
      <c r="C127" s="133" t="s">
        <v>746</v>
      </c>
      <c r="D127" s="131" t="s">
        <v>542</v>
      </c>
      <c r="E127" s="133" t="s">
        <v>746</v>
      </c>
      <c r="F127" s="131" t="s">
        <v>106</v>
      </c>
      <c r="G127" s="131" t="s">
        <v>106</v>
      </c>
      <c r="H127" s="131" t="s">
        <v>263</v>
      </c>
      <c r="I127" s="133" t="s">
        <v>747</v>
      </c>
      <c r="J127" s="192" t="s">
        <v>221</v>
      </c>
      <c r="K127" s="168" t="s">
        <v>101</v>
      </c>
      <c r="L127" s="194" t="s">
        <v>191</v>
      </c>
      <c r="M127" s="134" t="s">
        <v>59</v>
      </c>
      <c r="N127" s="167" t="s">
        <v>43</v>
      </c>
      <c r="O127" s="167" t="s">
        <v>538</v>
      </c>
      <c r="P127" s="167" t="s">
        <v>534</v>
      </c>
      <c r="Q127" s="135" t="s">
        <v>59</v>
      </c>
      <c r="R127" s="136">
        <v>11022.48893923853</v>
      </c>
      <c r="S127" s="73">
        <v>7200</v>
      </c>
      <c r="T127" s="136">
        <v>11022.48893923853</v>
      </c>
      <c r="U127" s="136">
        <v>91854.074493654422</v>
      </c>
      <c r="V127" s="136">
        <v>579425.11596576916</v>
      </c>
      <c r="W127" s="147" t="s">
        <v>11</v>
      </c>
      <c r="X127" s="185">
        <v>1.8499999999999999E-2</v>
      </c>
      <c r="Y127" s="137">
        <v>44592</v>
      </c>
      <c r="Z127" s="137">
        <v>46472</v>
      </c>
      <c r="AA127" s="137">
        <v>46472</v>
      </c>
      <c r="AB127" s="138">
        <v>1881</v>
      </c>
      <c r="AC127" s="139" t="s">
        <v>10</v>
      </c>
      <c r="AD127" s="138">
        <v>1638</v>
      </c>
      <c r="AE127" s="140">
        <v>4.4876712328767123</v>
      </c>
      <c r="AF127" s="184"/>
      <c r="AG127" s="186" t="s">
        <v>1</v>
      </c>
      <c r="AH127" s="186" t="s">
        <v>1</v>
      </c>
      <c r="AI127" s="187" t="s">
        <v>0</v>
      </c>
      <c r="AJ127" s="143" t="s">
        <v>0</v>
      </c>
      <c r="AK127" s="164" t="s">
        <v>271</v>
      </c>
      <c r="AL127" s="188" t="s">
        <v>743</v>
      </c>
      <c r="AO127" s="197" t="s">
        <v>746</v>
      </c>
      <c r="AP127" s="198" t="s">
        <v>106</v>
      </c>
      <c r="AS127" s="212">
        <v>0</v>
      </c>
      <c r="AT127" s="212">
        <v>1322.6986727086237</v>
      </c>
      <c r="AU127" s="212" t="b">
        <v>0</v>
      </c>
      <c r="AV127" s="212"/>
      <c r="AW127" s="212">
        <v>0</v>
      </c>
      <c r="AX127" s="212">
        <v>0</v>
      </c>
      <c r="BB127" s="212">
        <v>0</v>
      </c>
      <c r="BC127" s="212">
        <v>0</v>
      </c>
      <c r="BD127" s="212">
        <v>0</v>
      </c>
      <c r="BE127" s="212">
        <v>0</v>
      </c>
      <c r="BF127" s="226"/>
      <c r="BJ127" s="112"/>
      <c r="BK127" s="112"/>
    </row>
    <row r="128" spans="1:63" ht="39.950000000000003" customHeight="1" x14ac:dyDescent="0.2">
      <c r="A128" s="131" t="s">
        <v>753</v>
      </c>
      <c r="B128" s="132" t="s">
        <v>67</v>
      </c>
      <c r="C128" s="133" t="s">
        <v>588</v>
      </c>
      <c r="D128" s="131" t="s">
        <v>499</v>
      </c>
      <c r="E128" s="133" t="s">
        <v>162</v>
      </c>
      <c r="F128" s="14" t="s">
        <v>891</v>
      </c>
      <c r="G128" s="66" t="s">
        <v>167</v>
      </c>
      <c r="H128" s="131" t="s">
        <v>167</v>
      </c>
      <c r="I128" s="14" t="s">
        <v>298</v>
      </c>
      <c r="J128" s="192" t="s">
        <v>218</v>
      </c>
      <c r="K128" s="168" t="s">
        <v>209</v>
      </c>
      <c r="L128" s="194" t="s">
        <v>191</v>
      </c>
      <c r="M128" s="134" t="s">
        <v>59</v>
      </c>
      <c r="N128" s="167" t="s">
        <v>43</v>
      </c>
      <c r="O128" s="167" t="s">
        <v>531</v>
      </c>
      <c r="P128" s="167" t="s">
        <v>534</v>
      </c>
      <c r="Q128" s="135" t="s">
        <v>9</v>
      </c>
      <c r="R128" s="136">
        <v>31477.226226824896</v>
      </c>
      <c r="S128" s="73">
        <v>20000</v>
      </c>
      <c r="T128" s="136">
        <v>31477.226226824896</v>
      </c>
      <c r="U128" s="136">
        <v>62954.452453649792</v>
      </c>
      <c r="V128" s="136">
        <v>1133556.8321319525</v>
      </c>
      <c r="W128" s="147" t="s">
        <v>11</v>
      </c>
      <c r="X128" s="185">
        <v>3.4849999999999999E-2</v>
      </c>
      <c r="Y128" s="137">
        <v>44634</v>
      </c>
      <c r="Z128" s="137">
        <v>45316</v>
      </c>
      <c r="AA128" s="137">
        <v>45337</v>
      </c>
      <c r="AB128" s="138">
        <v>704</v>
      </c>
      <c r="AC128" s="139" t="s">
        <v>10</v>
      </c>
      <c r="AD128" s="138">
        <v>503</v>
      </c>
      <c r="AE128" s="140">
        <v>1.3780821917808219</v>
      </c>
      <c r="AF128" s="184" t="s">
        <v>436</v>
      </c>
      <c r="AG128" s="186" t="s">
        <v>1</v>
      </c>
      <c r="AH128" s="186" t="s">
        <v>1</v>
      </c>
      <c r="AI128" s="187" t="s">
        <v>0</v>
      </c>
      <c r="AJ128" s="143" t="s">
        <v>0</v>
      </c>
      <c r="AK128" s="164" t="s">
        <v>271</v>
      </c>
      <c r="AL128" s="188" t="s">
        <v>755</v>
      </c>
      <c r="AO128" s="197" t="s">
        <v>162</v>
      </c>
      <c r="AP128" s="198" t="s">
        <v>891</v>
      </c>
      <c r="AS128" s="212">
        <v>0</v>
      </c>
      <c r="AT128" s="212">
        <v>3777.2671472189872</v>
      </c>
      <c r="AU128" s="212">
        <v>755.45342944379752</v>
      </c>
      <c r="AV128" s="212"/>
      <c r="AW128" s="212">
        <v>0</v>
      </c>
      <c r="AX128" s="212">
        <v>0</v>
      </c>
      <c r="BB128" s="212">
        <v>0</v>
      </c>
      <c r="BC128" s="212">
        <v>0</v>
      </c>
      <c r="BD128" s="212">
        <v>0</v>
      </c>
      <c r="BE128" s="212">
        <v>0</v>
      </c>
      <c r="BF128" s="226"/>
      <c r="BJ128" s="112"/>
      <c r="BK128" s="112"/>
    </row>
    <row r="129" spans="1:63" ht="39.950000000000003" customHeight="1" x14ac:dyDescent="0.2">
      <c r="A129" s="131" t="s">
        <v>756</v>
      </c>
      <c r="B129" s="132" t="s">
        <v>67</v>
      </c>
      <c r="C129" s="133" t="s">
        <v>684</v>
      </c>
      <c r="D129" s="131" t="s">
        <v>542</v>
      </c>
      <c r="E129" s="133" t="s">
        <v>308</v>
      </c>
      <c r="F129" s="14" t="s">
        <v>891</v>
      </c>
      <c r="G129" s="66" t="s">
        <v>167</v>
      </c>
      <c r="H129" s="131" t="s">
        <v>167</v>
      </c>
      <c r="I129" s="133" t="s">
        <v>677</v>
      </c>
      <c r="J129" s="192" t="s">
        <v>218</v>
      </c>
      <c r="K129" s="168" t="s">
        <v>209</v>
      </c>
      <c r="L129" s="194" t="s">
        <v>191</v>
      </c>
      <c r="M129" s="134" t="s">
        <v>59</v>
      </c>
      <c r="N129" s="167" t="s">
        <v>43</v>
      </c>
      <c r="O129" s="167" t="s">
        <v>533</v>
      </c>
      <c r="P129" s="167" t="s">
        <v>534</v>
      </c>
      <c r="Q129" s="135" t="s">
        <v>487</v>
      </c>
      <c r="R129" s="136">
        <v>22849.409357582867</v>
      </c>
      <c r="S129" s="73">
        <v>155787.27299999999</v>
      </c>
      <c r="T129" s="136">
        <v>22849.409357582867</v>
      </c>
      <c r="U129" s="136">
        <v>45698.818715165733</v>
      </c>
      <c r="V129" s="136">
        <v>1529046.2100322677</v>
      </c>
      <c r="W129" s="147" t="s">
        <v>11</v>
      </c>
      <c r="X129" s="185">
        <v>2.8500000000000001E-2</v>
      </c>
      <c r="Y129" s="137">
        <v>44651</v>
      </c>
      <c r="Z129" s="137">
        <v>46418</v>
      </c>
      <c r="AA129" s="137">
        <v>46433</v>
      </c>
      <c r="AB129" s="138">
        <v>1783</v>
      </c>
      <c r="AC129" s="139" t="s">
        <v>10</v>
      </c>
      <c r="AD129" s="138">
        <v>1599</v>
      </c>
      <c r="AE129" s="140">
        <v>4.3808219178082188</v>
      </c>
      <c r="AF129" s="184" t="s">
        <v>436</v>
      </c>
      <c r="AG129" s="186" t="s">
        <v>1</v>
      </c>
      <c r="AH129" s="186" t="s">
        <v>1</v>
      </c>
      <c r="AI129" s="187" t="s">
        <v>0</v>
      </c>
      <c r="AJ129" s="143" t="s">
        <v>0</v>
      </c>
      <c r="AK129" s="164" t="s">
        <v>271</v>
      </c>
      <c r="AL129" s="188" t="s">
        <v>757</v>
      </c>
      <c r="AO129" s="197" t="s">
        <v>308</v>
      </c>
      <c r="AP129" s="198" t="s">
        <v>891</v>
      </c>
      <c r="AS129" s="212">
        <v>0</v>
      </c>
      <c r="AT129" s="212">
        <v>2741.929122909944</v>
      </c>
      <c r="AU129" s="212">
        <v>548.3858245819888</v>
      </c>
      <c r="AV129" s="212"/>
      <c r="AW129" s="212">
        <v>0</v>
      </c>
      <c r="AX129" s="212">
        <v>0</v>
      </c>
      <c r="BB129" s="212">
        <v>0</v>
      </c>
      <c r="BC129" s="212">
        <v>0</v>
      </c>
      <c r="BD129" s="212">
        <v>0</v>
      </c>
      <c r="BE129" s="212">
        <v>0</v>
      </c>
      <c r="BF129" s="226"/>
      <c r="BJ129" s="112"/>
      <c r="BK129" s="112"/>
    </row>
    <row r="130" spans="1:63" ht="39.950000000000003" customHeight="1" x14ac:dyDescent="0.2">
      <c r="A130" s="131" t="s">
        <v>758</v>
      </c>
      <c r="B130" s="132" t="s">
        <v>23</v>
      </c>
      <c r="C130" s="133" t="s">
        <v>34</v>
      </c>
      <c r="D130" s="131" t="s">
        <v>34</v>
      </c>
      <c r="E130" s="133" t="s">
        <v>34</v>
      </c>
      <c r="F130" s="131" t="s">
        <v>102</v>
      </c>
      <c r="G130" s="66" t="s">
        <v>102</v>
      </c>
      <c r="H130" s="131" t="s">
        <v>477</v>
      </c>
      <c r="I130" s="133" t="s">
        <v>760</v>
      </c>
      <c r="J130" s="192" t="s">
        <v>33</v>
      </c>
      <c r="K130" s="168" t="s">
        <v>101</v>
      </c>
      <c r="L130" s="194" t="s">
        <v>191</v>
      </c>
      <c r="M130" s="134" t="s">
        <v>323</v>
      </c>
      <c r="N130" s="167" t="s">
        <v>43</v>
      </c>
      <c r="O130" s="167" t="s">
        <v>533</v>
      </c>
      <c r="P130" s="167" t="s">
        <v>534</v>
      </c>
      <c r="Q130" s="135" t="s">
        <v>8</v>
      </c>
      <c r="R130" s="136">
        <v>11100</v>
      </c>
      <c r="S130" s="73">
        <v>11100</v>
      </c>
      <c r="T130" s="136">
        <v>11100</v>
      </c>
      <c r="U130" s="136">
        <v>48000</v>
      </c>
      <c r="V130" s="136">
        <v>417129.53</v>
      </c>
      <c r="W130" s="147" t="s">
        <v>11</v>
      </c>
      <c r="X130" s="185">
        <v>2.1499999999999998E-2</v>
      </c>
      <c r="Y130" s="137">
        <v>44651</v>
      </c>
      <c r="Z130" s="137">
        <v>46386</v>
      </c>
      <c r="AA130" s="137">
        <v>46386</v>
      </c>
      <c r="AB130" s="138">
        <v>1736</v>
      </c>
      <c r="AC130" s="139" t="s">
        <v>10</v>
      </c>
      <c r="AD130" s="138">
        <v>1552</v>
      </c>
      <c r="AE130" s="140">
        <v>4.2520547945205482</v>
      </c>
      <c r="AF130" s="184"/>
      <c r="AG130" s="186" t="s">
        <v>1</v>
      </c>
      <c r="AH130" s="186" t="s">
        <v>1</v>
      </c>
      <c r="AI130" s="187" t="s">
        <v>0</v>
      </c>
      <c r="AJ130" s="143" t="s">
        <v>0</v>
      </c>
      <c r="AK130" s="164" t="s">
        <v>563</v>
      </c>
      <c r="AL130" s="188" t="s">
        <v>761</v>
      </c>
      <c r="AO130" s="197" t="s">
        <v>34</v>
      </c>
      <c r="AP130" s="198" t="s">
        <v>102</v>
      </c>
      <c r="AS130" s="212">
        <v>0</v>
      </c>
      <c r="AT130" s="212">
        <v>1332</v>
      </c>
      <c r="AU130" s="212" t="b">
        <v>0</v>
      </c>
      <c r="AV130" s="212"/>
      <c r="AW130" s="212">
        <v>0</v>
      </c>
      <c r="AX130" s="212">
        <v>0</v>
      </c>
      <c r="BB130" s="212">
        <v>0</v>
      </c>
      <c r="BC130" s="212">
        <v>0</v>
      </c>
      <c r="BD130" s="212">
        <v>0</v>
      </c>
      <c r="BE130" s="212">
        <v>0</v>
      </c>
      <c r="BF130" s="226"/>
      <c r="BJ130" s="112"/>
      <c r="BK130" s="112"/>
    </row>
    <row r="131" spans="1:63" ht="39.950000000000003" customHeight="1" x14ac:dyDescent="0.2">
      <c r="A131" s="131" t="s">
        <v>780</v>
      </c>
      <c r="B131" s="132" t="s">
        <v>23</v>
      </c>
      <c r="C131" s="133" t="s">
        <v>34</v>
      </c>
      <c r="D131" s="131" t="s">
        <v>34</v>
      </c>
      <c r="E131" s="133" t="s">
        <v>34</v>
      </c>
      <c r="F131" s="131" t="s">
        <v>544</v>
      </c>
      <c r="G131" s="66" t="s">
        <v>117</v>
      </c>
      <c r="H131" s="131" t="s">
        <v>273</v>
      </c>
      <c r="I131" s="133" t="s">
        <v>232</v>
      </c>
      <c r="J131" s="192" t="s">
        <v>21</v>
      </c>
      <c r="K131" s="168" t="s">
        <v>209</v>
      </c>
      <c r="L131" s="194" t="s">
        <v>191</v>
      </c>
      <c r="M131" s="134" t="s">
        <v>323</v>
      </c>
      <c r="N131" s="167" t="s">
        <v>43</v>
      </c>
      <c r="O131" s="167" t="s">
        <v>538</v>
      </c>
      <c r="P131" s="167" t="s">
        <v>534</v>
      </c>
      <c r="Q131" s="135" t="s">
        <v>8</v>
      </c>
      <c r="R131" s="136">
        <v>20000</v>
      </c>
      <c r="S131" s="73">
        <v>20000</v>
      </c>
      <c r="T131" s="136">
        <v>20000</v>
      </c>
      <c r="U131" s="136">
        <v>172250</v>
      </c>
      <c r="V131" s="136">
        <v>528467.09</v>
      </c>
      <c r="W131" s="147" t="s">
        <v>11</v>
      </c>
      <c r="X131" s="185">
        <v>2.2499999999999999E-2</v>
      </c>
      <c r="Y131" s="137">
        <v>44658</v>
      </c>
      <c r="Z131" s="137">
        <v>45594</v>
      </c>
      <c r="AA131" s="137">
        <v>45625</v>
      </c>
      <c r="AB131" s="138">
        <v>968</v>
      </c>
      <c r="AC131" s="139" t="s">
        <v>10</v>
      </c>
      <c r="AD131" s="138">
        <v>791</v>
      </c>
      <c r="AE131" s="140">
        <v>2.1671232876712327</v>
      </c>
      <c r="AF131" s="184"/>
      <c r="AG131" s="186" t="s">
        <v>1</v>
      </c>
      <c r="AH131" s="186" t="s">
        <v>1</v>
      </c>
      <c r="AI131" s="187" t="s">
        <v>0</v>
      </c>
      <c r="AJ131" s="143" t="s">
        <v>0</v>
      </c>
      <c r="AK131" s="164" t="s">
        <v>563</v>
      </c>
      <c r="AL131" s="188" t="s">
        <v>776</v>
      </c>
      <c r="AO131" s="197" t="s">
        <v>34</v>
      </c>
      <c r="AP131" s="198" t="s">
        <v>544</v>
      </c>
      <c r="AS131" s="212">
        <v>0</v>
      </c>
      <c r="AT131" s="212">
        <v>2400</v>
      </c>
      <c r="AU131" s="212" t="b">
        <v>0</v>
      </c>
      <c r="AV131" s="212"/>
      <c r="AW131" s="212">
        <v>0</v>
      </c>
      <c r="AX131" s="212">
        <v>0</v>
      </c>
      <c r="BB131" s="212">
        <v>0</v>
      </c>
      <c r="BC131" s="212">
        <v>0</v>
      </c>
      <c r="BD131" s="212">
        <v>0</v>
      </c>
      <c r="BE131" s="212">
        <v>0</v>
      </c>
      <c r="BF131" s="226"/>
      <c r="BJ131" s="112"/>
      <c r="BK131" s="112"/>
    </row>
    <row r="132" spans="1:63" ht="39.950000000000003" customHeight="1" x14ac:dyDescent="0.2">
      <c r="A132" s="131" t="s">
        <v>781</v>
      </c>
      <c r="B132" s="132" t="s">
        <v>243</v>
      </c>
      <c r="C132" s="133" t="s">
        <v>588</v>
      </c>
      <c r="D132" s="131" t="s">
        <v>542</v>
      </c>
      <c r="E132" s="133" t="s">
        <v>87</v>
      </c>
      <c r="F132" s="131" t="s">
        <v>102</v>
      </c>
      <c r="G132" s="66" t="s">
        <v>102</v>
      </c>
      <c r="H132" s="131" t="s">
        <v>477</v>
      </c>
      <c r="I132" s="133" t="s">
        <v>298</v>
      </c>
      <c r="J132" s="192" t="s">
        <v>218</v>
      </c>
      <c r="K132" s="168" t="s">
        <v>209</v>
      </c>
      <c r="L132" s="194" t="s">
        <v>191</v>
      </c>
      <c r="M132" s="134" t="s">
        <v>59</v>
      </c>
      <c r="N132" s="167" t="s">
        <v>43</v>
      </c>
      <c r="O132" s="167" t="s">
        <v>533</v>
      </c>
      <c r="P132" s="167" t="s">
        <v>534</v>
      </c>
      <c r="Q132" s="135" t="s">
        <v>156</v>
      </c>
      <c r="R132" s="136">
        <v>17327.118673435794</v>
      </c>
      <c r="S132" s="73">
        <v>10000</v>
      </c>
      <c r="T132" s="136">
        <v>17327.118673435794</v>
      </c>
      <c r="U132" s="136">
        <v>69308.474693743177</v>
      </c>
      <c r="V132" s="136">
        <v>712421.08363800182</v>
      </c>
      <c r="W132" s="147" t="s">
        <v>11</v>
      </c>
      <c r="X132" s="185">
        <v>0.03</v>
      </c>
      <c r="Y132" s="137">
        <v>44663</v>
      </c>
      <c r="Z132" s="137">
        <v>45749</v>
      </c>
      <c r="AA132" s="137">
        <v>45764</v>
      </c>
      <c r="AB132" s="138">
        <v>1102</v>
      </c>
      <c r="AC132" s="139" t="s">
        <v>10</v>
      </c>
      <c r="AD132" s="138">
        <v>930</v>
      </c>
      <c r="AE132" s="140">
        <v>2.547945205479452</v>
      </c>
      <c r="AF132" s="184"/>
      <c r="AG132" s="186" t="s">
        <v>1</v>
      </c>
      <c r="AH132" s="186" t="s">
        <v>1</v>
      </c>
      <c r="AI132" s="187" t="s">
        <v>0</v>
      </c>
      <c r="AJ132" s="143" t="s">
        <v>0</v>
      </c>
      <c r="AK132" s="164" t="s">
        <v>563</v>
      </c>
      <c r="AL132" s="188" t="s">
        <v>777</v>
      </c>
      <c r="AO132" s="197" t="s">
        <v>87</v>
      </c>
      <c r="AP132" s="198" t="s">
        <v>102</v>
      </c>
      <c r="AS132" s="212">
        <v>0</v>
      </c>
      <c r="AT132" s="212">
        <v>2079.2542408122954</v>
      </c>
      <c r="AU132" s="212" t="b">
        <v>0</v>
      </c>
      <c r="AV132" s="212"/>
      <c r="AW132" s="212">
        <v>0</v>
      </c>
      <c r="AX132" s="212">
        <v>0</v>
      </c>
      <c r="BB132" s="212">
        <v>0</v>
      </c>
      <c r="BC132" s="212">
        <v>0</v>
      </c>
      <c r="BD132" s="212">
        <v>0</v>
      </c>
      <c r="BE132" s="212">
        <v>0</v>
      </c>
      <c r="BF132" s="226"/>
      <c r="BJ132" s="112"/>
      <c r="BK132" s="112"/>
    </row>
    <row r="133" spans="1:63" ht="39.950000000000003" customHeight="1" x14ac:dyDescent="0.2">
      <c r="A133" s="131" t="s">
        <v>782</v>
      </c>
      <c r="B133" s="132" t="s">
        <v>23</v>
      </c>
      <c r="C133" s="133" t="s">
        <v>88</v>
      </c>
      <c r="D133" s="131" t="s">
        <v>542</v>
      </c>
      <c r="E133" s="133" t="s">
        <v>193</v>
      </c>
      <c r="F133" s="131" t="s">
        <v>92</v>
      </c>
      <c r="G133" s="66" t="s">
        <v>134</v>
      </c>
      <c r="H133" s="131" t="s">
        <v>134</v>
      </c>
      <c r="I133" s="133" t="s">
        <v>286</v>
      </c>
      <c r="J133" s="192" t="s">
        <v>220</v>
      </c>
      <c r="K133" s="168" t="s">
        <v>209</v>
      </c>
      <c r="L133" s="194" t="s">
        <v>191</v>
      </c>
      <c r="M133" s="134" t="s">
        <v>59</v>
      </c>
      <c r="N133" s="167" t="s">
        <v>43</v>
      </c>
      <c r="O133" s="167" t="s">
        <v>531</v>
      </c>
      <c r="P133" s="167" t="s">
        <v>534</v>
      </c>
      <c r="Q133" s="135" t="s">
        <v>9</v>
      </c>
      <c r="R133" s="136">
        <v>11803.959835059335</v>
      </c>
      <c r="S133" s="73">
        <v>6863.6429829999997</v>
      </c>
      <c r="T133" s="136">
        <v>10802.422145802513</v>
      </c>
      <c r="U133" s="136">
        <v>168803.43276464479</v>
      </c>
      <c r="V133" s="136">
        <v>657897.54162863176</v>
      </c>
      <c r="W133" s="147" t="s">
        <v>11</v>
      </c>
      <c r="X133" s="185">
        <v>2.5000000000000001E-2</v>
      </c>
      <c r="Y133" s="137">
        <v>44650</v>
      </c>
      <c r="Z133" s="137">
        <v>47421</v>
      </c>
      <c r="AA133" s="137">
        <v>47421</v>
      </c>
      <c r="AB133" s="138">
        <v>2772</v>
      </c>
      <c r="AC133" s="139" t="s">
        <v>10</v>
      </c>
      <c r="AD133" s="138">
        <v>2587</v>
      </c>
      <c r="AE133" s="140">
        <v>7.087671232876712</v>
      </c>
      <c r="AF133" s="184"/>
      <c r="AG133" s="186" t="s">
        <v>1</v>
      </c>
      <c r="AH133" s="186" t="s">
        <v>1</v>
      </c>
      <c r="AI133" s="187" t="s">
        <v>784</v>
      </c>
      <c r="AJ133" s="143" t="s">
        <v>0</v>
      </c>
      <c r="AK133" s="164" t="s">
        <v>563</v>
      </c>
      <c r="AL133" s="188" t="s">
        <v>778</v>
      </c>
      <c r="AO133" s="197" t="s">
        <v>193</v>
      </c>
      <c r="AP133" s="198" t="s">
        <v>92</v>
      </c>
      <c r="AS133" s="212">
        <v>0</v>
      </c>
      <c r="AT133" s="212">
        <v>1296.2906574963015</v>
      </c>
      <c r="AU133" s="212" t="b">
        <v>0</v>
      </c>
      <c r="AV133" s="212"/>
      <c r="AW133" s="212">
        <v>0</v>
      </c>
      <c r="AX133" s="212">
        <v>0</v>
      </c>
      <c r="BB133" s="212">
        <v>0</v>
      </c>
      <c r="BC133" s="212">
        <v>0</v>
      </c>
      <c r="BD133" s="212">
        <v>0</v>
      </c>
      <c r="BE133" s="212">
        <v>0</v>
      </c>
      <c r="BF133" s="226"/>
      <c r="BJ133" s="112"/>
      <c r="BK133" s="112"/>
    </row>
    <row r="134" spans="1:63" ht="39.950000000000003" customHeight="1" x14ac:dyDescent="0.2">
      <c r="A134" s="131" t="s">
        <v>785</v>
      </c>
      <c r="B134" s="132" t="s">
        <v>51</v>
      </c>
      <c r="C134" s="133" t="s">
        <v>746</v>
      </c>
      <c r="D134" s="131" t="s">
        <v>542</v>
      </c>
      <c r="E134" s="133" t="s">
        <v>746</v>
      </c>
      <c r="F134" s="131" t="s">
        <v>106</v>
      </c>
      <c r="G134" s="66" t="s">
        <v>106</v>
      </c>
      <c r="H134" s="131" t="s">
        <v>263</v>
      </c>
      <c r="I134" s="133" t="s">
        <v>747</v>
      </c>
      <c r="J134" s="192" t="s">
        <v>221</v>
      </c>
      <c r="K134" s="168" t="s">
        <v>101</v>
      </c>
      <c r="L134" s="194" t="s">
        <v>191</v>
      </c>
      <c r="M134" s="134" t="s">
        <v>59</v>
      </c>
      <c r="N134" s="167" t="s">
        <v>43</v>
      </c>
      <c r="O134" s="167" t="s">
        <v>533</v>
      </c>
      <c r="P134" s="167" t="s">
        <v>534</v>
      </c>
      <c r="Q134" s="135" t="s">
        <v>59</v>
      </c>
      <c r="R134" s="136">
        <v>15309.01241560907</v>
      </c>
      <c r="S134" s="73">
        <v>9949.7487400000009</v>
      </c>
      <c r="T134" s="136">
        <v>15232.082699285071</v>
      </c>
      <c r="U134" s="136">
        <v>36557.921648474461</v>
      </c>
      <c r="V134" s="136">
        <v>1004458.9795012325</v>
      </c>
      <c r="W134" s="147" t="s">
        <v>11</v>
      </c>
      <c r="X134" s="185">
        <v>1.55E-2</v>
      </c>
      <c r="Y134" s="137">
        <v>44678</v>
      </c>
      <c r="Z134" s="137">
        <v>48096</v>
      </c>
      <c r="AA134" s="137">
        <v>48113</v>
      </c>
      <c r="AB134" s="138">
        <v>3436</v>
      </c>
      <c r="AC134" s="139" t="s">
        <v>10</v>
      </c>
      <c r="AD134" s="138">
        <v>3279</v>
      </c>
      <c r="AE134" s="140">
        <v>8.9835616438356158</v>
      </c>
      <c r="AF134" s="184"/>
      <c r="AG134" s="186" t="s">
        <v>1</v>
      </c>
      <c r="AH134" s="186" t="s">
        <v>1</v>
      </c>
      <c r="AI134" s="187" t="s">
        <v>784</v>
      </c>
      <c r="AJ134" s="143" t="s">
        <v>0</v>
      </c>
      <c r="AK134" s="164" t="s">
        <v>271</v>
      </c>
      <c r="AL134" s="188" t="s">
        <v>779</v>
      </c>
      <c r="AO134" s="197" t="s">
        <v>746</v>
      </c>
      <c r="AP134" s="198" t="s">
        <v>106</v>
      </c>
      <c r="AS134" s="212">
        <v>0</v>
      </c>
      <c r="AT134" s="212">
        <v>1827.8499239142084</v>
      </c>
      <c r="AU134" s="212" t="b">
        <v>0</v>
      </c>
      <c r="AV134" s="212"/>
      <c r="AW134" s="212">
        <v>0</v>
      </c>
      <c r="AX134" s="212">
        <v>0</v>
      </c>
      <c r="BB134" s="212">
        <v>0</v>
      </c>
      <c r="BC134" s="212">
        <v>0</v>
      </c>
      <c r="BD134" s="212">
        <v>0</v>
      </c>
      <c r="BE134" s="212">
        <v>0</v>
      </c>
      <c r="BF134" s="226"/>
      <c r="BJ134" s="112"/>
      <c r="BK134" s="112"/>
    </row>
    <row r="135" spans="1:63" ht="39.950000000000003" customHeight="1" x14ac:dyDescent="0.2">
      <c r="A135" s="131" t="s">
        <v>786</v>
      </c>
      <c r="B135" s="132" t="s">
        <v>23</v>
      </c>
      <c r="C135" s="133" t="s">
        <v>797</v>
      </c>
      <c r="D135" s="131" t="s">
        <v>541</v>
      </c>
      <c r="E135" s="133" t="s">
        <v>38</v>
      </c>
      <c r="F135" s="131" t="s">
        <v>543</v>
      </c>
      <c r="G135" s="66" t="s">
        <v>133</v>
      </c>
      <c r="H135" s="131" t="s">
        <v>133</v>
      </c>
      <c r="I135" s="133" t="s">
        <v>50</v>
      </c>
      <c r="J135" s="192" t="s">
        <v>21</v>
      </c>
      <c r="K135" s="168" t="s">
        <v>209</v>
      </c>
      <c r="L135" s="194" t="s">
        <v>191</v>
      </c>
      <c r="M135" s="134" t="s">
        <v>323</v>
      </c>
      <c r="N135" s="167" t="s">
        <v>43</v>
      </c>
      <c r="O135" s="167" t="s">
        <v>538</v>
      </c>
      <c r="P135" s="167" t="s">
        <v>534</v>
      </c>
      <c r="Q135" s="135" t="s">
        <v>9</v>
      </c>
      <c r="R135" s="136">
        <v>31477.226226824896</v>
      </c>
      <c r="S135" s="73">
        <v>20000</v>
      </c>
      <c r="T135" s="136">
        <v>31477.226226824896</v>
      </c>
      <c r="U135" s="136">
        <v>94431.678680474681</v>
      </c>
      <c r="V135" s="136">
        <v>3250444.9620699426</v>
      </c>
      <c r="W135" s="147" t="s">
        <v>11</v>
      </c>
      <c r="X135" s="185">
        <v>3.7499999999999999E-2</v>
      </c>
      <c r="Y135" s="137">
        <v>44686</v>
      </c>
      <c r="Z135" s="137">
        <v>46437</v>
      </c>
      <c r="AA135" s="137">
        <v>46465</v>
      </c>
      <c r="AB135" s="138">
        <v>1780</v>
      </c>
      <c r="AC135" s="139" t="s">
        <v>10</v>
      </c>
      <c r="AD135" s="138">
        <v>1631</v>
      </c>
      <c r="AE135" s="140">
        <v>4.4684931506849317</v>
      </c>
      <c r="AF135" s="184" t="s">
        <v>436</v>
      </c>
      <c r="AG135" s="186" t="s">
        <v>1</v>
      </c>
      <c r="AH135" s="186" t="s">
        <v>1</v>
      </c>
      <c r="AI135" s="187" t="s">
        <v>803</v>
      </c>
      <c r="AJ135" s="143" t="s">
        <v>0</v>
      </c>
      <c r="AK135" s="164" t="s">
        <v>563</v>
      </c>
      <c r="AL135" s="188" t="s">
        <v>792</v>
      </c>
      <c r="AO135" s="197" t="s">
        <v>38</v>
      </c>
      <c r="AP135" s="198" t="s">
        <v>543</v>
      </c>
      <c r="AS135" s="212">
        <v>0</v>
      </c>
      <c r="AT135" s="212">
        <v>3777.2671472189872</v>
      </c>
      <c r="AU135" s="212">
        <v>755.45342944379752</v>
      </c>
      <c r="AV135" s="212"/>
      <c r="AW135" s="212">
        <v>0</v>
      </c>
      <c r="AX135" s="212">
        <v>0</v>
      </c>
      <c r="BB135" s="212">
        <v>0</v>
      </c>
      <c r="BC135" s="212">
        <v>0</v>
      </c>
      <c r="BD135" s="212">
        <v>0</v>
      </c>
      <c r="BE135" s="212">
        <v>0</v>
      </c>
      <c r="BF135" s="226"/>
      <c r="BJ135" s="112"/>
      <c r="BK135" s="112"/>
    </row>
    <row r="136" spans="1:63" ht="39.950000000000003" customHeight="1" x14ac:dyDescent="0.2">
      <c r="A136" s="131" t="s">
        <v>787</v>
      </c>
      <c r="B136" s="132" t="s">
        <v>67</v>
      </c>
      <c r="C136" s="133" t="s">
        <v>34</v>
      </c>
      <c r="D136" s="131" t="s">
        <v>34</v>
      </c>
      <c r="E136" s="133" t="s">
        <v>34</v>
      </c>
      <c r="F136" s="131" t="s">
        <v>547</v>
      </c>
      <c r="G136" s="66" t="s">
        <v>265</v>
      </c>
      <c r="H136" s="131" t="s">
        <v>456</v>
      </c>
      <c r="I136" s="133" t="s">
        <v>656</v>
      </c>
      <c r="J136" s="192" t="s">
        <v>656</v>
      </c>
      <c r="K136" s="168" t="s">
        <v>140</v>
      </c>
      <c r="L136" s="194" t="s">
        <v>191</v>
      </c>
      <c r="M136" s="134" t="s">
        <v>323</v>
      </c>
      <c r="N136" s="167" t="s">
        <v>43</v>
      </c>
      <c r="O136" s="167" t="s">
        <v>533</v>
      </c>
      <c r="P136" s="167" t="s">
        <v>534</v>
      </c>
      <c r="Q136" s="135" t="s">
        <v>8</v>
      </c>
      <c r="R136" s="136">
        <v>10000</v>
      </c>
      <c r="S136" s="73">
        <v>9754.4642899999999</v>
      </c>
      <c r="T136" s="136">
        <v>9754.4642899999999</v>
      </c>
      <c r="U136" s="136">
        <v>88100</v>
      </c>
      <c r="V136" s="136">
        <v>698431.06</v>
      </c>
      <c r="W136" s="147" t="s">
        <v>11</v>
      </c>
      <c r="X136" s="185">
        <v>1.7999999999999999E-2</v>
      </c>
      <c r="Y136" s="137">
        <v>44694</v>
      </c>
      <c r="Z136" s="137">
        <v>47026</v>
      </c>
      <c r="AA136" s="137">
        <v>47047</v>
      </c>
      <c r="AB136" s="138">
        <v>2354</v>
      </c>
      <c r="AC136" s="139" t="s">
        <v>10</v>
      </c>
      <c r="AD136" s="138">
        <v>2213</v>
      </c>
      <c r="AE136" s="140">
        <v>6.0630136986301366</v>
      </c>
      <c r="AF136" s="184"/>
      <c r="AG136" s="186" t="s">
        <v>1</v>
      </c>
      <c r="AH136" s="186" t="s">
        <v>1</v>
      </c>
      <c r="AI136" s="263" t="s">
        <v>879</v>
      </c>
      <c r="AJ136" s="143" t="s">
        <v>0</v>
      </c>
      <c r="AK136" s="164" t="s">
        <v>563</v>
      </c>
      <c r="AL136" s="188" t="s">
        <v>791</v>
      </c>
      <c r="AO136" s="197" t="s">
        <v>34</v>
      </c>
      <c r="AP136" s="198" t="s">
        <v>547</v>
      </c>
      <c r="AS136" s="212">
        <v>0</v>
      </c>
      <c r="AT136" s="212">
        <v>1170.5357148000001</v>
      </c>
      <c r="AU136" s="212" t="b">
        <v>0</v>
      </c>
      <c r="AV136" s="212"/>
      <c r="AW136" s="212">
        <v>0</v>
      </c>
      <c r="AX136" s="212">
        <v>0</v>
      </c>
      <c r="BB136" s="212">
        <v>0</v>
      </c>
      <c r="BC136" s="212">
        <v>0</v>
      </c>
      <c r="BD136" s="212">
        <v>0</v>
      </c>
      <c r="BE136" s="212">
        <v>0</v>
      </c>
      <c r="BF136" s="226"/>
      <c r="BJ136" s="112"/>
      <c r="BK136" s="112"/>
    </row>
    <row r="137" spans="1:63" ht="39.950000000000003" customHeight="1" x14ac:dyDescent="0.2">
      <c r="A137" s="131" t="s">
        <v>793</v>
      </c>
      <c r="B137" s="132" t="s">
        <v>24</v>
      </c>
      <c r="C137" s="133" t="s">
        <v>38</v>
      </c>
      <c r="D137" s="131" t="s">
        <v>540</v>
      </c>
      <c r="E137" s="133" t="s">
        <v>35</v>
      </c>
      <c r="F137" s="131" t="s">
        <v>104</v>
      </c>
      <c r="G137" s="66" t="s">
        <v>105</v>
      </c>
      <c r="H137" s="131" t="s">
        <v>799</v>
      </c>
      <c r="I137" s="133" t="s">
        <v>638</v>
      </c>
      <c r="J137" s="192" t="s">
        <v>687</v>
      </c>
      <c r="K137" s="168" t="s">
        <v>209</v>
      </c>
      <c r="L137" s="194" t="s">
        <v>191</v>
      </c>
      <c r="M137" s="134" t="s">
        <v>323</v>
      </c>
      <c r="N137" s="167" t="s">
        <v>43</v>
      </c>
      <c r="O137" s="167" t="s">
        <v>538</v>
      </c>
      <c r="P137" s="167" t="s">
        <v>534</v>
      </c>
      <c r="Q137" s="135" t="s">
        <v>9</v>
      </c>
      <c r="R137" s="136">
        <v>15738.613113412448</v>
      </c>
      <c r="S137" s="73">
        <v>10000</v>
      </c>
      <c r="T137" s="136">
        <v>15738.613113412448</v>
      </c>
      <c r="U137" s="136">
        <v>31477.226226824896</v>
      </c>
      <c r="V137" s="136">
        <v>1705706.8211149236</v>
      </c>
      <c r="W137" s="147" t="s">
        <v>11</v>
      </c>
      <c r="X137" s="185">
        <v>0.04</v>
      </c>
      <c r="Y137" s="137">
        <v>44700</v>
      </c>
      <c r="Z137" s="137">
        <v>46630</v>
      </c>
      <c r="AA137" s="137">
        <v>46630</v>
      </c>
      <c r="AB137" s="138">
        <v>1931</v>
      </c>
      <c r="AC137" s="139" t="s">
        <v>10</v>
      </c>
      <c r="AD137" s="138">
        <v>1796</v>
      </c>
      <c r="AE137" s="140">
        <v>4.9205479452054792</v>
      </c>
      <c r="AF137" s="184"/>
      <c r="AG137" s="186" t="s">
        <v>1</v>
      </c>
      <c r="AH137" s="186" t="s">
        <v>1</v>
      </c>
      <c r="AI137" s="187" t="s">
        <v>804</v>
      </c>
      <c r="AJ137" s="143" t="s">
        <v>0</v>
      </c>
      <c r="AK137" s="164" t="s">
        <v>271</v>
      </c>
      <c r="AL137" s="188" t="s">
        <v>789</v>
      </c>
      <c r="AO137" s="197" t="s">
        <v>35</v>
      </c>
      <c r="AP137" s="198" t="s">
        <v>104</v>
      </c>
      <c r="AS137" s="212">
        <v>0</v>
      </c>
      <c r="AT137" s="212">
        <v>1888.6335736094936</v>
      </c>
      <c r="AU137" s="212" t="b">
        <v>0</v>
      </c>
      <c r="AV137" s="212"/>
      <c r="AW137" s="212">
        <v>0</v>
      </c>
      <c r="AX137" s="212">
        <v>0</v>
      </c>
      <c r="BB137" s="212">
        <v>0</v>
      </c>
      <c r="BC137" s="212">
        <v>0</v>
      </c>
      <c r="BD137" s="212">
        <v>0</v>
      </c>
      <c r="BE137" s="212">
        <v>0</v>
      </c>
      <c r="BF137" s="226"/>
      <c r="BJ137" s="112"/>
      <c r="BK137" s="112"/>
    </row>
    <row r="138" spans="1:63" ht="39.950000000000003" customHeight="1" x14ac:dyDescent="0.2">
      <c r="A138" s="131" t="s">
        <v>794</v>
      </c>
      <c r="B138" s="132" t="s">
        <v>67</v>
      </c>
      <c r="C138" s="133" t="s">
        <v>34</v>
      </c>
      <c r="D138" s="131" t="s">
        <v>34</v>
      </c>
      <c r="E138" s="133" t="s">
        <v>34</v>
      </c>
      <c r="F138" s="131" t="s">
        <v>102</v>
      </c>
      <c r="G138" s="66" t="s">
        <v>102</v>
      </c>
      <c r="H138" s="131" t="s">
        <v>474</v>
      </c>
      <c r="I138" s="133" t="s">
        <v>70</v>
      </c>
      <c r="J138" s="192" t="s">
        <v>218</v>
      </c>
      <c r="K138" s="168" t="s">
        <v>101</v>
      </c>
      <c r="L138" s="194" t="s">
        <v>191</v>
      </c>
      <c r="M138" s="134" t="s">
        <v>323</v>
      </c>
      <c r="N138" s="167" t="s">
        <v>43</v>
      </c>
      <c r="O138" s="167" t="s">
        <v>531</v>
      </c>
      <c r="P138" s="167" t="s">
        <v>801</v>
      </c>
      <c r="Q138" s="135" t="s">
        <v>8</v>
      </c>
      <c r="R138" s="136">
        <v>16000</v>
      </c>
      <c r="S138" s="73">
        <v>30000</v>
      </c>
      <c r="T138" s="136">
        <v>30000</v>
      </c>
      <c r="U138" s="136">
        <v>120000</v>
      </c>
      <c r="V138" s="136">
        <v>1084602.47</v>
      </c>
      <c r="W138" s="147" t="s">
        <v>11</v>
      </c>
      <c r="X138" s="185">
        <v>0.02</v>
      </c>
      <c r="Y138" s="137">
        <v>44698</v>
      </c>
      <c r="Z138" s="137">
        <v>46338</v>
      </c>
      <c r="AA138" s="137">
        <v>46352</v>
      </c>
      <c r="AB138" s="138">
        <v>1655</v>
      </c>
      <c r="AC138" s="139" t="s">
        <v>10</v>
      </c>
      <c r="AD138" s="138">
        <v>1518</v>
      </c>
      <c r="AE138" s="140">
        <v>4.1589041095890407</v>
      </c>
      <c r="AF138" s="184" t="s">
        <v>436</v>
      </c>
      <c r="AG138" s="186" t="s">
        <v>1</v>
      </c>
      <c r="AH138" s="186" t="s">
        <v>1</v>
      </c>
      <c r="AI138" s="187" t="s">
        <v>0</v>
      </c>
      <c r="AJ138" s="143" t="s">
        <v>0</v>
      </c>
      <c r="AK138" s="164" t="s">
        <v>563</v>
      </c>
      <c r="AL138" s="188" t="s">
        <v>790</v>
      </c>
      <c r="AO138" s="197" t="s">
        <v>34</v>
      </c>
      <c r="AP138" s="198" t="s">
        <v>102</v>
      </c>
      <c r="AS138" s="212">
        <v>0</v>
      </c>
      <c r="AT138" s="212">
        <v>3600</v>
      </c>
      <c r="AU138" s="212">
        <v>720</v>
      </c>
      <c r="AV138" s="212"/>
      <c r="AW138" s="212">
        <v>0</v>
      </c>
      <c r="AX138" s="212">
        <v>0</v>
      </c>
      <c r="BB138" s="212">
        <v>0</v>
      </c>
      <c r="BC138" s="212">
        <v>0</v>
      </c>
      <c r="BD138" s="212">
        <v>0</v>
      </c>
      <c r="BE138" s="212">
        <v>0</v>
      </c>
      <c r="BF138" s="226"/>
      <c r="BJ138" s="112"/>
      <c r="BK138" s="112"/>
    </row>
    <row r="139" spans="1:63" ht="39.950000000000003" customHeight="1" x14ac:dyDescent="0.2">
      <c r="A139" s="131" t="s">
        <v>807</v>
      </c>
      <c r="B139" s="132" t="s">
        <v>24</v>
      </c>
      <c r="C139" s="133" t="s">
        <v>38</v>
      </c>
      <c r="D139" s="131" t="s">
        <v>540</v>
      </c>
      <c r="E139" s="133" t="s">
        <v>35</v>
      </c>
      <c r="F139" s="131" t="s">
        <v>104</v>
      </c>
      <c r="G139" s="66" t="s">
        <v>105</v>
      </c>
      <c r="H139" s="131" t="s">
        <v>799</v>
      </c>
      <c r="I139" s="133" t="s">
        <v>142</v>
      </c>
      <c r="J139" s="192" t="s">
        <v>218</v>
      </c>
      <c r="K139" s="168" t="s">
        <v>209</v>
      </c>
      <c r="L139" s="194" t="s">
        <v>191</v>
      </c>
      <c r="M139" s="134" t="s">
        <v>323</v>
      </c>
      <c r="N139" s="167" t="s">
        <v>43</v>
      </c>
      <c r="O139" s="167" t="s">
        <v>538</v>
      </c>
      <c r="P139" s="167" t="s">
        <v>534</v>
      </c>
      <c r="Q139" s="135" t="s">
        <v>9</v>
      </c>
      <c r="R139" s="136">
        <v>7869.306556706224</v>
      </c>
      <c r="S139" s="73">
        <v>5000</v>
      </c>
      <c r="T139" s="136">
        <v>7869.306556706224</v>
      </c>
      <c r="U139" s="136">
        <v>12385.197136683913</v>
      </c>
      <c r="V139" s="136">
        <v>847948.25144008314</v>
      </c>
      <c r="W139" s="147" t="s">
        <v>11</v>
      </c>
      <c r="X139" s="185">
        <v>0.04</v>
      </c>
      <c r="Y139" s="137">
        <v>44708</v>
      </c>
      <c r="Z139" s="137">
        <v>46531</v>
      </c>
      <c r="AA139" s="137">
        <v>46545</v>
      </c>
      <c r="AB139" s="138">
        <v>1838</v>
      </c>
      <c r="AC139" s="139" t="s">
        <v>10</v>
      </c>
      <c r="AD139" s="138">
        <v>1711</v>
      </c>
      <c r="AE139" s="140">
        <v>4.6876712328767125</v>
      </c>
      <c r="AF139" s="184"/>
      <c r="AG139" s="186" t="s">
        <v>1</v>
      </c>
      <c r="AH139" s="186" t="s">
        <v>1</v>
      </c>
      <c r="AI139" s="187" t="s">
        <v>800</v>
      </c>
      <c r="AJ139" s="143" t="s">
        <v>0</v>
      </c>
      <c r="AK139" s="164" t="s">
        <v>563</v>
      </c>
      <c r="AL139" s="188" t="s">
        <v>789</v>
      </c>
      <c r="AO139" s="197" t="s">
        <v>35</v>
      </c>
      <c r="AP139" s="198" t="s">
        <v>104</v>
      </c>
      <c r="AS139" s="212">
        <v>0</v>
      </c>
      <c r="AT139" s="212">
        <v>944.31678680474681</v>
      </c>
      <c r="AU139" s="212" t="b">
        <v>0</v>
      </c>
      <c r="AV139" s="212"/>
      <c r="AW139" s="212">
        <v>0</v>
      </c>
      <c r="AX139" s="212">
        <v>0</v>
      </c>
      <c r="BB139" s="212">
        <v>0</v>
      </c>
      <c r="BC139" s="212">
        <v>0</v>
      </c>
      <c r="BD139" s="212">
        <v>0</v>
      </c>
      <c r="BE139" s="212">
        <v>0</v>
      </c>
      <c r="BF139" s="226"/>
      <c r="BJ139" s="112"/>
      <c r="BK139" s="112"/>
    </row>
    <row r="140" spans="1:63" ht="39.950000000000003" customHeight="1" x14ac:dyDescent="0.2">
      <c r="A140" s="131" t="s">
        <v>795</v>
      </c>
      <c r="B140" s="132" t="s">
        <v>24</v>
      </c>
      <c r="C140" s="133" t="s">
        <v>38</v>
      </c>
      <c r="D140" s="131" t="s">
        <v>540</v>
      </c>
      <c r="E140" s="133" t="s">
        <v>35</v>
      </c>
      <c r="F140" s="14" t="s">
        <v>892</v>
      </c>
      <c r="G140" s="66" t="s">
        <v>259</v>
      </c>
      <c r="H140" s="131" t="s">
        <v>459</v>
      </c>
      <c r="I140" s="133" t="s">
        <v>638</v>
      </c>
      <c r="J140" s="192" t="s">
        <v>687</v>
      </c>
      <c r="K140" s="168" t="s">
        <v>209</v>
      </c>
      <c r="L140" s="194" t="s">
        <v>191</v>
      </c>
      <c r="M140" s="134" t="s">
        <v>323</v>
      </c>
      <c r="N140" s="167" t="s">
        <v>43</v>
      </c>
      <c r="O140" s="167" t="s">
        <v>531</v>
      </c>
      <c r="P140" s="167" t="s">
        <v>534</v>
      </c>
      <c r="Q140" s="135" t="s">
        <v>9</v>
      </c>
      <c r="R140" s="136">
        <v>15738.613113412448</v>
      </c>
      <c r="S140" s="73">
        <v>15000</v>
      </c>
      <c r="T140" s="136">
        <v>23607.91967011867</v>
      </c>
      <c r="U140" s="136">
        <v>31477.226226824896</v>
      </c>
      <c r="V140" s="136">
        <v>4788964.8556769183</v>
      </c>
      <c r="W140" s="147" t="s">
        <v>11</v>
      </c>
      <c r="X140" s="185">
        <v>6.5000000000000002E-2</v>
      </c>
      <c r="Y140" s="137">
        <v>44712</v>
      </c>
      <c r="Z140" s="137">
        <v>46879</v>
      </c>
      <c r="AA140" s="137">
        <v>46920</v>
      </c>
      <c r="AB140" s="138">
        <v>2209</v>
      </c>
      <c r="AC140" s="139" t="s">
        <v>10</v>
      </c>
      <c r="AD140" s="138">
        <v>2086</v>
      </c>
      <c r="AE140" s="140">
        <v>5.7150684931506852</v>
      </c>
      <c r="AF140" s="184"/>
      <c r="AG140" s="186" t="s">
        <v>1</v>
      </c>
      <c r="AH140" s="186" t="s">
        <v>1</v>
      </c>
      <c r="AI140" s="187" t="s">
        <v>0</v>
      </c>
      <c r="AJ140" s="143" t="s">
        <v>0</v>
      </c>
      <c r="AK140" s="164" t="s">
        <v>271</v>
      </c>
      <c r="AL140" s="188" t="s">
        <v>805</v>
      </c>
      <c r="AO140" s="197" t="s">
        <v>35</v>
      </c>
      <c r="AP140" s="198" t="s">
        <v>892</v>
      </c>
      <c r="AS140" s="212">
        <v>0</v>
      </c>
      <c r="AT140" s="212">
        <v>2832.9503604142401</v>
      </c>
      <c r="AU140" s="212" t="b">
        <v>0</v>
      </c>
      <c r="AV140" s="212"/>
      <c r="AW140" s="212">
        <v>0</v>
      </c>
      <c r="AX140" s="212">
        <v>0</v>
      </c>
      <c r="BB140" s="212">
        <v>0</v>
      </c>
      <c r="BC140" s="212">
        <v>0</v>
      </c>
      <c r="BD140" s="212">
        <v>0</v>
      </c>
      <c r="BE140" s="212">
        <v>0</v>
      </c>
      <c r="BF140" s="226"/>
      <c r="BJ140" s="112"/>
      <c r="BK140" s="112"/>
    </row>
    <row r="141" spans="1:63" ht="39.950000000000003" customHeight="1" x14ac:dyDescent="0.2">
      <c r="A141" s="131" t="s">
        <v>796</v>
      </c>
      <c r="B141" s="132" t="s">
        <v>24</v>
      </c>
      <c r="C141" s="133" t="s">
        <v>38</v>
      </c>
      <c r="D141" s="131" t="s">
        <v>540</v>
      </c>
      <c r="E141" s="133" t="s">
        <v>229</v>
      </c>
      <c r="F141" s="131" t="s">
        <v>102</v>
      </c>
      <c r="G141" s="66" t="s">
        <v>102</v>
      </c>
      <c r="H141" s="130" t="s">
        <v>473</v>
      </c>
      <c r="I141" s="133" t="s">
        <v>142</v>
      </c>
      <c r="J141" s="192" t="s">
        <v>218</v>
      </c>
      <c r="K141" s="168" t="s">
        <v>29</v>
      </c>
      <c r="L141" s="194" t="s">
        <v>191</v>
      </c>
      <c r="M141" s="134" t="s">
        <v>323</v>
      </c>
      <c r="N141" s="167" t="s">
        <v>43</v>
      </c>
      <c r="O141" s="167" t="s">
        <v>531</v>
      </c>
      <c r="P141" s="167" t="s">
        <v>534</v>
      </c>
      <c r="Q141" s="135" t="s">
        <v>9</v>
      </c>
      <c r="R141" s="136">
        <v>27542.572948471781</v>
      </c>
      <c r="S141" s="73">
        <v>17500</v>
      </c>
      <c r="T141" s="136">
        <v>27542.572948471781</v>
      </c>
      <c r="U141" s="136">
        <v>39346.532783531118</v>
      </c>
      <c r="V141" s="136">
        <v>2604332.1004753062</v>
      </c>
      <c r="W141" s="147" t="s">
        <v>11</v>
      </c>
      <c r="X141" s="185">
        <v>9.3899999999999997E-2</v>
      </c>
      <c r="Y141" s="137">
        <v>44712</v>
      </c>
      <c r="Z141" s="137">
        <v>46517</v>
      </c>
      <c r="AA141" s="137">
        <v>46531</v>
      </c>
      <c r="AB141" s="138">
        <v>1820</v>
      </c>
      <c r="AC141" s="139" t="s">
        <v>10</v>
      </c>
      <c r="AD141" s="138">
        <v>1697</v>
      </c>
      <c r="AE141" s="140">
        <v>4.6493150684931503</v>
      </c>
      <c r="AF141" s="184" t="s">
        <v>436</v>
      </c>
      <c r="AG141" s="186" t="s">
        <v>1</v>
      </c>
      <c r="AH141" s="186" t="s">
        <v>1</v>
      </c>
      <c r="AI141" s="187" t="s">
        <v>0</v>
      </c>
      <c r="AJ141" s="143" t="s">
        <v>0</v>
      </c>
      <c r="AK141" s="164" t="s">
        <v>563</v>
      </c>
      <c r="AL141" s="188" t="s">
        <v>871</v>
      </c>
      <c r="AO141" s="197" t="s">
        <v>229</v>
      </c>
      <c r="AP141" s="198" t="s">
        <v>102</v>
      </c>
      <c r="AS141" s="212">
        <v>0</v>
      </c>
      <c r="AT141" s="212">
        <v>3305.1087538166134</v>
      </c>
      <c r="AU141" s="212">
        <v>661.02175076332276</v>
      </c>
      <c r="AV141" s="212"/>
      <c r="AW141" s="212">
        <v>0</v>
      </c>
      <c r="AX141" s="212">
        <v>0</v>
      </c>
      <c r="BB141" s="212">
        <v>0</v>
      </c>
      <c r="BC141" s="212">
        <v>0</v>
      </c>
      <c r="BD141" s="212">
        <v>0</v>
      </c>
      <c r="BE141" s="212">
        <v>0</v>
      </c>
      <c r="BF141" s="226"/>
      <c r="BJ141" s="112"/>
      <c r="BK141" s="112"/>
    </row>
    <row r="142" spans="1:63" ht="39.950000000000003" customHeight="1" x14ac:dyDescent="0.2">
      <c r="A142" s="131" t="s">
        <v>808</v>
      </c>
      <c r="B142" s="132" t="s">
        <v>243</v>
      </c>
      <c r="C142" s="133" t="s">
        <v>149</v>
      </c>
      <c r="D142" s="131" t="s">
        <v>542</v>
      </c>
      <c r="E142" s="133" t="s">
        <v>166</v>
      </c>
      <c r="F142" s="66" t="s">
        <v>106</v>
      </c>
      <c r="G142" s="66" t="s">
        <v>106</v>
      </c>
      <c r="H142" s="66" t="s">
        <v>107</v>
      </c>
      <c r="I142" s="14" t="s">
        <v>148</v>
      </c>
      <c r="J142" s="66" t="s">
        <v>148</v>
      </c>
      <c r="K142" s="168" t="s">
        <v>101</v>
      </c>
      <c r="L142" s="194" t="s">
        <v>191</v>
      </c>
      <c r="M142" s="134" t="s">
        <v>59</v>
      </c>
      <c r="N142" s="167" t="s">
        <v>43</v>
      </c>
      <c r="O142" s="167" t="s">
        <v>531</v>
      </c>
      <c r="P142" s="167" t="s">
        <v>534</v>
      </c>
      <c r="Q142" s="135" t="s">
        <v>59</v>
      </c>
      <c r="R142" s="136">
        <v>15309.01241560907</v>
      </c>
      <c r="S142" s="73">
        <v>10000</v>
      </c>
      <c r="T142" s="136">
        <v>15309.01241560907</v>
      </c>
      <c r="U142" s="136">
        <v>76545.062078045346</v>
      </c>
      <c r="V142" s="136">
        <v>795148.7423646301</v>
      </c>
      <c r="W142" s="147" t="s">
        <v>11</v>
      </c>
      <c r="X142" s="185">
        <v>3.7999999999999999E-2</v>
      </c>
      <c r="Y142" s="137">
        <v>44726</v>
      </c>
      <c r="Z142" s="137">
        <v>45819</v>
      </c>
      <c r="AA142" s="137">
        <v>45819</v>
      </c>
      <c r="AB142" s="138">
        <v>1094</v>
      </c>
      <c r="AC142" s="139" t="s">
        <v>10</v>
      </c>
      <c r="AD142" s="138">
        <v>985</v>
      </c>
      <c r="AE142" s="140">
        <v>2.6986301369863015</v>
      </c>
      <c r="AF142" s="184"/>
      <c r="AG142" s="186" t="s">
        <v>1</v>
      </c>
      <c r="AH142" s="186" t="s">
        <v>1</v>
      </c>
      <c r="AI142" s="187" t="s">
        <v>0</v>
      </c>
      <c r="AJ142" s="143" t="s">
        <v>0</v>
      </c>
      <c r="AK142" s="164" t="s">
        <v>563</v>
      </c>
      <c r="AL142" s="188" t="s">
        <v>812</v>
      </c>
      <c r="AO142" s="197" t="s">
        <v>166</v>
      </c>
      <c r="AP142" s="198" t="s">
        <v>106</v>
      </c>
      <c r="AS142" s="212">
        <v>0</v>
      </c>
      <c r="AT142" s="212">
        <v>1837.0814898730882</v>
      </c>
      <c r="AU142" s="212" t="b">
        <v>0</v>
      </c>
      <c r="AV142" s="212"/>
      <c r="AW142" s="212">
        <v>0</v>
      </c>
      <c r="AX142" s="212">
        <v>0</v>
      </c>
      <c r="BB142" s="212">
        <v>0</v>
      </c>
      <c r="BC142" s="212">
        <v>0</v>
      </c>
      <c r="BD142" s="212">
        <v>0</v>
      </c>
      <c r="BE142" s="212">
        <v>0</v>
      </c>
      <c r="BF142" s="226"/>
      <c r="BJ142" s="112"/>
      <c r="BK142" s="112"/>
    </row>
    <row r="143" spans="1:63" ht="39.950000000000003" customHeight="1" x14ac:dyDescent="0.2">
      <c r="A143" s="131" t="s">
        <v>809</v>
      </c>
      <c r="B143" s="132" t="s">
        <v>23</v>
      </c>
      <c r="C143" s="133" t="s">
        <v>34</v>
      </c>
      <c r="D143" s="131" t="s">
        <v>34</v>
      </c>
      <c r="E143" s="133" t="s">
        <v>34</v>
      </c>
      <c r="F143" s="131" t="s">
        <v>439</v>
      </c>
      <c r="G143" s="66" t="s">
        <v>444</v>
      </c>
      <c r="H143" s="66" t="s">
        <v>444</v>
      </c>
      <c r="I143" s="133" t="s">
        <v>656</v>
      </c>
      <c r="J143" s="192" t="s">
        <v>656</v>
      </c>
      <c r="K143" s="168" t="s">
        <v>209</v>
      </c>
      <c r="L143" s="194" t="s">
        <v>191</v>
      </c>
      <c r="M143" s="134" t="s">
        <v>323</v>
      </c>
      <c r="N143" s="167" t="s">
        <v>43</v>
      </c>
      <c r="O143" s="167" t="s">
        <v>531</v>
      </c>
      <c r="P143" s="167" t="s">
        <v>534</v>
      </c>
      <c r="Q143" s="135" t="s">
        <v>8</v>
      </c>
      <c r="R143" s="136">
        <v>10000</v>
      </c>
      <c r="S143" s="73">
        <v>10000</v>
      </c>
      <c r="T143" s="136">
        <v>10000</v>
      </c>
      <c r="U143" s="136">
        <v>51000</v>
      </c>
      <c r="V143" s="136">
        <v>558704.54</v>
      </c>
      <c r="W143" s="147" t="s">
        <v>11</v>
      </c>
      <c r="X143" s="185">
        <v>0.04</v>
      </c>
      <c r="Y143" s="137">
        <v>44735</v>
      </c>
      <c r="Z143" s="137">
        <v>45900</v>
      </c>
      <c r="AA143" s="137">
        <v>45900</v>
      </c>
      <c r="AB143" s="138">
        <v>1166</v>
      </c>
      <c r="AC143" s="139" t="s">
        <v>10</v>
      </c>
      <c r="AD143" s="138">
        <v>1066</v>
      </c>
      <c r="AE143" s="140">
        <v>2.9205479452054797</v>
      </c>
      <c r="AF143" s="184"/>
      <c r="AG143" s="186" t="s">
        <v>1</v>
      </c>
      <c r="AH143" s="186" t="s">
        <v>1</v>
      </c>
      <c r="AI143" s="187" t="s">
        <v>0</v>
      </c>
      <c r="AJ143" s="143" t="s">
        <v>0</v>
      </c>
      <c r="AK143" s="164" t="s">
        <v>563</v>
      </c>
      <c r="AL143" s="188" t="s">
        <v>813</v>
      </c>
      <c r="AO143" s="197" t="s">
        <v>34</v>
      </c>
      <c r="AP143" s="198" t="s">
        <v>439</v>
      </c>
      <c r="AS143" s="212">
        <v>0</v>
      </c>
      <c r="AT143" s="212">
        <v>1200</v>
      </c>
      <c r="AU143" s="212" t="b">
        <v>0</v>
      </c>
      <c r="AV143" s="212"/>
      <c r="AW143" s="212">
        <v>0</v>
      </c>
      <c r="AX143" s="212">
        <v>0</v>
      </c>
      <c r="BB143" s="212">
        <v>0</v>
      </c>
      <c r="BC143" s="212">
        <v>0</v>
      </c>
      <c r="BD143" s="212">
        <v>0</v>
      </c>
      <c r="BE143" s="212">
        <v>0</v>
      </c>
      <c r="BF143" s="226"/>
      <c r="BJ143" s="112"/>
      <c r="BK143" s="112"/>
    </row>
    <row r="144" spans="1:63" ht="39.950000000000003" customHeight="1" x14ac:dyDescent="0.2">
      <c r="A144" s="131" t="s">
        <v>235</v>
      </c>
      <c r="B144" s="132" t="s">
        <v>243</v>
      </c>
      <c r="C144" s="133" t="s">
        <v>37</v>
      </c>
      <c r="D144" s="131" t="s">
        <v>542</v>
      </c>
      <c r="E144" s="133" t="s">
        <v>91</v>
      </c>
      <c r="F144" s="14" t="s">
        <v>173</v>
      </c>
      <c r="G144" s="66" t="s">
        <v>174</v>
      </c>
      <c r="H144" s="14" t="s">
        <v>172</v>
      </c>
      <c r="I144" s="133" t="s">
        <v>236</v>
      </c>
      <c r="J144" s="192" t="s">
        <v>21</v>
      </c>
      <c r="K144" s="168" t="s">
        <v>139</v>
      </c>
      <c r="L144" s="194" t="s">
        <v>191</v>
      </c>
      <c r="M144" s="134" t="s">
        <v>323</v>
      </c>
      <c r="N144" s="167" t="s">
        <v>43</v>
      </c>
      <c r="O144" s="167" t="s">
        <v>533</v>
      </c>
      <c r="P144" s="167" t="s">
        <v>534</v>
      </c>
      <c r="Q144" s="135" t="s">
        <v>59</v>
      </c>
      <c r="R144" s="136">
        <v>30618.024831218139</v>
      </c>
      <c r="S144" s="73">
        <v>20000</v>
      </c>
      <c r="T144" s="136">
        <v>30618.024831218139</v>
      </c>
      <c r="U144" s="136">
        <v>153090.12415609069</v>
      </c>
      <c r="V144" s="136">
        <v>587971.87734419259</v>
      </c>
      <c r="W144" s="147" t="s">
        <v>11</v>
      </c>
      <c r="X144" s="185">
        <v>1.0999999999999999E-2</v>
      </c>
      <c r="Y144" s="137">
        <v>44742</v>
      </c>
      <c r="Z144" s="137">
        <v>45827</v>
      </c>
      <c r="AA144" s="137">
        <v>45827</v>
      </c>
      <c r="AB144" s="138">
        <v>1086</v>
      </c>
      <c r="AC144" s="139" t="s">
        <v>10</v>
      </c>
      <c r="AD144" s="138">
        <v>993</v>
      </c>
      <c r="AE144" s="140">
        <v>2.7205479452054795</v>
      </c>
      <c r="AF144" s="184" t="s">
        <v>436</v>
      </c>
      <c r="AG144" s="186" t="s">
        <v>1</v>
      </c>
      <c r="AH144" s="186" t="s">
        <v>1</v>
      </c>
      <c r="AI144" s="187" t="s">
        <v>0</v>
      </c>
      <c r="AJ144" s="143" t="s">
        <v>0</v>
      </c>
      <c r="AK144" s="164" t="s">
        <v>563</v>
      </c>
      <c r="AL144" s="188" t="s">
        <v>525</v>
      </c>
      <c r="AO144" s="197" t="s">
        <v>91</v>
      </c>
      <c r="AP144" s="198" t="s">
        <v>173</v>
      </c>
      <c r="AS144" s="212">
        <v>0</v>
      </c>
      <c r="AT144" s="212">
        <v>3674.1629797461765</v>
      </c>
      <c r="AU144" s="212">
        <v>734.83259594923538</v>
      </c>
      <c r="AV144" s="212"/>
      <c r="AW144" s="212">
        <v>0</v>
      </c>
      <c r="AX144" s="212">
        <v>0</v>
      </c>
      <c r="BB144" s="212">
        <v>0</v>
      </c>
      <c r="BC144" s="212">
        <v>0</v>
      </c>
      <c r="BD144" s="212">
        <v>0</v>
      </c>
      <c r="BE144" s="212">
        <v>0</v>
      </c>
      <c r="BF144" s="226"/>
      <c r="BJ144" s="112"/>
      <c r="BK144" s="112"/>
    </row>
    <row r="145" spans="1:63" ht="39.950000000000003" customHeight="1" x14ac:dyDescent="0.2">
      <c r="A145" s="131" t="s">
        <v>810</v>
      </c>
      <c r="B145" s="132" t="s">
        <v>23</v>
      </c>
      <c r="C145" s="133" t="s">
        <v>149</v>
      </c>
      <c r="D145" s="131" t="s">
        <v>499</v>
      </c>
      <c r="E145" s="161" t="s">
        <v>162</v>
      </c>
      <c r="F145" s="131" t="s">
        <v>92</v>
      </c>
      <c r="G145" s="66" t="s">
        <v>134</v>
      </c>
      <c r="H145" s="131" t="s">
        <v>134</v>
      </c>
      <c r="I145" s="14" t="s">
        <v>148</v>
      </c>
      <c r="J145" s="66" t="s">
        <v>148</v>
      </c>
      <c r="K145" s="168" t="s">
        <v>68</v>
      </c>
      <c r="L145" s="194" t="s">
        <v>191</v>
      </c>
      <c r="M145" s="134" t="s">
        <v>59</v>
      </c>
      <c r="N145" s="167" t="s">
        <v>43</v>
      </c>
      <c r="O145" s="167" t="s">
        <v>531</v>
      </c>
      <c r="P145" s="167" t="s">
        <v>534</v>
      </c>
      <c r="Q145" s="135" t="s">
        <v>9</v>
      </c>
      <c r="R145" s="136">
        <v>23607.91967011867</v>
      </c>
      <c r="S145" s="73">
        <v>15000</v>
      </c>
      <c r="T145" s="136">
        <v>23607.91967011867</v>
      </c>
      <c r="U145" s="136">
        <v>188863.35736094936</v>
      </c>
      <c r="V145" s="136">
        <v>685303.10994995129</v>
      </c>
      <c r="W145" s="147" t="s">
        <v>11</v>
      </c>
      <c r="X145" s="185">
        <v>2.4E-2</v>
      </c>
      <c r="Y145" s="137">
        <v>44741</v>
      </c>
      <c r="Z145" s="137">
        <v>46527</v>
      </c>
      <c r="AA145" s="137">
        <v>46527</v>
      </c>
      <c r="AB145" s="138">
        <v>1787</v>
      </c>
      <c r="AC145" s="139" t="s">
        <v>10</v>
      </c>
      <c r="AD145" s="138">
        <v>1693</v>
      </c>
      <c r="AE145" s="140">
        <v>4.6383561643835618</v>
      </c>
      <c r="AF145" s="184"/>
      <c r="AG145" s="186" t="s">
        <v>1</v>
      </c>
      <c r="AH145" s="186" t="s">
        <v>1</v>
      </c>
      <c r="AI145" s="187" t="s">
        <v>0</v>
      </c>
      <c r="AJ145" s="143" t="s">
        <v>0</v>
      </c>
      <c r="AK145" s="164" t="s">
        <v>563</v>
      </c>
      <c r="AL145" s="188" t="s">
        <v>814</v>
      </c>
      <c r="AO145" s="197" t="s">
        <v>162</v>
      </c>
      <c r="AP145" s="198" t="s">
        <v>92</v>
      </c>
      <c r="AS145" s="212">
        <v>0</v>
      </c>
      <c r="AT145" s="212">
        <v>2832.9503604142401</v>
      </c>
      <c r="AU145" s="212" t="b">
        <v>0</v>
      </c>
      <c r="AV145" s="212"/>
      <c r="AW145" s="212">
        <v>0</v>
      </c>
      <c r="AX145" s="212">
        <v>0</v>
      </c>
      <c r="BB145" s="212">
        <v>0</v>
      </c>
      <c r="BC145" s="212">
        <v>0</v>
      </c>
      <c r="BD145" s="212">
        <v>0</v>
      </c>
      <c r="BE145" s="212">
        <v>0</v>
      </c>
      <c r="BF145" s="226"/>
      <c r="BJ145" s="112"/>
      <c r="BK145" s="112"/>
    </row>
    <row r="146" spans="1:63" ht="39.950000000000003" customHeight="1" x14ac:dyDescent="0.2">
      <c r="A146" s="131" t="s">
        <v>811</v>
      </c>
      <c r="B146" s="132" t="s">
        <v>243</v>
      </c>
      <c r="C146" s="133" t="s">
        <v>162</v>
      </c>
      <c r="D146" s="131" t="s">
        <v>499</v>
      </c>
      <c r="E146" s="161" t="s">
        <v>162</v>
      </c>
      <c r="F146" s="131" t="s">
        <v>102</v>
      </c>
      <c r="G146" s="131" t="s">
        <v>102</v>
      </c>
      <c r="H146" s="131" t="s">
        <v>110</v>
      </c>
      <c r="I146" s="131" t="s">
        <v>509</v>
      </c>
      <c r="J146" s="133" t="s">
        <v>222</v>
      </c>
      <c r="K146" s="168" t="s">
        <v>101</v>
      </c>
      <c r="L146" s="194" t="s">
        <v>191</v>
      </c>
      <c r="M146" s="134" t="s">
        <v>59</v>
      </c>
      <c r="N146" s="167" t="s">
        <v>43</v>
      </c>
      <c r="O146" s="167" t="s">
        <v>538</v>
      </c>
      <c r="P146" s="167" t="s">
        <v>534</v>
      </c>
      <c r="Q146" s="135" t="s">
        <v>9</v>
      </c>
      <c r="R146" s="136">
        <v>15738.613113412448</v>
      </c>
      <c r="S146" s="73">
        <v>10000</v>
      </c>
      <c r="T146" s="136">
        <v>15738.613113412448</v>
      </c>
      <c r="U146" s="136">
        <v>110957.22244955775</v>
      </c>
      <c r="V146" s="136">
        <v>953504.2179483145</v>
      </c>
      <c r="W146" s="147" t="s">
        <v>11</v>
      </c>
      <c r="X146" s="185">
        <v>2.75E-2</v>
      </c>
      <c r="Y146" s="137">
        <v>44735</v>
      </c>
      <c r="Z146" s="137">
        <v>46420</v>
      </c>
      <c r="AA146" s="137">
        <v>46420</v>
      </c>
      <c r="AB146" s="138">
        <v>1686</v>
      </c>
      <c r="AC146" s="139" t="s">
        <v>10</v>
      </c>
      <c r="AD146" s="138">
        <v>1586</v>
      </c>
      <c r="AE146" s="140">
        <v>4.3452054794520549</v>
      </c>
      <c r="AF146" s="184"/>
      <c r="AG146" s="186" t="s">
        <v>1</v>
      </c>
      <c r="AH146" s="186" t="s">
        <v>1</v>
      </c>
      <c r="AI146" s="187" t="s">
        <v>0</v>
      </c>
      <c r="AJ146" s="143" t="s">
        <v>0</v>
      </c>
      <c r="AK146" s="164" t="s">
        <v>563</v>
      </c>
      <c r="AL146" s="188" t="s">
        <v>815</v>
      </c>
      <c r="AO146" s="197" t="s">
        <v>162</v>
      </c>
      <c r="AP146" s="198" t="s">
        <v>102</v>
      </c>
      <c r="AS146" s="212">
        <v>0</v>
      </c>
      <c r="AT146" s="212">
        <v>1888.6335736094936</v>
      </c>
      <c r="AU146" s="212" t="b">
        <v>0</v>
      </c>
      <c r="AV146" s="212"/>
      <c r="AW146" s="212">
        <v>0</v>
      </c>
      <c r="AX146" s="212">
        <v>0</v>
      </c>
      <c r="BB146" s="212">
        <v>0</v>
      </c>
      <c r="BC146" s="212">
        <v>0</v>
      </c>
      <c r="BD146" s="212">
        <v>0</v>
      </c>
      <c r="BE146" s="212">
        <v>0</v>
      </c>
      <c r="BF146" s="226"/>
      <c r="BJ146" s="112"/>
      <c r="BK146" s="112"/>
    </row>
    <row r="147" spans="1:63" ht="39.950000000000003" customHeight="1" x14ac:dyDescent="0.2">
      <c r="A147" s="131" t="s">
        <v>835</v>
      </c>
      <c r="B147" s="132" t="s">
        <v>67</v>
      </c>
      <c r="C147" s="133" t="s">
        <v>684</v>
      </c>
      <c r="D147" s="131" t="s">
        <v>542</v>
      </c>
      <c r="E147" s="161" t="s">
        <v>193</v>
      </c>
      <c r="F147" s="14" t="s">
        <v>891</v>
      </c>
      <c r="G147" s="66" t="s">
        <v>167</v>
      </c>
      <c r="H147" s="131" t="s">
        <v>167</v>
      </c>
      <c r="I147" s="14" t="s">
        <v>826</v>
      </c>
      <c r="J147" s="66" t="s">
        <v>218</v>
      </c>
      <c r="K147" s="168" t="s">
        <v>209</v>
      </c>
      <c r="L147" s="194" t="s">
        <v>191</v>
      </c>
      <c r="M147" s="134" t="s">
        <v>59</v>
      </c>
      <c r="N147" s="167" t="s">
        <v>43</v>
      </c>
      <c r="O147" s="167" t="s">
        <v>531</v>
      </c>
      <c r="P147" s="167" t="s">
        <v>534</v>
      </c>
      <c r="Q147" s="135" t="s">
        <v>823</v>
      </c>
      <c r="R147" s="136">
        <v>11077.702168064567</v>
      </c>
      <c r="S147" s="73">
        <v>7000</v>
      </c>
      <c r="T147" s="136">
        <v>11077.702168064567</v>
      </c>
      <c r="U147" s="136">
        <v>14000</v>
      </c>
      <c r="V147" s="136">
        <v>846874.12565279321</v>
      </c>
      <c r="W147" s="147" t="s">
        <v>11</v>
      </c>
      <c r="X147" s="185">
        <v>0.03</v>
      </c>
      <c r="Y147" s="137">
        <v>44743</v>
      </c>
      <c r="Z147" s="137">
        <v>46569</v>
      </c>
      <c r="AA147" s="137">
        <v>46569</v>
      </c>
      <c r="AB147" s="138">
        <v>1827</v>
      </c>
      <c r="AC147" s="139" t="s">
        <v>10</v>
      </c>
      <c r="AD147" s="138">
        <v>1735</v>
      </c>
      <c r="AE147" s="140">
        <v>4.7534246575342465</v>
      </c>
      <c r="AF147" s="184" t="s">
        <v>436</v>
      </c>
      <c r="AG147" s="186" t="s">
        <v>1</v>
      </c>
      <c r="AH147" s="186" t="s">
        <v>1</v>
      </c>
      <c r="AI147" s="187" t="s">
        <v>0</v>
      </c>
      <c r="AJ147" s="143" t="s">
        <v>0</v>
      </c>
      <c r="AK147" s="164" t="s">
        <v>271</v>
      </c>
      <c r="AL147" s="188" t="s">
        <v>831</v>
      </c>
      <c r="AO147" s="197" t="s">
        <v>193</v>
      </c>
      <c r="AP147" s="198" t="s">
        <v>891</v>
      </c>
      <c r="AS147" s="212">
        <v>0</v>
      </c>
      <c r="AT147" s="212">
        <v>1329.324260167748</v>
      </c>
      <c r="AU147" s="212">
        <v>265.8648520335496</v>
      </c>
      <c r="AV147" s="212"/>
      <c r="AW147" s="212">
        <v>0</v>
      </c>
      <c r="AX147" s="212">
        <v>0</v>
      </c>
      <c r="BB147" s="212">
        <v>0</v>
      </c>
      <c r="BC147" s="212">
        <v>0</v>
      </c>
      <c r="BD147" s="212">
        <v>0</v>
      </c>
      <c r="BE147" s="212">
        <v>0</v>
      </c>
      <c r="BF147" s="226"/>
      <c r="BJ147" s="112"/>
      <c r="BK147" s="112"/>
    </row>
    <row r="148" spans="1:63" ht="39.950000000000003" customHeight="1" x14ac:dyDescent="0.2">
      <c r="A148" s="131" t="s">
        <v>834</v>
      </c>
      <c r="B148" s="132" t="s">
        <v>67</v>
      </c>
      <c r="C148" s="133" t="s">
        <v>684</v>
      </c>
      <c r="D148" s="131" t="s">
        <v>542</v>
      </c>
      <c r="E148" s="161" t="s">
        <v>193</v>
      </c>
      <c r="F148" s="14" t="s">
        <v>891</v>
      </c>
      <c r="G148" s="66" t="s">
        <v>167</v>
      </c>
      <c r="H148" s="131" t="s">
        <v>167</v>
      </c>
      <c r="I148" s="14" t="s">
        <v>826</v>
      </c>
      <c r="J148" s="66" t="s">
        <v>218</v>
      </c>
      <c r="K148" s="168" t="s">
        <v>209</v>
      </c>
      <c r="L148" s="194" t="s">
        <v>191</v>
      </c>
      <c r="M148" s="134" t="s">
        <v>59</v>
      </c>
      <c r="N148" s="167" t="s">
        <v>43</v>
      </c>
      <c r="O148" s="167" t="s">
        <v>531</v>
      </c>
      <c r="P148" s="167" t="s">
        <v>534</v>
      </c>
      <c r="Q148" s="135" t="s">
        <v>823</v>
      </c>
      <c r="R148" s="136">
        <v>11077.702168064567</v>
      </c>
      <c r="S148" s="73">
        <v>7000</v>
      </c>
      <c r="T148" s="136">
        <v>11077.702168064567</v>
      </c>
      <c r="U148" s="136">
        <v>14000</v>
      </c>
      <c r="V148" s="136">
        <v>2297118.9903465738</v>
      </c>
      <c r="W148" s="147" t="s">
        <v>11</v>
      </c>
      <c r="X148" s="185">
        <v>7.2900000000000006E-2</v>
      </c>
      <c r="Y148" s="137">
        <v>44743</v>
      </c>
      <c r="Z148" s="137">
        <v>46569</v>
      </c>
      <c r="AA148" s="137">
        <v>46569</v>
      </c>
      <c r="AB148" s="138">
        <v>1827</v>
      </c>
      <c r="AC148" s="139" t="s">
        <v>10</v>
      </c>
      <c r="AD148" s="138">
        <v>1735</v>
      </c>
      <c r="AE148" s="140">
        <v>4.7534246575342465</v>
      </c>
      <c r="AF148" s="184" t="s">
        <v>436</v>
      </c>
      <c r="AG148" s="186" t="s">
        <v>1</v>
      </c>
      <c r="AH148" s="186" t="s">
        <v>1</v>
      </c>
      <c r="AI148" s="187" t="s">
        <v>0</v>
      </c>
      <c r="AJ148" s="143" t="s">
        <v>0</v>
      </c>
      <c r="AK148" s="164" t="s">
        <v>271</v>
      </c>
      <c r="AL148" s="188" t="s">
        <v>832</v>
      </c>
      <c r="AO148" s="197" t="s">
        <v>193</v>
      </c>
      <c r="AP148" s="198" t="s">
        <v>891</v>
      </c>
      <c r="AS148" s="212">
        <v>0</v>
      </c>
      <c r="AT148" s="212">
        <v>1329.324260167748</v>
      </c>
      <c r="AU148" s="212">
        <v>265.8648520335496</v>
      </c>
      <c r="AV148" s="212"/>
      <c r="AW148" s="212">
        <v>0</v>
      </c>
      <c r="AX148" s="212">
        <v>0</v>
      </c>
      <c r="BB148" s="212">
        <v>0</v>
      </c>
      <c r="BC148" s="212">
        <v>0</v>
      </c>
      <c r="BD148" s="212">
        <v>0</v>
      </c>
      <c r="BE148" s="212">
        <v>0</v>
      </c>
      <c r="BF148" s="226"/>
      <c r="BJ148" s="112"/>
      <c r="BK148" s="112"/>
    </row>
    <row r="149" spans="1:63" ht="39.950000000000003" customHeight="1" x14ac:dyDescent="0.2">
      <c r="A149" s="131" t="s">
        <v>836</v>
      </c>
      <c r="B149" s="132" t="s">
        <v>67</v>
      </c>
      <c r="C149" s="133" t="s">
        <v>588</v>
      </c>
      <c r="D149" s="131" t="s">
        <v>542</v>
      </c>
      <c r="E149" s="161" t="s">
        <v>162</v>
      </c>
      <c r="F149" s="131" t="s">
        <v>233</v>
      </c>
      <c r="G149" s="66" t="s">
        <v>443</v>
      </c>
      <c r="H149" s="131" t="s">
        <v>234</v>
      </c>
      <c r="I149" s="14" t="s">
        <v>826</v>
      </c>
      <c r="J149" s="66" t="s">
        <v>218</v>
      </c>
      <c r="K149" s="168" t="s">
        <v>209</v>
      </c>
      <c r="L149" s="194" t="s">
        <v>191</v>
      </c>
      <c r="M149" s="134" t="s">
        <v>59</v>
      </c>
      <c r="N149" s="167" t="s">
        <v>43</v>
      </c>
      <c r="O149" s="167" t="s">
        <v>531</v>
      </c>
      <c r="P149" s="167" t="s">
        <v>534</v>
      </c>
      <c r="Q149" s="135" t="s">
        <v>9</v>
      </c>
      <c r="R149" s="136">
        <v>18099.405080424316</v>
      </c>
      <c r="S149" s="136">
        <v>11500</v>
      </c>
      <c r="T149" s="136">
        <v>18099.405080424316</v>
      </c>
      <c r="U149" s="136">
        <v>34500</v>
      </c>
      <c r="V149" s="136">
        <v>3391591.5987283206</v>
      </c>
      <c r="W149" s="147" t="s">
        <v>11</v>
      </c>
      <c r="X149" s="185">
        <v>7.3999999999999996E-2</v>
      </c>
      <c r="Y149" s="137">
        <v>44760</v>
      </c>
      <c r="Z149" s="137">
        <v>46674</v>
      </c>
      <c r="AA149" s="137">
        <v>46674</v>
      </c>
      <c r="AB149" s="138">
        <v>1915</v>
      </c>
      <c r="AC149" s="139" t="s">
        <v>10</v>
      </c>
      <c r="AD149" s="138">
        <v>1840</v>
      </c>
      <c r="AE149" s="140">
        <v>5.0410958904109586</v>
      </c>
      <c r="AF149" s="184"/>
      <c r="AG149" s="186" t="s">
        <v>1</v>
      </c>
      <c r="AH149" s="186" t="s">
        <v>1</v>
      </c>
      <c r="AI149" s="187" t="s">
        <v>0</v>
      </c>
      <c r="AJ149" s="143" t="s">
        <v>0</v>
      </c>
      <c r="AK149" s="164" t="s">
        <v>271</v>
      </c>
      <c r="AL149" s="188" t="s">
        <v>829</v>
      </c>
      <c r="AO149" s="197" t="s">
        <v>162</v>
      </c>
      <c r="AP149" s="198" t="s">
        <v>233</v>
      </c>
      <c r="AS149" s="212">
        <v>0</v>
      </c>
      <c r="AT149" s="212">
        <v>2171.9286096509177</v>
      </c>
      <c r="AU149" s="212" t="b">
        <v>0</v>
      </c>
      <c r="AV149" s="212"/>
      <c r="AW149" s="212">
        <v>0</v>
      </c>
      <c r="AX149" s="212">
        <v>0</v>
      </c>
      <c r="BB149" s="212">
        <v>0</v>
      </c>
      <c r="BC149" s="212">
        <v>0</v>
      </c>
      <c r="BD149" s="212">
        <v>0</v>
      </c>
      <c r="BE149" s="212">
        <v>0</v>
      </c>
      <c r="BF149" s="226"/>
      <c r="BJ149" s="112"/>
      <c r="BK149" s="112"/>
    </row>
    <row r="150" spans="1:63" ht="39.950000000000003" customHeight="1" x14ac:dyDescent="0.2">
      <c r="A150" s="131" t="s">
        <v>833</v>
      </c>
      <c r="B150" s="132" t="s">
        <v>67</v>
      </c>
      <c r="C150" s="133" t="s">
        <v>824</v>
      </c>
      <c r="D150" s="131" t="s">
        <v>542</v>
      </c>
      <c r="E150" s="161" t="s">
        <v>89</v>
      </c>
      <c r="F150" s="131" t="s">
        <v>233</v>
      </c>
      <c r="G150" s="131" t="s">
        <v>443</v>
      </c>
      <c r="H150" s="131" t="s">
        <v>234</v>
      </c>
      <c r="I150" s="66" t="s">
        <v>145</v>
      </c>
      <c r="J150" s="192" t="s">
        <v>221</v>
      </c>
      <c r="K150" s="168" t="s">
        <v>139</v>
      </c>
      <c r="L150" s="194" t="s">
        <v>191</v>
      </c>
      <c r="M150" s="134" t="s">
        <v>59</v>
      </c>
      <c r="N150" s="167" t="s">
        <v>43</v>
      </c>
      <c r="O150" s="167" t="s">
        <v>538</v>
      </c>
      <c r="P150" s="167" t="s">
        <v>534</v>
      </c>
      <c r="Q150" s="135" t="s">
        <v>59</v>
      </c>
      <c r="R150" s="136">
        <v>15309.01241560907</v>
      </c>
      <c r="S150" s="73">
        <v>10000</v>
      </c>
      <c r="T150" s="136">
        <v>15309.01241560907</v>
      </c>
      <c r="U150" s="136">
        <v>137500</v>
      </c>
      <c r="V150" s="136">
        <v>1224699.6984124554</v>
      </c>
      <c r="W150" s="147" t="s">
        <v>11</v>
      </c>
      <c r="X150" s="185">
        <v>2.4299999999999999E-2</v>
      </c>
      <c r="Y150" s="137">
        <v>44762</v>
      </c>
      <c r="Z150" s="137">
        <v>47299</v>
      </c>
      <c r="AA150" s="137">
        <v>47330</v>
      </c>
      <c r="AB150" s="138">
        <v>2569</v>
      </c>
      <c r="AC150" s="139" t="s">
        <v>10</v>
      </c>
      <c r="AD150" s="138">
        <v>2496</v>
      </c>
      <c r="AE150" s="140">
        <v>6.838356164383562</v>
      </c>
      <c r="AF150" s="184"/>
      <c r="AG150" s="186" t="s">
        <v>1</v>
      </c>
      <c r="AH150" s="186" t="s">
        <v>1</v>
      </c>
      <c r="AI150" s="187" t="s">
        <v>0</v>
      </c>
      <c r="AJ150" s="143" t="s">
        <v>0</v>
      </c>
      <c r="AK150" s="164" t="s">
        <v>271</v>
      </c>
      <c r="AL150" s="188" t="s">
        <v>828</v>
      </c>
      <c r="AO150" s="197" t="s">
        <v>89</v>
      </c>
      <c r="AP150" s="198" t="s">
        <v>233</v>
      </c>
      <c r="AS150" s="212">
        <v>0</v>
      </c>
      <c r="AT150" s="212">
        <v>1837.0814898730882</v>
      </c>
      <c r="AU150" s="212" t="b">
        <v>0</v>
      </c>
      <c r="AV150" s="212"/>
      <c r="AW150" s="212">
        <v>0</v>
      </c>
      <c r="AX150" s="212">
        <v>0</v>
      </c>
      <c r="BB150" s="212">
        <v>0</v>
      </c>
      <c r="BC150" s="212">
        <v>0</v>
      </c>
      <c r="BD150" s="212">
        <v>0</v>
      </c>
      <c r="BE150" s="212">
        <v>0</v>
      </c>
      <c r="BF150" s="226"/>
      <c r="BJ150" s="112"/>
      <c r="BK150" s="112"/>
    </row>
    <row r="151" spans="1:63" ht="39.950000000000003" customHeight="1" x14ac:dyDescent="0.2">
      <c r="A151" s="131" t="s">
        <v>825</v>
      </c>
      <c r="B151" s="132" t="s">
        <v>23</v>
      </c>
      <c r="C151" s="133" t="s">
        <v>34</v>
      </c>
      <c r="D151" s="131" t="s">
        <v>34</v>
      </c>
      <c r="E151" s="161" t="s">
        <v>34</v>
      </c>
      <c r="F151" s="131" t="s">
        <v>475</v>
      </c>
      <c r="G151" s="66" t="s">
        <v>227</v>
      </c>
      <c r="H151" s="131" t="s">
        <v>827</v>
      </c>
      <c r="I151" s="14" t="s">
        <v>656</v>
      </c>
      <c r="J151" s="14" t="s">
        <v>656</v>
      </c>
      <c r="K151" s="168" t="s">
        <v>209</v>
      </c>
      <c r="L151" s="194" t="s">
        <v>191</v>
      </c>
      <c r="M151" s="134" t="s">
        <v>323</v>
      </c>
      <c r="N151" s="167" t="s">
        <v>43</v>
      </c>
      <c r="O151" s="167" t="s">
        <v>531</v>
      </c>
      <c r="P151" s="167" t="s">
        <v>534</v>
      </c>
      <c r="Q151" s="135" t="s">
        <v>8</v>
      </c>
      <c r="R151" s="136">
        <v>15000</v>
      </c>
      <c r="S151" s="136">
        <v>15000</v>
      </c>
      <c r="T151" s="136">
        <v>15000</v>
      </c>
      <c r="U151" s="136">
        <v>58500</v>
      </c>
      <c r="V151" s="136">
        <v>736036.69</v>
      </c>
      <c r="W151" s="147" t="s">
        <v>11</v>
      </c>
      <c r="X151" s="185">
        <v>3.9416666666666669E-2</v>
      </c>
      <c r="Y151" s="137">
        <v>44771</v>
      </c>
      <c r="Z151" s="137">
        <v>46013</v>
      </c>
      <c r="AA151" s="137">
        <v>46013</v>
      </c>
      <c r="AB151" s="138">
        <v>1243</v>
      </c>
      <c r="AC151" s="139" t="s">
        <v>10</v>
      </c>
      <c r="AD151" s="138">
        <v>1179</v>
      </c>
      <c r="AE151" s="140">
        <v>3.2301369863013698</v>
      </c>
      <c r="AF151" s="184"/>
      <c r="AG151" s="186" t="s">
        <v>1</v>
      </c>
      <c r="AH151" s="186" t="s">
        <v>1</v>
      </c>
      <c r="AI151" s="187" t="s">
        <v>0</v>
      </c>
      <c r="AJ151" s="143" t="s">
        <v>0</v>
      </c>
      <c r="AK151" s="164" t="s">
        <v>563</v>
      </c>
      <c r="AL151" s="188" t="s">
        <v>830</v>
      </c>
      <c r="AO151" s="197" t="s">
        <v>34</v>
      </c>
      <c r="AP151" s="198" t="s">
        <v>475</v>
      </c>
      <c r="AS151" s="212">
        <v>0</v>
      </c>
      <c r="AT151" s="212">
        <v>1800</v>
      </c>
      <c r="AU151" s="212" t="b">
        <v>0</v>
      </c>
      <c r="AV151" s="212"/>
      <c r="AW151" s="212">
        <v>0</v>
      </c>
      <c r="AX151" s="212">
        <v>0</v>
      </c>
      <c r="BB151" s="212">
        <v>0</v>
      </c>
      <c r="BC151" s="212">
        <v>0</v>
      </c>
      <c r="BD151" s="212">
        <v>0</v>
      </c>
      <c r="BE151" s="212">
        <v>0</v>
      </c>
      <c r="BF151" s="226"/>
      <c r="BJ151" s="112"/>
      <c r="BK151" s="112"/>
    </row>
    <row r="152" spans="1:63" ht="39.950000000000003" customHeight="1" x14ac:dyDescent="0.2">
      <c r="A152" s="131" t="s">
        <v>841</v>
      </c>
      <c r="B152" s="132" t="s">
        <v>51</v>
      </c>
      <c r="C152" s="133" t="s">
        <v>588</v>
      </c>
      <c r="D152" s="131" t="s">
        <v>542</v>
      </c>
      <c r="E152" s="133" t="s">
        <v>87</v>
      </c>
      <c r="F152" s="131" t="s">
        <v>102</v>
      </c>
      <c r="G152" s="131" t="s">
        <v>102</v>
      </c>
      <c r="H152" s="131" t="s">
        <v>122</v>
      </c>
      <c r="I152" s="133" t="s">
        <v>705</v>
      </c>
      <c r="J152" s="133" t="s">
        <v>220</v>
      </c>
      <c r="K152" s="168" t="s">
        <v>101</v>
      </c>
      <c r="L152" s="194" t="s">
        <v>191</v>
      </c>
      <c r="M152" s="134" t="s">
        <v>59</v>
      </c>
      <c r="N152" s="167" t="s">
        <v>43</v>
      </c>
      <c r="O152" s="167" t="s">
        <v>533</v>
      </c>
      <c r="P152" s="167" t="s">
        <v>534</v>
      </c>
      <c r="Q152" s="135" t="s">
        <v>156</v>
      </c>
      <c r="R152" s="136">
        <v>25990.67801015369</v>
      </c>
      <c r="S152" s="136">
        <v>15000</v>
      </c>
      <c r="T152" s="136">
        <v>25990.67801015369</v>
      </c>
      <c r="U152" s="136">
        <v>411519.06849410007</v>
      </c>
      <c r="V152" s="136">
        <v>1042997.0024084694</v>
      </c>
      <c r="W152" s="147" t="s">
        <v>11</v>
      </c>
      <c r="X152" s="185">
        <v>1.4500000000000001E-2</v>
      </c>
      <c r="Y152" s="137">
        <v>44789</v>
      </c>
      <c r="Z152" s="137">
        <v>46497</v>
      </c>
      <c r="AA152" s="137">
        <v>46680</v>
      </c>
      <c r="AB152" s="138">
        <v>1892</v>
      </c>
      <c r="AC152" s="139" t="s">
        <v>10</v>
      </c>
      <c r="AD152" s="138">
        <v>1846</v>
      </c>
      <c r="AE152" s="140">
        <v>5.0575342465753428</v>
      </c>
      <c r="AF152" s="184" t="s">
        <v>436</v>
      </c>
      <c r="AG152" s="186" t="s">
        <v>1</v>
      </c>
      <c r="AH152" s="186" t="s">
        <v>1</v>
      </c>
      <c r="AI152" s="187" t="s">
        <v>0</v>
      </c>
      <c r="AJ152" s="143" t="s">
        <v>0</v>
      </c>
      <c r="AK152" s="164" t="s">
        <v>271</v>
      </c>
      <c r="AL152" s="188" t="s">
        <v>848</v>
      </c>
      <c r="AO152" s="197" t="s">
        <v>87</v>
      </c>
      <c r="AP152" s="198" t="s">
        <v>102</v>
      </c>
      <c r="AS152" s="212">
        <v>0</v>
      </c>
      <c r="AT152" s="212">
        <v>3118.8813612184426</v>
      </c>
      <c r="AU152" s="212">
        <v>623.7762722436886</v>
      </c>
      <c r="AV152" s="212"/>
      <c r="AW152" s="212">
        <v>0</v>
      </c>
      <c r="AX152" s="212">
        <v>0</v>
      </c>
      <c r="BB152" s="212">
        <v>0</v>
      </c>
      <c r="BC152" s="212">
        <v>0</v>
      </c>
      <c r="BD152" s="212">
        <v>0</v>
      </c>
      <c r="BE152" s="212">
        <v>0</v>
      </c>
      <c r="BF152" s="226"/>
      <c r="BJ152" s="112"/>
      <c r="BK152" s="112"/>
    </row>
    <row r="153" spans="1:63" ht="39.950000000000003" customHeight="1" x14ac:dyDescent="0.2">
      <c r="A153" s="131" t="s">
        <v>838</v>
      </c>
      <c r="B153" s="132" t="s">
        <v>51</v>
      </c>
      <c r="C153" s="133" t="s">
        <v>211</v>
      </c>
      <c r="D153" s="131" t="s">
        <v>542</v>
      </c>
      <c r="E153" s="161" t="s">
        <v>211</v>
      </c>
      <c r="F153" s="131" t="s">
        <v>102</v>
      </c>
      <c r="G153" s="131" t="s">
        <v>102</v>
      </c>
      <c r="H153" s="131" t="s">
        <v>475</v>
      </c>
      <c r="I153" s="14" t="s">
        <v>844</v>
      </c>
      <c r="J153" s="192" t="s">
        <v>221</v>
      </c>
      <c r="K153" s="168" t="s">
        <v>101</v>
      </c>
      <c r="L153" s="194" t="s">
        <v>191</v>
      </c>
      <c r="M153" s="134" t="s">
        <v>59</v>
      </c>
      <c r="N153" s="167" t="s">
        <v>43</v>
      </c>
      <c r="O153" s="167" t="s">
        <v>538</v>
      </c>
      <c r="P153" s="167" t="s">
        <v>534</v>
      </c>
      <c r="Q153" s="135" t="s">
        <v>59</v>
      </c>
      <c r="R153" s="136">
        <v>30618.024831218139</v>
      </c>
      <c r="S153" s="136">
        <v>20000</v>
      </c>
      <c r="T153" s="136">
        <v>30618.024831218139</v>
      </c>
      <c r="U153" s="136">
        <v>53500</v>
      </c>
      <c r="V153" s="136">
        <v>1737190.1991702516</v>
      </c>
      <c r="W153" s="147" t="s">
        <v>11</v>
      </c>
      <c r="X153" s="185">
        <v>0.02</v>
      </c>
      <c r="Y153" s="137">
        <v>44798</v>
      </c>
      <c r="Z153" s="137">
        <v>46614</v>
      </c>
      <c r="AA153" s="137">
        <v>46614</v>
      </c>
      <c r="AB153" s="138">
        <v>1817</v>
      </c>
      <c r="AC153" s="139" t="s">
        <v>10</v>
      </c>
      <c r="AD153" s="138">
        <v>1780</v>
      </c>
      <c r="AE153" s="140">
        <v>4.8767123287671232</v>
      </c>
      <c r="AF153" s="184" t="s">
        <v>436</v>
      </c>
      <c r="AG153" s="186" t="s">
        <v>1</v>
      </c>
      <c r="AH153" s="186" t="s">
        <v>1</v>
      </c>
      <c r="AI153" s="187" t="s">
        <v>0</v>
      </c>
      <c r="AJ153" s="143" t="s">
        <v>0</v>
      </c>
      <c r="AK153" s="164" t="s">
        <v>563</v>
      </c>
      <c r="AL153" s="188" t="s">
        <v>849</v>
      </c>
      <c r="AO153" s="197" t="s">
        <v>211</v>
      </c>
      <c r="AP153" s="198" t="s">
        <v>102</v>
      </c>
      <c r="AS153" s="212">
        <v>0</v>
      </c>
      <c r="AT153" s="212">
        <v>3674.1629797461765</v>
      </c>
      <c r="AU153" s="212">
        <v>734.83259594923538</v>
      </c>
      <c r="AV153" s="212"/>
      <c r="AW153" s="212">
        <v>0</v>
      </c>
      <c r="AX153" s="212">
        <v>0</v>
      </c>
      <c r="BB153" s="212">
        <v>0</v>
      </c>
      <c r="BC153" s="212">
        <v>0</v>
      </c>
      <c r="BD153" s="212">
        <v>0</v>
      </c>
      <c r="BE153" s="212">
        <v>0</v>
      </c>
      <c r="BF153" s="226"/>
      <c r="BJ153" s="112"/>
      <c r="BK153" s="112"/>
    </row>
    <row r="154" spans="1:63" ht="39.950000000000003" customHeight="1" x14ac:dyDescent="0.2">
      <c r="A154" s="131" t="s">
        <v>843</v>
      </c>
      <c r="B154" s="132" t="s">
        <v>51</v>
      </c>
      <c r="C154" s="133" t="s">
        <v>34</v>
      </c>
      <c r="D154" s="131" t="s">
        <v>34</v>
      </c>
      <c r="E154" s="133" t="s">
        <v>34</v>
      </c>
      <c r="F154" s="131" t="s">
        <v>475</v>
      </c>
      <c r="G154" s="131" t="s">
        <v>440</v>
      </c>
      <c r="H154" s="131" t="s">
        <v>458</v>
      </c>
      <c r="I154" s="66" t="s">
        <v>232</v>
      </c>
      <c r="J154" s="192" t="s">
        <v>21</v>
      </c>
      <c r="K154" s="168" t="s">
        <v>209</v>
      </c>
      <c r="L154" s="194" t="s">
        <v>191</v>
      </c>
      <c r="M154" s="134" t="s">
        <v>323</v>
      </c>
      <c r="N154" s="167" t="s">
        <v>43</v>
      </c>
      <c r="O154" s="167" t="s">
        <v>538</v>
      </c>
      <c r="P154" s="167" t="s">
        <v>534</v>
      </c>
      <c r="Q154" s="135" t="s">
        <v>8</v>
      </c>
      <c r="R154" s="136">
        <v>7550</v>
      </c>
      <c r="S154" s="136">
        <v>7550</v>
      </c>
      <c r="T154" s="136">
        <v>7550</v>
      </c>
      <c r="U154" s="136">
        <v>73300</v>
      </c>
      <c r="V154" s="136">
        <v>806324.17</v>
      </c>
      <c r="W154" s="147" t="s">
        <v>11</v>
      </c>
      <c r="X154" s="185">
        <v>3.7499999999999999E-2</v>
      </c>
      <c r="Y154" s="137">
        <v>44796</v>
      </c>
      <c r="Z154" s="137">
        <v>46416</v>
      </c>
      <c r="AA154" s="137">
        <v>46446</v>
      </c>
      <c r="AB154" s="138">
        <v>1651</v>
      </c>
      <c r="AC154" s="139" t="s">
        <v>10</v>
      </c>
      <c r="AD154" s="138">
        <v>1612</v>
      </c>
      <c r="AE154" s="140">
        <v>4.4164383561643836</v>
      </c>
      <c r="AF154" s="184"/>
      <c r="AG154" s="186" t="s">
        <v>1</v>
      </c>
      <c r="AH154" s="186" t="s">
        <v>1</v>
      </c>
      <c r="AI154" s="187" t="s">
        <v>0</v>
      </c>
      <c r="AJ154" s="143" t="s">
        <v>0</v>
      </c>
      <c r="AK154" s="164" t="s">
        <v>271</v>
      </c>
      <c r="AL154" s="188" t="s">
        <v>845</v>
      </c>
      <c r="AO154" s="197" t="s">
        <v>34</v>
      </c>
      <c r="AP154" s="198" t="s">
        <v>475</v>
      </c>
      <c r="AS154" s="212">
        <v>0</v>
      </c>
      <c r="AT154" s="212">
        <v>906</v>
      </c>
      <c r="AU154" s="212" t="b">
        <v>0</v>
      </c>
      <c r="AV154" s="212"/>
      <c r="AW154" s="212">
        <v>0</v>
      </c>
      <c r="AX154" s="212">
        <v>0</v>
      </c>
      <c r="BB154" s="212">
        <v>0</v>
      </c>
      <c r="BC154" s="212">
        <v>0</v>
      </c>
      <c r="BD154" s="212">
        <v>0</v>
      </c>
      <c r="BE154" s="212">
        <v>0</v>
      </c>
      <c r="BF154" s="226"/>
      <c r="BJ154" s="112"/>
      <c r="BK154" s="112"/>
    </row>
    <row r="155" spans="1:63" ht="39.950000000000003" customHeight="1" x14ac:dyDescent="0.2">
      <c r="A155" s="131" t="s">
        <v>842</v>
      </c>
      <c r="B155" s="132" t="s">
        <v>51</v>
      </c>
      <c r="C155" s="133" t="s">
        <v>162</v>
      </c>
      <c r="D155" s="131" t="s">
        <v>499</v>
      </c>
      <c r="E155" s="161" t="s">
        <v>162</v>
      </c>
      <c r="F155" s="131" t="s">
        <v>547</v>
      </c>
      <c r="G155" s="131" t="s">
        <v>265</v>
      </c>
      <c r="H155" s="131" t="s">
        <v>266</v>
      </c>
      <c r="I155" s="66" t="s">
        <v>561</v>
      </c>
      <c r="J155" s="133" t="s">
        <v>220</v>
      </c>
      <c r="K155" s="168" t="s">
        <v>29</v>
      </c>
      <c r="L155" s="194" t="s">
        <v>191</v>
      </c>
      <c r="M155" s="134" t="s">
        <v>59</v>
      </c>
      <c r="N155" s="167" t="s">
        <v>43</v>
      </c>
      <c r="O155" s="167" t="s">
        <v>538</v>
      </c>
      <c r="P155" s="167" t="s">
        <v>534</v>
      </c>
      <c r="Q155" s="135" t="s">
        <v>9</v>
      </c>
      <c r="R155" s="136">
        <v>47215.83934023734</v>
      </c>
      <c r="S155" s="136">
        <v>30000</v>
      </c>
      <c r="T155" s="136">
        <v>47215.83934023734</v>
      </c>
      <c r="U155" s="136">
        <v>314772.26226824895</v>
      </c>
      <c r="V155" s="136">
        <v>2202107.4160344992</v>
      </c>
      <c r="W155" s="147" t="s">
        <v>11</v>
      </c>
      <c r="X155" s="185">
        <v>0.02</v>
      </c>
      <c r="Y155" s="137">
        <v>44796</v>
      </c>
      <c r="Z155" s="137">
        <v>41105</v>
      </c>
      <c r="AA155" s="137">
        <v>46583</v>
      </c>
      <c r="AB155" s="138">
        <v>1788</v>
      </c>
      <c r="AC155" s="139" t="s">
        <v>10</v>
      </c>
      <c r="AD155" s="138">
        <v>1749</v>
      </c>
      <c r="AE155" s="140">
        <v>4.7917808219178086</v>
      </c>
      <c r="AF155" s="184" t="s">
        <v>436</v>
      </c>
      <c r="AG155" s="186" t="s">
        <v>1</v>
      </c>
      <c r="AH155" s="186" t="s">
        <v>1</v>
      </c>
      <c r="AI155" s="187" t="s">
        <v>0</v>
      </c>
      <c r="AJ155" s="143" t="s">
        <v>0</v>
      </c>
      <c r="AK155" s="164" t="s">
        <v>271</v>
      </c>
      <c r="AL155" s="188" t="s">
        <v>384</v>
      </c>
      <c r="AO155" s="197" t="s">
        <v>162</v>
      </c>
      <c r="AP155" s="198" t="s">
        <v>547</v>
      </c>
      <c r="AS155" s="212">
        <v>0</v>
      </c>
      <c r="AT155" s="212">
        <v>5665.9007208284802</v>
      </c>
      <c r="AU155" s="212">
        <v>1133.180144165696</v>
      </c>
      <c r="AV155" s="212"/>
      <c r="AW155" s="212">
        <v>0</v>
      </c>
      <c r="AX155" s="212">
        <v>0</v>
      </c>
      <c r="BB155" s="212">
        <v>0</v>
      </c>
      <c r="BC155" s="212">
        <v>0</v>
      </c>
      <c r="BD155" s="212">
        <v>0</v>
      </c>
      <c r="BE155" s="212">
        <v>0</v>
      </c>
      <c r="BF155" s="226"/>
      <c r="BJ155" s="112"/>
      <c r="BK155" s="112"/>
    </row>
    <row r="156" spans="1:63" ht="39.950000000000003" customHeight="1" x14ac:dyDescent="0.2">
      <c r="A156" s="131" t="s">
        <v>840</v>
      </c>
      <c r="B156" s="132" t="s">
        <v>51</v>
      </c>
      <c r="C156" s="133" t="s">
        <v>119</v>
      </c>
      <c r="D156" s="131" t="s">
        <v>542</v>
      </c>
      <c r="E156" s="161" t="s">
        <v>119</v>
      </c>
      <c r="F156" s="131" t="s">
        <v>102</v>
      </c>
      <c r="G156" s="131" t="s">
        <v>102</v>
      </c>
      <c r="H156" s="131" t="s">
        <v>474</v>
      </c>
      <c r="I156" s="14" t="s">
        <v>264</v>
      </c>
      <c r="J156" s="192" t="s">
        <v>221</v>
      </c>
      <c r="K156" s="168" t="s">
        <v>101</v>
      </c>
      <c r="L156" s="194" t="s">
        <v>191</v>
      </c>
      <c r="M156" s="134" t="s">
        <v>59</v>
      </c>
      <c r="N156" s="167" t="s">
        <v>43</v>
      </c>
      <c r="O156" s="167" t="s">
        <v>538</v>
      </c>
      <c r="P156" s="167" t="s">
        <v>534</v>
      </c>
      <c r="Q156" s="135" t="s">
        <v>59</v>
      </c>
      <c r="R156" s="136">
        <v>19901.716140291792</v>
      </c>
      <c r="S156" s="136">
        <v>13000</v>
      </c>
      <c r="T156" s="136">
        <v>19901.716140291792</v>
      </c>
      <c r="U156" s="136">
        <v>153350.37736715606</v>
      </c>
      <c r="V156" s="136">
        <v>1059937.9116249904</v>
      </c>
      <c r="W156" s="147" t="s">
        <v>11</v>
      </c>
      <c r="X156" s="185">
        <v>2.3E-2</v>
      </c>
      <c r="Y156" s="137">
        <v>44798</v>
      </c>
      <c r="Z156" s="137">
        <v>46385</v>
      </c>
      <c r="AA156" s="137">
        <v>46399</v>
      </c>
      <c r="AB156" s="138">
        <v>1602</v>
      </c>
      <c r="AC156" s="139" t="s">
        <v>10</v>
      </c>
      <c r="AD156" s="138">
        <v>1565</v>
      </c>
      <c r="AE156" s="140">
        <v>4.2876712328767121</v>
      </c>
      <c r="AF156" s="184"/>
      <c r="AG156" s="186" t="s">
        <v>1</v>
      </c>
      <c r="AH156" s="186" t="s">
        <v>1</v>
      </c>
      <c r="AI156" s="187" t="s">
        <v>0</v>
      </c>
      <c r="AJ156" s="143" t="s">
        <v>0</v>
      </c>
      <c r="AK156" s="164" t="s">
        <v>271</v>
      </c>
      <c r="AL156" s="188" t="s">
        <v>847</v>
      </c>
      <c r="AO156" s="197" t="s">
        <v>119</v>
      </c>
      <c r="AP156" s="198" t="s">
        <v>102</v>
      </c>
      <c r="AS156" s="212">
        <v>0</v>
      </c>
      <c r="AT156" s="212">
        <v>2388.2059368350151</v>
      </c>
      <c r="AU156" s="212" t="b">
        <v>0</v>
      </c>
      <c r="AV156" s="212"/>
      <c r="AW156" s="212">
        <v>0</v>
      </c>
      <c r="AX156" s="212">
        <v>0</v>
      </c>
      <c r="BB156" s="212">
        <v>0</v>
      </c>
      <c r="BC156" s="212">
        <v>0</v>
      </c>
      <c r="BD156" s="212">
        <v>0</v>
      </c>
      <c r="BE156" s="212">
        <v>0</v>
      </c>
      <c r="BF156" s="226"/>
      <c r="BJ156" s="112"/>
      <c r="BK156" s="112"/>
    </row>
    <row r="157" spans="1:63" ht="39.950000000000003" customHeight="1" x14ac:dyDescent="0.2">
      <c r="A157" s="131" t="s">
        <v>839</v>
      </c>
      <c r="B157" s="132" t="s">
        <v>23</v>
      </c>
      <c r="C157" s="133" t="s">
        <v>684</v>
      </c>
      <c r="D157" s="131" t="s">
        <v>542</v>
      </c>
      <c r="E157" s="161" t="s">
        <v>127</v>
      </c>
      <c r="F157" s="131" t="s">
        <v>173</v>
      </c>
      <c r="G157" s="131" t="s">
        <v>316</v>
      </c>
      <c r="H157" s="131" t="s">
        <v>851</v>
      </c>
      <c r="I157" s="133" t="s">
        <v>165</v>
      </c>
      <c r="J157" s="133" t="s">
        <v>220</v>
      </c>
      <c r="K157" s="168" t="s">
        <v>29</v>
      </c>
      <c r="L157" s="194" t="s">
        <v>191</v>
      </c>
      <c r="M157" s="134" t="s">
        <v>59</v>
      </c>
      <c r="N157" s="167" t="s">
        <v>43</v>
      </c>
      <c r="O157" s="167" t="s">
        <v>538</v>
      </c>
      <c r="P157" s="167" t="s">
        <v>534</v>
      </c>
      <c r="Q157" s="135" t="s">
        <v>59</v>
      </c>
      <c r="R157" s="136">
        <v>16074.463036389523</v>
      </c>
      <c r="S157" s="136">
        <v>10500</v>
      </c>
      <c r="T157" s="136">
        <v>16074.463036389523</v>
      </c>
      <c r="U157" s="136">
        <v>30618.024831218139</v>
      </c>
      <c r="V157" s="136">
        <v>1363445.078917959</v>
      </c>
      <c r="W157" s="147" t="s">
        <v>11</v>
      </c>
      <c r="X157" s="185">
        <v>2.2499999999999999E-2</v>
      </c>
      <c r="Y157" s="137">
        <v>44798</v>
      </c>
      <c r="Z157" s="137">
        <v>47050</v>
      </c>
      <c r="AA157" s="137">
        <v>47050</v>
      </c>
      <c r="AB157" s="138">
        <v>2253</v>
      </c>
      <c r="AC157" s="139" t="s">
        <v>10</v>
      </c>
      <c r="AD157" s="138">
        <v>2216</v>
      </c>
      <c r="AE157" s="140">
        <v>6.0712328767123287</v>
      </c>
      <c r="AF157" s="184"/>
      <c r="AG157" s="186" t="s">
        <v>1</v>
      </c>
      <c r="AH157" s="186" t="s">
        <v>1</v>
      </c>
      <c r="AI157" s="187" t="s">
        <v>0</v>
      </c>
      <c r="AJ157" s="143" t="s">
        <v>0</v>
      </c>
      <c r="AK157" s="164" t="s">
        <v>563</v>
      </c>
      <c r="AL157" s="188" t="s">
        <v>846</v>
      </c>
      <c r="AO157" s="197" t="s">
        <v>127</v>
      </c>
      <c r="AP157" s="198" t="s">
        <v>173</v>
      </c>
      <c r="AS157" s="212">
        <v>0</v>
      </c>
      <c r="AT157" s="212">
        <v>1928.9355643667427</v>
      </c>
      <c r="AU157" s="212" t="b">
        <v>0</v>
      </c>
      <c r="AV157" s="212"/>
      <c r="AW157" s="212">
        <v>0</v>
      </c>
      <c r="AX157" s="212">
        <v>0</v>
      </c>
      <c r="BB157" s="212">
        <v>0</v>
      </c>
      <c r="BC157" s="212">
        <v>0</v>
      </c>
      <c r="BD157" s="212">
        <v>0</v>
      </c>
      <c r="BE157" s="212">
        <v>0</v>
      </c>
      <c r="BF157" s="226"/>
      <c r="BJ157" s="112"/>
      <c r="BK157" s="112"/>
    </row>
    <row r="158" spans="1:63" ht="39.950000000000003" customHeight="1" x14ac:dyDescent="0.2">
      <c r="A158" s="131" t="s">
        <v>837</v>
      </c>
      <c r="B158" s="132" t="s">
        <v>23</v>
      </c>
      <c r="C158" s="133" t="s">
        <v>119</v>
      </c>
      <c r="D158" s="131" t="s">
        <v>542</v>
      </c>
      <c r="E158" s="161" t="s">
        <v>119</v>
      </c>
      <c r="F158" s="131" t="s">
        <v>233</v>
      </c>
      <c r="G158" s="66" t="s">
        <v>443</v>
      </c>
      <c r="H158" s="131" t="s">
        <v>234</v>
      </c>
      <c r="I158" s="133" t="s">
        <v>745</v>
      </c>
      <c r="J158" s="133" t="s">
        <v>220</v>
      </c>
      <c r="K158" s="168" t="s">
        <v>29</v>
      </c>
      <c r="L158" s="194" t="s">
        <v>191</v>
      </c>
      <c r="M158" s="134" t="s">
        <v>59</v>
      </c>
      <c r="N158" s="167" t="s">
        <v>43</v>
      </c>
      <c r="O158" s="167" t="s">
        <v>538</v>
      </c>
      <c r="P158" s="167" t="s">
        <v>534</v>
      </c>
      <c r="Q158" s="135" t="s">
        <v>59</v>
      </c>
      <c r="R158" s="136">
        <v>15309.01241560907</v>
      </c>
      <c r="S158" s="136">
        <v>10000</v>
      </c>
      <c r="T158" s="136">
        <v>15309.01241560907</v>
      </c>
      <c r="U158" s="136">
        <v>1086939.881508244</v>
      </c>
      <c r="V158" s="136">
        <v>1645543.1484514936</v>
      </c>
      <c r="W158" s="147" t="s">
        <v>11</v>
      </c>
      <c r="X158" s="185">
        <v>2.2499999999999999E-2</v>
      </c>
      <c r="Y158" s="137">
        <v>44788</v>
      </c>
      <c r="Z158" s="137">
        <v>47163</v>
      </c>
      <c r="AA158" s="137">
        <v>47191</v>
      </c>
      <c r="AB158" s="138">
        <v>2404</v>
      </c>
      <c r="AC158" s="139" t="s">
        <v>10</v>
      </c>
      <c r="AD158" s="138">
        <v>2357</v>
      </c>
      <c r="AE158" s="140">
        <v>6.4575342465753423</v>
      </c>
      <c r="AF158" s="184"/>
      <c r="AG158" s="186" t="s">
        <v>1</v>
      </c>
      <c r="AH158" s="186" t="s">
        <v>1</v>
      </c>
      <c r="AI158" s="187" t="s">
        <v>0</v>
      </c>
      <c r="AJ158" s="143" t="s">
        <v>0</v>
      </c>
      <c r="AK158" s="164" t="s">
        <v>563</v>
      </c>
      <c r="AL158" s="188" t="s">
        <v>850</v>
      </c>
      <c r="AO158" s="197" t="s">
        <v>119</v>
      </c>
      <c r="AP158" s="198" t="s">
        <v>233</v>
      </c>
      <c r="AS158" s="212">
        <v>0</v>
      </c>
      <c r="AT158" s="212">
        <v>1837.0814898730882</v>
      </c>
      <c r="AU158" s="212" t="b">
        <v>0</v>
      </c>
      <c r="AV158" s="212"/>
      <c r="AW158" s="212">
        <v>0</v>
      </c>
      <c r="AX158" s="212">
        <v>0</v>
      </c>
      <c r="BB158" s="212">
        <v>0</v>
      </c>
      <c r="BC158" s="212">
        <v>0</v>
      </c>
      <c r="BD158" s="212">
        <v>0</v>
      </c>
      <c r="BE158" s="212">
        <v>0</v>
      </c>
      <c r="BF158" s="226"/>
      <c r="BJ158" s="112"/>
      <c r="BK158" s="112"/>
    </row>
    <row r="159" spans="1:63" ht="39.950000000000003" customHeight="1" x14ac:dyDescent="0.2">
      <c r="A159" s="131" t="s">
        <v>854</v>
      </c>
      <c r="B159" s="132" t="s">
        <v>67</v>
      </c>
      <c r="C159" s="133" t="s">
        <v>588</v>
      </c>
      <c r="D159" s="131" t="s">
        <v>499</v>
      </c>
      <c r="E159" s="161" t="s">
        <v>162</v>
      </c>
      <c r="F159" s="14" t="s">
        <v>891</v>
      </c>
      <c r="G159" s="131" t="s">
        <v>115</v>
      </c>
      <c r="H159" s="131" t="s">
        <v>115</v>
      </c>
      <c r="I159" s="14" t="s">
        <v>826</v>
      </c>
      <c r="J159" s="66" t="s">
        <v>218</v>
      </c>
      <c r="K159" s="168" t="s">
        <v>209</v>
      </c>
      <c r="L159" s="194" t="s">
        <v>191</v>
      </c>
      <c r="M159" s="134" t="s">
        <v>59</v>
      </c>
      <c r="N159" s="167" t="s">
        <v>43</v>
      </c>
      <c r="O159" s="167" t="s">
        <v>538</v>
      </c>
      <c r="P159" s="167" t="s">
        <v>534</v>
      </c>
      <c r="Q159" s="135" t="s">
        <v>9</v>
      </c>
      <c r="R159" s="136">
        <v>23607.91967011867</v>
      </c>
      <c r="S159" s="73">
        <v>14961.92893</v>
      </c>
      <c r="T159" s="136">
        <v>23548.001085964308</v>
      </c>
      <c r="U159" s="136">
        <v>47215.83934023734</v>
      </c>
      <c r="V159" s="136">
        <v>1256627.1837325697</v>
      </c>
      <c r="W159" s="147" t="s">
        <v>11</v>
      </c>
      <c r="X159" s="185">
        <v>0.05</v>
      </c>
      <c r="Y159" s="137">
        <v>44806</v>
      </c>
      <c r="Z159" s="137">
        <v>46338</v>
      </c>
      <c r="AA159" s="137">
        <v>46355</v>
      </c>
      <c r="AB159" s="138">
        <v>1550</v>
      </c>
      <c r="AC159" s="139" t="s">
        <v>10</v>
      </c>
      <c r="AD159" s="138">
        <v>1521</v>
      </c>
      <c r="AE159" s="140">
        <v>4.1671232876712327</v>
      </c>
      <c r="AF159" s="184"/>
      <c r="AG159" s="186" t="s">
        <v>1</v>
      </c>
      <c r="AH159" s="186" t="s">
        <v>1</v>
      </c>
      <c r="AI159" s="187" t="s">
        <v>852</v>
      </c>
      <c r="AJ159" s="143" t="s">
        <v>0</v>
      </c>
      <c r="AK159" s="164" t="s">
        <v>271</v>
      </c>
      <c r="AL159" s="188" t="s">
        <v>853</v>
      </c>
      <c r="AM159" s="260"/>
      <c r="AN159" s="260"/>
      <c r="AO159" s="197" t="s">
        <v>162</v>
      </c>
      <c r="AP159" s="198" t="s">
        <v>891</v>
      </c>
      <c r="AQ159" s="260"/>
      <c r="AR159" s="260"/>
      <c r="AS159" s="261">
        <v>0</v>
      </c>
      <c r="AT159" s="261">
        <v>2825.7601303157167</v>
      </c>
      <c r="AU159" s="261" t="b">
        <v>0</v>
      </c>
      <c r="AV159" s="261"/>
      <c r="AW159" s="261">
        <v>0</v>
      </c>
      <c r="AX159" s="261">
        <v>0</v>
      </c>
      <c r="AY159" s="260"/>
      <c r="BB159" s="212">
        <v>0</v>
      </c>
      <c r="BC159" s="212">
        <v>0</v>
      </c>
      <c r="BD159" s="212">
        <v>0</v>
      </c>
      <c r="BE159" s="212">
        <v>0</v>
      </c>
      <c r="BF159" s="226"/>
      <c r="BJ159" s="112"/>
      <c r="BK159" s="112"/>
    </row>
    <row r="160" spans="1:63" ht="39.950000000000003" customHeight="1" x14ac:dyDescent="0.2">
      <c r="A160" s="131" t="s">
        <v>857</v>
      </c>
      <c r="B160" s="132" t="s">
        <v>23</v>
      </c>
      <c r="C160" s="133" t="s">
        <v>34</v>
      </c>
      <c r="D160" s="131" t="s">
        <v>34</v>
      </c>
      <c r="E160" s="161" t="s">
        <v>34</v>
      </c>
      <c r="F160" s="14" t="s">
        <v>544</v>
      </c>
      <c r="G160" s="14" t="s">
        <v>178</v>
      </c>
      <c r="H160" s="14" t="s">
        <v>177</v>
      </c>
      <c r="I160" s="133" t="s">
        <v>70</v>
      </c>
      <c r="J160" s="66" t="s">
        <v>218</v>
      </c>
      <c r="K160" s="168" t="s">
        <v>209</v>
      </c>
      <c r="L160" s="194" t="s">
        <v>191</v>
      </c>
      <c r="M160" s="134" t="s">
        <v>323</v>
      </c>
      <c r="N160" s="167" t="s">
        <v>43</v>
      </c>
      <c r="O160" s="167" t="s">
        <v>531</v>
      </c>
      <c r="P160" s="167" t="s">
        <v>534</v>
      </c>
      <c r="Q160" s="135" t="s">
        <v>8</v>
      </c>
      <c r="R160" s="136">
        <v>20000</v>
      </c>
      <c r="S160" s="73">
        <v>20000</v>
      </c>
      <c r="T160" s="136">
        <v>20000</v>
      </c>
      <c r="U160" s="136">
        <v>100000</v>
      </c>
      <c r="V160" s="136">
        <v>2846047.51</v>
      </c>
      <c r="W160" s="147" t="s">
        <v>11</v>
      </c>
      <c r="X160" s="185">
        <v>6.5000000000000002E-2</v>
      </c>
      <c r="Y160" s="137">
        <v>44810</v>
      </c>
      <c r="Z160" s="137">
        <v>46476</v>
      </c>
      <c r="AA160" s="137">
        <v>46498</v>
      </c>
      <c r="AB160" s="138">
        <v>1689</v>
      </c>
      <c r="AC160" s="139" t="s">
        <v>10</v>
      </c>
      <c r="AD160" s="138">
        <v>1664</v>
      </c>
      <c r="AE160" s="140">
        <v>4.558904109589041</v>
      </c>
      <c r="AF160" s="184"/>
      <c r="AG160" s="186" t="s">
        <v>1</v>
      </c>
      <c r="AH160" s="186" t="s">
        <v>1</v>
      </c>
      <c r="AI160" s="187" t="s">
        <v>0</v>
      </c>
      <c r="AJ160" s="143" t="s">
        <v>0</v>
      </c>
      <c r="AK160" s="164" t="s">
        <v>563</v>
      </c>
      <c r="AL160" s="188" t="s">
        <v>855</v>
      </c>
      <c r="AM160" s="260"/>
      <c r="AN160" s="260"/>
      <c r="AO160" s="197" t="s">
        <v>34</v>
      </c>
      <c r="AP160" s="198" t="s">
        <v>544</v>
      </c>
      <c r="AQ160" s="260"/>
      <c r="AR160" s="260"/>
      <c r="AS160" s="261">
        <v>0</v>
      </c>
      <c r="AT160" s="261">
        <v>2400</v>
      </c>
      <c r="AU160" s="261" t="b">
        <v>0</v>
      </c>
      <c r="AV160" s="261"/>
      <c r="AW160" s="261">
        <v>0</v>
      </c>
      <c r="AX160" s="261">
        <v>0</v>
      </c>
      <c r="AY160" s="260"/>
      <c r="BB160" s="212">
        <v>0</v>
      </c>
      <c r="BC160" s="212">
        <v>0</v>
      </c>
      <c r="BD160" s="212">
        <v>0</v>
      </c>
      <c r="BE160" s="212">
        <v>0</v>
      </c>
      <c r="BF160" s="226"/>
      <c r="BJ160" s="112"/>
      <c r="BK160" s="112"/>
    </row>
    <row r="161" spans="1:63" ht="39.950000000000003" customHeight="1" x14ac:dyDescent="0.2">
      <c r="A161" s="131" t="s">
        <v>858</v>
      </c>
      <c r="B161" s="132" t="s">
        <v>243</v>
      </c>
      <c r="C161" s="133" t="s">
        <v>34</v>
      </c>
      <c r="D161" s="131" t="s">
        <v>34</v>
      </c>
      <c r="E161" s="161" t="s">
        <v>295</v>
      </c>
      <c r="F161" s="131" t="s">
        <v>92</v>
      </c>
      <c r="G161" s="131" t="s">
        <v>108</v>
      </c>
      <c r="H161" s="131" t="s">
        <v>109</v>
      </c>
      <c r="I161" s="133" t="s">
        <v>70</v>
      </c>
      <c r="J161" s="66" t="s">
        <v>218</v>
      </c>
      <c r="K161" s="168" t="s">
        <v>209</v>
      </c>
      <c r="L161" s="194" t="s">
        <v>191</v>
      </c>
      <c r="M161" s="134" t="s">
        <v>323</v>
      </c>
      <c r="N161" s="167" t="s">
        <v>43</v>
      </c>
      <c r="O161" s="167" t="s">
        <v>538</v>
      </c>
      <c r="P161" s="167" t="s">
        <v>534</v>
      </c>
      <c r="Q161" s="135" t="s">
        <v>297</v>
      </c>
      <c r="R161" s="136">
        <v>16547.524490336247</v>
      </c>
      <c r="S161" s="136">
        <v>18750</v>
      </c>
      <c r="T161" s="136">
        <v>16547.524490336247</v>
      </c>
      <c r="U161" s="136">
        <v>94872.473744594477</v>
      </c>
      <c r="V161" s="136">
        <v>1727028.6382490513</v>
      </c>
      <c r="W161" s="147" t="s">
        <v>11</v>
      </c>
      <c r="X161" s="185">
        <v>3.7499999999999999E-2</v>
      </c>
      <c r="Y161" s="137">
        <v>44820</v>
      </c>
      <c r="Z161" s="137">
        <v>47247</v>
      </c>
      <c r="AA161" s="137">
        <v>47269</v>
      </c>
      <c r="AB161" s="138">
        <v>2450</v>
      </c>
      <c r="AC161" s="139" t="s">
        <v>10</v>
      </c>
      <c r="AD161" s="138">
        <v>2435</v>
      </c>
      <c r="AE161" s="140">
        <v>6.6712328767123283</v>
      </c>
      <c r="AF161" s="184"/>
      <c r="AG161" s="186" t="s">
        <v>1</v>
      </c>
      <c r="AH161" s="186" t="s">
        <v>1</v>
      </c>
      <c r="AI161" s="187" t="s">
        <v>0</v>
      </c>
      <c r="AJ161" s="143" t="s">
        <v>0</v>
      </c>
      <c r="AK161" s="164" t="s">
        <v>563</v>
      </c>
      <c r="AL161" s="188" t="s">
        <v>856</v>
      </c>
      <c r="AM161" s="260"/>
      <c r="AN161" s="260"/>
      <c r="AO161" s="197" t="s">
        <v>295</v>
      </c>
      <c r="AP161" s="198" t="s">
        <v>92</v>
      </c>
      <c r="AQ161" s="260"/>
      <c r="AR161" s="260"/>
      <c r="AS161" s="261">
        <v>0</v>
      </c>
      <c r="AT161" s="261">
        <v>1985.7029388403496</v>
      </c>
      <c r="AU161" s="261" t="b">
        <v>0</v>
      </c>
      <c r="AV161" s="261"/>
      <c r="AW161" s="261">
        <v>0</v>
      </c>
      <c r="AX161" s="261">
        <v>0</v>
      </c>
      <c r="AY161" s="260"/>
      <c r="BB161" s="212">
        <v>0</v>
      </c>
      <c r="BC161" s="212">
        <v>0</v>
      </c>
      <c r="BD161" s="212">
        <v>0</v>
      </c>
      <c r="BE161" s="212">
        <v>0</v>
      </c>
      <c r="BF161" s="226"/>
      <c r="BJ161" s="112"/>
      <c r="BK161" s="112"/>
    </row>
    <row r="162" spans="1:63" ht="39.950000000000003" customHeight="1" x14ac:dyDescent="0.2">
      <c r="A162" s="131" t="s">
        <v>859</v>
      </c>
      <c r="B162" s="132" t="s">
        <v>67</v>
      </c>
      <c r="C162" s="133" t="s">
        <v>34</v>
      </c>
      <c r="D162" s="131" t="s">
        <v>34</v>
      </c>
      <c r="E162" s="161" t="s">
        <v>295</v>
      </c>
      <c r="F162" s="131" t="s">
        <v>475</v>
      </c>
      <c r="G162" s="131" t="s">
        <v>227</v>
      </c>
      <c r="H162" s="131" t="s">
        <v>228</v>
      </c>
      <c r="I162" s="133" t="s">
        <v>860</v>
      </c>
      <c r="J162" s="133" t="s">
        <v>220</v>
      </c>
      <c r="K162" s="168" t="s">
        <v>209</v>
      </c>
      <c r="L162" s="194" t="s">
        <v>191</v>
      </c>
      <c r="M162" s="134" t="s">
        <v>323</v>
      </c>
      <c r="N162" s="167" t="s">
        <v>43</v>
      </c>
      <c r="O162" s="167" t="s">
        <v>531</v>
      </c>
      <c r="P162" s="167" t="s">
        <v>534</v>
      </c>
      <c r="Q162" s="135" t="s">
        <v>297</v>
      </c>
      <c r="R162" s="136">
        <v>8825.3463948459976</v>
      </c>
      <c r="S162" s="73">
        <v>10000</v>
      </c>
      <c r="T162" s="136">
        <v>8825.3463948459976</v>
      </c>
      <c r="U162" s="136">
        <v>44126.731974229988</v>
      </c>
      <c r="V162" s="136">
        <v>662935.46906716097</v>
      </c>
      <c r="W162" s="147" t="s">
        <v>11</v>
      </c>
      <c r="X162" s="185">
        <v>3.2500000000000001E-2</v>
      </c>
      <c r="Y162" s="137">
        <v>44834</v>
      </c>
      <c r="Z162" s="137">
        <v>46555</v>
      </c>
      <c r="AA162" s="137">
        <v>46598</v>
      </c>
      <c r="AB162" s="138">
        <v>1765</v>
      </c>
      <c r="AC162" s="139" t="s">
        <v>10</v>
      </c>
      <c r="AD162" s="138">
        <v>1764</v>
      </c>
      <c r="AE162" s="140">
        <v>4.8328767123287673</v>
      </c>
      <c r="AF162" s="184"/>
      <c r="AG162" s="186" t="s">
        <v>1</v>
      </c>
      <c r="AH162" s="186" t="s">
        <v>1</v>
      </c>
      <c r="AI162" s="187" t="s">
        <v>0</v>
      </c>
      <c r="AJ162" s="143" t="s">
        <v>0</v>
      </c>
      <c r="AK162" s="164" t="s">
        <v>271</v>
      </c>
      <c r="AL162" s="188" t="s">
        <v>861</v>
      </c>
      <c r="AM162" s="260"/>
      <c r="AN162" s="260"/>
      <c r="AO162" s="197" t="s">
        <v>295</v>
      </c>
      <c r="AP162" s="198" t="s">
        <v>475</v>
      </c>
      <c r="AQ162" s="260"/>
      <c r="AR162" s="260"/>
      <c r="AS162" s="261">
        <v>0</v>
      </c>
      <c r="AT162" s="261">
        <v>1059.0415673815196</v>
      </c>
      <c r="AU162" s="261" t="b">
        <v>0</v>
      </c>
      <c r="AV162" s="261"/>
      <c r="AW162" s="261">
        <v>0</v>
      </c>
      <c r="AX162" s="261">
        <v>0</v>
      </c>
      <c r="AY162" s="260"/>
      <c r="BB162" s="212">
        <v>0</v>
      </c>
      <c r="BC162" s="212">
        <v>0</v>
      </c>
      <c r="BD162" s="212">
        <v>0</v>
      </c>
      <c r="BE162" s="212">
        <v>0</v>
      </c>
      <c r="BF162" s="226"/>
      <c r="BJ162" s="112"/>
      <c r="BK162" s="112"/>
    </row>
    <row r="163" spans="1:63" ht="39.950000000000003" customHeight="1" x14ac:dyDescent="0.2">
      <c r="A163" s="131" t="s">
        <v>862</v>
      </c>
      <c r="B163" s="132" t="s">
        <v>23</v>
      </c>
      <c r="C163" s="133" t="s">
        <v>38</v>
      </c>
      <c r="D163" s="131" t="s">
        <v>541</v>
      </c>
      <c r="E163" s="133" t="s">
        <v>38</v>
      </c>
      <c r="F163" s="14" t="s">
        <v>48</v>
      </c>
      <c r="G163" s="14" t="s">
        <v>95</v>
      </c>
      <c r="H163" s="130" t="s">
        <v>447</v>
      </c>
      <c r="I163" s="133" t="s">
        <v>32</v>
      </c>
      <c r="J163" s="133" t="s">
        <v>33</v>
      </c>
      <c r="K163" s="14" t="s">
        <v>140</v>
      </c>
      <c r="L163" s="194" t="s">
        <v>191</v>
      </c>
      <c r="M163" s="134" t="s">
        <v>323</v>
      </c>
      <c r="N163" s="167" t="s">
        <v>43</v>
      </c>
      <c r="O163" s="167" t="s">
        <v>531</v>
      </c>
      <c r="P163" s="167" t="s">
        <v>534</v>
      </c>
      <c r="Q163" s="135" t="s">
        <v>9</v>
      </c>
      <c r="R163" s="136">
        <v>15738.613113412448</v>
      </c>
      <c r="S163" s="73">
        <v>10000</v>
      </c>
      <c r="T163" s="136">
        <v>15738.613113412448</v>
      </c>
      <c r="U163" s="136">
        <v>31477.226226824896</v>
      </c>
      <c r="V163" s="136">
        <v>1787475.0700368283</v>
      </c>
      <c r="W163" s="147" t="s">
        <v>11</v>
      </c>
      <c r="X163" s="185">
        <v>5.5E-2</v>
      </c>
      <c r="Y163" s="137">
        <v>44820</v>
      </c>
      <c r="Z163" s="137">
        <v>46973</v>
      </c>
      <c r="AA163" s="137">
        <v>47004</v>
      </c>
      <c r="AB163" s="138">
        <v>2185</v>
      </c>
      <c r="AC163" s="139" t="s">
        <v>10</v>
      </c>
      <c r="AD163" s="138">
        <v>2170</v>
      </c>
      <c r="AE163" s="140">
        <v>5.9452054794520546</v>
      </c>
      <c r="AF163" s="184"/>
      <c r="AG163" s="186" t="s">
        <v>1</v>
      </c>
      <c r="AH163" s="186" t="s">
        <v>1</v>
      </c>
      <c r="AI163" s="187" t="s">
        <v>0</v>
      </c>
      <c r="AJ163" s="143" t="s">
        <v>0</v>
      </c>
      <c r="AK163" s="164" t="s">
        <v>563</v>
      </c>
      <c r="AL163" s="188" t="s">
        <v>863</v>
      </c>
      <c r="AM163" s="260"/>
      <c r="AN163" s="260"/>
      <c r="AO163" s="197" t="s">
        <v>38</v>
      </c>
      <c r="AP163" s="198" t="s">
        <v>48</v>
      </c>
      <c r="AQ163" s="260"/>
      <c r="AR163" s="260"/>
      <c r="AS163" s="261">
        <v>0</v>
      </c>
      <c r="AT163" s="261">
        <v>1888.6335736094936</v>
      </c>
      <c r="AU163" s="261" t="b">
        <v>0</v>
      </c>
      <c r="AV163" s="261"/>
      <c r="AW163" s="261">
        <v>0</v>
      </c>
      <c r="AX163" s="261">
        <v>0</v>
      </c>
      <c r="AY163" s="260"/>
      <c r="BB163" s="212">
        <v>0</v>
      </c>
      <c r="BC163" s="212">
        <v>0</v>
      </c>
      <c r="BD163" s="212">
        <v>0</v>
      </c>
      <c r="BE163" s="212">
        <v>0</v>
      </c>
      <c r="BF163" s="226"/>
      <c r="BJ163" s="112"/>
      <c r="BK163" s="112"/>
    </row>
    <row r="164" spans="1:63" ht="39.950000000000003" customHeight="1" x14ac:dyDescent="0.2">
      <c r="A164" s="131" t="s">
        <v>864</v>
      </c>
      <c r="B164" s="132" t="s">
        <v>23</v>
      </c>
      <c r="C164" s="133" t="s">
        <v>149</v>
      </c>
      <c r="D164" s="131" t="s">
        <v>542</v>
      </c>
      <c r="E164" s="133" t="s">
        <v>127</v>
      </c>
      <c r="F164" s="131" t="s">
        <v>102</v>
      </c>
      <c r="G164" s="66" t="s">
        <v>102</v>
      </c>
      <c r="H164" s="14" t="s">
        <v>122</v>
      </c>
      <c r="I164" s="14" t="s">
        <v>148</v>
      </c>
      <c r="J164" s="133" t="s">
        <v>148</v>
      </c>
      <c r="K164" s="14" t="s">
        <v>101</v>
      </c>
      <c r="L164" s="194" t="s">
        <v>191</v>
      </c>
      <c r="M164" s="134" t="s">
        <v>59</v>
      </c>
      <c r="N164" s="167" t="s">
        <v>43</v>
      </c>
      <c r="O164" s="167" t="s">
        <v>531</v>
      </c>
      <c r="P164" s="167" t="s">
        <v>534</v>
      </c>
      <c r="Q164" s="135" t="s">
        <v>59</v>
      </c>
      <c r="R164" s="136">
        <v>19901.716140291792</v>
      </c>
      <c r="S164" s="73">
        <v>13000</v>
      </c>
      <c r="T164" s="136">
        <v>19901.716140291792</v>
      </c>
      <c r="U164" s="136">
        <v>176053.6427795043</v>
      </c>
      <c r="V164" s="136">
        <v>786270.87766568188</v>
      </c>
      <c r="W164" s="147" t="s">
        <v>11</v>
      </c>
      <c r="X164" s="185">
        <v>1.7999999999999999E-2</v>
      </c>
      <c r="Y164" s="137">
        <v>44832</v>
      </c>
      <c r="Z164" s="137">
        <v>46505</v>
      </c>
      <c r="AA164" s="137">
        <v>46505</v>
      </c>
      <c r="AB164" s="138">
        <v>1674</v>
      </c>
      <c r="AC164" s="139" t="s">
        <v>10</v>
      </c>
      <c r="AD164" s="138">
        <v>1671</v>
      </c>
      <c r="AE164" s="140">
        <v>4.5780821917808217</v>
      </c>
      <c r="AF164" s="184"/>
      <c r="AG164" s="186" t="s">
        <v>1</v>
      </c>
      <c r="AH164" s="186" t="s">
        <v>1</v>
      </c>
      <c r="AI164" s="187" t="s">
        <v>0</v>
      </c>
      <c r="AJ164" s="143" t="s">
        <v>0</v>
      </c>
      <c r="AK164" s="164" t="s">
        <v>563</v>
      </c>
      <c r="AL164" s="188" t="s">
        <v>865</v>
      </c>
      <c r="AM164" s="260"/>
      <c r="AN164" s="260"/>
      <c r="AO164" s="197" t="s">
        <v>127</v>
      </c>
      <c r="AP164" s="198" t="s">
        <v>102</v>
      </c>
      <c r="AQ164" s="260"/>
      <c r="AR164" s="260"/>
      <c r="AS164" s="261">
        <v>0</v>
      </c>
      <c r="AT164" s="261">
        <v>2388.2059368350151</v>
      </c>
      <c r="AU164" s="261" t="b">
        <v>0</v>
      </c>
      <c r="AV164" s="261"/>
      <c r="AW164" s="261">
        <v>0</v>
      </c>
      <c r="AX164" s="261">
        <v>0</v>
      </c>
      <c r="AY164" s="260"/>
      <c r="BB164" s="212">
        <v>0</v>
      </c>
      <c r="BC164" s="212">
        <v>0</v>
      </c>
      <c r="BD164" s="212">
        <v>0</v>
      </c>
      <c r="BE164" s="212">
        <v>0</v>
      </c>
      <c r="BF164" s="226"/>
      <c r="BJ164" s="112"/>
      <c r="BK164" s="112"/>
    </row>
    <row r="165" spans="1:63" ht="39.950000000000003" customHeight="1" x14ac:dyDescent="0.2">
      <c r="A165" s="131" t="s">
        <v>143</v>
      </c>
      <c r="B165" s="132" t="s">
        <v>67</v>
      </c>
      <c r="C165" s="133" t="s">
        <v>34</v>
      </c>
      <c r="D165" s="131" t="s">
        <v>34</v>
      </c>
      <c r="E165" s="161" t="s">
        <v>34</v>
      </c>
      <c r="F165" s="131" t="s">
        <v>104</v>
      </c>
      <c r="G165" s="66" t="s">
        <v>111</v>
      </c>
      <c r="H165" s="14" t="s">
        <v>112</v>
      </c>
      <c r="I165" s="133" t="s">
        <v>70</v>
      </c>
      <c r="J165" s="66" t="s">
        <v>218</v>
      </c>
      <c r="K165" s="14" t="s">
        <v>29</v>
      </c>
      <c r="L165" s="194" t="s">
        <v>191</v>
      </c>
      <c r="M165" s="134" t="s">
        <v>323</v>
      </c>
      <c r="N165" s="167" t="s">
        <v>43</v>
      </c>
      <c r="O165" s="167" t="s">
        <v>538</v>
      </c>
      <c r="P165" s="167" t="s">
        <v>534</v>
      </c>
      <c r="Q165" s="135" t="s">
        <v>8</v>
      </c>
      <c r="R165" s="136">
        <v>4990</v>
      </c>
      <c r="S165" s="136">
        <v>4990</v>
      </c>
      <c r="T165" s="136">
        <v>4990</v>
      </c>
      <c r="U165" s="136">
        <v>45000</v>
      </c>
      <c r="V165" s="136">
        <v>586672</v>
      </c>
      <c r="W165" s="147" t="s">
        <v>11</v>
      </c>
      <c r="X165" s="185">
        <v>0.10249999999999999</v>
      </c>
      <c r="Y165" s="137">
        <v>44827</v>
      </c>
      <c r="Z165" s="137">
        <v>45858</v>
      </c>
      <c r="AA165" s="137">
        <v>45877</v>
      </c>
      <c r="AB165" s="138">
        <v>1051</v>
      </c>
      <c r="AC165" s="139" t="s">
        <v>10</v>
      </c>
      <c r="AD165" s="138">
        <v>1043</v>
      </c>
      <c r="AE165" s="140">
        <v>2.8575342465753426</v>
      </c>
      <c r="AF165" s="184"/>
      <c r="AG165" s="186" t="s">
        <v>1</v>
      </c>
      <c r="AH165" s="186" t="s">
        <v>1</v>
      </c>
      <c r="AI165" s="263" t="s">
        <v>878</v>
      </c>
      <c r="AJ165" s="143" t="s">
        <v>0</v>
      </c>
      <c r="AK165" s="164" t="s">
        <v>271</v>
      </c>
      <c r="AL165" s="188" t="s">
        <v>866</v>
      </c>
      <c r="AM165" s="260"/>
      <c r="AN165" s="260"/>
      <c r="AO165" s="197" t="s">
        <v>34</v>
      </c>
      <c r="AP165" s="198" t="s">
        <v>104</v>
      </c>
      <c r="AQ165" s="260"/>
      <c r="AR165" s="260"/>
      <c r="AS165" s="261">
        <v>0</v>
      </c>
      <c r="AT165" s="261">
        <v>598.79999999999995</v>
      </c>
      <c r="AU165" s="261" t="b">
        <v>0</v>
      </c>
      <c r="AV165" s="261"/>
      <c r="AW165" s="261">
        <v>0</v>
      </c>
      <c r="AX165" s="261">
        <v>0</v>
      </c>
      <c r="AY165" s="260"/>
      <c r="BB165" s="212">
        <v>0</v>
      </c>
      <c r="BC165" s="212">
        <v>0</v>
      </c>
      <c r="BD165" s="212">
        <v>0</v>
      </c>
      <c r="BE165" s="212">
        <v>0</v>
      </c>
      <c r="BF165" s="226"/>
      <c r="BJ165" s="112"/>
      <c r="BK165" s="112"/>
    </row>
    <row r="166" spans="1:63" ht="39.950000000000003" customHeight="1" x14ac:dyDescent="0.2">
      <c r="A166" s="131" t="s">
        <v>867</v>
      </c>
      <c r="B166" s="132" t="s">
        <v>67</v>
      </c>
      <c r="C166" s="133" t="s">
        <v>684</v>
      </c>
      <c r="D166" s="131" t="s">
        <v>542</v>
      </c>
      <c r="E166" s="161" t="s">
        <v>127</v>
      </c>
      <c r="F166" s="14" t="s">
        <v>891</v>
      </c>
      <c r="G166" s="66" t="s">
        <v>167</v>
      </c>
      <c r="H166" s="131" t="s">
        <v>167</v>
      </c>
      <c r="I166" s="133" t="s">
        <v>677</v>
      </c>
      <c r="J166" s="66" t="s">
        <v>218</v>
      </c>
      <c r="K166" s="14" t="s">
        <v>140</v>
      </c>
      <c r="L166" s="194" t="s">
        <v>191</v>
      </c>
      <c r="M166" s="134" t="s">
        <v>59</v>
      </c>
      <c r="N166" s="167" t="s">
        <v>43</v>
      </c>
      <c r="O166" s="167" t="s">
        <v>538</v>
      </c>
      <c r="P166" s="167" t="s">
        <v>534</v>
      </c>
      <c r="Q166" s="135" t="s">
        <v>59</v>
      </c>
      <c r="R166" s="136">
        <v>11481.759311706803</v>
      </c>
      <c r="S166" s="73">
        <v>7500</v>
      </c>
      <c r="T166" s="136">
        <v>11481.759311706803</v>
      </c>
      <c r="U166" s="136">
        <v>153090.12415609069</v>
      </c>
      <c r="V166" s="136">
        <v>2062071.7992682292</v>
      </c>
      <c r="W166" s="147" t="s">
        <v>11</v>
      </c>
      <c r="X166" s="185">
        <v>7.4999999999999997E-2</v>
      </c>
      <c r="Y166" s="137">
        <v>44832</v>
      </c>
      <c r="Z166" s="137">
        <v>46629</v>
      </c>
      <c r="AA166" s="137">
        <v>46629</v>
      </c>
      <c r="AB166" s="138">
        <v>1798</v>
      </c>
      <c r="AC166" s="139" t="s">
        <v>10</v>
      </c>
      <c r="AD166" s="138">
        <v>1795</v>
      </c>
      <c r="AE166" s="140">
        <v>4.9178082191780819</v>
      </c>
      <c r="AF166" s="184"/>
      <c r="AG166" s="186" t="s">
        <v>1</v>
      </c>
      <c r="AH166" s="186" t="s">
        <v>1</v>
      </c>
      <c r="AI166" s="187" t="s">
        <v>0</v>
      </c>
      <c r="AJ166" s="143" t="s">
        <v>0</v>
      </c>
      <c r="AK166" s="164" t="s">
        <v>563</v>
      </c>
      <c r="AL166" s="188" t="s">
        <v>869</v>
      </c>
      <c r="AM166" s="260"/>
      <c r="AN166" s="260"/>
      <c r="AO166" s="197" t="s">
        <v>127</v>
      </c>
      <c r="AP166" s="198" t="s">
        <v>891</v>
      </c>
      <c r="AQ166" s="260"/>
      <c r="AR166" s="260"/>
      <c r="AS166" s="261">
        <v>0</v>
      </c>
      <c r="AT166" s="261">
        <v>1377.8111174048163</v>
      </c>
      <c r="AU166" s="261" t="b">
        <v>0</v>
      </c>
      <c r="AV166" s="261"/>
      <c r="AW166" s="261">
        <v>0</v>
      </c>
      <c r="AX166" s="261">
        <v>0</v>
      </c>
      <c r="AY166" s="260"/>
      <c r="BB166" s="212">
        <v>0</v>
      </c>
      <c r="BC166" s="212">
        <v>0</v>
      </c>
      <c r="BD166" s="212">
        <v>0</v>
      </c>
      <c r="BE166" s="212">
        <v>0</v>
      </c>
      <c r="BF166" s="226"/>
      <c r="BJ166" s="112"/>
      <c r="BK166" s="112"/>
    </row>
    <row r="167" spans="1:63" ht="25.5" x14ac:dyDescent="0.2">
      <c r="A167" s="131" t="s">
        <v>868</v>
      </c>
      <c r="B167" s="132" t="s">
        <v>67</v>
      </c>
      <c r="C167" s="133" t="s">
        <v>684</v>
      </c>
      <c r="D167" s="131" t="s">
        <v>542</v>
      </c>
      <c r="E167" s="161" t="s">
        <v>127</v>
      </c>
      <c r="F167" s="14" t="s">
        <v>891</v>
      </c>
      <c r="G167" s="66" t="s">
        <v>167</v>
      </c>
      <c r="H167" s="131" t="s">
        <v>167</v>
      </c>
      <c r="I167" s="133" t="s">
        <v>677</v>
      </c>
      <c r="J167" s="66" t="s">
        <v>218</v>
      </c>
      <c r="K167" s="14" t="s">
        <v>140</v>
      </c>
      <c r="L167" s="194" t="s">
        <v>191</v>
      </c>
      <c r="M167" s="134" t="s">
        <v>59</v>
      </c>
      <c r="N167" s="167" t="s">
        <v>43</v>
      </c>
      <c r="O167" s="167" t="s">
        <v>538</v>
      </c>
      <c r="P167" s="167" t="s">
        <v>534</v>
      </c>
      <c r="Q167" s="135" t="s">
        <v>59</v>
      </c>
      <c r="R167" s="136">
        <v>11481.759311706803</v>
      </c>
      <c r="S167" s="73">
        <v>7500</v>
      </c>
      <c r="T167" s="136">
        <v>11481.759311706803</v>
      </c>
      <c r="U167" s="136">
        <v>153090.12415609069</v>
      </c>
      <c r="V167" s="136">
        <v>711359.01165015856</v>
      </c>
      <c r="W167" s="147" t="s">
        <v>11</v>
      </c>
      <c r="X167" s="185">
        <v>2.75E-2</v>
      </c>
      <c r="Y167" s="137">
        <v>44832</v>
      </c>
      <c r="Z167" s="137">
        <v>46629</v>
      </c>
      <c r="AA167" s="137">
        <v>46629</v>
      </c>
      <c r="AB167" s="138">
        <v>1798</v>
      </c>
      <c r="AC167" s="139" t="s">
        <v>10</v>
      </c>
      <c r="AD167" s="138">
        <v>1795</v>
      </c>
      <c r="AE167" s="140">
        <v>4.9178082191780819</v>
      </c>
      <c r="AF167" s="184"/>
      <c r="AG167" s="186" t="s">
        <v>1</v>
      </c>
      <c r="AH167" s="186" t="s">
        <v>1</v>
      </c>
      <c r="AI167" s="187" t="s">
        <v>0</v>
      </c>
      <c r="AJ167" s="143" t="s">
        <v>0</v>
      </c>
      <c r="AK167" s="164" t="s">
        <v>563</v>
      </c>
      <c r="AL167" s="188" t="s">
        <v>870</v>
      </c>
      <c r="AM167" s="260"/>
      <c r="AN167" s="260"/>
      <c r="AO167" s="197" t="s">
        <v>127</v>
      </c>
      <c r="AP167" s="198" t="s">
        <v>891</v>
      </c>
      <c r="AQ167" s="260"/>
      <c r="AR167" s="260"/>
      <c r="AS167" s="261">
        <v>0</v>
      </c>
      <c r="AT167" s="261">
        <v>1377.8111174048163</v>
      </c>
      <c r="AU167" s="261" t="b">
        <v>0</v>
      </c>
      <c r="AV167" s="261"/>
      <c r="AW167" s="261">
        <v>0</v>
      </c>
      <c r="AX167" s="261">
        <v>0</v>
      </c>
      <c r="AY167" s="260"/>
      <c r="BB167" s="212">
        <v>0</v>
      </c>
      <c r="BC167" s="212">
        <v>0</v>
      </c>
      <c r="BD167" s="212">
        <v>0</v>
      </c>
      <c r="BE167" s="212">
        <v>0</v>
      </c>
      <c r="BJ167" s="112"/>
      <c r="BK167" s="112"/>
    </row>
    <row r="168" spans="1:63" s="27" customFormat="1" x14ac:dyDescent="0.2">
      <c r="A168" s="129"/>
      <c r="B168" s="129"/>
      <c r="C168" s="129"/>
      <c r="D168" s="234"/>
      <c r="E168" s="129"/>
      <c r="F168" s="129"/>
      <c r="G168" s="129"/>
      <c r="H168" s="129"/>
      <c r="I168" s="129"/>
      <c r="J168" s="129"/>
      <c r="K168" s="129"/>
      <c r="L168" s="129"/>
      <c r="M168" s="129"/>
      <c r="N168" s="127"/>
      <c r="O168" s="127"/>
      <c r="P168" s="127"/>
      <c r="Q168" s="51" t="s">
        <v>428</v>
      </c>
      <c r="R168" s="50">
        <f>SUMIFS(Table12130[[#All],[Original Limit (A$)]],Table12130[[#All],[Treaty]],"HDI GS")</f>
        <v>3186950.7353951894</v>
      </c>
      <c r="S168" s="50"/>
      <c r="T168" s="50">
        <f>SUMIFS(Table12130[[#All],[Amortised Limit A$ Balance]],Table12130[[#All],[Treaty]],"HDI GS")</f>
        <v>3061100.5158149768</v>
      </c>
      <c r="U168" s="50">
        <f>SUMIFS(Table12130[[#All],[Approx. Debt /  Facilities outstanding (Bank Limit) (A$)]],Table12130[[#All],[Treaty]],"HDI GS")</f>
        <v>20698282.54153375</v>
      </c>
      <c r="V168" s="50">
        <f>SUMIFS(Table12130[[#All],[Gross Written Premium (pre-tax premium paid to HDI GS) (A$)]],Table12130[[#All],[Treaty]],"HDI GS")</f>
        <v>206309606.20513254</v>
      </c>
      <c r="W168" s="49"/>
      <c r="X168" s="183">
        <f>SUMPRODUCT(Table12130[[#All],[Facility Gross Margin]], Table12130[[#All],[Amortised Limit A$ Balance]])/SUM(Table12130[[#All],[Amortised Limit A$ Balance]])</f>
        <v>2.8600950872664451E-2</v>
      </c>
      <c r="Y168" s="48"/>
      <c r="Z168" s="48"/>
      <c r="AA168" s="48" t="s">
        <v>495</v>
      </c>
      <c r="AB168" s="189">
        <f>SUMPRODUCT(Table12130[[Original Tenor ]],Table12130[Original Limit (A$)])/R168</f>
        <v>1858.5410439612697</v>
      </c>
      <c r="AC168" s="47">
        <f>AB168/365</f>
        <v>5.0918932711267662</v>
      </c>
      <c r="AD168" s="189">
        <f>SUMPRODUCT(Table12130[Tenor Remaining Days],Table12130[Amortised Limit A$ Balance])/T168</f>
        <v>1170.5725793527774</v>
      </c>
      <c r="AE168" s="46">
        <f>AD168/365</f>
        <v>3.2070481626103491</v>
      </c>
      <c r="AF168" s="45"/>
      <c r="AG168" s="28"/>
      <c r="AH168" s="28"/>
      <c r="AI168" s="44"/>
      <c r="AJ168" s="28"/>
      <c r="AK168" s="28"/>
      <c r="AL168" s="43"/>
      <c r="AM168" s="11"/>
      <c r="AN168" s="11"/>
      <c r="AO168" s="202"/>
      <c r="AP168" s="202"/>
      <c r="AQ168" s="203">
        <f>SUBTOTAL(109,Table12130[[#All],[ICRC flag]])</f>
        <v>13</v>
      </c>
      <c r="AR168" s="11"/>
      <c r="AS168" s="204"/>
      <c r="AT168" s="204"/>
      <c r="AU168" s="204"/>
      <c r="AV168" s="11"/>
      <c r="AW168" s="205">
        <f>SUM(Table12130[Net Impact Assetinsure])</f>
        <v>14094.522089831502</v>
      </c>
      <c r="AX168" s="205">
        <f>SUM(Table12130[[#All],[Previous Period (June 2022)]])</f>
        <v>12354.294007686773</v>
      </c>
      <c r="AY168" s="203"/>
      <c r="BB168" s="212"/>
      <c r="BC168" s="212">
        <f>SUM(BC4,BC8,BC13,BC14,BC23,BC30,BC36,BC54,BC66,BC73,BC123)</f>
        <v>12354.294007686773</v>
      </c>
      <c r="BD168" s="212">
        <f>SUM(BD123,BD73,BD66,BD54,BD36,BD30,BD23,BD14,BD13,BD8,BD4)</f>
        <v>11455.979222691954</v>
      </c>
      <c r="BE168" s="226">
        <f>SUM(BE123:BE124,BE73,BE66,BE54,BE36,BE30,BE23,BE16,BE13,BE8,BE4)</f>
        <v>11092.177860270169</v>
      </c>
      <c r="BF168" s="226">
        <f>SUM(BF123:BF124,BF73,BF66,BF54,BF36,BF30,BF23,BF16,BF13,BF8,BF4)</f>
        <v>10786.569252757969</v>
      </c>
      <c r="BG168" s="226">
        <f>SUM(BG123:BG124,BG73,BG66,BG54,BG36,BG30,BG23,BG16,BG13,BG8,BG4)</f>
        <v>8683.7572418259933</v>
      </c>
      <c r="BJ168" s="112"/>
      <c r="BK168" s="112"/>
    </row>
    <row r="169" spans="1:63" s="27" customFormat="1" x14ac:dyDescent="0.2">
      <c r="A169" s="37"/>
      <c r="B169" s="37"/>
      <c r="C169" s="35"/>
      <c r="D169" s="235"/>
      <c r="E169" s="35"/>
      <c r="F169" s="28"/>
      <c r="G169" s="28"/>
      <c r="H169" s="28"/>
      <c r="I169" s="36"/>
      <c r="J169" s="28"/>
      <c r="K169" s="28"/>
      <c r="L169" s="28"/>
      <c r="M169" s="35"/>
      <c r="N169" s="28"/>
      <c r="O169" s="28"/>
      <c r="P169" s="28"/>
      <c r="Q169" s="42" t="s">
        <v>429</v>
      </c>
      <c r="R169" s="41">
        <f>SUMIFS(Table12130[[#All],[Original Limit (A$)]],Table12130[[#All],[Treaty]],"AI - Direct")</f>
        <v>577.64099999999996</v>
      </c>
      <c r="S169" s="41"/>
      <c r="T169" s="41">
        <f>SUMIFS(Table12130[[#All],[Amortised Limit A$ Balance]],Table12130[[#All],[Treaty]],"AI - DIrect")</f>
        <v>577.64099999999996</v>
      </c>
      <c r="U169" s="41">
        <f>SUMIFS(Table12130[[#All],[Approx. Debt /  Facilities outstanding (Bank Limit) (A$)]],Table12130[[#All],[Treaty]],"AI - Direct")</f>
        <v>577.64099999999996</v>
      </c>
      <c r="V169" s="41">
        <f>SUMIFS(Table12130[[#All],[Gross Written Premium (pre-tax premium paid to HDI GS) (A$)]],Table12130[[#All],[Treaty]],"AI - Direct")</f>
        <v>14441.029999999999</v>
      </c>
      <c r="W169" s="30"/>
      <c r="X169" s="30"/>
      <c r="Y169" s="30"/>
      <c r="Z169" s="28"/>
      <c r="AA169" s="40" t="s">
        <v>242</v>
      </c>
      <c r="AB169" s="38">
        <f>SUMPRODUCT($AB$35:$AB$74,$R$35:$R$74)/AB171</f>
        <v>1577.176275281229</v>
      </c>
      <c r="AC169" s="39"/>
      <c r="AD169" s="38">
        <f>SUMPRODUCT($AD$35:$AD$74,$R$35:$R$74)/AB171</f>
        <v>791.21599134349992</v>
      </c>
      <c r="AE169" s="38">
        <f>AD169/365</f>
        <v>2.167715044776712</v>
      </c>
      <c r="AF169" s="29"/>
      <c r="AG169" s="28"/>
      <c r="AH169" s="28"/>
      <c r="AI169" s="28"/>
      <c r="AJ169" s="28"/>
      <c r="AK169" s="28"/>
      <c r="AL169" s="28"/>
      <c r="AO169" s="206"/>
      <c r="AP169" s="207"/>
      <c r="AQ169" s="204"/>
      <c r="AR169" s="204"/>
      <c r="AS169" s="204"/>
      <c r="AT169" s="204"/>
      <c r="AU169" s="204"/>
      <c r="AV169" s="204"/>
      <c r="AW169" s="204"/>
      <c r="AX169" s="204"/>
      <c r="AY169" s="204"/>
      <c r="BJ169" s="112"/>
      <c r="BK169" s="112"/>
    </row>
    <row r="170" spans="1:63" x14ac:dyDescent="0.2">
      <c r="A170" s="37"/>
      <c r="B170" s="37"/>
      <c r="C170" s="35"/>
      <c r="D170" s="235"/>
      <c r="E170" s="35"/>
      <c r="F170" s="28"/>
      <c r="G170" s="28"/>
      <c r="H170" s="28"/>
      <c r="I170" s="36"/>
      <c r="J170" s="28"/>
      <c r="K170" s="28"/>
      <c r="L170" s="28"/>
      <c r="M170" s="35"/>
      <c r="N170" s="28"/>
      <c r="O170" s="28"/>
      <c r="P170" s="28"/>
      <c r="Q170" s="34" t="s">
        <v>6</v>
      </c>
      <c r="R170" s="33">
        <f>SUM(R168:R169)</f>
        <v>3187528.3763951892</v>
      </c>
      <c r="S170" s="33"/>
      <c r="T170" s="32">
        <f>SUM(T168:T169)</f>
        <v>3061678.1568149766</v>
      </c>
      <c r="U170" s="31">
        <f>SUM(U168:U169)</f>
        <v>20698860.182533748</v>
      </c>
      <c r="V170" s="31">
        <f>SUM(V168:V169)</f>
        <v>206324047.23513255</v>
      </c>
      <c r="W170" s="30"/>
      <c r="X170" s="30"/>
      <c r="Y170" s="30"/>
      <c r="Z170" s="28"/>
      <c r="AA170" s="28"/>
      <c r="AB170" s="28"/>
      <c r="AC170" s="29"/>
      <c r="AD170" s="28"/>
      <c r="AE170" s="28"/>
      <c r="AF170" s="29"/>
      <c r="AG170" s="28"/>
      <c r="AH170" s="28"/>
      <c r="AI170" s="28"/>
      <c r="AJ170" s="28"/>
      <c r="AK170" s="28"/>
      <c r="AL170" s="28"/>
      <c r="AM170" s="27"/>
      <c r="AN170" s="27"/>
      <c r="AO170" s="206"/>
      <c r="AP170" s="207"/>
      <c r="AQ170" s="204"/>
      <c r="AR170" s="204"/>
      <c r="AS170" s="204"/>
      <c r="AT170" s="204"/>
      <c r="AU170" s="204"/>
      <c r="AV170" s="204"/>
      <c r="AW170" s="204"/>
      <c r="AX170" s="204"/>
      <c r="AY170" s="204"/>
      <c r="BJ170" s="112"/>
      <c r="BK170" s="112"/>
    </row>
    <row r="171" spans="1:63" x14ac:dyDescent="0.2">
      <c r="Q171" s="160"/>
      <c r="R171" s="24"/>
      <c r="S171" s="24"/>
      <c r="T171" s="26"/>
      <c r="W171" s="23"/>
      <c r="X171" s="23"/>
      <c r="Y171" s="23"/>
      <c r="Z171" s="11"/>
      <c r="AA171" s="11" t="s">
        <v>437</v>
      </c>
      <c r="AB171" s="22">
        <v>1037868.6626063626</v>
      </c>
    </row>
    <row r="172" spans="1:63" x14ac:dyDescent="0.2">
      <c r="E172" s="11">
        <f>COUNT(Table12130[[#All],[Amortised Limit A$ Balance]])</f>
        <v>165</v>
      </c>
      <c r="I172" s="11"/>
      <c r="Q172" s="25"/>
      <c r="V172" s="24"/>
      <c r="W172" s="23"/>
      <c r="X172" s="23"/>
      <c r="Y172" s="23"/>
      <c r="Z172" s="11"/>
      <c r="AG172" s="22"/>
    </row>
    <row r="173" spans="1:63" x14ac:dyDescent="0.2">
      <c r="D173" s="12" t="s">
        <v>495</v>
      </c>
      <c r="I173" s="11"/>
      <c r="Q173" s="160"/>
      <c r="R173" s="19"/>
      <c r="S173" s="19"/>
      <c r="T173" s="19"/>
      <c r="U173" s="19"/>
      <c r="V173" s="19"/>
      <c r="W173" s="19"/>
      <c r="X173" s="19"/>
    </row>
    <row r="174" spans="1:63" x14ac:dyDescent="0.2">
      <c r="G174" s="262"/>
      <c r="I174" s="11"/>
      <c r="Q174" s="25"/>
    </row>
    <row r="175" spans="1:63" x14ac:dyDescent="0.2">
      <c r="I175" s="11"/>
      <c r="Q175" s="160"/>
    </row>
    <row r="176" spans="1:63" x14ac:dyDescent="0.2">
      <c r="I176" s="11"/>
      <c r="Q176" s="25"/>
      <c r="T176" s="19"/>
    </row>
    <row r="177" spans="9:20" x14ac:dyDescent="0.2">
      <c r="I177" s="11"/>
      <c r="Q177" s="160"/>
      <c r="T177" s="19"/>
    </row>
    <row r="178" spans="9:20" x14ac:dyDescent="0.2">
      <c r="I178" s="11"/>
      <c r="Q178" s="25"/>
      <c r="T178" s="19"/>
    </row>
    <row r="179" spans="9:20" x14ac:dyDescent="0.2">
      <c r="I179" s="11"/>
      <c r="Q179" s="268"/>
      <c r="T179" s="19"/>
    </row>
    <row r="180" spans="9:20" x14ac:dyDescent="0.2">
      <c r="I180" s="11"/>
      <c r="Q180" s="25"/>
      <c r="T180" s="19"/>
    </row>
    <row r="181" spans="9:20" x14ac:dyDescent="0.2">
      <c r="I181" s="11"/>
      <c r="Q181" s="160"/>
      <c r="T181" s="19"/>
    </row>
    <row r="182" spans="9:20" x14ac:dyDescent="0.2">
      <c r="I182" s="11"/>
      <c r="Q182" s="25"/>
      <c r="T182" s="19"/>
    </row>
    <row r="183" spans="9:20" x14ac:dyDescent="0.2">
      <c r="I183" s="11"/>
      <c r="Q183" s="160"/>
    </row>
    <row r="184" spans="9:20" x14ac:dyDescent="0.2">
      <c r="I184" s="11"/>
      <c r="Q184" s="25"/>
    </row>
    <row r="185" spans="9:20" x14ac:dyDescent="0.2">
      <c r="I185" s="11"/>
      <c r="Q185" s="160"/>
    </row>
    <row r="186" spans="9:20" x14ac:dyDescent="0.2">
      <c r="I186" s="11"/>
    </row>
    <row r="187" spans="9:20" x14ac:dyDescent="0.2">
      <c r="I187" s="11"/>
    </row>
    <row r="188" spans="9:20" x14ac:dyDescent="0.2">
      <c r="I188" s="11"/>
    </row>
    <row r="189" spans="9:20" x14ac:dyDescent="0.2">
      <c r="I189" s="11"/>
    </row>
    <row r="190" spans="9:20" x14ac:dyDescent="0.2">
      <c r="I190" s="11"/>
    </row>
    <row r="191" spans="9:20" x14ac:dyDescent="0.2">
      <c r="I191" s="11"/>
    </row>
    <row r="192" spans="9:20" x14ac:dyDescent="0.2">
      <c r="I192" s="11"/>
    </row>
  </sheetData>
  <conditionalFormatting sqref="AJ115:AJ124 AJ135:AJ158 AJ3:AJ19 AJ166 AJ22:AJ113">
    <cfRule type="containsText" dxfId="419" priority="35" operator="containsText" text="SEND NOTICE">
      <formula>NOT(ISERROR(SEARCH("SEND NOTICE",AJ3)))</formula>
    </cfRule>
  </conditionalFormatting>
  <conditionalFormatting sqref="D74:E74 N72:W72 A72:C72 C73:C74 L73 N73:P73 R75:V75 R80:V80 I72:L72 Y72:AE72 Y73:AB74 Q74:V74 A73:A75 W73:W75 R76:W79 AB75:AB79 AD73:AE80 Y75:AA80">
    <cfRule type="cellIs" dxfId="418" priority="34" operator="equal">
      <formula>#REF!</formula>
    </cfRule>
  </conditionalFormatting>
  <conditionalFormatting sqref="Q73:V73">
    <cfRule type="cellIs" dxfId="417" priority="33" operator="equal">
      <formula>#REF!</formula>
    </cfRule>
  </conditionalFormatting>
  <conditionalFormatting sqref="E72">
    <cfRule type="cellIs" dxfId="416" priority="32" operator="equal">
      <formula>#REF!</formula>
    </cfRule>
  </conditionalFormatting>
  <conditionalFormatting sqref="D72 J74 Q79">
    <cfRule type="cellIs" dxfId="415" priority="31" operator="equal">
      <formula>#REF!</formula>
    </cfRule>
  </conditionalFormatting>
  <conditionalFormatting sqref="J73">
    <cfRule type="cellIs" dxfId="414" priority="30" operator="equal">
      <formula>#REF!</formula>
    </cfRule>
  </conditionalFormatting>
  <conditionalFormatting sqref="L74">
    <cfRule type="cellIs" dxfId="413" priority="29" operator="equal">
      <formula>#REF!</formula>
    </cfRule>
  </conditionalFormatting>
  <conditionalFormatting sqref="AK21">
    <cfRule type="containsText" dxfId="412" priority="28" operator="containsText" text="SEND NOTICE">
      <formula>NOT(ISERROR(SEARCH("SEND NOTICE",AK21)))</formula>
    </cfRule>
  </conditionalFormatting>
  <conditionalFormatting sqref="AJ105">
    <cfRule type="containsText" dxfId="411" priority="27" operator="containsText" text="SEND NOTICE">
      <formula>NOT(ISERROR(SEARCH("SEND NOTICE",AJ105)))</formula>
    </cfRule>
  </conditionalFormatting>
  <conditionalFormatting sqref="AJ106:AJ108">
    <cfRule type="containsText" dxfId="410" priority="26" operator="containsText" text="SEND NOTICE">
      <formula>NOT(ISERROR(SEARCH("SEND NOTICE",AJ106)))</formula>
    </cfRule>
  </conditionalFormatting>
  <conditionalFormatting sqref="AJ106:AJ108">
    <cfRule type="containsText" dxfId="409" priority="25" operator="containsText" text="SEND NOTICE">
      <formula>NOT(ISERROR(SEARCH("SEND NOTICE",AJ106)))</formula>
    </cfRule>
  </conditionalFormatting>
  <conditionalFormatting sqref="AJ109:AJ112">
    <cfRule type="containsText" dxfId="408" priority="24" operator="containsText" text="SEND NOTICE">
      <formula>NOT(ISERROR(SEARCH("SEND NOTICE",AJ109)))</formula>
    </cfRule>
  </conditionalFormatting>
  <conditionalFormatting sqref="AJ109:AJ112">
    <cfRule type="containsText" dxfId="407" priority="23" operator="containsText" text="SEND NOTICE">
      <formula>NOT(ISERROR(SEARCH("SEND NOTICE",AJ109)))</formula>
    </cfRule>
  </conditionalFormatting>
  <conditionalFormatting sqref="AJ109:AJ112">
    <cfRule type="containsText" dxfId="406" priority="22" operator="containsText" text="SEND NOTICE">
      <formula>NOT(ISERROR(SEARCH("SEND NOTICE",AJ109)))</formula>
    </cfRule>
  </conditionalFormatting>
  <conditionalFormatting sqref="AJ113">
    <cfRule type="containsText" dxfId="405" priority="21" operator="containsText" text="SEND NOTICE">
      <formula>NOT(ISERROR(SEARCH("SEND NOTICE",AJ113)))</formula>
    </cfRule>
  </conditionalFormatting>
  <conditionalFormatting sqref="AJ113">
    <cfRule type="containsText" dxfId="404" priority="20" operator="containsText" text="SEND NOTICE">
      <formula>NOT(ISERROR(SEARCH("SEND NOTICE",AJ113)))</formula>
    </cfRule>
  </conditionalFormatting>
  <conditionalFormatting sqref="AJ113">
    <cfRule type="containsText" dxfId="403" priority="19" operator="containsText" text="SEND NOTICE">
      <formula>NOT(ISERROR(SEARCH("SEND NOTICE",AJ113)))</formula>
    </cfRule>
  </conditionalFormatting>
  <conditionalFormatting sqref="AJ113">
    <cfRule type="containsText" dxfId="402" priority="18" operator="containsText" text="SEND NOTICE">
      <formula>NOT(ISERROR(SEARCH("SEND NOTICE",AJ113)))</formula>
    </cfRule>
  </conditionalFormatting>
  <conditionalFormatting sqref="AJ114">
    <cfRule type="containsText" dxfId="401" priority="17" operator="containsText" text="SEND NOTICE">
      <formula>NOT(ISERROR(SEARCH("SEND NOTICE",AJ114)))</formula>
    </cfRule>
  </conditionalFormatting>
  <conditionalFormatting sqref="AJ21">
    <cfRule type="containsText" dxfId="400" priority="16" operator="containsText" text="SEND NOTICE">
      <formula>NOT(ISERROR(SEARCH("SEND NOTICE",AJ21)))</formula>
    </cfRule>
  </conditionalFormatting>
  <conditionalFormatting sqref="AK20">
    <cfRule type="containsText" dxfId="399" priority="15" operator="containsText" text="SEND NOTICE">
      <formula>NOT(ISERROR(SEARCH("SEND NOTICE",AK20)))</formula>
    </cfRule>
  </conditionalFormatting>
  <conditionalFormatting sqref="AJ20">
    <cfRule type="containsText" dxfId="398" priority="14" operator="containsText" text="SEND NOTICE">
      <formula>NOT(ISERROR(SEARCH("SEND NOTICE",AJ20)))</formula>
    </cfRule>
  </conditionalFormatting>
  <conditionalFormatting sqref="AJ125:AJ127">
    <cfRule type="containsText" dxfId="397" priority="13" operator="containsText" text="SEND NOTICE">
      <formula>NOT(ISERROR(SEARCH("SEND NOTICE",AJ125)))</formula>
    </cfRule>
  </conditionalFormatting>
  <conditionalFormatting sqref="AJ126">
    <cfRule type="containsText" dxfId="396" priority="12" operator="containsText" text="SEND NOTICE">
      <formula>NOT(ISERROR(SEARCH("SEND NOTICE",AJ126)))</formula>
    </cfRule>
  </conditionalFormatting>
  <conditionalFormatting sqref="AJ128">
    <cfRule type="containsText" dxfId="395" priority="11" operator="containsText" text="SEND NOTICE">
      <formula>NOT(ISERROR(SEARCH("SEND NOTICE",AJ128)))</formula>
    </cfRule>
  </conditionalFormatting>
  <conditionalFormatting sqref="AJ129">
    <cfRule type="containsText" dxfId="394" priority="10" operator="containsText" text="SEND NOTICE">
      <formula>NOT(ISERROR(SEARCH("SEND NOTICE",AJ129)))</formula>
    </cfRule>
  </conditionalFormatting>
  <conditionalFormatting sqref="AJ130:AJ134">
    <cfRule type="containsText" dxfId="393" priority="9" operator="containsText" text="SEND NOTICE">
      <formula>NOT(ISERROR(SEARCH("SEND NOTICE",AJ130)))</formula>
    </cfRule>
  </conditionalFormatting>
  <conditionalFormatting sqref="AJ159">
    <cfRule type="containsText" dxfId="392" priority="8" operator="containsText" text="SEND NOTICE">
      <formula>NOT(ISERROR(SEARCH("SEND NOTICE",AJ159)))</formula>
    </cfRule>
  </conditionalFormatting>
  <conditionalFormatting sqref="AJ160">
    <cfRule type="containsText" dxfId="391" priority="7" operator="containsText" text="SEND NOTICE">
      <formula>NOT(ISERROR(SEARCH("SEND NOTICE",AJ160)))</formula>
    </cfRule>
  </conditionalFormatting>
  <conditionalFormatting sqref="AJ161">
    <cfRule type="containsText" dxfId="390" priority="6" operator="containsText" text="SEND NOTICE">
      <formula>NOT(ISERROR(SEARCH("SEND NOTICE",AJ161)))</formula>
    </cfRule>
  </conditionalFormatting>
  <conditionalFormatting sqref="AJ162">
    <cfRule type="containsText" dxfId="389" priority="5" operator="containsText" text="SEND NOTICE">
      <formula>NOT(ISERROR(SEARCH("SEND NOTICE",AJ162)))</formula>
    </cfRule>
  </conditionalFormatting>
  <conditionalFormatting sqref="AJ163">
    <cfRule type="containsText" dxfId="388" priority="4" operator="containsText" text="SEND NOTICE">
      <formula>NOT(ISERROR(SEARCH("SEND NOTICE",AJ163)))</formula>
    </cfRule>
  </conditionalFormatting>
  <conditionalFormatting sqref="AJ164">
    <cfRule type="containsText" dxfId="387" priority="3" operator="containsText" text="SEND NOTICE">
      <formula>NOT(ISERROR(SEARCH("SEND NOTICE",AJ164)))</formula>
    </cfRule>
  </conditionalFormatting>
  <conditionalFormatting sqref="AJ165">
    <cfRule type="containsText" dxfId="386" priority="2" operator="containsText" text="SEND NOTICE">
      <formula>NOT(ISERROR(SEARCH("SEND NOTICE",AJ165)))</formula>
    </cfRule>
  </conditionalFormatting>
  <conditionalFormatting sqref="AJ167">
    <cfRule type="containsText" dxfId="385" priority="1" operator="containsText" text="SEND NOTICE">
      <formula>NOT(ISERROR(SEARCH("SEND NOTICE",AJ167)))</formula>
    </cfRule>
  </conditionalFormatting>
  <pageMargins left="0.25" right="0.25" top="0.75" bottom="0.75" header="0.3" footer="0.3"/>
  <pageSetup paperSize="9" scale="10" orientation="landscape"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E2813-0809-4AA8-98E6-71D04BDF8DF4}">
  <sheetPr codeName="Sheet31">
    <tabColor theme="9" tint="0.79998168889431442"/>
    <pageSetUpPr fitToPage="1"/>
  </sheetPr>
  <dimension ref="A1:BM202"/>
  <sheetViews>
    <sheetView topLeftCell="A2" workbookViewId="0"/>
  </sheetViews>
  <sheetFormatPr defaultColWidth="9.140625" defaultRowHeight="12.75" outlineLevelCol="1" x14ac:dyDescent="0.2"/>
  <cols>
    <col min="1" max="1" width="36.85546875" style="21" customWidth="1"/>
    <col min="2" max="2" width="8.140625" style="21" customWidth="1"/>
    <col min="3" max="3" width="14.7109375" style="11" customWidth="1"/>
    <col min="4" max="4" width="14.28515625" style="12" customWidth="1" outlineLevel="1"/>
    <col min="5" max="5" width="13.28515625" style="11" customWidth="1"/>
    <col min="6" max="6" width="25.7109375" style="11" customWidth="1"/>
    <col min="7" max="7" width="24.85546875" style="11" customWidth="1" outlineLevel="1"/>
    <col min="8" max="8" width="28.7109375" style="11" customWidth="1"/>
    <col min="9" max="9" width="30.42578125" style="21" customWidth="1"/>
    <col min="10" max="10" width="21.42578125" style="11" customWidth="1"/>
    <col min="11" max="11" width="14.5703125" style="11" customWidth="1"/>
    <col min="12" max="12" width="9.85546875" style="11" customWidth="1" outlineLevel="1"/>
    <col min="13" max="13" width="8.5703125" style="11" customWidth="1"/>
    <col min="14" max="14" width="20.5703125" style="11" customWidth="1"/>
    <col min="15" max="15" width="9" style="11" customWidth="1"/>
    <col min="16" max="16" width="11.28515625" style="11" customWidth="1"/>
    <col min="17" max="17" width="8.42578125" style="19" customWidth="1"/>
    <col min="18" max="18" width="13.85546875" style="11" customWidth="1"/>
    <col min="19" max="19" width="11.5703125" style="293" customWidth="1"/>
    <col min="20" max="20" width="14" style="11" customWidth="1"/>
    <col min="21" max="21" width="14.42578125" style="11" customWidth="1"/>
    <col min="22" max="22" width="17" style="11" customWidth="1"/>
    <col min="23" max="24" width="11.28515625" style="11" customWidth="1"/>
    <col min="25" max="25" width="12.28515625" style="11" customWidth="1"/>
    <col min="26" max="26" width="11.7109375" style="20" customWidth="1"/>
    <col min="27" max="27" width="11.42578125" style="11" customWidth="1"/>
    <col min="28" max="28" width="11.28515625" style="11" customWidth="1"/>
    <col min="29" max="29" width="8.42578125" style="19" customWidth="1"/>
    <col min="30" max="30" width="8" style="11" customWidth="1"/>
    <col min="31" max="31" width="7.5703125" style="11" customWidth="1"/>
    <col min="32" max="32" width="11.140625" style="19" customWidth="1"/>
    <col min="33" max="33" width="8.85546875" style="11" customWidth="1"/>
    <col min="34" max="34" width="8.42578125" style="11" customWidth="1"/>
    <col min="35" max="35" width="11.140625" style="11" customWidth="1"/>
    <col min="36" max="36" width="16.42578125" style="11" customWidth="1"/>
    <col min="37" max="37" width="12.28515625" style="11" customWidth="1"/>
    <col min="38" max="38" width="22.5703125" style="11" customWidth="1"/>
    <col min="39" max="39" width="9.140625" style="11" customWidth="1"/>
    <col min="40" max="40" width="10.42578125" style="11" customWidth="1"/>
    <col min="41" max="41" width="13.28515625" style="11" customWidth="1"/>
    <col min="42" max="42" width="25.7109375" style="11" customWidth="1"/>
    <col min="43" max="43" width="10.42578125" style="11" customWidth="1"/>
    <col min="44" max="50" width="13.5703125" style="11" customWidth="1"/>
    <col min="51" max="51" width="22.140625" style="11" customWidth="1"/>
    <col min="52" max="53" width="3.42578125" style="11" customWidth="1"/>
    <col min="54" max="54" width="10.42578125" style="11" customWidth="1"/>
    <col min="55" max="56" width="9.42578125" style="11" customWidth="1"/>
    <col min="57" max="57" width="10.140625" style="11" customWidth="1"/>
    <col min="58" max="61" width="9.140625" style="11" customWidth="1"/>
    <col min="62" max="62" width="21.28515625" style="11" customWidth="1"/>
    <col min="63" max="63" width="9.140625" style="11"/>
    <col min="64" max="64" width="17" style="11" customWidth="1"/>
    <col min="65" max="65" width="12.85546875" style="11" bestFit="1" customWidth="1"/>
    <col min="66" max="16384" width="9.140625" style="11"/>
  </cols>
  <sheetData>
    <row r="1" spans="1:64" hidden="1" x14ac:dyDescent="0.2">
      <c r="A1" s="126" t="e">
        <f>#REF!</f>
        <v>#REF!</v>
      </c>
      <c r="B1" s="125"/>
      <c r="C1" s="124"/>
      <c r="D1" s="233"/>
      <c r="E1" s="124"/>
      <c r="M1" s="124"/>
      <c r="AO1" s="195"/>
      <c r="AP1" s="196"/>
      <c r="AQ1" s="196"/>
      <c r="AR1" s="196"/>
      <c r="AS1" s="196"/>
      <c r="AT1" s="196"/>
      <c r="AU1" s="196"/>
      <c r="AV1" s="196"/>
      <c r="AW1" s="196"/>
      <c r="AX1" s="196"/>
      <c r="AY1" s="196"/>
      <c r="AZ1" s="196"/>
      <c r="BA1" s="196"/>
      <c r="BB1" s="196"/>
      <c r="BC1" s="196"/>
      <c r="BD1" s="196"/>
      <c r="BE1" s="196"/>
      <c r="BF1" s="196"/>
      <c r="BG1" s="196"/>
      <c r="BH1" s="196"/>
    </row>
    <row r="2" spans="1:64" s="288" customFormat="1" ht="63.75" x14ac:dyDescent="0.2">
      <c r="A2" s="279" t="s">
        <v>14</v>
      </c>
      <c r="B2" s="122" t="s">
        <v>63</v>
      </c>
      <c r="C2" s="122" t="s">
        <v>84</v>
      </c>
      <c r="D2" s="122" t="s">
        <v>468</v>
      </c>
      <c r="E2" s="122" t="s">
        <v>467</v>
      </c>
      <c r="F2" s="122" t="s">
        <v>81</v>
      </c>
      <c r="G2" s="122" t="s">
        <v>82</v>
      </c>
      <c r="H2" s="122" t="s">
        <v>83</v>
      </c>
      <c r="I2" s="122" t="s">
        <v>2</v>
      </c>
      <c r="J2" s="122" t="s">
        <v>217</v>
      </c>
      <c r="K2" s="122" t="s">
        <v>39</v>
      </c>
      <c r="L2" s="280" t="s">
        <v>5</v>
      </c>
      <c r="M2" s="281" t="s">
        <v>427</v>
      </c>
      <c r="N2" s="282" t="s">
        <v>41</v>
      </c>
      <c r="O2" s="282" t="s">
        <v>535</v>
      </c>
      <c r="P2" s="282" t="s">
        <v>536</v>
      </c>
      <c r="Q2" s="283" t="s">
        <v>403</v>
      </c>
      <c r="R2" s="284" t="s">
        <v>479</v>
      </c>
      <c r="S2" s="281" t="s">
        <v>430</v>
      </c>
      <c r="T2" s="284" t="s">
        <v>431</v>
      </c>
      <c r="U2" s="284" t="s">
        <v>783</v>
      </c>
      <c r="V2" s="284" t="s">
        <v>754</v>
      </c>
      <c r="W2" s="284" t="s">
        <v>12</v>
      </c>
      <c r="X2" s="284" t="s">
        <v>573</v>
      </c>
      <c r="Y2" s="284" t="s">
        <v>471</v>
      </c>
      <c r="Z2" s="284" t="s">
        <v>433</v>
      </c>
      <c r="AA2" s="284" t="s">
        <v>15</v>
      </c>
      <c r="AB2" s="285" t="s">
        <v>17</v>
      </c>
      <c r="AC2" s="285" t="s">
        <v>18</v>
      </c>
      <c r="AD2" s="285" t="s">
        <v>434</v>
      </c>
      <c r="AE2" s="285" t="s">
        <v>435</v>
      </c>
      <c r="AF2" s="285" t="s">
        <v>436</v>
      </c>
      <c r="AG2" s="286" t="s">
        <v>46</v>
      </c>
      <c r="AH2" s="286" t="s">
        <v>19</v>
      </c>
      <c r="AI2" s="286" t="s">
        <v>20</v>
      </c>
      <c r="AJ2" s="286" t="s">
        <v>170</v>
      </c>
      <c r="AK2" s="286" t="s">
        <v>241</v>
      </c>
      <c r="AL2" s="283" t="s">
        <v>324</v>
      </c>
      <c r="AM2" s="287" t="s">
        <v>482</v>
      </c>
      <c r="AN2" s="287" t="s">
        <v>481</v>
      </c>
      <c r="AO2" s="281" t="s">
        <v>612</v>
      </c>
      <c r="AP2" s="281" t="s">
        <v>613</v>
      </c>
      <c r="AQ2" s="306" t="s">
        <v>614</v>
      </c>
      <c r="AR2" s="306" t="s">
        <v>615</v>
      </c>
      <c r="AS2" s="287" t="s">
        <v>616</v>
      </c>
      <c r="AT2" s="287" t="s">
        <v>617</v>
      </c>
      <c r="AU2" s="287" t="s">
        <v>618</v>
      </c>
      <c r="AV2" s="306" t="s">
        <v>619</v>
      </c>
      <c r="AW2" s="307" t="s">
        <v>620</v>
      </c>
      <c r="AX2" s="287" t="s">
        <v>1125</v>
      </c>
      <c r="AY2" s="306" t="s">
        <v>623</v>
      </c>
      <c r="BB2" s="289">
        <v>44896</v>
      </c>
      <c r="BC2" s="289">
        <v>44805</v>
      </c>
      <c r="BD2" s="289">
        <v>44713</v>
      </c>
      <c r="BE2" s="289">
        <v>44621</v>
      </c>
      <c r="BF2" s="289">
        <v>44531</v>
      </c>
      <c r="BG2" s="289">
        <v>44440</v>
      </c>
      <c r="BH2" s="289">
        <v>44348</v>
      </c>
      <c r="BJ2" s="285" t="s">
        <v>893</v>
      </c>
      <c r="BL2" s="285" t="s">
        <v>898</v>
      </c>
    </row>
    <row r="3" spans="1:64" ht="39.950000000000003" customHeight="1" x14ac:dyDescent="0.2">
      <c r="A3" s="111" t="s">
        <v>25</v>
      </c>
      <c r="B3" s="65" t="s">
        <v>24</v>
      </c>
      <c r="C3" s="110" t="s">
        <v>34</v>
      </c>
      <c r="D3" s="111" t="s">
        <v>34</v>
      </c>
      <c r="E3" s="130" t="s">
        <v>34</v>
      </c>
      <c r="F3" s="14" t="s">
        <v>543</v>
      </c>
      <c r="G3" s="14" t="s">
        <v>97</v>
      </c>
      <c r="H3" s="14" t="s">
        <v>186</v>
      </c>
      <c r="I3" s="66" t="s">
        <v>26</v>
      </c>
      <c r="J3" s="66" t="s">
        <v>26</v>
      </c>
      <c r="K3" s="13" t="s">
        <v>45</v>
      </c>
      <c r="L3" s="65" t="s">
        <v>191</v>
      </c>
      <c r="M3" s="65" t="s">
        <v>323</v>
      </c>
      <c r="N3" s="65" t="s">
        <v>43</v>
      </c>
      <c r="O3" s="65" t="s">
        <v>531</v>
      </c>
      <c r="P3" s="65" t="s">
        <v>534</v>
      </c>
      <c r="Q3" s="64" t="s">
        <v>8</v>
      </c>
      <c r="R3" s="62">
        <v>10000</v>
      </c>
      <c r="S3" s="62">
        <v>5961.92</v>
      </c>
      <c r="T3" s="62">
        <f>Table12129[[#This Row],[Amortised Limit in Original Currency]]</f>
        <v>5961.92</v>
      </c>
      <c r="U3" s="62">
        <v>32395.415789999999</v>
      </c>
      <c r="V3" s="62">
        <f>658778.47+65570+58206</f>
        <v>782554.47</v>
      </c>
      <c r="W3" s="61" t="s">
        <v>11</v>
      </c>
      <c r="X3" s="181">
        <f>1%/0.6</f>
        <v>1.6666666666666666E-2</v>
      </c>
      <c r="Y3" s="105">
        <v>41884</v>
      </c>
      <c r="Z3" s="60">
        <v>44806</v>
      </c>
      <c r="AA3" s="60">
        <v>45173</v>
      </c>
      <c r="AB3" s="58">
        <f>AA3-Y3+1</f>
        <v>3290</v>
      </c>
      <c r="AC3" s="59" t="e">
        <f>IF(AA3-$A$1&gt;60,"No","Yes")</f>
        <v>#REF!</v>
      </c>
      <c r="AD3" s="58" t="e">
        <f>AA3-#REF!</f>
        <v>#REF!</v>
      </c>
      <c r="AE3" s="57" t="e">
        <f t="shared" ref="AE3:AE66" si="0">AD3/365</f>
        <v>#REF!</v>
      </c>
      <c r="AF3" s="56"/>
      <c r="AG3" s="71" t="s">
        <v>1</v>
      </c>
      <c r="AH3" s="71" t="s">
        <v>1</v>
      </c>
      <c r="AI3" s="70" t="s">
        <v>888</v>
      </c>
      <c r="AJ3" s="11" t="e">
        <f>+IF(AA3-60&lt;$A$1, "SEND NOTICE", "N/A")</f>
        <v>#REF!</v>
      </c>
      <c r="AK3" s="11" t="s">
        <v>271</v>
      </c>
      <c r="AL3" s="14" t="s">
        <v>327</v>
      </c>
      <c r="AM3" s="11">
        <v>25104.400000000001</v>
      </c>
      <c r="AN3" s="11">
        <v>45000</v>
      </c>
      <c r="AO3" s="197" t="str">
        <f>Table12129[[#This Row],[Risk Location ]]</f>
        <v>Australia</v>
      </c>
      <c r="AP3" s="198" t="str">
        <f>Table12129[[#This Row],[Sector (GICS Industry Group)]]</f>
        <v>Industrials</v>
      </c>
      <c r="AS3" s="212" t="e">
        <v>#REF!</v>
      </c>
      <c r="AT3" s="212" t="e">
        <v>#REF!</v>
      </c>
      <c r="AU3" s="212" t="e">
        <v>#REF!</v>
      </c>
      <c r="AV3" s="212"/>
      <c r="AW3" s="212" t="e">
        <v>#REF!</v>
      </c>
      <c r="AX3" s="212">
        <f t="shared" ref="AX3:AX66" si="1">+BC3</f>
        <v>0</v>
      </c>
      <c r="BB3" s="212">
        <v>0</v>
      </c>
      <c r="BC3" s="212">
        <v>0</v>
      </c>
      <c r="BD3" s="212">
        <v>0</v>
      </c>
      <c r="BE3" s="212">
        <v>0</v>
      </c>
      <c r="BG3" s="11">
        <v>0</v>
      </c>
      <c r="BJ3" s="58" t="s">
        <v>945</v>
      </c>
      <c r="BK3" s="112"/>
      <c r="BL3" s="58"/>
    </row>
    <row r="4" spans="1:64" ht="25.5" x14ac:dyDescent="0.2">
      <c r="A4" s="13" t="s">
        <v>30</v>
      </c>
      <c r="B4" s="65" t="s">
        <v>24</v>
      </c>
      <c r="C4" s="66" t="s">
        <v>34</v>
      </c>
      <c r="D4" s="14" t="s">
        <v>34</v>
      </c>
      <c r="E4" s="130" t="s">
        <v>34</v>
      </c>
      <c r="F4" s="66" t="s">
        <v>545</v>
      </c>
      <c r="G4" s="66" t="s">
        <v>85</v>
      </c>
      <c r="H4" s="66" t="s">
        <v>99</v>
      </c>
      <c r="I4" s="66" t="s">
        <v>232</v>
      </c>
      <c r="J4" s="66" t="s">
        <v>21</v>
      </c>
      <c r="K4" s="13" t="s">
        <v>139</v>
      </c>
      <c r="L4" s="65" t="s">
        <v>191</v>
      </c>
      <c r="M4" s="65" t="s">
        <v>323</v>
      </c>
      <c r="N4" s="65" t="s">
        <v>43</v>
      </c>
      <c r="O4" s="65" t="s">
        <v>538</v>
      </c>
      <c r="P4" s="65" t="s">
        <v>534</v>
      </c>
      <c r="Q4" s="64" t="s">
        <v>8</v>
      </c>
      <c r="R4" s="62">
        <v>25000</v>
      </c>
      <c r="S4" s="62">
        <v>17943.338039999999</v>
      </c>
      <c r="T4" s="62">
        <f>Table12129[[#This Row],[Amortised Limit in Original Currency]]</f>
        <v>17943.338039999999</v>
      </c>
      <c r="U4" s="62">
        <v>35886.676079999997</v>
      </c>
      <c r="V4" s="62">
        <f>2930540.94-212645+325000-509005.96+77599.4+13215</f>
        <v>2624704.38</v>
      </c>
      <c r="W4" s="61" t="s">
        <v>551</v>
      </c>
      <c r="X4" s="181">
        <v>0.05</v>
      </c>
      <c r="Y4" s="105">
        <v>42152</v>
      </c>
      <c r="Z4" s="105">
        <v>45441</v>
      </c>
      <c r="AA4" s="60">
        <f>Table12129[[#This Row],[Expiry Date]]</f>
        <v>45441</v>
      </c>
      <c r="AB4" s="58">
        <f>AA4-Y4+1</f>
        <v>3290</v>
      </c>
      <c r="AC4" s="59" t="e">
        <f>IF(AA4-$A$1&gt;60,"No","Yes")</f>
        <v>#REF!</v>
      </c>
      <c r="AD4" s="58" t="e">
        <f>AA4-#REF!</f>
        <v>#REF!</v>
      </c>
      <c r="AE4" s="57" t="e">
        <f t="shared" si="0"/>
        <v>#REF!</v>
      </c>
      <c r="AF4" s="56" t="s">
        <v>436</v>
      </c>
      <c r="AG4" s="71" t="s">
        <v>1</v>
      </c>
      <c r="AH4" s="71" t="s">
        <v>1</v>
      </c>
      <c r="AI4" s="70" t="s">
        <v>0</v>
      </c>
      <c r="AJ4" s="11" t="e">
        <f t="shared" ref="AJ4:AJ67" si="2">+IF(AA4-60&lt;$A$1, "SEND NOTICE", "N/A")</f>
        <v>#REF!</v>
      </c>
      <c r="AK4" s="11" t="s">
        <v>271</v>
      </c>
      <c r="AL4" s="13" t="s">
        <v>328</v>
      </c>
      <c r="AM4" s="11">
        <v>15700</v>
      </c>
      <c r="AN4" s="213">
        <v>50000</v>
      </c>
      <c r="AO4" s="197" t="str">
        <f>Table12129[[#This Row],[Risk Location ]]</f>
        <v>Australia</v>
      </c>
      <c r="AP4" s="198" t="str">
        <f>Table12129[[#This Row],[Sector (GICS Industry Group)]]</f>
        <v>Financials</v>
      </c>
      <c r="AQ4" s="199">
        <v>1</v>
      </c>
      <c r="AR4" s="214">
        <v>0.05</v>
      </c>
      <c r="AS4" s="212" t="e">
        <v>#REF!</v>
      </c>
      <c r="AT4" s="212" t="e">
        <v>#REF!</v>
      </c>
      <c r="AU4" s="212" t="e">
        <v>#REF!</v>
      </c>
      <c r="AV4" s="212"/>
      <c r="AW4" s="212" t="e">
        <v>#REF!</v>
      </c>
      <c r="AX4" s="212">
        <f t="shared" si="1"/>
        <v>477.5</v>
      </c>
      <c r="AY4" s="12"/>
      <c r="BB4" s="212">
        <v>897.16690199999994</v>
      </c>
      <c r="BC4" s="212">
        <v>477.5</v>
      </c>
      <c r="BD4" s="212">
        <v>477.5</v>
      </c>
      <c r="BE4" s="212">
        <v>477.5</v>
      </c>
      <c r="BF4" s="212">
        <v>1134.7452000000001</v>
      </c>
      <c r="BG4" s="226">
        <v>1134.7452000000001</v>
      </c>
      <c r="BH4" s="226">
        <v>1134.7452000000001</v>
      </c>
      <c r="BJ4" s="58" t="s">
        <v>926</v>
      </c>
      <c r="BK4" s="112"/>
      <c r="BL4" s="58"/>
    </row>
    <row r="5" spans="1:64" ht="39.950000000000003" customHeight="1" x14ac:dyDescent="0.2">
      <c r="A5" s="131" t="s">
        <v>31</v>
      </c>
      <c r="B5" s="65" t="s">
        <v>23</v>
      </c>
      <c r="C5" s="66" t="s">
        <v>34</v>
      </c>
      <c r="D5" s="14" t="s">
        <v>34</v>
      </c>
      <c r="E5" s="130" t="s">
        <v>34</v>
      </c>
      <c r="F5" s="66" t="s">
        <v>106</v>
      </c>
      <c r="G5" s="66" t="s">
        <v>106</v>
      </c>
      <c r="H5" s="66" t="s">
        <v>129</v>
      </c>
      <c r="I5" s="66" t="s">
        <v>3</v>
      </c>
      <c r="J5" s="66" t="s">
        <v>3</v>
      </c>
      <c r="K5" s="13" t="s">
        <v>13</v>
      </c>
      <c r="L5" s="65" t="s">
        <v>191</v>
      </c>
      <c r="M5" s="65" t="s">
        <v>323</v>
      </c>
      <c r="N5" s="13" t="s">
        <v>42</v>
      </c>
      <c r="O5" s="13" t="s">
        <v>538</v>
      </c>
      <c r="P5" s="13" t="s">
        <v>532</v>
      </c>
      <c r="Q5" s="64" t="s">
        <v>8</v>
      </c>
      <c r="R5" s="62">
        <v>18000</v>
      </c>
      <c r="S5" s="62">
        <f>200</f>
        <v>200</v>
      </c>
      <c r="T5" s="150">
        <f>Table12129[[#This Row],[Amortised Limit in Original Currency]]</f>
        <v>200</v>
      </c>
      <c r="U5" s="62">
        <f>T5</f>
        <v>200</v>
      </c>
      <c r="V5" s="62">
        <f>1632482+(50139.05/1.07)+214327.63+0+661828+161338</f>
        <v>2716834.5552336448</v>
      </c>
      <c r="W5" s="61" t="s">
        <v>11</v>
      </c>
      <c r="X5" s="181">
        <v>2.75E-2</v>
      </c>
      <c r="Y5" s="60">
        <v>42339</v>
      </c>
      <c r="Z5" s="105">
        <v>43465</v>
      </c>
      <c r="AA5" s="105">
        <v>44946</v>
      </c>
      <c r="AB5" s="58">
        <f>AA5-Y5+1</f>
        <v>2608</v>
      </c>
      <c r="AC5" s="59" t="e">
        <f>IF(AA5-$A$1&gt;60,"No","Yes")</f>
        <v>#REF!</v>
      </c>
      <c r="AD5" s="58" t="e">
        <f>AA5-#REF!</f>
        <v>#REF!</v>
      </c>
      <c r="AE5" s="57" t="e">
        <f t="shared" si="0"/>
        <v>#REF!</v>
      </c>
      <c r="AF5" s="56"/>
      <c r="AG5" s="152" t="s">
        <v>1</v>
      </c>
      <c r="AH5" s="152" t="s">
        <v>1</v>
      </c>
      <c r="AI5" s="153" t="s">
        <v>880</v>
      </c>
      <c r="AJ5" s="11" t="e">
        <f>+IF(AA5-60&lt;$A$1, "SEND NOTICE", "N/A")</f>
        <v>#REF!</v>
      </c>
      <c r="AK5" s="11" t="s">
        <v>271</v>
      </c>
      <c r="AL5" s="14" t="s">
        <v>329</v>
      </c>
      <c r="AM5" s="11">
        <v>13812.1</v>
      </c>
      <c r="AO5" s="197" t="str">
        <f>Table12129[[#This Row],[Risk Location ]]</f>
        <v>Australia</v>
      </c>
      <c r="AP5" s="198" t="str">
        <f>Table12129[[#This Row],[Sector (GICS Industry Group)]]</f>
        <v>Real Estate Management &amp; Development</v>
      </c>
      <c r="AS5" s="212" t="e">
        <v>#REF!</v>
      </c>
      <c r="AT5" s="212" t="e">
        <v>#REF!</v>
      </c>
      <c r="AU5" s="212" t="e">
        <v>#REF!</v>
      </c>
      <c r="AV5" s="212"/>
      <c r="AW5" s="212" t="e">
        <v>#REF!</v>
      </c>
      <c r="AX5" s="212">
        <f t="shared" si="1"/>
        <v>0</v>
      </c>
      <c r="BB5" s="212">
        <v>0</v>
      </c>
      <c r="BC5" s="212">
        <v>0</v>
      </c>
      <c r="BD5" s="212">
        <v>0</v>
      </c>
      <c r="BE5" s="212">
        <v>0</v>
      </c>
      <c r="BF5" s="212">
        <v>0</v>
      </c>
      <c r="BG5" s="226">
        <v>0</v>
      </c>
      <c r="BH5" s="226"/>
      <c r="BJ5" s="58" t="s">
        <v>946</v>
      </c>
      <c r="BK5" s="112"/>
      <c r="BL5" s="58" t="s">
        <v>477</v>
      </c>
    </row>
    <row r="6" spans="1:64" ht="39.950000000000003" customHeight="1" x14ac:dyDescent="0.2">
      <c r="A6" s="13" t="s">
        <v>62</v>
      </c>
      <c r="B6" s="65" t="s">
        <v>24</v>
      </c>
      <c r="C6" s="66" t="s">
        <v>37</v>
      </c>
      <c r="D6" s="14" t="s">
        <v>540</v>
      </c>
      <c r="E6" s="77" t="s">
        <v>90</v>
      </c>
      <c r="F6" s="14" t="s">
        <v>102</v>
      </c>
      <c r="G6" s="14" t="s">
        <v>102</v>
      </c>
      <c r="H6" s="66" t="s">
        <v>110</v>
      </c>
      <c r="I6" s="66" t="s">
        <v>55</v>
      </c>
      <c r="J6" s="66" t="s">
        <v>218</v>
      </c>
      <c r="K6" s="13" t="s">
        <v>101</v>
      </c>
      <c r="L6" s="65" t="s">
        <v>191</v>
      </c>
      <c r="M6" s="13" t="s">
        <v>323</v>
      </c>
      <c r="N6" s="13" t="s">
        <v>43</v>
      </c>
      <c r="O6" s="13" t="s">
        <v>531</v>
      </c>
      <c r="P6" s="65" t="s">
        <v>534</v>
      </c>
      <c r="Q6" s="64" t="s">
        <v>59</v>
      </c>
      <c r="R6" s="62" t="e">
        <f>20000/EUR</f>
        <v>#REF!</v>
      </c>
      <c r="S6" s="62" t="e">
        <f>T6*EUR</f>
        <v>#REF!</v>
      </c>
      <c r="T6" s="62" t="e">
        <f>16680/EUR</f>
        <v>#REF!</v>
      </c>
      <c r="U6" s="62" t="e">
        <f>83400/EUR</f>
        <v>#REF!</v>
      </c>
      <c r="V6" s="62" t="e">
        <f>1407939/EUR</f>
        <v>#REF!</v>
      </c>
      <c r="W6" s="61" t="s">
        <v>11</v>
      </c>
      <c r="X6" s="181">
        <f>1.33%/0.6</f>
        <v>2.2166666666666668E-2</v>
      </c>
      <c r="Y6" s="60">
        <v>42879</v>
      </c>
      <c r="Z6" s="105">
        <v>45084</v>
      </c>
      <c r="AA6" s="105">
        <v>45084</v>
      </c>
      <c r="AB6" s="58">
        <f>AA6-Y6+1</f>
        <v>2206</v>
      </c>
      <c r="AC6" s="59" t="e">
        <f>IF(AA6-$A$1&gt;60,"No","Yes")</f>
        <v>#REF!</v>
      </c>
      <c r="AD6" s="58" t="e">
        <f>AA6-#REF!</f>
        <v>#REF!</v>
      </c>
      <c r="AE6" s="57" t="e">
        <f t="shared" si="0"/>
        <v>#REF!</v>
      </c>
      <c r="AF6" s="56"/>
      <c r="AG6" s="71" t="s">
        <v>1</v>
      </c>
      <c r="AH6" s="71" t="s">
        <v>1</v>
      </c>
      <c r="AI6" s="70" t="s">
        <v>0</v>
      </c>
      <c r="AJ6" s="11" t="e">
        <f t="shared" si="2"/>
        <v>#REF!</v>
      </c>
      <c r="AK6" s="11" t="s">
        <v>271</v>
      </c>
      <c r="AL6" s="13" t="s">
        <v>331</v>
      </c>
      <c r="AM6" s="11">
        <v>10000</v>
      </c>
      <c r="AN6" s="11">
        <v>120000</v>
      </c>
      <c r="AO6" s="197" t="str">
        <f>Table12129[[#This Row],[Risk Location ]]</f>
        <v>Tahiti</v>
      </c>
      <c r="AP6" s="198" t="str">
        <f>Table12129[[#This Row],[Sector (GICS Industry Group)]]</f>
        <v>Real Estate Investment</v>
      </c>
      <c r="AS6" s="212" t="e">
        <v>#REF!</v>
      </c>
      <c r="AT6" s="212" t="e">
        <v>#REF!</v>
      </c>
      <c r="AU6" s="212" t="e">
        <v>#REF!</v>
      </c>
      <c r="AV6" s="212"/>
      <c r="AW6" s="212" t="e">
        <v>#REF!</v>
      </c>
      <c r="AX6" s="212">
        <f t="shared" si="1"/>
        <v>0</v>
      </c>
      <c r="BB6" s="212">
        <v>0</v>
      </c>
      <c r="BC6" s="212">
        <v>0</v>
      </c>
      <c r="BD6" s="212">
        <v>0</v>
      </c>
      <c r="BE6" s="212">
        <v>0</v>
      </c>
      <c r="BF6" s="212">
        <v>0</v>
      </c>
      <c r="BG6" s="226">
        <v>0</v>
      </c>
      <c r="BH6" s="226"/>
      <c r="BJ6" s="58" t="s">
        <v>947</v>
      </c>
      <c r="BK6" s="112"/>
      <c r="BL6" s="58"/>
    </row>
    <row r="7" spans="1:64" ht="39.950000000000003" customHeight="1" x14ac:dyDescent="0.2">
      <c r="A7" s="269" t="s">
        <v>65</v>
      </c>
      <c r="B7" s="65" t="s">
        <v>24</v>
      </c>
      <c r="C7" s="66" t="s">
        <v>38</v>
      </c>
      <c r="D7" s="14" t="s">
        <v>540</v>
      </c>
      <c r="E7" s="130" t="s">
        <v>35</v>
      </c>
      <c r="F7" s="66" t="s">
        <v>106</v>
      </c>
      <c r="G7" s="66" t="s">
        <v>106</v>
      </c>
      <c r="H7" s="66" t="s">
        <v>107</v>
      </c>
      <c r="I7" s="14" t="s">
        <v>300</v>
      </c>
      <c r="J7" s="66" t="s">
        <v>218</v>
      </c>
      <c r="K7" s="13" t="s">
        <v>101</v>
      </c>
      <c r="L7" s="65" t="s">
        <v>191</v>
      </c>
      <c r="M7" s="13" t="s">
        <v>323</v>
      </c>
      <c r="N7" s="65" t="s">
        <v>43</v>
      </c>
      <c r="O7" s="65" t="s">
        <v>531</v>
      </c>
      <c r="P7" s="65" t="s">
        <v>534</v>
      </c>
      <c r="Q7" s="64" t="s">
        <v>66</v>
      </c>
      <c r="R7" s="73" t="e">
        <f>1000000/INR</f>
        <v>#REF!</v>
      </c>
      <c r="S7" s="62">
        <v>1000000</v>
      </c>
      <c r="T7" s="150" t="e">
        <f>Table12129[[#This Row],[Amortised Limit in Original Currency]]/INR</f>
        <v>#REF!</v>
      </c>
      <c r="U7" s="62" t="e">
        <f>(6000000*(1-(25/975)))/INR</f>
        <v>#REF!</v>
      </c>
      <c r="V7" s="150" t="e">
        <f>139692988/INR</f>
        <v>#REF!</v>
      </c>
      <c r="W7" s="106" t="s">
        <v>551</v>
      </c>
      <c r="X7" s="181">
        <f>3.55%/0.6</f>
        <v>5.9166666666666666E-2</v>
      </c>
      <c r="Y7" s="105">
        <v>43013</v>
      </c>
      <c r="Z7" s="60">
        <v>44839</v>
      </c>
      <c r="AA7" s="60">
        <v>44846</v>
      </c>
      <c r="AB7" s="58">
        <f>AA7-Y7</f>
        <v>1833</v>
      </c>
      <c r="AC7" s="59" t="s">
        <v>10</v>
      </c>
      <c r="AD7" s="58" t="e">
        <f>AA7-#REF!</f>
        <v>#REF!</v>
      </c>
      <c r="AE7" s="57" t="e">
        <f t="shared" si="0"/>
        <v>#REF!</v>
      </c>
      <c r="AF7" s="56"/>
      <c r="AG7" s="71" t="s">
        <v>1</v>
      </c>
      <c r="AH7" s="71" t="s">
        <v>1</v>
      </c>
      <c r="AI7" s="70" t="s">
        <v>886</v>
      </c>
      <c r="AJ7" s="11" t="e">
        <f t="shared" si="2"/>
        <v>#REF!</v>
      </c>
      <c r="AK7" s="11" t="s">
        <v>271</v>
      </c>
      <c r="AL7" s="13" t="s">
        <v>333</v>
      </c>
      <c r="AM7" s="11">
        <f>27272.73+950 +3100+1300+17600</f>
        <v>50222.729999999996</v>
      </c>
      <c r="AO7" s="197" t="str">
        <f>Table12129[[#This Row],[Risk Location ]]</f>
        <v>India</v>
      </c>
      <c r="AP7" s="198" t="str">
        <f>Table12129[[#This Row],[Sector (GICS Industry Group)]]</f>
        <v>Real Estate Management &amp; Development</v>
      </c>
      <c r="AQ7" s="11">
        <v>1</v>
      </c>
      <c r="AR7" s="214">
        <v>0</v>
      </c>
      <c r="AS7" s="212" t="e">
        <v>#REF!</v>
      </c>
      <c r="AT7" s="212" t="e">
        <v>#REF!</v>
      </c>
      <c r="AU7" s="212" t="e">
        <v>#REF!</v>
      </c>
      <c r="AV7" s="212"/>
      <c r="AW7" s="212" t="e">
        <v>#REF!</v>
      </c>
      <c r="AX7" s="212">
        <f t="shared" si="1"/>
        <v>2279.8951248242579</v>
      </c>
      <c r="AY7" s="12" t="s">
        <v>1127</v>
      </c>
      <c r="BB7" s="212">
        <v>0</v>
      </c>
      <c r="BC7" s="212">
        <v>2279.8951248242579</v>
      </c>
      <c r="BD7" s="212">
        <v>2225.4367419606097</v>
      </c>
      <c r="BE7" s="212">
        <v>2116.5141012751997</v>
      </c>
      <c r="BF7" s="212">
        <v>1404.4154822762766</v>
      </c>
      <c r="BG7" s="226">
        <v>983.09083759339376</v>
      </c>
      <c r="BH7" s="226">
        <v>605.7781919850886</v>
      </c>
      <c r="BJ7" s="58" t="s">
        <v>948</v>
      </c>
      <c r="BK7" s="112"/>
      <c r="BL7" s="58" t="s">
        <v>476</v>
      </c>
    </row>
    <row r="8" spans="1:64" ht="39.950000000000003" customHeight="1" x14ac:dyDescent="0.2">
      <c r="A8" s="14" t="s">
        <v>207</v>
      </c>
      <c r="B8" s="65" t="s">
        <v>51</v>
      </c>
      <c r="C8" s="66" t="s">
        <v>127</v>
      </c>
      <c r="D8" s="14" t="s">
        <v>542</v>
      </c>
      <c r="E8" s="130" t="s">
        <v>127</v>
      </c>
      <c r="F8" s="14" t="s">
        <v>102</v>
      </c>
      <c r="G8" s="14" t="s">
        <v>102</v>
      </c>
      <c r="H8" s="66" t="s">
        <v>122</v>
      </c>
      <c r="I8" s="14" t="s">
        <v>158</v>
      </c>
      <c r="J8" s="66" t="s">
        <v>220</v>
      </c>
      <c r="K8" s="13" t="s">
        <v>101</v>
      </c>
      <c r="L8" s="65" t="s">
        <v>191</v>
      </c>
      <c r="M8" s="65" t="s">
        <v>59</v>
      </c>
      <c r="N8" s="65" t="s">
        <v>43</v>
      </c>
      <c r="O8" s="65" t="s">
        <v>533</v>
      </c>
      <c r="P8" s="65" t="s">
        <v>534</v>
      </c>
      <c r="Q8" s="64" t="s">
        <v>59</v>
      </c>
      <c r="R8" s="62" t="e">
        <f>20000/EUR</f>
        <v>#REF!</v>
      </c>
      <c r="S8" s="62" t="e">
        <f>T8*EUR</f>
        <v>#REF!</v>
      </c>
      <c r="T8" s="62" t="e">
        <f>+R8</f>
        <v>#REF!</v>
      </c>
      <c r="U8" s="62" t="e">
        <f>175000/EUR</f>
        <v>#REF!</v>
      </c>
      <c r="V8" s="62" t="e">
        <f>1525333/EUR</f>
        <v>#REF!</v>
      </c>
      <c r="W8" s="61" t="s">
        <v>551</v>
      </c>
      <c r="X8" s="181">
        <v>0.01</v>
      </c>
      <c r="Y8" s="105">
        <v>43070</v>
      </c>
      <c r="Z8" s="60">
        <v>46689</v>
      </c>
      <c r="AA8" s="60">
        <f>Z8</f>
        <v>46689</v>
      </c>
      <c r="AB8" s="58">
        <f t="shared" ref="AB8:AB71" si="3">AA8-Y8+1</f>
        <v>3620</v>
      </c>
      <c r="AC8" s="59" t="e">
        <f t="shared" ref="AC8:AC16" si="4">IF(AA8-$A$1&gt;60,"No","Yes")</f>
        <v>#REF!</v>
      </c>
      <c r="AD8" s="58" t="e">
        <f>AA8-#REF!</f>
        <v>#REF!</v>
      </c>
      <c r="AE8" s="57" t="e">
        <f t="shared" si="0"/>
        <v>#REF!</v>
      </c>
      <c r="AF8" s="56"/>
      <c r="AG8" s="71" t="s">
        <v>1</v>
      </c>
      <c r="AH8" s="71" t="s">
        <v>1</v>
      </c>
      <c r="AI8" s="70" t="s">
        <v>0</v>
      </c>
      <c r="AJ8" s="11" t="e">
        <f t="shared" si="2"/>
        <v>#REF!</v>
      </c>
      <c r="AK8" s="11" t="s">
        <v>271</v>
      </c>
      <c r="AL8" s="14" t="s">
        <v>334</v>
      </c>
      <c r="AM8" s="11">
        <v>16300</v>
      </c>
      <c r="AO8" s="197" t="str">
        <f>Table12129[[#This Row],[Risk Location ]]</f>
        <v>Germany</v>
      </c>
      <c r="AP8" s="198" t="str">
        <f>Table12129[[#This Row],[Sector (GICS Industry Group)]]</f>
        <v>Real Estate Investment</v>
      </c>
      <c r="AS8" s="212" t="e">
        <v>#REF!</v>
      </c>
      <c r="AT8" s="212" t="e">
        <v>#REF!</v>
      </c>
      <c r="AU8" s="212" t="e">
        <v>#REF!</v>
      </c>
      <c r="AV8" s="212"/>
      <c r="AW8" s="212" t="e">
        <v>#REF!</v>
      </c>
      <c r="AX8" s="212">
        <f t="shared" si="1"/>
        <v>0</v>
      </c>
      <c r="BB8" s="212">
        <v>0</v>
      </c>
      <c r="BC8" s="212">
        <v>0</v>
      </c>
      <c r="BD8" s="212">
        <v>0</v>
      </c>
      <c r="BE8" s="212">
        <v>0</v>
      </c>
      <c r="BF8" s="212">
        <v>0</v>
      </c>
      <c r="BG8" s="226">
        <v>0</v>
      </c>
      <c r="BH8" s="226"/>
      <c r="BJ8" s="58" t="s">
        <v>949</v>
      </c>
      <c r="BK8" s="112"/>
      <c r="BL8" s="58" t="s">
        <v>476</v>
      </c>
    </row>
    <row r="9" spans="1:64" ht="39.950000000000003" customHeight="1" x14ac:dyDescent="0.2">
      <c r="A9" s="14" t="s">
        <v>69</v>
      </c>
      <c r="B9" s="65" t="s">
        <v>23</v>
      </c>
      <c r="C9" s="66" t="s">
        <v>47</v>
      </c>
      <c r="D9" s="14" t="s">
        <v>469</v>
      </c>
      <c r="E9" s="77" t="s">
        <v>128</v>
      </c>
      <c r="F9" s="14" t="s">
        <v>48</v>
      </c>
      <c r="G9" s="14" t="s">
        <v>95</v>
      </c>
      <c r="H9" s="130" t="s">
        <v>447</v>
      </c>
      <c r="I9" s="14" t="s">
        <v>32</v>
      </c>
      <c r="J9" s="14" t="s">
        <v>33</v>
      </c>
      <c r="K9" s="13" t="s">
        <v>140</v>
      </c>
      <c r="L9" s="65" t="s">
        <v>191</v>
      </c>
      <c r="M9" s="13" t="s">
        <v>323</v>
      </c>
      <c r="N9" s="13" t="s">
        <v>43</v>
      </c>
      <c r="O9" s="13" t="s">
        <v>533</v>
      </c>
      <c r="P9" s="65" t="s">
        <v>534</v>
      </c>
      <c r="Q9" s="64" t="s">
        <v>9</v>
      </c>
      <c r="R9" s="62" t="e">
        <f>20000/USD</f>
        <v>#REF!</v>
      </c>
      <c r="S9" s="62">
        <v>8330.3070000000007</v>
      </c>
      <c r="T9" s="150" t="e">
        <f>Table12129[[#This Row],[Amortised Limit in Original Currency]]/USD</f>
        <v>#REF!</v>
      </c>
      <c r="U9" s="62" t="e">
        <f>131750/USD</f>
        <v>#REF!</v>
      </c>
      <c r="V9" s="150" t="e">
        <f>(1455218.02-256759.86)*0.85/USD</f>
        <v>#REF!</v>
      </c>
      <c r="W9" s="61" t="s">
        <v>11</v>
      </c>
      <c r="X9" s="181">
        <f>1.19%/0.6</f>
        <v>1.9833333333333331E-2</v>
      </c>
      <c r="Y9" s="60">
        <v>43076</v>
      </c>
      <c r="Z9" s="60">
        <v>46751</v>
      </c>
      <c r="AA9" s="60">
        <f>Z9</f>
        <v>46751</v>
      </c>
      <c r="AB9" s="58">
        <f t="shared" si="3"/>
        <v>3676</v>
      </c>
      <c r="AC9" s="59" t="e">
        <f t="shared" si="4"/>
        <v>#REF!</v>
      </c>
      <c r="AD9" s="58" t="e">
        <f>AA9-#REF!</f>
        <v>#REF!</v>
      </c>
      <c r="AE9" s="57" t="e">
        <f t="shared" si="0"/>
        <v>#REF!</v>
      </c>
      <c r="AF9" s="56"/>
      <c r="AG9" s="71" t="s">
        <v>1</v>
      </c>
      <c r="AH9" s="71" t="s">
        <v>1</v>
      </c>
      <c r="AI9" s="70" t="s">
        <v>569</v>
      </c>
      <c r="AJ9" s="11" t="e">
        <f t="shared" si="2"/>
        <v>#REF!</v>
      </c>
      <c r="AK9" s="11" t="s">
        <v>271</v>
      </c>
      <c r="AL9" s="14" t="s">
        <v>326</v>
      </c>
      <c r="AM9" s="11">
        <v>8817.5</v>
      </c>
      <c r="AO9" s="197" t="str">
        <f>Table12129[[#This Row],[Risk Location ]]</f>
        <v>Angola</v>
      </c>
      <c r="AP9" s="198" t="str">
        <f>Table12129[[#This Row],[Sector (GICS Industry Group)]]</f>
        <v>Energy</v>
      </c>
      <c r="AS9" s="212" t="e">
        <v>#REF!</v>
      </c>
      <c r="AT9" s="212" t="e">
        <v>#REF!</v>
      </c>
      <c r="AU9" s="212" t="e">
        <v>#REF!</v>
      </c>
      <c r="AV9" s="212"/>
      <c r="AW9" s="212" t="e">
        <v>#REF!</v>
      </c>
      <c r="AX9" s="212">
        <f t="shared" si="1"/>
        <v>0</v>
      </c>
      <c r="BB9" s="212">
        <v>0</v>
      </c>
      <c r="BC9" s="212">
        <v>0</v>
      </c>
      <c r="BD9" s="212">
        <v>0</v>
      </c>
      <c r="BE9" s="212">
        <v>0</v>
      </c>
      <c r="BF9" s="212">
        <v>0</v>
      </c>
      <c r="BG9" s="226">
        <v>0</v>
      </c>
      <c r="BH9" s="226"/>
      <c r="BJ9" s="58" t="s">
        <v>950</v>
      </c>
      <c r="BK9" s="112"/>
      <c r="BL9" s="58" t="s">
        <v>476</v>
      </c>
    </row>
    <row r="10" spans="1:64" ht="39.950000000000003" customHeight="1" x14ac:dyDescent="0.2">
      <c r="A10" s="14" t="s">
        <v>438</v>
      </c>
      <c r="B10" s="65" t="s">
        <v>67</v>
      </c>
      <c r="C10" s="66" t="s">
        <v>87</v>
      </c>
      <c r="D10" s="14" t="s">
        <v>542</v>
      </c>
      <c r="E10" s="77" t="s">
        <v>87</v>
      </c>
      <c r="F10" s="14" t="s">
        <v>102</v>
      </c>
      <c r="G10" s="14" t="s">
        <v>102</v>
      </c>
      <c r="H10" s="66" t="s">
        <v>122</v>
      </c>
      <c r="I10" s="14" t="s">
        <v>78</v>
      </c>
      <c r="J10" s="14" t="s">
        <v>219</v>
      </c>
      <c r="K10" s="13" t="s">
        <v>101</v>
      </c>
      <c r="L10" s="65" t="s">
        <v>191</v>
      </c>
      <c r="M10" s="13" t="s">
        <v>59</v>
      </c>
      <c r="N10" s="13" t="s">
        <v>43</v>
      </c>
      <c r="O10" s="13" t="s">
        <v>538</v>
      </c>
      <c r="P10" s="65" t="s">
        <v>534</v>
      </c>
      <c r="Q10" s="64" t="s">
        <v>156</v>
      </c>
      <c r="R10" s="62" t="e">
        <f>15000/GBP</f>
        <v>#REF!</v>
      </c>
      <c r="S10" s="62">
        <v>15000</v>
      </c>
      <c r="T10" s="79" t="e">
        <f>15000/GBP</f>
        <v>#REF!</v>
      </c>
      <c r="U10" s="62" t="e">
        <f>34000/GBP</f>
        <v>#REF!</v>
      </c>
      <c r="V10" s="76" t="e">
        <f>900279.17/GBP</f>
        <v>#REF!</v>
      </c>
      <c r="W10" s="61" t="s">
        <v>11</v>
      </c>
      <c r="X10" s="181">
        <v>1.8499999999999999E-2</v>
      </c>
      <c r="Y10" s="60">
        <v>43228</v>
      </c>
      <c r="Z10" s="60">
        <v>45054</v>
      </c>
      <c r="AA10" s="60">
        <v>45054</v>
      </c>
      <c r="AB10" s="58">
        <f t="shared" si="3"/>
        <v>1827</v>
      </c>
      <c r="AC10" s="84" t="e">
        <f t="shared" si="4"/>
        <v>#REF!</v>
      </c>
      <c r="AD10" s="58" t="e">
        <f>AA10-#REF!</f>
        <v>#REF!</v>
      </c>
      <c r="AE10" s="57" t="e">
        <f t="shared" si="0"/>
        <v>#REF!</v>
      </c>
      <c r="AF10" s="56"/>
      <c r="AG10" s="71" t="s">
        <v>1</v>
      </c>
      <c r="AH10" s="71" t="s">
        <v>1</v>
      </c>
      <c r="AI10" s="70" t="s">
        <v>0</v>
      </c>
      <c r="AJ10" s="11" t="e">
        <f t="shared" si="2"/>
        <v>#REF!</v>
      </c>
      <c r="AK10" s="11" t="s">
        <v>271</v>
      </c>
      <c r="AL10" s="14" t="s">
        <v>340</v>
      </c>
      <c r="AM10" s="11">
        <v>6427.5</v>
      </c>
      <c r="AO10" s="197" t="str">
        <f>Table12129[[#This Row],[Risk Location ]]</f>
        <v>United Kingdom</v>
      </c>
      <c r="AP10" s="198" t="str">
        <f>Table12129[[#This Row],[Sector (GICS Industry Group)]]</f>
        <v>Real Estate Investment</v>
      </c>
      <c r="AS10" s="212" t="e">
        <v>#REF!</v>
      </c>
      <c r="AT10" s="212" t="e">
        <v>#REF!</v>
      </c>
      <c r="AU10" s="212" t="e">
        <v>#REF!</v>
      </c>
      <c r="AV10" s="212"/>
      <c r="AW10" s="212" t="e">
        <v>#REF!</v>
      </c>
      <c r="AX10" s="212">
        <f t="shared" si="1"/>
        <v>0</v>
      </c>
      <c r="BB10" s="212">
        <v>0</v>
      </c>
      <c r="BC10" s="212">
        <v>0</v>
      </c>
      <c r="BD10" s="212">
        <v>0</v>
      </c>
      <c r="BE10" s="212">
        <v>0</v>
      </c>
      <c r="BF10" s="212">
        <v>0</v>
      </c>
      <c r="BG10" s="226">
        <v>0</v>
      </c>
      <c r="BH10" s="226"/>
      <c r="BJ10" s="58" t="s">
        <v>951</v>
      </c>
      <c r="BK10" s="112"/>
      <c r="BL10" s="58" t="s">
        <v>476</v>
      </c>
    </row>
    <row r="11" spans="1:64" ht="39.950000000000003" customHeight="1" x14ac:dyDescent="0.2">
      <c r="A11" s="13" t="s">
        <v>144</v>
      </c>
      <c r="B11" s="65" t="s">
        <v>23</v>
      </c>
      <c r="C11" s="66" t="s">
        <v>166</v>
      </c>
      <c r="D11" s="14" t="s">
        <v>540</v>
      </c>
      <c r="E11" s="161" t="s">
        <v>36</v>
      </c>
      <c r="F11" s="14" t="s">
        <v>92</v>
      </c>
      <c r="G11" s="14" t="s">
        <v>100</v>
      </c>
      <c r="H11" s="66" t="s">
        <v>100</v>
      </c>
      <c r="I11" s="14" t="s">
        <v>145</v>
      </c>
      <c r="J11" s="66" t="s">
        <v>221</v>
      </c>
      <c r="K11" s="14" t="s">
        <v>44</v>
      </c>
      <c r="L11" s="65" t="s">
        <v>191</v>
      </c>
      <c r="M11" s="13" t="s">
        <v>59</v>
      </c>
      <c r="N11" s="13" t="s">
        <v>43</v>
      </c>
      <c r="O11" s="13" t="s">
        <v>533</v>
      </c>
      <c r="P11" s="65" t="s">
        <v>534</v>
      </c>
      <c r="Q11" s="64" t="s">
        <v>9</v>
      </c>
      <c r="R11" s="62" t="e">
        <f>10000/USD</f>
        <v>#REF!</v>
      </c>
      <c r="S11" s="62">
        <v>8500</v>
      </c>
      <c r="T11" s="150" t="e">
        <f>S11/USD</f>
        <v>#REF!</v>
      </c>
      <c r="U11" s="62" t="e">
        <f>120000/USD</f>
        <v>#REF!</v>
      </c>
      <c r="V11" s="150" t="e">
        <f>445059.41/USD</f>
        <v>#REF!</v>
      </c>
      <c r="W11" s="61" t="s">
        <v>551</v>
      </c>
      <c r="X11" s="181">
        <v>2.1000000000000001E-2</v>
      </c>
      <c r="Y11" s="60">
        <v>43279</v>
      </c>
      <c r="Z11" s="60">
        <v>45503</v>
      </c>
      <c r="AA11" s="60">
        <v>45503</v>
      </c>
      <c r="AB11" s="58">
        <f t="shared" si="3"/>
        <v>2225</v>
      </c>
      <c r="AC11" s="59" t="e">
        <f t="shared" si="4"/>
        <v>#REF!</v>
      </c>
      <c r="AD11" s="58" t="e">
        <f>AA11-#REF!</f>
        <v>#REF!</v>
      </c>
      <c r="AE11" s="57" t="e">
        <f t="shared" si="0"/>
        <v>#REF!</v>
      </c>
      <c r="AF11" s="56"/>
      <c r="AG11" s="71" t="s">
        <v>1</v>
      </c>
      <c r="AH11" s="71" t="s">
        <v>1</v>
      </c>
      <c r="AI11" s="70" t="s">
        <v>0</v>
      </c>
      <c r="AJ11" s="11" t="e">
        <f t="shared" si="2"/>
        <v>#REF!</v>
      </c>
      <c r="AK11" s="11" t="s">
        <v>271</v>
      </c>
      <c r="AL11" s="13" t="s">
        <v>345</v>
      </c>
      <c r="AO11" s="197" t="str">
        <f>Table12129[[#This Row],[Risk Location ]]</f>
        <v>China</v>
      </c>
      <c r="AP11" s="198" t="str">
        <f>Table12129[[#This Row],[Sector (GICS Industry Group)]]</f>
        <v>Transportation</v>
      </c>
      <c r="AQ11" s="11">
        <v>1</v>
      </c>
      <c r="AR11" s="214">
        <v>0.05</v>
      </c>
      <c r="AS11" s="212" t="e">
        <v>#REF!</v>
      </c>
      <c r="AT11" s="212" t="e">
        <v>#REF!</v>
      </c>
      <c r="AU11" s="212" t="e">
        <v>#REF!</v>
      </c>
      <c r="AV11" s="212"/>
      <c r="AW11" s="212" t="e">
        <v>#REF!</v>
      </c>
      <c r="AX11" s="212">
        <f t="shared" si="1"/>
        <v>668.89105732002906</v>
      </c>
      <c r="AY11" s="12"/>
      <c r="BB11" s="212">
        <v>617.50508649836911</v>
      </c>
      <c r="BC11" s="212">
        <v>668.89105732002906</v>
      </c>
      <c r="BD11" s="212">
        <v>625.66246614061947</v>
      </c>
      <c r="BE11" s="212">
        <v>571.43625460510395</v>
      </c>
      <c r="BF11" s="212">
        <v>592.11167922872232</v>
      </c>
      <c r="BG11" s="226">
        <v>592.11167922872232</v>
      </c>
      <c r="BH11" s="226">
        <v>592.11167922872232</v>
      </c>
      <c r="BJ11" s="58" t="s">
        <v>952</v>
      </c>
      <c r="BK11" s="112"/>
      <c r="BL11" s="58" t="s">
        <v>476</v>
      </c>
    </row>
    <row r="12" spans="1:64" ht="39.950000000000003" customHeight="1" x14ac:dyDescent="0.2">
      <c r="A12" s="131" t="s">
        <v>146</v>
      </c>
      <c r="B12" s="65" t="s">
        <v>24</v>
      </c>
      <c r="C12" s="66" t="s">
        <v>38</v>
      </c>
      <c r="D12" s="14" t="s">
        <v>34</v>
      </c>
      <c r="E12" s="77" t="s">
        <v>34</v>
      </c>
      <c r="F12" s="66" t="s">
        <v>106</v>
      </c>
      <c r="G12" s="66" t="s">
        <v>106</v>
      </c>
      <c r="H12" s="66" t="s">
        <v>107</v>
      </c>
      <c r="I12" s="133" t="s">
        <v>638</v>
      </c>
      <c r="J12" s="14" t="s">
        <v>687</v>
      </c>
      <c r="K12" s="14" t="s">
        <v>101</v>
      </c>
      <c r="L12" s="65" t="s">
        <v>191</v>
      </c>
      <c r="M12" s="13" t="s">
        <v>323</v>
      </c>
      <c r="N12" s="13" t="s">
        <v>43</v>
      </c>
      <c r="O12" s="13" t="s">
        <v>539</v>
      </c>
      <c r="P12" s="65" t="s">
        <v>534</v>
      </c>
      <c r="Q12" s="64" t="s">
        <v>8</v>
      </c>
      <c r="R12" s="62">
        <v>17500</v>
      </c>
      <c r="S12" s="62">
        <v>22500</v>
      </c>
      <c r="T12" s="62">
        <f>+S12</f>
        <v>22500</v>
      </c>
      <c r="U12" s="62">
        <v>55000</v>
      </c>
      <c r="V12" s="76">
        <f>2014904.53+336391.65+91059</f>
        <v>2442355.1800000002</v>
      </c>
      <c r="W12" s="61" t="s">
        <v>11</v>
      </c>
      <c r="X12" s="181">
        <v>0.06</v>
      </c>
      <c r="Y12" s="60">
        <v>43320</v>
      </c>
      <c r="Z12" s="60">
        <v>44856</v>
      </c>
      <c r="AA12" s="60">
        <v>44856</v>
      </c>
      <c r="AB12" s="58">
        <f t="shared" si="3"/>
        <v>1537</v>
      </c>
      <c r="AC12" s="59" t="e">
        <f t="shared" si="4"/>
        <v>#REF!</v>
      </c>
      <c r="AD12" s="58" t="e">
        <f>AA12-#REF!</f>
        <v>#REF!</v>
      </c>
      <c r="AE12" s="57" t="e">
        <f t="shared" si="0"/>
        <v>#REF!</v>
      </c>
      <c r="AF12" s="56"/>
      <c r="AG12" s="71" t="s">
        <v>1</v>
      </c>
      <c r="AH12" s="71" t="s">
        <v>1</v>
      </c>
      <c r="AI12" s="70" t="s">
        <v>0</v>
      </c>
      <c r="AJ12" s="229" t="e">
        <f>+IF(AA12-60&lt;$A$1, "SEND NOTICE", "N/A")</f>
        <v>#REF!</v>
      </c>
      <c r="AK12" s="11" t="s">
        <v>271</v>
      </c>
      <c r="AL12" s="14" t="s">
        <v>346</v>
      </c>
      <c r="AM12" s="11">
        <v>19560</v>
      </c>
      <c r="AO12" s="197" t="str">
        <f>Table12129[[#This Row],[Risk Location ]]</f>
        <v>Australia</v>
      </c>
      <c r="AP12" s="198" t="str">
        <f>Table12129[[#This Row],[Sector (GICS Industry Group)]]</f>
        <v>Real Estate Management &amp; Development</v>
      </c>
      <c r="AQ12" s="11">
        <v>1</v>
      </c>
      <c r="AR12" s="214">
        <v>7.4999999999999997E-2</v>
      </c>
      <c r="AS12" s="212" t="e">
        <v>#REF!</v>
      </c>
      <c r="AT12" s="212" t="e">
        <v>#REF!</v>
      </c>
      <c r="AU12" s="212" t="e">
        <v>#REF!</v>
      </c>
      <c r="AV12" s="212"/>
      <c r="AW12" s="212" t="e">
        <v>#REF!</v>
      </c>
      <c r="AX12" s="212">
        <f t="shared" si="1"/>
        <v>1687.5</v>
      </c>
      <c r="AY12" s="12"/>
      <c r="BB12" s="212">
        <v>1687.5</v>
      </c>
      <c r="BC12" s="212">
        <v>1687.5</v>
      </c>
      <c r="BD12" s="212">
        <v>1125</v>
      </c>
      <c r="BE12" s="212">
        <v>562.5</v>
      </c>
      <c r="BF12" s="212">
        <v>0</v>
      </c>
      <c r="BG12" s="226">
        <v>0</v>
      </c>
      <c r="BH12" s="226"/>
      <c r="BJ12" s="58" t="s">
        <v>953</v>
      </c>
      <c r="BK12" s="112"/>
      <c r="BL12" s="58" t="s">
        <v>476</v>
      </c>
    </row>
    <row r="13" spans="1:64" ht="39.950000000000003" customHeight="1" x14ac:dyDescent="0.2">
      <c r="A13" s="13" t="s">
        <v>153</v>
      </c>
      <c r="B13" s="65" t="s">
        <v>23</v>
      </c>
      <c r="C13" s="66" t="s">
        <v>89</v>
      </c>
      <c r="D13" s="14" t="s">
        <v>542</v>
      </c>
      <c r="E13" s="77" t="s">
        <v>127</v>
      </c>
      <c r="F13" s="14" t="s">
        <v>92</v>
      </c>
      <c r="G13" s="14" t="s">
        <v>108</v>
      </c>
      <c r="H13" s="66" t="s">
        <v>109</v>
      </c>
      <c r="I13" s="14" t="s">
        <v>220</v>
      </c>
      <c r="J13" s="14" t="s">
        <v>220</v>
      </c>
      <c r="K13" s="14" t="s">
        <v>22</v>
      </c>
      <c r="L13" s="65" t="s">
        <v>191</v>
      </c>
      <c r="M13" s="13" t="s">
        <v>59</v>
      </c>
      <c r="N13" s="13" t="s">
        <v>43</v>
      </c>
      <c r="O13" s="13" t="s">
        <v>531</v>
      </c>
      <c r="P13" s="65" t="s">
        <v>534</v>
      </c>
      <c r="Q13" s="64" t="s">
        <v>9</v>
      </c>
      <c r="R13" s="62" t="e">
        <f>2898.889/USD</f>
        <v>#REF!</v>
      </c>
      <c r="S13" s="62">
        <v>1225.357</v>
      </c>
      <c r="T13" s="150" t="e">
        <f>Table12129[[#This Row],[Amortised Limit in Original Currency]]/USD</f>
        <v>#REF!</v>
      </c>
      <c r="U13" s="62" t="e">
        <f>33820.368*T13/R13/USD</f>
        <v>#REF!</v>
      </c>
      <c r="V13" s="76" t="e">
        <f>149469/USD</f>
        <v>#REF!</v>
      </c>
      <c r="W13" s="61" t="s">
        <v>11</v>
      </c>
      <c r="X13" s="181">
        <v>2.2499999999999999E-2</v>
      </c>
      <c r="Y13" s="60">
        <v>43350</v>
      </c>
      <c r="Z13" s="60">
        <v>45894</v>
      </c>
      <c r="AA13" s="60">
        <f>Z13</f>
        <v>45894</v>
      </c>
      <c r="AB13" s="58">
        <f t="shared" si="3"/>
        <v>2545</v>
      </c>
      <c r="AC13" s="59" t="e">
        <f t="shared" si="4"/>
        <v>#REF!</v>
      </c>
      <c r="AD13" s="58" t="e">
        <f>AA13-#REF!</f>
        <v>#REF!</v>
      </c>
      <c r="AE13" s="57" t="e">
        <f t="shared" si="0"/>
        <v>#REF!</v>
      </c>
      <c r="AF13" s="56"/>
      <c r="AG13" s="71" t="s">
        <v>1</v>
      </c>
      <c r="AH13" s="71" t="s">
        <v>1</v>
      </c>
      <c r="AI13" s="187" t="s">
        <v>251</v>
      </c>
      <c r="AJ13" s="11" t="e">
        <f t="shared" si="2"/>
        <v>#REF!</v>
      </c>
      <c r="AK13" s="11" t="s">
        <v>271</v>
      </c>
      <c r="AL13" s="13" t="s">
        <v>347</v>
      </c>
      <c r="AM13" s="11">
        <v>12110</v>
      </c>
      <c r="AO13" s="197" t="str">
        <f>Table12129[[#This Row],[Risk Location ]]</f>
        <v>Germany</v>
      </c>
      <c r="AP13" s="198" t="str">
        <f>Table12129[[#This Row],[Sector (GICS Industry Group)]]</f>
        <v>Transportation</v>
      </c>
      <c r="AS13" s="212" t="e">
        <v>#REF!</v>
      </c>
      <c r="AT13" s="212" t="e">
        <v>#REF!</v>
      </c>
      <c r="AU13" s="212" t="e">
        <v>#REF!</v>
      </c>
      <c r="AV13" s="212"/>
      <c r="AW13" s="212" t="e">
        <v>#REF!</v>
      </c>
      <c r="AX13" s="212">
        <f t="shared" si="1"/>
        <v>0</v>
      </c>
      <c r="BB13" s="212">
        <v>0</v>
      </c>
      <c r="BC13" s="212">
        <v>0</v>
      </c>
      <c r="BD13" s="212">
        <v>0</v>
      </c>
      <c r="BE13" s="212">
        <v>0</v>
      </c>
      <c r="BF13" s="212">
        <v>0</v>
      </c>
      <c r="BG13" s="226">
        <v>0</v>
      </c>
      <c r="BH13" s="226"/>
      <c r="BJ13" s="58" t="s">
        <v>929</v>
      </c>
      <c r="BK13" s="112"/>
      <c r="BL13" s="58" t="s">
        <v>476</v>
      </c>
    </row>
    <row r="14" spans="1:64" ht="39.950000000000003" customHeight="1" x14ac:dyDescent="0.2">
      <c r="A14" s="13" t="s">
        <v>202</v>
      </c>
      <c r="B14" s="65" t="s">
        <v>23</v>
      </c>
      <c r="C14" s="66" t="s">
        <v>89</v>
      </c>
      <c r="D14" s="14" t="s">
        <v>542</v>
      </c>
      <c r="E14" s="77" t="s">
        <v>127</v>
      </c>
      <c r="F14" s="14" t="s">
        <v>92</v>
      </c>
      <c r="G14" s="14" t="s">
        <v>108</v>
      </c>
      <c r="H14" s="66" t="s">
        <v>109</v>
      </c>
      <c r="I14" s="14" t="s">
        <v>220</v>
      </c>
      <c r="J14" s="66" t="s">
        <v>220</v>
      </c>
      <c r="K14" s="14" t="s">
        <v>22</v>
      </c>
      <c r="L14" s="65" t="s">
        <v>191</v>
      </c>
      <c r="M14" s="13" t="s">
        <v>59</v>
      </c>
      <c r="N14" s="13" t="s">
        <v>43</v>
      </c>
      <c r="O14" s="13" t="s">
        <v>531</v>
      </c>
      <c r="P14" s="65" t="s">
        <v>534</v>
      </c>
      <c r="Q14" s="64" t="s">
        <v>9</v>
      </c>
      <c r="R14" s="62" t="e">
        <f>2439/USD</f>
        <v>#REF!</v>
      </c>
      <c r="S14" s="62">
        <v>1057.6079999999999</v>
      </c>
      <c r="T14" s="150" t="e">
        <f>S14/USD</f>
        <v>#REF!</v>
      </c>
      <c r="U14" s="62" t="e">
        <f>28455*T14/R14/USD</f>
        <v>#REF!</v>
      </c>
      <c r="V14" s="76" t="e">
        <f>129847/USD</f>
        <v>#REF!</v>
      </c>
      <c r="W14" s="61" t="s">
        <v>11</v>
      </c>
      <c r="X14" s="181">
        <v>2.2499999999999999E-2</v>
      </c>
      <c r="Y14" s="60">
        <v>43368</v>
      </c>
      <c r="Z14" s="60">
        <v>45955</v>
      </c>
      <c r="AA14" s="60">
        <f>Z14</f>
        <v>45955</v>
      </c>
      <c r="AB14" s="58">
        <f t="shared" si="3"/>
        <v>2588</v>
      </c>
      <c r="AC14" s="59" t="e">
        <f t="shared" si="4"/>
        <v>#REF!</v>
      </c>
      <c r="AD14" s="58" t="e">
        <f>AA14-#REF!</f>
        <v>#REF!</v>
      </c>
      <c r="AE14" s="57" t="e">
        <f t="shared" si="0"/>
        <v>#REF!</v>
      </c>
      <c r="AF14" s="56"/>
      <c r="AG14" s="71" t="s">
        <v>1</v>
      </c>
      <c r="AH14" s="71" t="s">
        <v>1</v>
      </c>
      <c r="AI14" s="187" t="s">
        <v>658</v>
      </c>
      <c r="AJ14" s="11" t="e">
        <f t="shared" si="2"/>
        <v>#REF!</v>
      </c>
      <c r="AK14" s="11" t="s">
        <v>271</v>
      </c>
      <c r="AL14" s="13" t="s">
        <v>349</v>
      </c>
      <c r="AM14" s="11">
        <v>2242.5</v>
      </c>
      <c r="AO14" s="197" t="str">
        <f>Table12129[[#This Row],[Risk Location ]]</f>
        <v>Germany</v>
      </c>
      <c r="AP14" s="198" t="str">
        <f>Table12129[[#This Row],[Sector (GICS Industry Group)]]</f>
        <v>Transportation</v>
      </c>
      <c r="AS14" s="212" t="e">
        <v>#REF!</v>
      </c>
      <c r="AT14" s="212" t="e">
        <v>#REF!</v>
      </c>
      <c r="AU14" s="212" t="e">
        <v>#REF!</v>
      </c>
      <c r="AV14" s="212"/>
      <c r="AW14" s="212" t="e">
        <v>#REF!</v>
      </c>
      <c r="AX14" s="212">
        <f t="shared" si="1"/>
        <v>0</v>
      </c>
      <c r="BB14" s="212">
        <v>0</v>
      </c>
      <c r="BC14" s="212">
        <v>0</v>
      </c>
      <c r="BD14" s="212">
        <v>0</v>
      </c>
      <c r="BE14" s="212">
        <v>0</v>
      </c>
      <c r="BF14" s="212">
        <v>0</v>
      </c>
      <c r="BG14" s="226">
        <v>0</v>
      </c>
      <c r="BH14" s="226"/>
      <c r="BJ14" s="58" t="s">
        <v>930</v>
      </c>
      <c r="BK14" s="112"/>
      <c r="BL14" s="58" t="s">
        <v>476</v>
      </c>
    </row>
    <row r="15" spans="1:64" ht="39.950000000000003" customHeight="1" x14ac:dyDescent="0.2">
      <c r="A15" s="14" t="s">
        <v>164</v>
      </c>
      <c r="B15" s="65" t="s">
        <v>23</v>
      </c>
      <c r="C15" s="66" t="s">
        <v>127</v>
      </c>
      <c r="D15" s="14" t="s">
        <v>542</v>
      </c>
      <c r="E15" s="77" t="s">
        <v>89</v>
      </c>
      <c r="F15" s="14" t="s">
        <v>102</v>
      </c>
      <c r="G15" s="14" t="s">
        <v>102</v>
      </c>
      <c r="H15" s="66" t="s">
        <v>122</v>
      </c>
      <c r="I15" s="14" t="s">
        <v>158</v>
      </c>
      <c r="J15" s="66" t="s">
        <v>220</v>
      </c>
      <c r="K15" s="14" t="s">
        <v>101</v>
      </c>
      <c r="L15" s="65" t="s">
        <v>191</v>
      </c>
      <c r="M15" s="13" t="s">
        <v>59</v>
      </c>
      <c r="N15" s="13" t="s">
        <v>43</v>
      </c>
      <c r="O15" s="13" t="s">
        <v>538</v>
      </c>
      <c r="P15" s="65" t="s">
        <v>534</v>
      </c>
      <c r="Q15" s="64" t="s">
        <v>59</v>
      </c>
      <c r="R15" s="62" t="e">
        <f>19000/EUR</f>
        <v>#REF!</v>
      </c>
      <c r="S15" s="62">
        <v>19000</v>
      </c>
      <c r="T15" s="79" t="e">
        <f>R15</f>
        <v>#REF!</v>
      </c>
      <c r="U15" s="62" t="e">
        <f>174000/EUR</f>
        <v>#REF!</v>
      </c>
      <c r="V15" s="76" t="e">
        <f>634744.24/EUR</f>
        <v>#REF!</v>
      </c>
      <c r="W15" s="61" t="s">
        <v>11</v>
      </c>
      <c r="X15" s="181">
        <v>9.5999999999999992E-3</v>
      </c>
      <c r="Y15" s="60">
        <v>43392</v>
      </c>
      <c r="Z15" s="60">
        <v>45534</v>
      </c>
      <c r="AA15" s="60">
        <f>Z15</f>
        <v>45534</v>
      </c>
      <c r="AB15" s="58">
        <f t="shared" si="3"/>
        <v>2143</v>
      </c>
      <c r="AC15" s="59" t="e">
        <f t="shared" si="4"/>
        <v>#REF!</v>
      </c>
      <c r="AD15" s="58" t="e">
        <f>AA15-#REF!</f>
        <v>#REF!</v>
      </c>
      <c r="AE15" s="57" t="e">
        <f t="shared" si="0"/>
        <v>#REF!</v>
      </c>
      <c r="AF15" s="56"/>
      <c r="AG15" s="71" t="s">
        <v>1</v>
      </c>
      <c r="AH15" s="71" t="s">
        <v>1</v>
      </c>
      <c r="AI15" s="187" t="s">
        <v>0</v>
      </c>
      <c r="AJ15" s="11" t="e">
        <f t="shared" si="2"/>
        <v>#REF!</v>
      </c>
      <c r="AK15" s="11" t="s">
        <v>271</v>
      </c>
      <c r="AL15" s="14" t="s">
        <v>353</v>
      </c>
      <c r="AM15" s="11">
        <v>6040</v>
      </c>
      <c r="AO15" s="197" t="str">
        <f>Table12129[[#This Row],[Risk Location ]]</f>
        <v>Netherlands</v>
      </c>
      <c r="AP15" s="198" t="str">
        <f>Table12129[[#This Row],[Sector (GICS Industry Group)]]</f>
        <v>Real Estate Investment</v>
      </c>
      <c r="AS15" s="212" t="e">
        <v>#REF!</v>
      </c>
      <c r="AT15" s="212" t="e">
        <v>#REF!</v>
      </c>
      <c r="AU15" s="212" t="e">
        <v>#REF!</v>
      </c>
      <c r="AV15" s="212"/>
      <c r="AW15" s="212" t="e">
        <v>#REF!</v>
      </c>
      <c r="AX15" s="212">
        <f t="shared" si="1"/>
        <v>0</v>
      </c>
      <c r="BB15" s="212">
        <v>0</v>
      </c>
      <c r="BC15" s="212">
        <v>0</v>
      </c>
      <c r="BD15" s="212">
        <v>0</v>
      </c>
      <c r="BE15" s="212">
        <v>0</v>
      </c>
      <c r="BF15" s="212">
        <v>0</v>
      </c>
      <c r="BG15" s="226">
        <v>0</v>
      </c>
      <c r="BH15" s="226"/>
      <c r="BJ15" s="58" t="s">
        <v>927</v>
      </c>
      <c r="BK15" s="112"/>
      <c r="BL15" s="58" t="s">
        <v>476</v>
      </c>
    </row>
    <row r="16" spans="1:64" ht="39.950000000000003" customHeight="1" x14ac:dyDescent="0.2">
      <c r="A16" s="14" t="s">
        <v>184</v>
      </c>
      <c r="B16" s="65" t="s">
        <v>23</v>
      </c>
      <c r="C16" s="66" t="s">
        <v>38</v>
      </c>
      <c r="D16" s="14" t="s">
        <v>540</v>
      </c>
      <c r="E16" s="77" t="s">
        <v>49</v>
      </c>
      <c r="F16" s="14" t="s">
        <v>48</v>
      </c>
      <c r="G16" s="14" t="s">
        <v>95</v>
      </c>
      <c r="H16" s="130" t="s">
        <v>447</v>
      </c>
      <c r="I16" s="14" t="s">
        <v>73</v>
      </c>
      <c r="J16" s="77" t="s">
        <v>221</v>
      </c>
      <c r="K16" s="13" t="s">
        <v>140</v>
      </c>
      <c r="L16" s="65" t="s">
        <v>191</v>
      </c>
      <c r="M16" s="13" t="s">
        <v>323</v>
      </c>
      <c r="N16" s="13" t="s">
        <v>43</v>
      </c>
      <c r="O16" s="13" t="s">
        <v>538</v>
      </c>
      <c r="P16" s="65" t="s">
        <v>534</v>
      </c>
      <c r="Q16" s="64" t="s">
        <v>9</v>
      </c>
      <c r="R16" s="62" t="e">
        <f>10000/USD</f>
        <v>#REF!</v>
      </c>
      <c r="S16" s="62">
        <v>2473.7089999999998</v>
      </c>
      <c r="T16" s="150" t="e">
        <f>+S16/USD</f>
        <v>#REF!</v>
      </c>
      <c r="U16" s="62" t="e">
        <f>75000/USD</f>
        <v>#REF!</v>
      </c>
      <c r="V16" s="150" t="e">
        <f>972415*0.85/USD-(737716-554543)/USD</f>
        <v>#REF!</v>
      </c>
      <c r="W16" s="61" t="s">
        <v>11</v>
      </c>
      <c r="X16" s="181">
        <v>3.7499999999999999E-2</v>
      </c>
      <c r="Y16" s="60">
        <v>43398</v>
      </c>
      <c r="Z16" s="60">
        <v>45930</v>
      </c>
      <c r="AA16" s="60">
        <f>Z16</f>
        <v>45930</v>
      </c>
      <c r="AB16" s="58">
        <f t="shared" si="3"/>
        <v>2533</v>
      </c>
      <c r="AC16" s="59" t="e">
        <f t="shared" si="4"/>
        <v>#REF!</v>
      </c>
      <c r="AD16" s="58" t="e">
        <f>AA16-#REF!</f>
        <v>#REF!</v>
      </c>
      <c r="AE16" s="57" t="e">
        <f t="shared" si="0"/>
        <v>#REF!</v>
      </c>
      <c r="AF16" s="56"/>
      <c r="AG16" s="71" t="s">
        <v>1</v>
      </c>
      <c r="AH16" s="71" t="s">
        <v>1</v>
      </c>
      <c r="AI16" s="187" t="s">
        <v>885</v>
      </c>
      <c r="AJ16" s="11" t="e">
        <f t="shared" si="2"/>
        <v>#REF!</v>
      </c>
      <c r="AK16" s="11" t="s">
        <v>271</v>
      </c>
      <c r="AL16" s="14" t="s">
        <v>337</v>
      </c>
      <c r="AM16" s="11">
        <v>14500</v>
      </c>
      <c r="AO16" s="197" t="str">
        <f>Table12129[[#This Row],[Risk Location ]]</f>
        <v>Indonesia</v>
      </c>
      <c r="AP16" s="198" t="str">
        <f>Table12129[[#This Row],[Sector (GICS Industry Group)]]</f>
        <v>Energy</v>
      </c>
      <c r="AS16" s="212" t="e">
        <v>#REF!</v>
      </c>
      <c r="AT16" s="212" t="e">
        <v>#REF!</v>
      </c>
      <c r="AU16" s="212" t="e">
        <v>#REF!</v>
      </c>
      <c r="AV16" s="212"/>
      <c r="AW16" s="212" t="e">
        <v>#REF!</v>
      </c>
      <c r="AX16" s="212">
        <f t="shared" si="1"/>
        <v>0</v>
      </c>
      <c r="BB16" s="212">
        <v>0</v>
      </c>
      <c r="BC16" s="212">
        <v>0</v>
      </c>
      <c r="BD16" s="212">
        <v>0</v>
      </c>
      <c r="BE16" s="212">
        <v>0</v>
      </c>
      <c r="BF16" s="212">
        <v>0</v>
      </c>
      <c r="BG16" s="226">
        <v>0</v>
      </c>
      <c r="BH16" s="226"/>
      <c r="BJ16" s="58" t="s">
        <v>928</v>
      </c>
      <c r="BK16" s="112"/>
      <c r="BL16" s="58" t="s">
        <v>476</v>
      </c>
    </row>
    <row r="17" spans="1:64" ht="39.950000000000003" customHeight="1" x14ac:dyDescent="0.2">
      <c r="A17" s="87" t="s">
        <v>714</v>
      </c>
      <c r="B17" s="100" t="s">
        <v>51</v>
      </c>
      <c r="C17" s="104" t="s">
        <v>34</v>
      </c>
      <c r="D17" s="103" t="s">
        <v>34</v>
      </c>
      <c r="E17" s="102" t="s">
        <v>34</v>
      </c>
      <c r="F17" s="103" t="s">
        <v>543</v>
      </c>
      <c r="G17" s="101" t="s">
        <v>136</v>
      </c>
      <c r="H17" s="101" t="s">
        <v>136</v>
      </c>
      <c r="I17" s="102" t="s">
        <v>52</v>
      </c>
      <c r="J17" s="102" t="s">
        <v>52</v>
      </c>
      <c r="K17" s="101" t="s">
        <v>7</v>
      </c>
      <c r="L17" s="100" t="s">
        <v>40</v>
      </c>
      <c r="M17" s="87"/>
      <c r="N17" s="87" t="s">
        <v>42</v>
      </c>
      <c r="O17" s="87" t="s">
        <v>531</v>
      </c>
      <c r="P17" s="87" t="s">
        <v>532</v>
      </c>
      <c r="Q17" s="99" t="s">
        <v>8</v>
      </c>
      <c r="R17" s="97">
        <v>236.60400000000001</v>
      </c>
      <c r="S17" s="97">
        <f>Table12129[[#This Row],[Original Limit (A$)]]</f>
        <v>236.60400000000001</v>
      </c>
      <c r="T17" s="155">
        <f>Table12129[[#This Row],[Amortised Limit in Original Currency]]</f>
        <v>236.60400000000001</v>
      </c>
      <c r="U17" s="97">
        <f>Table12129[[#This Row],[Amortised Limit A$ Balance]]</f>
        <v>236.60400000000001</v>
      </c>
      <c r="V17" s="155">
        <v>6506.61</v>
      </c>
      <c r="W17" s="96" t="s">
        <v>11</v>
      </c>
      <c r="X17" s="182">
        <v>2.75E-2</v>
      </c>
      <c r="Y17" s="95">
        <v>44896</v>
      </c>
      <c r="Z17" s="95">
        <v>45260</v>
      </c>
      <c r="AA17" s="95">
        <v>45260</v>
      </c>
      <c r="AB17" s="93">
        <f>AA17-Y17+1</f>
        <v>365</v>
      </c>
      <c r="AC17" s="94" t="s">
        <v>10</v>
      </c>
      <c r="AD17" s="93" t="e">
        <f>AA17-#REF!</f>
        <v>#REF!</v>
      </c>
      <c r="AE17" s="92" t="e">
        <f>AD17/365</f>
        <v>#REF!</v>
      </c>
      <c r="AF17" s="91"/>
      <c r="AG17" s="90" t="s">
        <v>1</v>
      </c>
      <c r="AH17" s="90" t="s">
        <v>1</v>
      </c>
      <c r="AI17" s="88" t="s">
        <v>0</v>
      </c>
      <c r="AJ17" s="88" t="e">
        <f>+IF(AA17-60&lt;$A$1, "SEND NOTICE", "N/A")</f>
        <v>#REF!</v>
      </c>
      <c r="AK17" s="88" t="s">
        <v>271</v>
      </c>
      <c r="AL17" s="87" t="s">
        <v>716</v>
      </c>
      <c r="AO17" s="197" t="str">
        <f>Table12129[[#This Row],[Risk Location ]]</f>
        <v>Australia</v>
      </c>
      <c r="AP17" s="198" t="str">
        <f>Table12129[[#This Row],[Sector (GICS Industry Group)]]</f>
        <v>Industrials</v>
      </c>
      <c r="AS17" s="212" t="e">
        <v>#REF!</v>
      </c>
      <c r="AT17" s="212" t="e">
        <v>#REF!</v>
      </c>
      <c r="AU17" s="212" t="e">
        <v>#REF!</v>
      </c>
      <c r="AV17" s="212"/>
      <c r="AW17" s="212" t="e">
        <v>#REF!</v>
      </c>
      <c r="AX17" s="212">
        <f t="shared" si="1"/>
        <v>0</v>
      </c>
      <c r="BB17" s="212">
        <v>0</v>
      </c>
      <c r="BC17" s="212">
        <v>0</v>
      </c>
      <c r="BD17" s="212">
        <v>0</v>
      </c>
      <c r="BE17" s="212">
        <v>0</v>
      </c>
      <c r="BF17" s="212">
        <v>0</v>
      </c>
      <c r="BG17" s="226">
        <v>0</v>
      </c>
      <c r="BH17" s="226"/>
      <c r="BJ17" s="93"/>
      <c r="BK17" s="112"/>
      <c r="BL17" s="58" t="s">
        <v>476</v>
      </c>
    </row>
    <row r="18" spans="1:64" ht="39.950000000000003" customHeight="1" x14ac:dyDescent="0.2">
      <c r="A18" s="87" t="s">
        <v>715</v>
      </c>
      <c r="B18" s="100" t="s">
        <v>51</v>
      </c>
      <c r="C18" s="104" t="s">
        <v>34</v>
      </c>
      <c r="D18" s="103" t="s">
        <v>34</v>
      </c>
      <c r="E18" s="102" t="s">
        <v>34</v>
      </c>
      <c r="F18" s="103" t="s">
        <v>543</v>
      </c>
      <c r="G18" s="101" t="s">
        <v>136</v>
      </c>
      <c r="H18" s="101" t="s">
        <v>136</v>
      </c>
      <c r="I18" s="102" t="s">
        <v>52</v>
      </c>
      <c r="J18" s="102" t="s">
        <v>52</v>
      </c>
      <c r="K18" s="101" t="s">
        <v>7</v>
      </c>
      <c r="L18" s="100" t="s">
        <v>40</v>
      </c>
      <c r="M18" s="87"/>
      <c r="N18" s="87" t="s">
        <v>42</v>
      </c>
      <c r="O18" s="87" t="s">
        <v>531</v>
      </c>
      <c r="P18" s="87" t="s">
        <v>532</v>
      </c>
      <c r="Q18" s="99" t="s">
        <v>8</v>
      </c>
      <c r="R18" s="97">
        <f>304.406</f>
        <v>304.40600000000001</v>
      </c>
      <c r="S18" s="97">
        <f>Table12129[[#This Row],[Original Limit (A$)]]</f>
        <v>304.40600000000001</v>
      </c>
      <c r="T18" s="155">
        <f>Table12129[[#This Row],[Amortised Limit in Original Currency]]</f>
        <v>304.40600000000001</v>
      </c>
      <c r="U18" s="97">
        <f>Table12129[[#This Row],[Amortised Limit A$ Balance]]</f>
        <v>304.40600000000001</v>
      </c>
      <c r="V18" s="155">
        <v>8371.17</v>
      </c>
      <c r="W18" s="96" t="s">
        <v>11</v>
      </c>
      <c r="X18" s="182">
        <v>2.75E-2</v>
      </c>
      <c r="Y18" s="95">
        <v>44896</v>
      </c>
      <c r="Z18" s="95">
        <v>45260</v>
      </c>
      <c r="AA18" s="95">
        <v>45260</v>
      </c>
      <c r="AB18" s="93">
        <f t="shared" si="3"/>
        <v>365</v>
      </c>
      <c r="AC18" s="94" t="s">
        <v>10</v>
      </c>
      <c r="AD18" s="93" t="e">
        <f>AA18-#REF!</f>
        <v>#REF!</v>
      </c>
      <c r="AE18" s="92" t="e">
        <f t="shared" si="0"/>
        <v>#REF!</v>
      </c>
      <c r="AF18" s="91"/>
      <c r="AG18" s="90" t="s">
        <v>1</v>
      </c>
      <c r="AH18" s="90" t="s">
        <v>1</v>
      </c>
      <c r="AI18" s="88" t="s">
        <v>0</v>
      </c>
      <c r="AJ18" s="88" t="e">
        <f t="shared" si="2"/>
        <v>#REF!</v>
      </c>
      <c r="AK18" s="88" t="s">
        <v>271</v>
      </c>
      <c r="AL18" s="87" t="s">
        <v>717</v>
      </c>
      <c r="AO18" s="197" t="str">
        <f>Table12129[[#This Row],[Risk Location ]]</f>
        <v>Australia</v>
      </c>
      <c r="AP18" s="198" t="str">
        <f>Table12129[[#This Row],[Sector (GICS Industry Group)]]</f>
        <v>Industrials</v>
      </c>
      <c r="AS18" s="212" t="e">
        <v>#REF!</v>
      </c>
      <c r="AT18" s="212" t="e">
        <v>#REF!</v>
      </c>
      <c r="AU18" s="212" t="e">
        <v>#REF!</v>
      </c>
      <c r="AV18" s="212"/>
      <c r="AW18" s="212" t="e">
        <v>#REF!</v>
      </c>
      <c r="AX18" s="212">
        <f t="shared" si="1"/>
        <v>0</v>
      </c>
      <c r="BB18" s="212">
        <v>0</v>
      </c>
      <c r="BC18" s="212">
        <v>0</v>
      </c>
      <c r="BD18" s="212">
        <v>0</v>
      </c>
      <c r="BE18" s="212">
        <v>0</v>
      </c>
      <c r="BF18" s="212">
        <v>0</v>
      </c>
      <c r="BG18" s="226">
        <v>0</v>
      </c>
      <c r="BH18" s="226"/>
      <c r="BJ18" s="93"/>
      <c r="BK18" s="112"/>
      <c r="BL18" s="58" t="s">
        <v>476</v>
      </c>
    </row>
    <row r="19" spans="1:64" ht="39.950000000000003" customHeight="1" x14ac:dyDescent="0.2">
      <c r="A19" s="13" t="s">
        <v>171</v>
      </c>
      <c r="B19" s="65" t="s">
        <v>24</v>
      </c>
      <c r="C19" s="66" t="s">
        <v>87</v>
      </c>
      <c r="D19" s="14" t="s">
        <v>542</v>
      </c>
      <c r="E19" s="77" t="s">
        <v>87</v>
      </c>
      <c r="F19" s="14" t="s">
        <v>173</v>
      </c>
      <c r="G19" s="14" t="s">
        <v>174</v>
      </c>
      <c r="H19" s="14" t="s">
        <v>172</v>
      </c>
      <c r="I19" s="77" t="s">
        <v>75</v>
      </c>
      <c r="J19" s="77" t="s">
        <v>21</v>
      </c>
      <c r="K19" s="14" t="s">
        <v>29</v>
      </c>
      <c r="L19" s="65" t="s">
        <v>191</v>
      </c>
      <c r="M19" s="13" t="s">
        <v>59</v>
      </c>
      <c r="N19" s="13" t="s">
        <v>43</v>
      </c>
      <c r="O19" s="13" t="s">
        <v>538</v>
      </c>
      <c r="P19" s="13" t="s">
        <v>548</v>
      </c>
      <c r="Q19" s="64" t="s">
        <v>9</v>
      </c>
      <c r="R19" s="62" t="e">
        <f>25000/USD</f>
        <v>#REF!</v>
      </c>
      <c r="S19" s="62">
        <v>20000</v>
      </c>
      <c r="T19" s="150" t="e">
        <f>+S19/USD</f>
        <v>#REF!</v>
      </c>
      <c r="U19" s="62" t="e">
        <f>102777.7777/USD</f>
        <v>#REF!</v>
      </c>
      <c r="V19" s="150" t="e">
        <f>1517343.76/USD</f>
        <v>#REF!</v>
      </c>
      <c r="W19" s="61" t="s">
        <v>11</v>
      </c>
      <c r="X19" s="181">
        <v>1.6299999999999999E-2</v>
      </c>
      <c r="Y19" s="60">
        <v>43448</v>
      </c>
      <c r="Z19" s="60">
        <v>45716</v>
      </c>
      <c r="AA19" s="60">
        <f>Z19</f>
        <v>45716</v>
      </c>
      <c r="AB19" s="58">
        <f t="shared" si="3"/>
        <v>2269</v>
      </c>
      <c r="AC19" s="75" t="e">
        <f t="shared" ref="AC19:AC33" si="5">IF(AA19-$A$1&gt;60,"No","Yes")</f>
        <v>#REF!</v>
      </c>
      <c r="AD19" s="58" t="e">
        <f>AA19-#REF!</f>
        <v>#REF!</v>
      </c>
      <c r="AE19" s="57" t="e">
        <f t="shared" si="0"/>
        <v>#REF!</v>
      </c>
      <c r="AF19" s="56"/>
      <c r="AG19" s="71" t="s">
        <v>1</v>
      </c>
      <c r="AH19" s="71" t="s">
        <v>1</v>
      </c>
      <c r="AI19" s="187" t="s">
        <v>302</v>
      </c>
      <c r="AJ19" s="11" t="e">
        <f t="shared" si="2"/>
        <v>#REF!</v>
      </c>
      <c r="AK19" s="11" t="s">
        <v>271</v>
      </c>
      <c r="AL19" s="13" t="s">
        <v>355</v>
      </c>
      <c r="AO19" s="197" t="str">
        <f>Table12129[[#This Row],[Risk Location ]]</f>
        <v>United Kingdom</v>
      </c>
      <c r="AP19" s="198" t="str">
        <f>Table12129[[#This Row],[Sector (GICS Industry Group)]]</f>
        <v>Automobiles &amp; Components</v>
      </c>
      <c r="AQ19" s="229">
        <v>1</v>
      </c>
      <c r="AR19" s="310">
        <v>2.5000000000000001E-2</v>
      </c>
      <c r="AS19" s="278" t="e">
        <v>#REF!</v>
      </c>
      <c r="AT19" s="278" t="e">
        <v>#REF!</v>
      </c>
      <c r="AU19" s="278" t="e">
        <v>#REF!</v>
      </c>
      <c r="AV19" s="278"/>
      <c r="AW19" s="278" t="e">
        <v>#REF!</v>
      </c>
      <c r="AX19" s="212">
        <f t="shared" si="1"/>
        <v>0</v>
      </c>
      <c r="AY19" s="229" t="s">
        <v>1128</v>
      </c>
      <c r="BB19" s="212">
        <v>726.47657235102236</v>
      </c>
      <c r="BC19" s="212">
        <v>0</v>
      </c>
      <c r="BD19" s="212">
        <v>0</v>
      </c>
      <c r="BE19" s="212">
        <v>0</v>
      </c>
      <c r="BF19" s="212">
        <v>0</v>
      </c>
      <c r="BG19" s="226">
        <v>0</v>
      </c>
      <c r="BH19" s="226"/>
      <c r="BJ19" s="58" t="s">
        <v>956</v>
      </c>
      <c r="BK19" s="112"/>
      <c r="BL19" s="58" t="s">
        <v>476</v>
      </c>
    </row>
    <row r="20" spans="1:64" s="12" customFormat="1" ht="39.950000000000003" customHeight="1" x14ac:dyDescent="0.2">
      <c r="A20" s="13" t="s">
        <v>175</v>
      </c>
      <c r="B20" s="65" t="s">
        <v>23</v>
      </c>
      <c r="C20" s="66" t="s">
        <v>34</v>
      </c>
      <c r="D20" s="14" t="s">
        <v>34</v>
      </c>
      <c r="E20" s="77" t="s">
        <v>34</v>
      </c>
      <c r="F20" s="14" t="s">
        <v>544</v>
      </c>
      <c r="G20" s="14" t="s">
        <v>178</v>
      </c>
      <c r="H20" s="14" t="s">
        <v>177</v>
      </c>
      <c r="I20" s="66" t="s">
        <v>232</v>
      </c>
      <c r="J20" s="77" t="s">
        <v>21</v>
      </c>
      <c r="K20" s="14" t="s">
        <v>29</v>
      </c>
      <c r="L20" s="65" t="s">
        <v>191</v>
      </c>
      <c r="M20" s="13" t="s">
        <v>323</v>
      </c>
      <c r="N20" s="13" t="s">
        <v>43</v>
      </c>
      <c r="O20" s="13" t="s">
        <v>531</v>
      </c>
      <c r="P20" s="65" t="s">
        <v>534</v>
      </c>
      <c r="Q20" s="64" t="s">
        <v>8</v>
      </c>
      <c r="R20" s="62">
        <v>20000</v>
      </c>
      <c r="S20" s="62">
        <v>20000</v>
      </c>
      <c r="T20" s="150">
        <v>20000</v>
      </c>
      <c r="U20" s="62">
        <v>95000</v>
      </c>
      <c r="V20" s="150">
        <v>1786247.15</v>
      </c>
      <c r="W20" s="61" t="s">
        <v>11</v>
      </c>
      <c r="X20" s="181">
        <v>1.95E-2</v>
      </c>
      <c r="Y20" s="60">
        <v>43480</v>
      </c>
      <c r="Z20" s="60">
        <v>45169</v>
      </c>
      <c r="AA20" s="60">
        <v>45169</v>
      </c>
      <c r="AB20" s="58">
        <f t="shared" si="3"/>
        <v>1690</v>
      </c>
      <c r="AC20" s="59" t="e">
        <f t="shared" si="5"/>
        <v>#REF!</v>
      </c>
      <c r="AD20" s="58" t="e">
        <f>AA20-#REF!</f>
        <v>#REF!</v>
      </c>
      <c r="AE20" s="57" t="e">
        <f t="shared" si="0"/>
        <v>#REF!</v>
      </c>
      <c r="AF20" s="56"/>
      <c r="AG20" s="71" t="s">
        <v>1</v>
      </c>
      <c r="AH20" s="71" t="s">
        <v>1</v>
      </c>
      <c r="AI20" s="187" t="s">
        <v>0</v>
      </c>
      <c r="AJ20" s="11" t="e">
        <f t="shared" si="2"/>
        <v>#REF!</v>
      </c>
      <c r="AK20" s="11" t="s">
        <v>271</v>
      </c>
      <c r="AL20" s="13" t="s">
        <v>356</v>
      </c>
      <c r="AM20" s="11">
        <v>7789.99</v>
      </c>
      <c r="AN20" s="11"/>
      <c r="AO20" s="197" t="str">
        <f>Table12129[[#This Row],[Risk Location ]]</f>
        <v>Australia</v>
      </c>
      <c r="AP20" s="198" t="str">
        <f>Table12129[[#This Row],[Sector (GICS Industry Group)]]</f>
        <v>Consumer Discretionary</v>
      </c>
      <c r="AQ20" s="11">
        <v>1</v>
      </c>
      <c r="AR20" s="214">
        <v>0</v>
      </c>
      <c r="AS20" s="212" t="e">
        <v>#REF!</v>
      </c>
      <c r="AT20" s="212" t="e">
        <v>#REF!</v>
      </c>
      <c r="AU20" s="212" t="e">
        <v>#REF!</v>
      </c>
      <c r="AV20" s="212"/>
      <c r="AW20" s="212" t="e">
        <v>#REF!</v>
      </c>
      <c r="AX20" s="212">
        <f t="shared" si="1"/>
        <v>0</v>
      </c>
      <c r="BB20" s="258">
        <v>0</v>
      </c>
      <c r="BC20" s="258">
        <v>0</v>
      </c>
      <c r="BD20" s="258">
        <v>1000</v>
      </c>
      <c r="BE20" s="212">
        <v>1000</v>
      </c>
      <c r="BF20" s="212">
        <v>1250</v>
      </c>
      <c r="BG20" s="227">
        <v>1000</v>
      </c>
      <c r="BH20" s="227">
        <v>1000</v>
      </c>
      <c r="BJ20" s="58" t="s">
        <v>931</v>
      </c>
      <c r="BK20" s="112"/>
      <c r="BL20" s="58" t="s">
        <v>476</v>
      </c>
    </row>
    <row r="21" spans="1:64" ht="39.950000000000003" customHeight="1" x14ac:dyDescent="0.2">
      <c r="A21" s="13" t="s">
        <v>204</v>
      </c>
      <c r="B21" s="65" t="s">
        <v>23</v>
      </c>
      <c r="C21" s="66" t="s">
        <v>89</v>
      </c>
      <c r="D21" s="14" t="s">
        <v>542</v>
      </c>
      <c r="E21" s="77" t="s">
        <v>127</v>
      </c>
      <c r="F21" s="14" t="s">
        <v>92</v>
      </c>
      <c r="G21" s="14" t="s">
        <v>108</v>
      </c>
      <c r="H21" s="14" t="s">
        <v>109</v>
      </c>
      <c r="I21" s="14" t="s">
        <v>220</v>
      </c>
      <c r="J21" s="14" t="s">
        <v>220</v>
      </c>
      <c r="K21" s="14" t="s">
        <v>22</v>
      </c>
      <c r="L21" s="65" t="s">
        <v>191</v>
      </c>
      <c r="M21" s="13" t="s">
        <v>59</v>
      </c>
      <c r="N21" s="13" t="s">
        <v>43</v>
      </c>
      <c r="O21" s="13" t="s">
        <v>531</v>
      </c>
      <c r="P21" s="65" t="s">
        <v>534</v>
      </c>
      <c r="Q21" s="64" t="s">
        <v>9</v>
      </c>
      <c r="R21" s="62" t="e">
        <f>2682/USD</f>
        <v>#REF!</v>
      </c>
      <c r="S21" s="62">
        <v>1343.729</v>
      </c>
      <c r="T21" s="150" t="e">
        <f>+S21/USD</f>
        <v>#REF!</v>
      </c>
      <c r="U21" s="62" t="e">
        <f>31287*T21/R21/USD</f>
        <v>#REF!</v>
      </c>
      <c r="V21" s="150" t="e">
        <f>122955.42/USD</f>
        <v>#REF!</v>
      </c>
      <c r="W21" s="61" t="s">
        <v>11</v>
      </c>
      <c r="X21" s="181">
        <v>2.2499999999999999E-2</v>
      </c>
      <c r="Y21" s="60">
        <v>43486</v>
      </c>
      <c r="Z21" s="60">
        <v>46041</v>
      </c>
      <c r="AA21" s="60">
        <v>46041</v>
      </c>
      <c r="AB21" s="58">
        <f t="shared" si="3"/>
        <v>2556</v>
      </c>
      <c r="AC21" s="59" t="e">
        <f t="shared" si="5"/>
        <v>#REF!</v>
      </c>
      <c r="AD21" s="58" t="e">
        <f>AA21-#REF!</f>
        <v>#REF!</v>
      </c>
      <c r="AE21" s="57" t="e">
        <f t="shared" si="0"/>
        <v>#REF!</v>
      </c>
      <c r="AF21" s="56"/>
      <c r="AG21" s="71" t="s">
        <v>1</v>
      </c>
      <c r="AH21" s="71" t="s">
        <v>1</v>
      </c>
      <c r="AI21" s="187" t="s">
        <v>251</v>
      </c>
      <c r="AJ21" s="11" t="e">
        <f t="shared" si="2"/>
        <v>#REF!</v>
      </c>
      <c r="AK21" s="11" t="s">
        <v>271</v>
      </c>
      <c r="AL21" s="13" t="s">
        <v>357</v>
      </c>
      <c r="AM21" s="11">
        <v>2145</v>
      </c>
      <c r="AO21" s="197" t="str">
        <f>Table12129[[#This Row],[Risk Location ]]</f>
        <v>Germany</v>
      </c>
      <c r="AP21" s="198" t="str">
        <f>Table12129[[#This Row],[Sector (GICS Industry Group)]]</f>
        <v>Transportation</v>
      </c>
      <c r="AS21" s="212" t="e">
        <v>#REF!</v>
      </c>
      <c r="AT21" s="212" t="e">
        <v>#REF!</v>
      </c>
      <c r="AU21" s="212" t="e">
        <v>#REF!</v>
      </c>
      <c r="AV21" s="212"/>
      <c r="AW21" s="212" t="e">
        <v>#REF!</v>
      </c>
      <c r="AX21" s="212">
        <f t="shared" si="1"/>
        <v>0</v>
      </c>
      <c r="BB21" s="212">
        <v>0</v>
      </c>
      <c r="BC21" s="212">
        <v>0</v>
      </c>
      <c r="BD21" s="212">
        <v>0</v>
      </c>
      <c r="BE21" s="212">
        <v>0</v>
      </c>
      <c r="BF21" s="212">
        <v>0</v>
      </c>
      <c r="BG21" s="226">
        <v>0</v>
      </c>
      <c r="BH21" s="226"/>
      <c r="BJ21" s="58" t="s">
        <v>954</v>
      </c>
      <c r="BK21" s="112"/>
      <c r="BL21" s="58" t="s">
        <v>476</v>
      </c>
    </row>
    <row r="22" spans="1:64" ht="39.950000000000003" customHeight="1" x14ac:dyDescent="0.2">
      <c r="A22" s="131" t="s">
        <v>190</v>
      </c>
      <c r="B22" s="65" t="s">
        <v>23</v>
      </c>
      <c r="C22" s="66" t="s">
        <v>37</v>
      </c>
      <c r="D22" s="14" t="s">
        <v>540</v>
      </c>
      <c r="E22" s="161" t="s">
        <v>36</v>
      </c>
      <c r="F22" s="66" t="s">
        <v>106</v>
      </c>
      <c r="G22" s="66" t="s">
        <v>106</v>
      </c>
      <c r="H22" s="66" t="s">
        <v>107</v>
      </c>
      <c r="I22" s="14" t="s">
        <v>72</v>
      </c>
      <c r="J22" s="14" t="s">
        <v>219</v>
      </c>
      <c r="K22" s="14" t="s">
        <v>29</v>
      </c>
      <c r="L22" s="65" t="s">
        <v>191</v>
      </c>
      <c r="M22" s="13" t="s">
        <v>323</v>
      </c>
      <c r="N22" s="13" t="s">
        <v>43</v>
      </c>
      <c r="O22" s="13" t="s">
        <v>538</v>
      </c>
      <c r="P22" s="13" t="s">
        <v>548</v>
      </c>
      <c r="Q22" s="64" t="s">
        <v>9</v>
      </c>
      <c r="R22" s="62" t="e">
        <f>4250/USD</f>
        <v>#REF!</v>
      </c>
      <c r="S22" s="62">
        <v>2125</v>
      </c>
      <c r="T22" s="150" t="e">
        <f>+S22/USD</f>
        <v>#REF!</v>
      </c>
      <c r="U22" s="62" t="e">
        <f>50000/USD</f>
        <v>#REF!</v>
      </c>
      <c r="V22" s="150" t="e">
        <f>(212639*0.9)/USD</f>
        <v>#REF!</v>
      </c>
      <c r="W22" s="61" t="s">
        <v>551</v>
      </c>
      <c r="X22" s="181">
        <v>2.5000000000000001E-2</v>
      </c>
      <c r="Y22" s="60">
        <v>43496</v>
      </c>
      <c r="Z22" s="60">
        <v>44848</v>
      </c>
      <c r="AA22" s="60">
        <f>Z22</f>
        <v>44848</v>
      </c>
      <c r="AB22" s="58">
        <f t="shared" si="3"/>
        <v>1353</v>
      </c>
      <c r="AC22" s="59" t="e">
        <f t="shared" si="5"/>
        <v>#REF!</v>
      </c>
      <c r="AD22" s="58" t="e">
        <f>AA22-#REF!</f>
        <v>#REF!</v>
      </c>
      <c r="AE22" s="57" t="e">
        <f t="shared" si="0"/>
        <v>#REF!</v>
      </c>
      <c r="AF22" s="56"/>
      <c r="AG22" s="71" t="s">
        <v>1</v>
      </c>
      <c r="AH22" s="71" t="s">
        <v>1</v>
      </c>
      <c r="AI22" s="187" t="s">
        <v>884</v>
      </c>
      <c r="AJ22" s="11" t="e">
        <f t="shared" si="2"/>
        <v>#REF!</v>
      </c>
      <c r="AK22" s="11" t="s">
        <v>271</v>
      </c>
      <c r="AL22" s="14" t="s">
        <v>361</v>
      </c>
      <c r="AM22" s="11">
        <v>5500</v>
      </c>
      <c r="AO22" s="197" t="str">
        <f>Table12129[[#This Row],[Risk Location ]]</f>
        <v>China</v>
      </c>
      <c r="AP22" s="198" t="str">
        <f>Table12129[[#This Row],[Sector (GICS Industry Group)]]</f>
        <v>Real Estate Management &amp; Development</v>
      </c>
      <c r="AQ22" s="11">
        <v>1</v>
      </c>
      <c r="AR22" s="309">
        <v>0.25</v>
      </c>
      <c r="AS22" s="212" t="e">
        <v>#REF!</v>
      </c>
      <c r="AT22" s="212" t="e">
        <v>#REF!</v>
      </c>
      <c r="AU22" s="212" t="e">
        <v>#REF!</v>
      </c>
      <c r="AV22" s="212"/>
      <c r="AW22" s="212" t="e">
        <v>#REF!</v>
      </c>
      <c r="AX22" s="212">
        <f t="shared" si="1"/>
        <v>401.33463439201739</v>
      </c>
      <c r="BB22" s="212">
        <v>370.50305189902139</v>
      </c>
      <c r="BC22" s="212">
        <v>401.33463439201739</v>
      </c>
      <c r="BD22" s="212">
        <v>0</v>
      </c>
      <c r="BE22" s="212">
        <v>0</v>
      </c>
      <c r="BF22" s="212">
        <v>0</v>
      </c>
      <c r="BG22" s="226">
        <v>0</v>
      </c>
      <c r="BH22" s="226"/>
      <c r="BJ22" s="58" t="s">
        <v>957</v>
      </c>
      <c r="BK22" s="112"/>
      <c r="BL22" s="58" t="s">
        <v>476</v>
      </c>
    </row>
    <row r="23" spans="1:64" ht="39.950000000000003" customHeight="1" x14ac:dyDescent="0.2">
      <c r="A23" s="14" t="s">
        <v>185</v>
      </c>
      <c r="B23" s="65" t="s">
        <v>67</v>
      </c>
      <c r="C23" s="66" t="s">
        <v>127</v>
      </c>
      <c r="D23" s="14" t="s">
        <v>542</v>
      </c>
      <c r="E23" s="68" t="s">
        <v>127</v>
      </c>
      <c r="F23" s="14" t="s">
        <v>92</v>
      </c>
      <c r="G23" s="14" t="s">
        <v>93</v>
      </c>
      <c r="H23" s="66" t="s">
        <v>94</v>
      </c>
      <c r="I23" s="14" t="s">
        <v>165</v>
      </c>
      <c r="J23" s="14" t="s">
        <v>220</v>
      </c>
      <c r="K23" s="14" t="s">
        <v>22</v>
      </c>
      <c r="L23" s="65" t="s">
        <v>191</v>
      </c>
      <c r="M23" s="13" t="s">
        <v>59</v>
      </c>
      <c r="N23" s="13" t="s">
        <v>43</v>
      </c>
      <c r="O23" s="13" t="s">
        <v>538</v>
      </c>
      <c r="P23" s="65" t="s">
        <v>534</v>
      </c>
      <c r="Q23" s="64" t="s">
        <v>59</v>
      </c>
      <c r="R23" s="62" t="e">
        <f>18000/EUR</f>
        <v>#REF!</v>
      </c>
      <c r="S23" s="62">
        <v>18000</v>
      </c>
      <c r="T23" s="150" t="e">
        <f>+R23</f>
        <v>#REF!</v>
      </c>
      <c r="U23" s="62" t="e">
        <f>175000/EUR</f>
        <v>#REF!</v>
      </c>
      <c r="V23" s="150" t="e">
        <f>822727/EUR+406999.5/EUR</f>
        <v>#REF!</v>
      </c>
      <c r="W23" s="61" t="s">
        <v>11</v>
      </c>
      <c r="X23" s="181">
        <v>1.7999999999999999E-2</v>
      </c>
      <c r="Y23" s="60">
        <v>43500</v>
      </c>
      <c r="Z23" s="60">
        <v>46042</v>
      </c>
      <c r="AA23" s="60">
        <v>46042</v>
      </c>
      <c r="AB23" s="58">
        <f t="shared" si="3"/>
        <v>2543</v>
      </c>
      <c r="AC23" s="59" t="e">
        <f t="shared" si="5"/>
        <v>#REF!</v>
      </c>
      <c r="AD23" s="58" t="e">
        <f>AA23-#REF!</f>
        <v>#REF!</v>
      </c>
      <c r="AE23" s="57" t="e">
        <f t="shared" si="0"/>
        <v>#REF!</v>
      </c>
      <c r="AF23" s="56" t="s">
        <v>436</v>
      </c>
      <c r="AG23" s="71" t="s">
        <v>1</v>
      </c>
      <c r="AH23" s="71" t="s">
        <v>1</v>
      </c>
      <c r="AI23" s="187" t="s">
        <v>0</v>
      </c>
      <c r="AJ23" s="11" t="e">
        <f t="shared" si="2"/>
        <v>#REF!</v>
      </c>
      <c r="AK23" s="11" t="s">
        <v>271</v>
      </c>
      <c r="AL23" s="14" t="s">
        <v>358</v>
      </c>
      <c r="AM23" s="11">
        <v>23780</v>
      </c>
      <c r="AO23" s="197" t="str">
        <f>Table12129[[#This Row],[Risk Location ]]</f>
        <v>Germany</v>
      </c>
      <c r="AP23" s="198" t="str">
        <f>Table12129[[#This Row],[Sector (GICS Industry Group)]]</f>
        <v>Transportation</v>
      </c>
      <c r="AS23" s="212" t="e">
        <v>#REF!</v>
      </c>
      <c r="AT23" s="212" t="e">
        <v>#REF!</v>
      </c>
      <c r="AU23" s="212" t="e">
        <v>#REF!</v>
      </c>
      <c r="AV23" s="212"/>
      <c r="AW23" s="212" t="e">
        <v>#REF!</v>
      </c>
      <c r="AX23" s="212">
        <f t="shared" si="1"/>
        <v>0</v>
      </c>
      <c r="BB23" s="212">
        <v>0</v>
      </c>
      <c r="BC23" s="212">
        <v>0</v>
      </c>
      <c r="BD23" s="212">
        <v>0</v>
      </c>
      <c r="BE23" s="212">
        <v>0</v>
      </c>
      <c r="BF23" s="212">
        <v>0</v>
      </c>
      <c r="BG23" s="226">
        <v>0</v>
      </c>
      <c r="BH23" s="226"/>
      <c r="BJ23" s="58" t="s">
        <v>939</v>
      </c>
      <c r="BK23" s="112"/>
      <c r="BL23" s="58"/>
    </row>
    <row r="24" spans="1:64" ht="39.950000000000003" customHeight="1" x14ac:dyDescent="0.2">
      <c r="A24" s="148" t="s">
        <v>203</v>
      </c>
      <c r="B24" s="65" t="s">
        <v>23</v>
      </c>
      <c r="C24" s="66" t="s">
        <v>89</v>
      </c>
      <c r="D24" s="14" t="s">
        <v>542</v>
      </c>
      <c r="E24" s="77" t="s">
        <v>127</v>
      </c>
      <c r="F24" s="14" t="s">
        <v>92</v>
      </c>
      <c r="G24" s="14" t="s">
        <v>108</v>
      </c>
      <c r="H24" s="14" t="s">
        <v>109</v>
      </c>
      <c r="I24" s="14" t="s">
        <v>220</v>
      </c>
      <c r="J24" s="14" t="s">
        <v>220</v>
      </c>
      <c r="K24" s="14" t="s">
        <v>22</v>
      </c>
      <c r="L24" s="65" t="s">
        <v>191</v>
      </c>
      <c r="M24" s="13" t="s">
        <v>59</v>
      </c>
      <c r="N24" s="13" t="s">
        <v>43</v>
      </c>
      <c r="O24" s="13" t="s">
        <v>531</v>
      </c>
      <c r="P24" s="65" t="s">
        <v>534</v>
      </c>
      <c r="Q24" s="64" t="s">
        <v>9</v>
      </c>
      <c r="R24" s="62" t="e">
        <f>1980.411/USD</f>
        <v>#REF!</v>
      </c>
      <c r="S24" s="62">
        <v>949.61699999999996</v>
      </c>
      <c r="T24" s="150" t="e">
        <f>+S24/USD</f>
        <v>#REF!</v>
      </c>
      <c r="U24" s="62" t="e">
        <f>23713*T24/R24/USD</f>
        <v>#REF!</v>
      </c>
      <c r="V24" s="150" t="e">
        <f>95662.71/USD</f>
        <v>#REF!</v>
      </c>
      <c r="W24" s="61" t="s">
        <v>11</v>
      </c>
      <c r="X24" s="181">
        <v>2.2499999999999999E-2</v>
      </c>
      <c r="Y24" s="60">
        <v>43508</v>
      </c>
      <c r="Z24" s="60">
        <v>46081</v>
      </c>
      <c r="AA24" s="60">
        <v>46081</v>
      </c>
      <c r="AB24" s="58">
        <f t="shared" si="3"/>
        <v>2574</v>
      </c>
      <c r="AC24" s="59" t="e">
        <f t="shared" si="5"/>
        <v>#REF!</v>
      </c>
      <c r="AD24" s="58" t="e">
        <f>AA24-#REF!</f>
        <v>#REF!</v>
      </c>
      <c r="AE24" s="57" t="e">
        <f t="shared" si="0"/>
        <v>#REF!</v>
      </c>
      <c r="AF24" s="56"/>
      <c r="AG24" s="71" t="s">
        <v>1</v>
      </c>
      <c r="AH24" s="71" t="s">
        <v>1</v>
      </c>
      <c r="AI24" s="187" t="s">
        <v>251</v>
      </c>
      <c r="AJ24" s="11" t="e">
        <f t="shared" si="2"/>
        <v>#REF!</v>
      </c>
      <c r="AK24" s="11" t="s">
        <v>271</v>
      </c>
      <c r="AL24" s="14" t="s">
        <v>360</v>
      </c>
      <c r="AM24" s="11">
        <v>1555</v>
      </c>
      <c r="AO24" s="197" t="str">
        <f>Table12129[[#This Row],[Risk Location ]]</f>
        <v>Germany</v>
      </c>
      <c r="AP24" s="198" t="str">
        <f>Table12129[[#This Row],[Sector (GICS Industry Group)]]</f>
        <v>Transportation</v>
      </c>
      <c r="AS24" s="212" t="e">
        <v>#REF!</v>
      </c>
      <c r="AT24" s="212" t="e">
        <v>#REF!</v>
      </c>
      <c r="AU24" s="212" t="e">
        <v>#REF!</v>
      </c>
      <c r="AV24" s="212"/>
      <c r="AW24" s="212" t="e">
        <v>#REF!</v>
      </c>
      <c r="AX24" s="212">
        <f t="shared" si="1"/>
        <v>0</v>
      </c>
      <c r="BB24" s="212">
        <v>0</v>
      </c>
      <c r="BC24" s="212">
        <v>0</v>
      </c>
      <c r="BD24" s="212">
        <v>0</v>
      </c>
      <c r="BE24" s="212">
        <v>0</v>
      </c>
      <c r="BF24" s="212">
        <v>0</v>
      </c>
      <c r="BG24" s="226">
        <v>0</v>
      </c>
      <c r="BH24" s="226"/>
      <c r="BJ24" s="58" t="s">
        <v>955</v>
      </c>
      <c r="BK24" s="112"/>
      <c r="BL24" s="58"/>
    </row>
    <row r="25" spans="1:64" ht="39.950000000000003" customHeight="1" x14ac:dyDescent="0.2">
      <c r="A25" s="14" t="s">
        <v>187</v>
      </c>
      <c r="B25" s="65" t="s">
        <v>67</v>
      </c>
      <c r="C25" s="66" t="s">
        <v>34</v>
      </c>
      <c r="D25" s="14" t="s">
        <v>34</v>
      </c>
      <c r="E25" s="77" t="s">
        <v>34</v>
      </c>
      <c r="F25" s="14" t="s">
        <v>543</v>
      </c>
      <c r="G25" s="14" t="s">
        <v>97</v>
      </c>
      <c r="H25" s="14" t="s">
        <v>186</v>
      </c>
      <c r="I25" s="14" t="s">
        <v>70</v>
      </c>
      <c r="J25" s="14" t="s">
        <v>218</v>
      </c>
      <c r="K25" s="14" t="s">
        <v>139</v>
      </c>
      <c r="L25" s="65" t="s">
        <v>191</v>
      </c>
      <c r="M25" s="13" t="s">
        <v>323</v>
      </c>
      <c r="N25" s="13" t="s">
        <v>43</v>
      </c>
      <c r="O25" s="13" t="s">
        <v>538</v>
      </c>
      <c r="P25" s="65" t="s">
        <v>534</v>
      </c>
      <c r="Q25" s="15" t="s">
        <v>8</v>
      </c>
      <c r="R25" s="86">
        <v>15000</v>
      </c>
      <c r="S25" s="62">
        <v>15000</v>
      </c>
      <c r="T25" s="169">
        <f>+R25</f>
        <v>15000</v>
      </c>
      <c r="U25" s="86">
        <v>65000</v>
      </c>
      <c r="V25" s="169">
        <v>1815402.7390411</v>
      </c>
      <c r="W25" s="61" t="s">
        <v>11</v>
      </c>
      <c r="X25" s="181">
        <v>5.2499999999999998E-2</v>
      </c>
      <c r="Y25" s="85">
        <v>43511</v>
      </c>
      <c r="Z25" s="85">
        <v>45392</v>
      </c>
      <c r="AA25" s="85">
        <v>45392</v>
      </c>
      <c r="AB25" s="58">
        <f t="shared" si="3"/>
        <v>1882</v>
      </c>
      <c r="AC25" s="59" t="e">
        <f t="shared" si="5"/>
        <v>#REF!</v>
      </c>
      <c r="AD25" s="58" t="e">
        <f>AA25-#REF!</f>
        <v>#REF!</v>
      </c>
      <c r="AE25" s="57" t="e">
        <f t="shared" si="0"/>
        <v>#REF!</v>
      </c>
      <c r="AF25" s="56"/>
      <c r="AG25" s="71" t="s">
        <v>1</v>
      </c>
      <c r="AH25" s="71" t="s">
        <v>1</v>
      </c>
      <c r="AI25" s="70" t="s">
        <v>0</v>
      </c>
      <c r="AJ25" s="11" t="e">
        <f t="shared" si="2"/>
        <v>#REF!</v>
      </c>
      <c r="AK25" s="11" t="s">
        <v>271</v>
      </c>
      <c r="AL25" s="14" t="s">
        <v>359</v>
      </c>
      <c r="AM25" s="12">
        <v>5500</v>
      </c>
      <c r="AN25" s="12"/>
      <c r="AO25" s="197" t="str">
        <f>Table12129[[#This Row],[Risk Location ]]</f>
        <v>Australia</v>
      </c>
      <c r="AP25" s="198" t="str">
        <f>Table12129[[#This Row],[Sector (GICS Industry Group)]]</f>
        <v>Industrials</v>
      </c>
      <c r="AQ25" s="12"/>
      <c r="AS25" s="212" t="e">
        <v>#REF!</v>
      </c>
      <c r="AT25" s="212" t="e">
        <v>#REF!</v>
      </c>
      <c r="AU25" s="212" t="e">
        <v>#REF!</v>
      </c>
      <c r="AV25" s="212"/>
      <c r="AW25" s="212" t="e">
        <v>#REF!</v>
      </c>
      <c r="AX25" s="212">
        <f t="shared" si="1"/>
        <v>0</v>
      </c>
      <c r="BB25" s="212">
        <v>0</v>
      </c>
      <c r="BC25" s="212">
        <v>0</v>
      </c>
      <c r="BD25" s="212">
        <v>0</v>
      </c>
      <c r="BE25" s="212">
        <v>0</v>
      </c>
      <c r="BF25" s="212">
        <v>0</v>
      </c>
      <c r="BG25" s="226">
        <v>0</v>
      </c>
      <c r="BH25" s="226"/>
      <c r="BJ25" s="58" t="s">
        <v>958</v>
      </c>
      <c r="BK25" s="112"/>
      <c r="BL25" s="58"/>
    </row>
    <row r="26" spans="1:64" ht="39.950000000000003" customHeight="1" x14ac:dyDescent="0.2">
      <c r="A26" s="65" t="s">
        <v>194</v>
      </c>
      <c r="B26" s="65" t="s">
        <v>23</v>
      </c>
      <c r="C26" s="66" t="s">
        <v>89</v>
      </c>
      <c r="D26" s="14" t="s">
        <v>542</v>
      </c>
      <c r="E26" s="77" t="s">
        <v>193</v>
      </c>
      <c r="F26" s="14" t="s">
        <v>92</v>
      </c>
      <c r="G26" s="66" t="s">
        <v>134</v>
      </c>
      <c r="H26" s="14" t="s">
        <v>134</v>
      </c>
      <c r="I26" s="14" t="s">
        <v>220</v>
      </c>
      <c r="J26" s="14" t="s">
        <v>220</v>
      </c>
      <c r="K26" s="14" t="s">
        <v>22</v>
      </c>
      <c r="L26" s="65" t="s">
        <v>191</v>
      </c>
      <c r="M26" s="13" t="s">
        <v>59</v>
      </c>
      <c r="N26" s="13" t="s">
        <v>43</v>
      </c>
      <c r="O26" s="13" t="s">
        <v>531</v>
      </c>
      <c r="P26" s="65" t="s">
        <v>534</v>
      </c>
      <c r="Q26" s="64" t="s">
        <v>9</v>
      </c>
      <c r="R26" s="62" t="e">
        <f>15000/USD</f>
        <v>#REF!</v>
      </c>
      <c r="S26" s="62">
        <v>6923.076</v>
      </c>
      <c r="T26" s="150" t="e">
        <f>+S26/USD</f>
        <v>#REF!</v>
      </c>
      <c r="U26" s="62" t="e">
        <f>137000*T26/R26/USD</f>
        <v>#REF!</v>
      </c>
      <c r="V26" s="150" t="e">
        <f>765437/USD</f>
        <v>#REF!</v>
      </c>
      <c r="W26" s="61" t="s">
        <v>11</v>
      </c>
      <c r="X26" s="181">
        <v>2.8500000000000001E-2</v>
      </c>
      <c r="Y26" s="60">
        <v>43515</v>
      </c>
      <c r="Z26" s="60">
        <v>46042</v>
      </c>
      <c r="AA26" s="60">
        <v>46042</v>
      </c>
      <c r="AB26" s="58">
        <f t="shared" si="3"/>
        <v>2528</v>
      </c>
      <c r="AC26" s="59" t="e">
        <f t="shared" si="5"/>
        <v>#REF!</v>
      </c>
      <c r="AD26" s="58" t="e">
        <f>AA26-#REF!</f>
        <v>#REF!</v>
      </c>
      <c r="AE26" s="57" t="e">
        <f t="shared" si="0"/>
        <v>#REF!</v>
      </c>
      <c r="AF26" s="56"/>
      <c r="AG26" s="71" t="s">
        <v>1</v>
      </c>
      <c r="AH26" s="71" t="s">
        <v>1</v>
      </c>
      <c r="AI26" s="70" t="s">
        <v>269</v>
      </c>
      <c r="AJ26" s="11" t="e">
        <f t="shared" si="2"/>
        <v>#REF!</v>
      </c>
      <c r="AK26" s="11" t="s">
        <v>271</v>
      </c>
      <c r="AL26" s="13" t="s">
        <v>362</v>
      </c>
      <c r="AM26" s="11">
        <v>6472.5</v>
      </c>
      <c r="AO26" s="197" t="str">
        <f>Table12129[[#This Row],[Risk Location ]]</f>
        <v>Switzerland</v>
      </c>
      <c r="AP26" s="198" t="str">
        <f>Table12129[[#This Row],[Sector (GICS Industry Group)]]</f>
        <v>Transportation</v>
      </c>
      <c r="AS26" s="212" t="e">
        <v>#REF!</v>
      </c>
      <c r="AT26" s="212" t="e">
        <v>#REF!</v>
      </c>
      <c r="AU26" s="212" t="e">
        <v>#REF!</v>
      </c>
      <c r="AV26" s="212"/>
      <c r="AW26" s="212" t="e">
        <v>#REF!</v>
      </c>
      <c r="AX26" s="212">
        <f t="shared" si="1"/>
        <v>0</v>
      </c>
      <c r="BB26" s="212">
        <v>0</v>
      </c>
      <c r="BC26" s="212">
        <v>0</v>
      </c>
      <c r="BD26" s="212">
        <v>0</v>
      </c>
      <c r="BE26" s="212">
        <v>0</v>
      </c>
      <c r="BF26" s="212">
        <v>0</v>
      </c>
      <c r="BG26" s="226">
        <v>0</v>
      </c>
      <c r="BH26" s="226"/>
      <c r="BJ26" s="58" t="s">
        <v>959</v>
      </c>
      <c r="BK26" s="112"/>
      <c r="BL26" s="58"/>
    </row>
    <row r="27" spans="1:64" ht="39.950000000000003" customHeight="1" x14ac:dyDescent="0.2">
      <c r="A27" s="66" t="s">
        <v>192</v>
      </c>
      <c r="B27" s="65" t="s">
        <v>23</v>
      </c>
      <c r="C27" s="66" t="s">
        <v>149</v>
      </c>
      <c r="D27" s="14" t="s">
        <v>541</v>
      </c>
      <c r="E27" s="130" t="s">
        <v>37</v>
      </c>
      <c r="F27" s="14" t="s">
        <v>544</v>
      </c>
      <c r="G27" s="66" t="s">
        <v>178</v>
      </c>
      <c r="H27" s="66" t="s">
        <v>177</v>
      </c>
      <c r="I27" s="14" t="s">
        <v>148</v>
      </c>
      <c r="J27" s="14" t="s">
        <v>148</v>
      </c>
      <c r="K27" s="14" t="s">
        <v>29</v>
      </c>
      <c r="L27" s="65" t="s">
        <v>191</v>
      </c>
      <c r="M27" s="13" t="s">
        <v>59</v>
      </c>
      <c r="N27" s="13" t="s">
        <v>43</v>
      </c>
      <c r="O27" s="13" t="s">
        <v>539</v>
      </c>
      <c r="P27" s="65" t="s">
        <v>534</v>
      </c>
      <c r="Q27" s="64" t="s">
        <v>9</v>
      </c>
      <c r="R27" s="62" t="e">
        <f>7500/USD</f>
        <v>#REF!</v>
      </c>
      <c r="S27" s="62">
        <v>5025</v>
      </c>
      <c r="T27" s="150" t="e">
        <f>+S27/USD</f>
        <v>#REF!</v>
      </c>
      <c r="U27" s="62" t="e">
        <f>30000/USD</f>
        <v>#REF!</v>
      </c>
      <c r="V27" s="150" t="e">
        <f>(475435*0.85)/USD</f>
        <v>#REF!</v>
      </c>
      <c r="W27" s="61" t="s">
        <v>551</v>
      </c>
      <c r="X27" s="181">
        <v>3.5000000000000003E-2</v>
      </c>
      <c r="Y27" s="60">
        <v>43532</v>
      </c>
      <c r="Z27" s="60">
        <v>45323</v>
      </c>
      <c r="AA27" s="60">
        <f>Z27</f>
        <v>45323</v>
      </c>
      <c r="AB27" s="58">
        <f t="shared" si="3"/>
        <v>1792</v>
      </c>
      <c r="AC27" s="59" t="e">
        <f t="shared" si="5"/>
        <v>#REF!</v>
      </c>
      <c r="AD27" s="58" t="e">
        <f>AA27-#REF!</f>
        <v>#REF!</v>
      </c>
      <c r="AE27" s="57" t="e">
        <f t="shared" si="0"/>
        <v>#REF!</v>
      </c>
      <c r="AF27" s="56"/>
      <c r="AG27" s="71" t="s">
        <v>1</v>
      </c>
      <c r="AH27" s="71" t="s">
        <v>1</v>
      </c>
      <c r="AI27" s="70" t="s">
        <v>0</v>
      </c>
      <c r="AJ27" s="11" t="e">
        <f t="shared" si="2"/>
        <v>#REF!</v>
      </c>
      <c r="AK27" s="11" t="s">
        <v>271</v>
      </c>
      <c r="AL27" s="14" t="s">
        <v>363</v>
      </c>
      <c r="AM27" s="11">
        <v>8000</v>
      </c>
      <c r="AO27" s="197" t="str">
        <f>Table12129[[#This Row],[Risk Location ]]</f>
        <v>Hong Kong</v>
      </c>
      <c r="AP27" s="198" t="str">
        <f>Table12129[[#This Row],[Sector (GICS Industry Group)]]</f>
        <v>Consumer Discretionary</v>
      </c>
      <c r="AQ27" s="11">
        <v>1</v>
      </c>
      <c r="AR27" s="214">
        <v>7.4999999999999997E-2</v>
      </c>
      <c r="AS27" s="212" t="e">
        <v>#REF!</v>
      </c>
      <c r="AT27" s="212" t="e">
        <v>#REF!</v>
      </c>
      <c r="AU27" s="212" t="e">
        <v>#REF!</v>
      </c>
      <c r="AV27" s="212"/>
      <c r="AW27" s="212" t="e">
        <v>#REF!</v>
      </c>
      <c r="AX27" s="212">
        <f t="shared" si="1"/>
        <v>593.14898171173161</v>
      </c>
      <c r="AY27" s="12"/>
      <c r="BB27" s="212">
        <v>547.58171640958301</v>
      </c>
      <c r="BC27" s="212">
        <v>593.14898171173161</v>
      </c>
      <c r="BD27" s="212">
        <v>369.87692851254269</v>
      </c>
      <c r="BE27" s="212">
        <v>337.81966816360563</v>
      </c>
      <c r="BF27" s="212">
        <v>783.67722250860299</v>
      </c>
      <c r="BG27" s="226">
        <v>1044.9029633448042</v>
      </c>
      <c r="BH27" s="226">
        <v>1038.2059800664451</v>
      </c>
      <c r="BJ27" s="58" t="s">
        <v>960</v>
      </c>
      <c r="BK27" s="112"/>
      <c r="BL27" s="58"/>
    </row>
    <row r="28" spans="1:64" ht="39.950000000000003" customHeight="1" x14ac:dyDescent="0.2">
      <c r="A28" s="66" t="s">
        <v>205</v>
      </c>
      <c r="B28" s="65" t="s">
        <v>23</v>
      </c>
      <c r="C28" s="66" t="s">
        <v>38</v>
      </c>
      <c r="D28" s="14" t="s">
        <v>540</v>
      </c>
      <c r="E28" s="161" t="s">
        <v>36</v>
      </c>
      <c r="F28" s="14" t="s">
        <v>92</v>
      </c>
      <c r="G28" s="66" t="s">
        <v>134</v>
      </c>
      <c r="H28" s="66" t="s">
        <v>134</v>
      </c>
      <c r="I28" s="66" t="s">
        <v>50</v>
      </c>
      <c r="J28" s="66" t="s">
        <v>21</v>
      </c>
      <c r="K28" s="14" t="s">
        <v>22</v>
      </c>
      <c r="L28" s="65" t="s">
        <v>191</v>
      </c>
      <c r="M28" s="13" t="s">
        <v>323</v>
      </c>
      <c r="N28" s="65" t="s">
        <v>43</v>
      </c>
      <c r="O28" s="65" t="s">
        <v>531</v>
      </c>
      <c r="P28" s="65" t="s">
        <v>534</v>
      </c>
      <c r="Q28" s="83" t="s">
        <v>9</v>
      </c>
      <c r="R28" s="62" t="e">
        <f>20250/USD</f>
        <v>#REF!</v>
      </c>
      <c r="S28" s="62">
        <v>11502.163</v>
      </c>
      <c r="T28" s="82" t="e">
        <f>Table12129[[#This Row],[Amortised Limit in Original Currency]]/USD</f>
        <v>#REF!</v>
      </c>
      <c r="U28" s="82" t="e">
        <f>96800*T28/R28/USD</f>
        <v>#REF!</v>
      </c>
      <c r="V28" s="82" t="e">
        <f>631314/USD</f>
        <v>#REF!</v>
      </c>
      <c r="W28" s="61" t="s">
        <v>11</v>
      </c>
      <c r="X28" s="181">
        <v>1.4E-2</v>
      </c>
      <c r="Y28" s="81">
        <v>43609</v>
      </c>
      <c r="Z28" s="81">
        <v>46457</v>
      </c>
      <c r="AA28" s="81">
        <v>46457</v>
      </c>
      <c r="AB28" s="58">
        <f t="shared" si="3"/>
        <v>2849</v>
      </c>
      <c r="AC28" s="151" t="e">
        <f t="shared" si="5"/>
        <v>#REF!</v>
      </c>
      <c r="AD28" s="80" t="e">
        <f>AA28-#REF!</f>
        <v>#REF!</v>
      </c>
      <c r="AE28" s="57" t="e">
        <f t="shared" si="0"/>
        <v>#REF!</v>
      </c>
      <c r="AF28" s="56" t="s">
        <v>436</v>
      </c>
      <c r="AG28" s="71" t="s">
        <v>1</v>
      </c>
      <c r="AH28" s="71" t="s">
        <v>1</v>
      </c>
      <c r="AI28" s="70" t="s">
        <v>883</v>
      </c>
      <c r="AJ28" s="11" t="e">
        <f t="shared" si="2"/>
        <v>#REF!</v>
      </c>
      <c r="AK28" s="11" t="s">
        <v>271</v>
      </c>
      <c r="AL28" s="14" t="s">
        <v>366</v>
      </c>
      <c r="AM28" s="11">
        <v>8100</v>
      </c>
      <c r="AO28" s="197" t="str">
        <f>Table12129[[#This Row],[Risk Location ]]</f>
        <v>China</v>
      </c>
      <c r="AP28" s="198" t="str">
        <f>Table12129[[#This Row],[Sector (GICS Industry Group)]]</f>
        <v>Transportation</v>
      </c>
      <c r="AS28" s="212" t="e">
        <v>#REF!</v>
      </c>
      <c r="AT28" s="212" t="e">
        <v>#REF!</v>
      </c>
      <c r="AU28" s="212" t="e">
        <v>#REF!</v>
      </c>
      <c r="AV28" s="212"/>
      <c r="AW28" s="212" t="e">
        <v>#REF!</v>
      </c>
      <c r="AX28" s="212">
        <f t="shared" si="1"/>
        <v>0</v>
      </c>
      <c r="BB28" s="212">
        <v>0</v>
      </c>
      <c r="BC28" s="212">
        <v>0</v>
      </c>
      <c r="BD28" s="212">
        <v>0</v>
      </c>
      <c r="BE28" s="212">
        <v>0</v>
      </c>
      <c r="BF28" s="212">
        <v>0</v>
      </c>
      <c r="BG28" s="226">
        <v>0</v>
      </c>
      <c r="BH28" s="226"/>
      <c r="BJ28" s="58" t="s">
        <v>961</v>
      </c>
      <c r="BK28" s="112"/>
      <c r="BL28" s="58"/>
    </row>
    <row r="29" spans="1:64" ht="39.950000000000003" customHeight="1" x14ac:dyDescent="0.2">
      <c r="A29" s="65" t="s">
        <v>210</v>
      </c>
      <c r="B29" s="65" t="s">
        <v>51</v>
      </c>
      <c r="C29" s="66" t="s">
        <v>211</v>
      </c>
      <c r="D29" s="14" t="s">
        <v>542</v>
      </c>
      <c r="E29" s="77" t="s">
        <v>211</v>
      </c>
      <c r="F29" s="14" t="s">
        <v>102</v>
      </c>
      <c r="G29" s="14" t="s">
        <v>102</v>
      </c>
      <c r="H29" s="66" t="s">
        <v>122</v>
      </c>
      <c r="I29" s="66" t="s">
        <v>212</v>
      </c>
      <c r="J29" s="66" t="s">
        <v>220</v>
      </c>
      <c r="K29" s="14" t="s">
        <v>13</v>
      </c>
      <c r="L29" s="65" t="s">
        <v>191</v>
      </c>
      <c r="M29" s="13" t="s">
        <v>59</v>
      </c>
      <c r="N29" s="65" t="s">
        <v>43</v>
      </c>
      <c r="O29" s="65" t="s">
        <v>538</v>
      </c>
      <c r="P29" s="65" t="s">
        <v>534</v>
      </c>
      <c r="Q29" s="64" t="s">
        <v>59</v>
      </c>
      <c r="R29" s="62" t="e">
        <f>8027.5/EUR</f>
        <v>#REF!</v>
      </c>
      <c r="S29" s="62">
        <v>8027.5</v>
      </c>
      <c r="T29" s="82" t="e">
        <f>R29</f>
        <v>#REF!</v>
      </c>
      <c r="U29" s="82" t="e">
        <f>16055/EUR</f>
        <v>#REF!</v>
      </c>
      <c r="V29" s="62" t="e">
        <f>489841.63/EUR</f>
        <v>#REF!</v>
      </c>
      <c r="W29" s="61" t="s">
        <v>11</v>
      </c>
      <c r="X29" s="181">
        <v>2.5000000000000001E-2</v>
      </c>
      <c r="Y29" s="81">
        <v>43626</v>
      </c>
      <c r="Z29" s="60">
        <v>45301</v>
      </c>
      <c r="AA29" s="157">
        <v>45301</v>
      </c>
      <c r="AB29" s="58">
        <f t="shared" si="3"/>
        <v>1676</v>
      </c>
      <c r="AC29" s="151" t="e">
        <f t="shared" si="5"/>
        <v>#REF!</v>
      </c>
      <c r="AD29" s="80" t="e">
        <f>AA29-#REF!</f>
        <v>#REF!</v>
      </c>
      <c r="AE29" s="57" t="e">
        <f t="shared" si="0"/>
        <v>#REF!</v>
      </c>
      <c r="AF29" s="56"/>
      <c r="AG29" s="71" t="s">
        <v>1</v>
      </c>
      <c r="AH29" s="71" t="s">
        <v>1</v>
      </c>
      <c r="AI29" s="70" t="s">
        <v>0</v>
      </c>
      <c r="AJ29" s="11" t="e">
        <f t="shared" si="2"/>
        <v>#REF!</v>
      </c>
      <c r="AK29" s="11" t="s">
        <v>271</v>
      </c>
      <c r="AL29" s="14" t="s">
        <v>1116</v>
      </c>
      <c r="AM29" s="11">
        <v>11000</v>
      </c>
      <c r="AO29" s="197" t="str">
        <f>Table12129[[#This Row],[Risk Location ]]</f>
        <v>Spain</v>
      </c>
      <c r="AP29" s="198" t="str">
        <f>Table12129[[#This Row],[Sector (GICS Industry Group)]]</f>
        <v>Real Estate Investment</v>
      </c>
      <c r="AS29" s="212" t="e">
        <v>#REF!</v>
      </c>
      <c r="AT29" s="212" t="e">
        <v>#REF!</v>
      </c>
      <c r="AU29" s="212" t="e">
        <v>#REF!</v>
      </c>
      <c r="AV29" s="212"/>
      <c r="AW29" s="212" t="e">
        <v>#REF!</v>
      </c>
      <c r="AX29" s="212">
        <f t="shared" si="1"/>
        <v>0</v>
      </c>
      <c r="BB29" s="212">
        <v>0</v>
      </c>
      <c r="BC29" s="212">
        <v>0</v>
      </c>
      <c r="BD29" s="212">
        <v>0</v>
      </c>
      <c r="BE29" s="212">
        <v>0</v>
      </c>
      <c r="BF29" s="212">
        <v>0</v>
      </c>
      <c r="BG29" s="226">
        <v>0</v>
      </c>
      <c r="BH29" s="226"/>
      <c r="BJ29" s="58" t="s">
        <v>1117</v>
      </c>
      <c r="BK29" s="112"/>
      <c r="BL29" s="58"/>
    </row>
    <row r="30" spans="1:64" ht="39.950000000000003" customHeight="1" x14ac:dyDescent="0.2">
      <c r="A30" s="13" t="s">
        <v>213</v>
      </c>
      <c r="B30" s="65" t="s">
        <v>67</v>
      </c>
      <c r="C30" s="66" t="s">
        <v>87</v>
      </c>
      <c r="D30" s="14" t="s">
        <v>34</v>
      </c>
      <c r="E30" s="77" t="s">
        <v>34</v>
      </c>
      <c r="F30" s="14" t="s">
        <v>48</v>
      </c>
      <c r="G30" s="66" t="s">
        <v>120</v>
      </c>
      <c r="H30" s="66" t="s">
        <v>214</v>
      </c>
      <c r="I30" s="14" t="s">
        <v>181</v>
      </c>
      <c r="J30" s="14" t="s">
        <v>33</v>
      </c>
      <c r="K30" s="14" t="s">
        <v>209</v>
      </c>
      <c r="L30" s="65" t="s">
        <v>191</v>
      </c>
      <c r="M30" s="13" t="s">
        <v>59</v>
      </c>
      <c r="N30" s="13" t="s">
        <v>43</v>
      </c>
      <c r="O30" s="13" t="s">
        <v>533</v>
      </c>
      <c r="P30" s="13" t="s">
        <v>532</v>
      </c>
      <c r="Q30" s="64" t="s">
        <v>9</v>
      </c>
      <c r="R30" s="62" t="e">
        <f>25000/USD</f>
        <v>#REF!</v>
      </c>
      <c r="S30" s="62">
        <v>10206.266</v>
      </c>
      <c r="T30" s="150" t="e">
        <f>S30/USD</f>
        <v>#REF!</v>
      </c>
      <c r="U30" s="62" t="e">
        <f>105000*T30/R30/USD</f>
        <v>#REF!</v>
      </c>
      <c r="V30" s="76" t="e">
        <f>1080186.36/USD</f>
        <v>#REF!</v>
      </c>
      <c r="W30" s="61" t="s">
        <v>11</v>
      </c>
      <c r="X30" s="181">
        <v>0.02</v>
      </c>
      <c r="Y30" s="60">
        <v>43630</v>
      </c>
      <c r="Z30" s="60">
        <v>45365</v>
      </c>
      <c r="AA30" s="60">
        <v>45365</v>
      </c>
      <c r="AB30" s="58">
        <f t="shared" si="3"/>
        <v>1736</v>
      </c>
      <c r="AC30" s="59" t="e">
        <f t="shared" si="5"/>
        <v>#REF!</v>
      </c>
      <c r="AD30" s="58" t="e">
        <f>AA30-#REF!</f>
        <v>#REF!</v>
      </c>
      <c r="AE30" s="57" t="e">
        <f t="shared" si="0"/>
        <v>#REF!</v>
      </c>
      <c r="AF30" s="56" t="s">
        <v>436</v>
      </c>
      <c r="AG30" s="71" t="s">
        <v>1</v>
      </c>
      <c r="AH30" s="71" t="s">
        <v>1</v>
      </c>
      <c r="AI30" s="187" t="s">
        <v>719</v>
      </c>
      <c r="AJ30" s="11" t="e">
        <f t="shared" si="2"/>
        <v>#REF!</v>
      </c>
      <c r="AK30" s="11" t="s">
        <v>271</v>
      </c>
      <c r="AL30" s="13" t="s">
        <v>370</v>
      </c>
      <c r="AM30" s="11">
        <v>8500</v>
      </c>
      <c r="AO30" s="197" t="str">
        <f>Table12129[[#This Row],[Risk Location ]]</f>
        <v>Australia</v>
      </c>
      <c r="AP30" s="198" t="str">
        <f>Table12129[[#This Row],[Sector (GICS Industry Group)]]</f>
        <v>Energy</v>
      </c>
      <c r="AS30" s="212" t="e">
        <v>#REF!</v>
      </c>
      <c r="AT30" s="212" t="e">
        <v>#REF!</v>
      </c>
      <c r="AU30" s="212" t="e">
        <v>#REF!</v>
      </c>
      <c r="AV30" s="212"/>
      <c r="AW30" s="212" t="e">
        <v>#REF!</v>
      </c>
      <c r="AX30" s="212">
        <f t="shared" si="1"/>
        <v>0</v>
      </c>
      <c r="BB30" s="212">
        <v>0</v>
      </c>
      <c r="BC30" s="212">
        <v>0</v>
      </c>
      <c r="BD30" s="212">
        <v>0</v>
      </c>
      <c r="BE30" s="212">
        <v>0</v>
      </c>
      <c r="BF30" s="212">
        <v>0</v>
      </c>
      <c r="BG30" s="226">
        <v>0</v>
      </c>
      <c r="BH30" s="226"/>
      <c r="BJ30" s="58" t="s">
        <v>962</v>
      </c>
      <c r="BK30" s="112"/>
      <c r="BL30" s="58"/>
    </row>
    <row r="31" spans="1:64" ht="39.950000000000003" customHeight="1" x14ac:dyDescent="0.2">
      <c r="A31" s="14" t="s">
        <v>215</v>
      </c>
      <c r="B31" s="65" t="s">
        <v>67</v>
      </c>
      <c r="C31" s="66" t="s">
        <v>38</v>
      </c>
      <c r="D31" s="14" t="s">
        <v>541</v>
      </c>
      <c r="E31" s="77" t="s">
        <v>37</v>
      </c>
      <c r="F31" s="14" t="s">
        <v>102</v>
      </c>
      <c r="G31" s="14" t="s">
        <v>102</v>
      </c>
      <c r="H31" s="66" t="s">
        <v>122</v>
      </c>
      <c r="I31" s="14" t="s">
        <v>142</v>
      </c>
      <c r="J31" s="66" t="s">
        <v>218</v>
      </c>
      <c r="K31" s="14" t="s">
        <v>101</v>
      </c>
      <c r="L31" s="65" t="s">
        <v>191</v>
      </c>
      <c r="M31" s="13" t="s">
        <v>323</v>
      </c>
      <c r="N31" s="13" t="s">
        <v>43</v>
      </c>
      <c r="O31" s="13" t="s">
        <v>531</v>
      </c>
      <c r="P31" s="65" t="s">
        <v>534</v>
      </c>
      <c r="Q31" s="64" t="s">
        <v>54</v>
      </c>
      <c r="R31" s="62" t="e">
        <f>195000/HKD</f>
        <v>#REF!</v>
      </c>
      <c r="S31" s="62">
        <v>158000</v>
      </c>
      <c r="T31" s="62" t="e">
        <f>R31</f>
        <v>#REF!</v>
      </c>
      <c r="U31" s="62" t="e">
        <f>2430000/#REF!</f>
        <v>#REF!</v>
      </c>
      <c r="V31" s="76" t="e">
        <f>4954015.1/HKD-1784223.29/HKD</f>
        <v>#REF!</v>
      </c>
      <c r="W31" s="61" t="s">
        <v>551</v>
      </c>
      <c r="X31" s="181">
        <v>1.6799999999999999E-2</v>
      </c>
      <c r="Y31" s="60">
        <v>43633</v>
      </c>
      <c r="Z31" s="60">
        <v>45046</v>
      </c>
      <c r="AA31" s="60">
        <f>Z31</f>
        <v>45046</v>
      </c>
      <c r="AB31" s="58">
        <f t="shared" si="3"/>
        <v>1414</v>
      </c>
      <c r="AC31" s="59" t="e">
        <f t="shared" si="5"/>
        <v>#REF!</v>
      </c>
      <c r="AD31" s="58" t="e">
        <f>AA31-#REF!</f>
        <v>#REF!</v>
      </c>
      <c r="AE31" s="57" t="e">
        <f t="shared" si="0"/>
        <v>#REF!</v>
      </c>
      <c r="AF31" s="56" t="s">
        <v>436</v>
      </c>
      <c r="AG31" s="152" t="s">
        <v>1</v>
      </c>
      <c r="AH31" s="152" t="s">
        <v>1</v>
      </c>
      <c r="AI31" s="153" t="s">
        <v>0</v>
      </c>
      <c r="AJ31" s="11" t="e">
        <f t="shared" si="2"/>
        <v>#REF!</v>
      </c>
      <c r="AK31" s="11" t="s">
        <v>271</v>
      </c>
      <c r="AL31" s="14" t="s">
        <v>374</v>
      </c>
      <c r="AM31" s="11">
        <v>8500</v>
      </c>
      <c r="AO31" s="197" t="str">
        <f>Table12129[[#This Row],[Risk Location ]]</f>
        <v>Hong Kong</v>
      </c>
      <c r="AP31" s="198" t="str">
        <f>Table12129[[#This Row],[Sector (GICS Industry Group)]]</f>
        <v>Real Estate Investment</v>
      </c>
      <c r="AQ31" s="11">
        <v>1</v>
      </c>
      <c r="AR31" s="309">
        <v>2.5000000000000001E-2</v>
      </c>
      <c r="AS31" s="212" t="e">
        <v>#REF!</v>
      </c>
      <c r="AT31" s="212" t="e">
        <v>#REF!</v>
      </c>
      <c r="AU31" s="212" t="e">
        <v>#REF!</v>
      </c>
      <c r="AV31" s="212"/>
      <c r="AW31" s="212" t="e">
        <v>#REF!</v>
      </c>
      <c r="AX31" s="212">
        <f t="shared" si="1"/>
        <v>977.5220067774859</v>
      </c>
      <c r="BB31" s="212">
        <v>907.068767367227</v>
      </c>
      <c r="BC31" s="212">
        <v>977.5220067774859</v>
      </c>
      <c r="BD31" s="212">
        <v>0</v>
      </c>
      <c r="BE31" s="212">
        <v>0</v>
      </c>
      <c r="BF31" s="212">
        <v>0</v>
      </c>
      <c r="BG31" s="226">
        <v>0</v>
      </c>
      <c r="BH31" s="226"/>
      <c r="BJ31" s="58" t="s">
        <v>963</v>
      </c>
      <c r="BK31" s="112"/>
      <c r="BL31" s="58"/>
    </row>
    <row r="32" spans="1:64" ht="39.950000000000003" customHeight="1" x14ac:dyDescent="0.2">
      <c r="A32" s="14" t="s">
        <v>223</v>
      </c>
      <c r="B32" s="65" t="s">
        <v>24</v>
      </c>
      <c r="C32" s="66" t="s">
        <v>38</v>
      </c>
      <c r="D32" s="14" t="s">
        <v>540</v>
      </c>
      <c r="E32" s="77" t="s">
        <v>229</v>
      </c>
      <c r="F32" s="14" t="s">
        <v>92</v>
      </c>
      <c r="G32" s="66" t="s">
        <v>100</v>
      </c>
      <c r="H32" s="14" t="s">
        <v>100</v>
      </c>
      <c r="I32" s="14" t="s">
        <v>230</v>
      </c>
      <c r="J32" s="66" t="s">
        <v>231</v>
      </c>
      <c r="K32" s="14" t="s">
        <v>44</v>
      </c>
      <c r="L32" s="65" t="s">
        <v>191</v>
      </c>
      <c r="M32" s="13" t="s">
        <v>323</v>
      </c>
      <c r="N32" s="13" t="s">
        <v>43</v>
      </c>
      <c r="O32" s="13" t="s">
        <v>539</v>
      </c>
      <c r="P32" s="65" t="s">
        <v>534</v>
      </c>
      <c r="Q32" s="64" t="s">
        <v>9</v>
      </c>
      <c r="R32" s="62" t="e">
        <f>11000/USD</f>
        <v>#REF!</v>
      </c>
      <c r="S32" s="62">
        <v>8583.8989999999994</v>
      </c>
      <c r="T32" s="62" t="e">
        <f>Table12129[[#This Row],[Amortised Limit in Original Currency]]/USD</f>
        <v>#REF!</v>
      </c>
      <c r="U32" s="62" t="e">
        <f>35608/USD</f>
        <v>#REF!</v>
      </c>
      <c r="V32" s="76" t="e">
        <f>545335/USD</f>
        <v>#REF!</v>
      </c>
      <c r="W32" s="61" t="s">
        <v>551</v>
      </c>
      <c r="X32" s="181">
        <v>1.7500000000000002E-2</v>
      </c>
      <c r="Y32" s="60">
        <v>43670</v>
      </c>
      <c r="Z32" s="60">
        <v>47992</v>
      </c>
      <c r="AA32" s="60">
        <v>47992</v>
      </c>
      <c r="AB32" s="58">
        <f t="shared" si="3"/>
        <v>4323</v>
      </c>
      <c r="AC32" s="59" t="e">
        <f t="shared" si="5"/>
        <v>#REF!</v>
      </c>
      <c r="AD32" s="58" t="e">
        <f>AA32-#REF!</f>
        <v>#REF!</v>
      </c>
      <c r="AE32" s="57" t="e">
        <f t="shared" si="0"/>
        <v>#REF!</v>
      </c>
      <c r="AF32" s="56"/>
      <c r="AG32" s="71" t="s">
        <v>1</v>
      </c>
      <c r="AH32" s="71" t="s">
        <v>1</v>
      </c>
      <c r="AI32" s="187" t="s">
        <v>882</v>
      </c>
      <c r="AJ32" s="11" t="e">
        <f t="shared" si="2"/>
        <v>#REF!</v>
      </c>
      <c r="AK32" s="11" t="s">
        <v>271</v>
      </c>
      <c r="AL32" s="14" t="s">
        <v>375</v>
      </c>
      <c r="AM32" s="11">
        <v>19997.5</v>
      </c>
      <c r="AO32" s="197" t="str">
        <f>Table12129[[#This Row],[Risk Location ]]</f>
        <v>Vietnam</v>
      </c>
      <c r="AP32" s="198" t="str">
        <f>Table12129[[#This Row],[Sector (GICS Industry Group)]]</f>
        <v>Transportation</v>
      </c>
      <c r="AQ32" s="11">
        <v>1</v>
      </c>
      <c r="AR32" s="214">
        <v>7.4999999999999997E-2</v>
      </c>
      <c r="AS32" s="212" t="e">
        <v>#REF!</v>
      </c>
      <c r="AT32" s="212" t="e">
        <v>#REF!</v>
      </c>
      <c r="AU32" s="212" t="e">
        <v>#REF!</v>
      </c>
      <c r="AV32" s="212"/>
      <c r="AW32" s="212" t="e">
        <v>#REF!</v>
      </c>
      <c r="AX32" s="212">
        <f t="shared" si="1"/>
        <v>1013.2399902420599</v>
      </c>
      <c r="BB32" s="212">
        <v>935.40022843910515</v>
      </c>
      <c r="BC32" s="212">
        <v>1013.2399902420599</v>
      </c>
      <c r="BD32" s="212">
        <v>1035.6367403721588</v>
      </c>
      <c r="BE32" s="212">
        <v>630.58535240809965</v>
      </c>
      <c r="BF32" s="212">
        <v>653.40088050489715</v>
      </c>
      <c r="BG32" s="226">
        <v>653.40088050489715</v>
      </c>
      <c r="BH32" s="226">
        <v>0</v>
      </c>
      <c r="BJ32" s="58" t="s">
        <v>964</v>
      </c>
      <c r="BK32" s="112"/>
      <c r="BL32" s="58"/>
    </row>
    <row r="33" spans="1:64" ht="39.950000000000003" customHeight="1" x14ac:dyDescent="0.2">
      <c r="A33" s="14" t="s">
        <v>226</v>
      </c>
      <c r="B33" s="65" t="s">
        <v>23</v>
      </c>
      <c r="C33" s="66" t="s">
        <v>87</v>
      </c>
      <c r="D33" s="14" t="s">
        <v>496</v>
      </c>
      <c r="E33" s="77" t="s">
        <v>872</v>
      </c>
      <c r="F33" s="14" t="s">
        <v>475</v>
      </c>
      <c r="G33" s="66" t="s">
        <v>227</v>
      </c>
      <c r="H33" s="14" t="s">
        <v>228</v>
      </c>
      <c r="I33" s="14" t="s">
        <v>181</v>
      </c>
      <c r="J33" s="14" t="s">
        <v>33</v>
      </c>
      <c r="K33" s="14" t="s">
        <v>209</v>
      </c>
      <c r="L33" s="65" t="s">
        <v>191</v>
      </c>
      <c r="M33" s="13" t="s">
        <v>59</v>
      </c>
      <c r="N33" s="13" t="s">
        <v>43</v>
      </c>
      <c r="O33" s="13" t="s">
        <v>538</v>
      </c>
      <c r="P33" s="65" t="s">
        <v>534</v>
      </c>
      <c r="Q33" s="64" t="s">
        <v>9</v>
      </c>
      <c r="R33" s="62" t="e">
        <f>22500/USD</f>
        <v>#REF!</v>
      </c>
      <c r="S33" s="62">
        <v>22500</v>
      </c>
      <c r="T33" s="62" t="e">
        <f t="shared" ref="T33:T38" si="6">R33</f>
        <v>#REF!</v>
      </c>
      <c r="U33" s="62" t="e">
        <f>150000/USD</f>
        <v>#REF!</v>
      </c>
      <c r="V33" s="76" t="e">
        <f>659096/USD</f>
        <v>#REF!</v>
      </c>
      <c r="W33" s="61" t="s">
        <v>11</v>
      </c>
      <c r="X33" s="181">
        <v>1.8499999999999999E-2</v>
      </c>
      <c r="Y33" s="60">
        <v>43672</v>
      </c>
      <c r="Z33" s="60">
        <v>45197</v>
      </c>
      <c r="AA33" s="60">
        <v>45197</v>
      </c>
      <c r="AB33" s="58">
        <f t="shared" si="3"/>
        <v>1526</v>
      </c>
      <c r="AC33" s="59" t="e">
        <f t="shared" si="5"/>
        <v>#REF!</v>
      </c>
      <c r="AD33" s="58" t="e">
        <f>AA33-#REF!</f>
        <v>#REF!</v>
      </c>
      <c r="AE33" s="57" t="e">
        <f t="shared" si="0"/>
        <v>#REF!</v>
      </c>
      <c r="AF33" s="56" t="s">
        <v>436</v>
      </c>
      <c r="AG33" s="71" t="s">
        <v>1</v>
      </c>
      <c r="AH33" s="71" t="s">
        <v>1</v>
      </c>
      <c r="AI33" s="70" t="s">
        <v>0</v>
      </c>
      <c r="AJ33" s="11" t="e">
        <f t="shared" si="2"/>
        <v>#REF!</v>
      </c>
      <c r="AK33" s="11" t="s">
        <v>271</v>
      </c>
      <c r="AL33" s="14" t="s">
        <v>350</v>
      </c>
      <c r="AM33" s="11">
        <v>9195</v>
      </c>
      <c r="AO33" s="197" t="str">
        <f>Table12129[[#This Row],[Risk Location ]]</f>
        <v>United Arab Emirates</v>
      </c>
      <c r="AP33" s="198" t="str">
        <f>Table12129[[#This Row],[Sector (GICS Industry Group)]]</f>
        <v>Health Care</v>
      </c>
      <c r="AS33" s="212" t="e">
        <v>#REF!</v>
      </c>
      <c r="AT33" s="212" t="e">
        <v>#REF!</v>
      </c>
      <c r="AU33" s="212" t="e">
        <v>#REF!</v>
      </c>
      <c r="AV33" s="212"/>
      <c r="AW33" s="212" t="e">
        <v>#REF!</v>
      </c>
      <c r="AX33" s="212">
        <f t="shared" si="1"/>
        <v>0</v>
      </c>
      <c r="BB33" s="212">
        <v>0</v>
      </c>
      <c r="BC33" s="212">
        <v>0</v>
      </c>
      <c r="BD33" s="212">
        <v>0</v>
      </c>
      <c r="BE33" s="212">
        <v>0</v>
      </c>
      <c r="BF33" s="212">
        <v>0</v>
      </c>
      <c r="BG33" s="226">
        <v>0</v>
      </c>
      <c r="BH33" s="226"/>
      <c r="BJ33" s="58" t="s">
        <v>965</v>
      </c>
      <c r="BK33" s="112"/>
      <c r="BL33" s="58"/>
    </row>
    <row r="34" spans="1:64" ht="39.950000000000003" customHeight="1" x14ac:dyDescent="0.2">
      <c r="A34" s="14" t="s">
        <v>247</v>
      </c>
      <c r="B34" s="65" t="s">
        <v>67</v>
      </c>
      <c r="C34" s="66" t="s">
        <v>87</v>
      </c>
      <c r="D34" s="14" t="s">
        <v>542</v>
      </c>
      <c r="E34" s="77" t="s">
        <v>87</v>
      </c>
      <c r="F34" s="14" t="s">
        <v>48</v>
      </c>
      <c r="G34" s="66" t="s">
        <v>95</v>
      </c>
      <c r="H34" s="66" t="s">
        <v>447</v>
      </c>
      <c r="I34" s="14" t="s">
        <v>246</v>
      </c>
      <c r="J34" s="14" t="s">
        <v>219</v>
      </c>
      <c r="K34" s="14" t="s">
        <v>140</v>
      </c>
      <c r="L34" s="65" t="s">
        <v>191</v>
      </c>
      <c r="M34" s="13" t="s">
        <v>59</v>
      </c>
      <c r="N34" s="13" t="s">
        <v>43</v>
      </c>
      <c r="O34" s="13" t="s">
        <v>538</v>
      </c>
      <c r="P34" s="65" t="s">
        <v>534</v>
      </c>
      <c r="Q34" s="64" t="s">
        <v>9</v>
      </c>
      <c r="R34" s="62" t="e">
        <f>20000/USD</f>
        <v>#REF!</v>
      </c>
      <c r="S34" s="62">
        <v>20000</v>
      </c>
      <c r="T34" s="62" t="e">
        <f t="shared" si="6"/>
        <v>#REF!</v>
      </c>
      <c r="U34" s="62" t="e">
        <f>100000/USD</f>
        <v>#REF!</v>
      </c>
      <c r="V34" s="76" t="e">
        <f>1362409.1/USD</f>
        <v>#REF!</v>
      </c>
      <c r="W34" s="61" t="s">
        <v>11</v>
      </c>
      <c r="X34" s="181">
        <v>8.6999999999999994E-3</v>
      </c>
      <c r="Y34" s="60">
        <v>43732</v>
      </c>
      <c r="Z34" s="60">
        <v>46598</v>
      </c>
      <c r="AA34" s="60">
        <f>Z34</f>
        <v>46598</v>
      </c>
      <c r="AB34" s="58">
        <f t="shared" si="3"/>
        <v>2867</v>
      </c>
      <c r="AC34" s="59" t="s">
        <v>10</v>
      </c>
      <c r="AD34" s="58" t="e">
        <f>AA34-#REF!</f>
        <v>#REF!</v>
      </c>
      <c r="AE34" s="57" t="e">
        <f t="shared" si="0"/>
        <v>#REF!</v>
      </c>
      <c r="AF34" s="56" t="s">
        <v>436</v>
      </c>
      <c r="AG34" s="152" t="s">
        <v>1</v>
      </c>
      <c r="AH34" s="152" t="s">
        <v>1</v>
      </c>
      <c r="AI34" s="153" t="s">
        <v>0</v>
      </c>
      <c r="AJ34" s="11" t="e">
        <f t="shared" si="2"/>
        <v>#REF!</v>
      </c>
      <c r="AK34" s="11" t="s">
        <v>271</v>
      </c>
      <c r="AL34" s="14" t="s">
        <v>381</v>
      </c>
      <c r="AM34" s="11">
        <v>13000</v>
      </c>
      <c r="AO34" s="197" t="str">
        <f>Table12129[[#This Row],[Risk Location ]]</f>
        <v>United Kingdom</v>
      </c>
      <c r="AP34" s="198" t="str">
        <f>Table12129[[#This Row],[Sector (GICS Industry Group)]]</f>
        <v>Energy</v>
      </c>
      <c r="AS34" s="212" t="e">
        <v>#REF!</v>
      </c>
      <c r="AT34" s="212" t="e">
        <v>#REF!</v>
      </c>
      <c r="AU34" s="212" t="e">
        <v>#REF!</v>
      </c>
      <c r="AV34" s="212"/>
      <c r="AW34" s="212" t="e">
        <v>#REF!</v>
      </c>
      <c r="AX34" s="212">
        <f t="shared" si="1"/>
        <v>0</v>
      </c>
      <c r="BB34" s="212">
        <v>0</v>
      </c>
      <c r="BC34" s="212">
        <v>0</v>
      </c>
      <c r="BD34" s="212">
        <v>0</v>
      </c>
      <c r="BE34" s="212">
        <v>0</v>
      </c>
      <c r="BF34" s="212">
        <v>0</v>
      </c>
      <c r="BG34" s="226">
        <v>0</v>
      </c>
      <c r="BH34" s="226"/>
      <c r="BJ34" s="58" t="s">
        <v>966</v>
      </c>
      <c r="BK34" s="112"/>
      <c r="BL34" s="58"/>
    </row>
    <row r="35" spans="1:64" ht="39.950000000000003" customHeight="1" x14ac:dyDescent="0.2">
      <c r="A35" s="14" t="s">
        <v>240</v>
      </c>
      <c r="B35" s="65" t="s">
        <v>51</v>
      </c>
      <c r="C35" s="66" t="s">
        <v>38</v>
      </c>
      <c r="D35" s="14" t="s">
        <v>541</v>
      </c>
      <c r="E35" s="77" t="s">
        <v>38</v>
      </c>
      <c r="F35" s="14" t="s">
        <v>102</v>
      </c>
      <c r="G35" s="14" t="s">
        <v>102</v>
      </c>
      <c r="H35" s="14" t="s">
        <v>474</v>
      </c>
      <c r="I35" s="14" t="s">
        <v>237</v>
      </c>
      <c r="J35" s="14" t="s">
        <v>219</v>
      </c>
      <c r="K35" s="14" t="s">
        <v>101</v>
      </c>
      <c r="L35" s="65" t="s">
        <v>191</v>
      </c>
      <c r="M35" s="13" t="s">
        <v>323</v>
      </c>
      <c r="N35" s="13" t="s">
        <v>43</v>
      </c>
      <c r="O35" s="13" t="s">
        <v>538</v>
      </c>
      <c r="P35" s="65" t="s">
        <v>534</v>
      </c>
      <c r="Q35" s="64" t="s">
        <v>238</v>
      </c>
      <c r="R35" s="62" t="e">
        <f>28000/SGD</f>
        <v>#REF!</v>
      </c>
      <c r="S35" s="62">
        <v>28000</v>
      </c>
      <c r="T35" s="62" t="e">
        <f t="shared" si="6"/>
        <v>#REF!</v>
      </c>
      <c r="U35" s="62" t="e">
        <f>100000/SGD</f>
        <v>#REF!</v>
      </c>
      <c r="V35" s="76" t="e">
        <f>1263349.95/SGD</f>
        <v>#REF!</v>
      </c>
      <c r="W35" s="61" t="s">
        <v>11</v>
      </c>
      <c r="X35" s="181">
        <v>2.0400000000000001E-2</v>
      </c>
      <c r="Y35" s="60">
        <v>43738</v>
      </c>
      <c r="Z35" s="60">
        <v>45148</v>
      </c>
      <c r="AA35" s="60">
        <v>45148</v>
      </c>
      <c r="AB35" s="58">
        <f t="shared" si="3"/>
        <v>1411</v>
      </c>
      <c r="AC35" s="59" t="e">
        <f>IF(AA35-$A$1&gt;60,"No","Yes")</f>
        <v>#REF!</v>
      </c>
      <c r="AD35" s="58" t="e">
        <f>AA35-#REF!</f>
        <v>#REF!</v>
      </c>
      <c r="AE35" s="57" t="e">
        <f t="shared" si="0"/>
        <v>#REF!</v>
      </c>
      <c r="AF35" s="56" t="s">
        <v>436</v>
      </c>
      <c r="AG35" s="152" t="s">
        <v>1</v>
      </c>
      <c r="AH35" s="152" t="s">
        <v>1</v>
      </c>
      <c r="AI35" s="153" t="s">
        <v>0</v>
      </c>
      <c r="AJ35" s="11" t="e">
        <f t="shared" si="2"/>
        <v>#REF!</v>
      </c>
      <c r="AK35" s="11" t="s">
        <v>271</v>
      </c>
      <c r="AL35" s="14" t="s">
        <v>379</v>
      </c>
      <c r="AM35" s="11">
        <f>8092.5 +2280</f>
        <v>10372.5</v>
      </c>
      <c r="AO35" s="197" t="str">
        <f>Table12129[[#This Row],[Risk Location ]]</f>
        <v>Singapore</v>
      </c>
      <c r="AP35" s="198" t="str">
        <f>Table12129[[#This Row],[Sector (GICS Industry Group)]]</f>
        <v>Real Estate Investment</v>
      </c>
      <c r="AS35" s="212" t="e">
        <v>#REF!</v>
      </c>
      <c r="AT35" s="212" t="e">
        <v>#REF!</v>
      </c>
      <c r="AU35" s="212" t="e">
        <v>#REF!</v>
      </c>
      <c r="AV35" s="212"/>
      <c r="AW35" s="212" t="e">
        <v>#REF!</v>
      </c>
      <c r="AX35" s="212">
        <f t="shared" si="1"/>
        <v>0</v>
      </c>
      <c r="BB35" s="212">
        <v>0</v>
      </c>
      <c r="BC35" s="212">
        <v>0</v>
      </c>
      <c r="BD35" s="212">
        <v>0</v>
      </c>
      <c r="BE35" s="212">
        <v>0</v>
      </c>
      <c r="BF35" s="212">
        <v>0</v>
      </c>
      <c r="BG35" s="226">
        <v>0</v>
      </c>
      <c r="BH35" s="226"/>
      <c r="BJ35" s="58" t="s">
        <v>967</v>
      </c>
      <c r="BK35" s="112"/>
      <c r="BL35" s="58"/>
    </row>
    <row r="36" spans="1:64" ht="39.950000000000003" customHeight="1" x14ac:dyDescent="0.2">
      <c r="A36" s="14" t="s">
        <v>244</v>
      </c>
      <c r="B36" s="65" t="s">
        <v>23</v>
      </c>
      <c r="C36" s="66" t="s">
        <v>38</v>
      </c>
      <c r="D36" s="14" t="s">
        <v>541</v>
      </c>
      <c r="E36" s="77" t="s">
        <v>38</v>
      </c>
      <c r="F36" s="66" t="s">
        <v>106</v>
      </c>
      <c r="G36" s="66" t="s">
        <v>106</v>
      </c>
      <c r="H36" s="14" t="s">
        <v>245</v>
      </c>
      <c r="I36" s="14" t="s">
        <v>50</v>
      </c>
      <c r="J36" s="14" t="s">
        <v>21</v>
      </c>
      <c r="K36" s="14" t="s">
        <v>101</v>
      </c>
      <c r="L36" s="65" t="s">
        <v>191</v>
      </c>
      <c r="M36" s="13" t="s">
        <v>323</v>
      </c>
      <c r="N36" s="13" t="s">
        <v>43</v>
      </c>
      <c r="O36" s="13" t="s">
        <v>533</v>
      </c>
      <c r="P36" s="65" t="s">
        <v>534</v>
      </c>
      <c r="Q36" s="64" t="s">
        <v>8</v>
      </c>
      <c r="R36" s="62">
        <v>25000</v>
      </c>
      <c r="S36" s="62">
        <v>25000</v>
      </c>
      <c r="T36" s="62">
        <f t="shared" si="6"/>
        <v>25000</v>
      </c>
      <c r="U36" s="62">
        <v>75000</v>
      </c>
      <c r="V36" s="76">
        <v>711986.31</v>
      </c>
      <c r="W36" s="61" t="s">
        <v>11</v>
      </c>
      <c r="X36" s="181">
        <v>1.35E-2</v>
      </c>
      <c r="Y36" s="60">
        <v>43756</v>
      </c>
      <c r="Z36" s="60">
        <v>45520</v>
      </c>
      <c r="AA36" s="60">
        <v>45520</v>
      </c>
      <c r="AB36" s="58">
        <f t="shared" si="3"/>
        <v>1765</v>
      </c>
      <c r="AC36" s="59" t="e">
        <f>IF(AA36-$A$1&gt;60,"No","Yes")</f>
        <v>#REF!</v>
      </c>
      <c r="AD36" s="58" t="e">
        <f>AA36-#REF!</f>
        <v>#REF!</v>
      </c>
      <c r="AE36" s="57" t="e">
        <f t="shared" si="0"/>
        <v>#REF!</v>
      </c>
      <c r="AF36" s="56" t="s">
        <v>436</v>
      </c>
      <c r="AG36" s="71" t="s">
        <v>1</v>
      </c>
      <c r="AH36" s="71" t="s">
        <v>1</v>
      </c>
      <c r="AI36" s="70" t="s">
        <v>0</v>
      </c>
      <c r="AJ36" s="11" t="e">
        <f t="shared" si="2"/>
        <v>#REF!</v>
      </c>
      <c r="AK36" s="11" t="s">
        <v>271</v>
      </c>
      <c r="AL36" s="14" t="s">
        <v>371</v>
      </c>
      <c r="AM36" s="11">
        <v>6000</v>
      </c>
      <c r="AO36" s="197" t="str">
        <f>Table12129[[#This Row],[Risk Location ]]</f>
        <v>Singapore</v>
      </c>
      <c r="AP36" s="198" t="str">
        <f>Table12129[[#This Row],[Sector (GICS Industry Group)]]</f>
        <v>Real Estate Management &amp; Development</v>
      </c>
      <c r="AS36" s="212" t="e">
        <v>#REF!</v>
      </c>
      <c r="AT36" s="212" t="e">
        <v>#REF!</v>
      </c>
      <c r="AU36" s="212" t="e">
        <v>#REF!</v>
      </c>
      <c r="AV36" s="212"/>
      <c r="AW36" s="212" t="e">
        <v>#REF!</v>
      </c>
      <c r="AX36" s="212">
        <f t="shared" si="1"/>
        <v>0</v>
      </c>
      <c r="BB36" s="212">
        <v>0</v>
      </c>
      <c r="BC36" s="212">
        <v>0</v>
      </c>
      <c r="BD36" s="212">
        <v>0</v>
      </c>
      <c r="BE36" s="212">
        <v>0</v>
      </c>
      <c r="BF36" s="212">
        <v>0</v>
      </c>
      <c r="BG36" s="226">
        <v>0</v>
      </c>
      <c r="BH36" s="226"/>
      <c r="BJ36" s="58" t="s">
        <v>968</v>
      </c>
      <c r="BK36" s="112"/>
      <c r="BL36" s="58" t="s">
        <v>122</v>
      </c>
    </row>
    <row r="37" spans="1:64" ht="39.950000000000003" customHeight="1" x14ac:dyDescent="0.2">
      <c r="A37" s="14" t="s">
        <v>248</v>
      </c>
      <c r="B37" s="65" t="s">
        <v>24</v>
      </c>
      <c r="C37" s="66" t="s">
        <v>127</v>
      </c>
      <c r="D37" s="14" t="s">
        <v>542</v>
      </c>
      <c r="E37" s="77" t="s">
        <v>127</v>
      </c>
      <c r="F37" s="14" t="s">
        <v>891</v>
      </c>
      <c r="G37" s="66" t="s">
        <v>249</v>
      </c>
      <c r="H37" s="14" t="s">
        <v>767</v>
      </c>
      <c r="I37" s="14" t="s">
        <v>158</v>
      </c>
      <c r="J37" s="14" t="s">
        <v>220</v>
      </c>
      <c r="K37" s="14" t="s">
        <v>29</v>
      </c>
      <c r="L37" s="65" t="s">
        <v>191</v>
      </c>
      <c r="M37" s="13" t="s">
        <v>59</v>
      </c>
      <c r="N37" s="13" t="s">
        <v>43</v>
      </c>
      <c r="O37" s="13" t="s">
        <v>538</v>
      </c>
      <c r="P37" s="65" t="s">
        <v>534</v>
      </c>
      <c r="Q37" s="64" t="s">
        <v>59</v>
      </c>
      <c r="R37" s="62" t="e">
        <f>10000/EUR</f>
        <v>#REF!</v>
      </c>
      <c r="S37" s="62">
        <v>10000</v>
      </c>
      <c r="T37" s="62" t="e">
        <f t="shared" si="6"/>
        <v>#REF!</v>
      </c>
      <c r="U37" s="62" t="e">
        <f>131564.36/EUR</f>
        <v>#REF!</v>
      </c>
      <c r="V37" s="76" t="e">
        <f>522857.63/EUR</f>
        <v>#REF!</v>
      </c>
      <c r="W37" s="61" t="s">
        <v>11</v>
      </c>
      <c r="X37" s="181">
        <v>1.7500000000000002E-2</v>
      </c>
      <c r="Y37" s="60">
        <v>43784</v>
      </c>
      <c r="Z37" s="60">
        <v>45627</v>
      </c>
      <c r="AA37" s="60">
        <v>45627</v>
      </c>
      <c r="AB37" s="58">
        <f t="shared" si="3"/>
        <v>1844</v>
      </c>
      <c r="AC37" s="59" t="s">
        <v>10</v>
      </c>
      <c r="AD37" s="58" t="e">
        <f>AA37-#REF!</f>
        <v>#REF!</v>
      </c>
      <c r="AE37" s="57" t="e">
        <f t="shared" si="0"/>
        <v>#REF!</v>
      </c>
      <c r="AF37" s="56"/>
      <c r="AG37" s="71" t="s">
        <v>1</v>
      </c>
      <c r="AH37" s="71" t="s">
        <v>1</v>
      </c>
      <c r="AI37" s="70" t="s">
        <v>0</v>
      </c>
      <c r="AJ37" s="11" t="e">
        <f t="shared" si="2"/>
        <v>#REF!</v>
      </c>
      <c r="AK37" s="11" t="s">
        <v>271</v>
      </c>
      <c r="AL37" s="14" t="s">
        <v>372</v>
      </c>
      <c r="AM37" s="11">
        <v>8100</v>
      </c>
      <c r="AO37" s="197" t="str">
        <f>Table12129[[#This Row],[Risk Location ]]</f>
        <v>Germany</v>
      </c>
      <c r="AP37" s="198" t="str">
        <f>Table12129[[#This Row],[Sector (GICS Industry Group)]]</f>
        <v>Information Technology - Hardware &amp; Equipment</v>
      </c>
      <c r="AS37" s="212" t="e">
        <v>#REF!</v>
      </c>
      <c r="AT37" s="212" t="e">
        <v>#REF!</v>
      </c>
      <c r="AU37" s="212" t="e">
        <v>#REF!</v>
      </c>
      <c r="AV37" s="212"/>
      <c r="AW37" s="212" t="e">
        <v>#REF!</v>
      </c>
      <c r="AX37" s="212">
        <f t="shared" si="1"/>
        <v>0</v>
      </c>
      <c r="BB37" s="212">
        <v>0</v>
      </c>
      <c r="BC37" s="212">
        <v>0</v>
      </c>
      <c r="BD37" s="212">
        <v>0</v>
      </c>
      <c r="BE37" s="212">
        <v>0</v>
      </c>
      <c r="BF37" s="212">
        <v>0</v>
      </c>
      <c r="BG37" s="226">
        <v>0</v>
      </c>
      <c r="BH37" s="226"/>
      <c r="BJ37" s="58" t="s">
        <v>932</v>
      </c>
      <c r="BK37" s="112"/>
      <c r="BL37" s="58"/>
    </row>
    <row r="38" spans="1:64" ht="39.950000000000003" customHeight="1" x14ac:dyDescent="0.2">
      <c r="A38" s="14" t="s">
        <v>260</v>
      </c>
      <c r="B38" s="65" t="s">
        <v>51</v>
      </c>
      <c r="C38" s="66" t="s">
        <v>119</v>
      </c>
      <c r="D38" s="14" t="s">
        <v>542</v>
      </c>
      <c r="E38" s="77" t="s">
        <v>119</v>
      </c>
      <c r="F38" s="66" t="s">
        <v>106</v>
      </c>
      <c r="G38" s="66" t="s">
        <v>106</v>
      </c>
      <c r="H38" s="14" t="s">
        <v>263</v>
      </c>
      <c r="I38" s="14" t="s">
        <v>264</v>
      </c>
      <c r="J38" s="14" t="s">
        <v>221</v>
      </c>
      <c r="K38" s="14" t="s">
        <v>13</v>
      </c>
      <c r="L38" s="65" t="s">
        <v>191</v>
      </c>
      <c r="M38" s="13" t="s">
        <v>59</v>
      </c>
      <c r="N38" s="13" t="s">
        <v>43</v>
      </c>
      <c r="O38" s="13" t="s">
        <v>538</v>
      </c>
      <c r="P38" s="65" t="s">
        <v>534</v>
      </c>
      <c r="Q38" s="64" t="s">
        <v>59</v>
      </c>
      <c r="R38" s="62" t="e">
        <f>15000/EUR</f>
        <v>#REF!</v>
      </c>
      <c r="S38" s="62">
        <v>15000</v>
      </c>
      <c r="T38" s="62" t="e">
        <f t="shared" si="6"/>
        <v>#REF!</v>
      </c>
      <c r="U38" s="62" t="e">
        <f>48600/EUR</f>
        <v>#REF!</v>
      </c>
      <c r="V38" s="76" t="e">
        <f>(581493.94)/EUR</f>
        <v>#REF!</v>
      </c>
      <c r="W38" s="61" t="s">
        <v>11</v>
      </c>
      <c r="X38" s="181">
        <v>2.1999999999999999E-2</v>
      </c>
      <c r="Y38" s="60">
        <v>43805</v>
      </c>
      <c r="Z38" s="60">
        <v>45306</v>
      </c>
      <c r="AA38" s="60">
        <v>45306</v>
      </c>
      <c r="AB38" s="58">
        <f t="shared" si="3"/>
        <v>1502</v>
      </c>
      <c r="AC38" s="59" t="e">
        <f t="shared" ref="AC38:AC61" si="7">IF(AA38-$A$1&gt;60,"No","Yes")</f>
        <v>#REF!</v>
      </c>
      <c r="AD38" s="58" t="e">
        <f>AA38-#REF!</f>
        <v>#REF!</v>
      </c>
      <c r="AE38" s="57" t="e">
        <f t="shared" si="0"/>
        <v>#REF!</v>
      </c>
      <c r="AF38" s="56"/>
      <c r="AG38" s="71" t="s">
        <v>1</v>
      </c>
      <c r="AH38" s="71" t="s">
        <v>1</v>
      </c>
      <c r="AI38" s="70" t="s">
        <v>0</v>
      </c>
      <c r="AJ38" s="11" t="e">
        <f t="shared" si="2"/>
        <v>#REF!</v>
      </c>
      <c r="AK38" s="11" t="s">
        <v>271</v>
      </c>
      <c r="AL38" s="14" t="s">
        <v>380</v>
      </c>
      <c r="AM38" s="11">
        <v>7250</v>
      </c>
      <c r="AO38" s="197" t="str">
        <f>Table12129[[#This Row],[Risk Location ]]</f>
        <v>Italy</v>
      </c>
      <c r="AP38" s="198" t="str">
        <f>Table12129[[#This Row],[Sector (GICS Industry Group)]]</f>
        <v>Real Estate Management &amp; Development</v>
      </c>
      <c r="AS38" s="212" t="e">
        <v>#REF!</v>
      </c>
      <c r="AT38" s="212" t="e">
        <v>#REF!</v>
      </c>
      <c r="AU38" s="212" t="e">
        <v>#REF!</v>
      </c>
      <c r="AV38" s="212"/>
      <c r="AW38" s="212" t="e">
        <v>#REF!</v>
      </c>
      <c r="AX38" s="212">
        <f t="shared" si="1"/>
        <v>0</v>
      </c>
      <c r="BB38" s="212">
        <v>0</v>
      </c>
      <c r="BC38" s="212">
        <v>0</v>
      </c>
      <c r="BD38" s="212">
        <v>0</v>
      </c>
      <c r="BE38" s="212">
        <v>0</v>
      </c>
      <c r="BF38" s="212">
        <v>0</v>
      </c>
      <c r="BG38" s="226">
        <v>0</v>
      </c>
      <c r="BH38" s="226"/>
      <c r="BJ38" s="58" t="s">
        <v>969</v>
      </c>
      <c r="BK38" s="112"/>
      <c r="BL38" s="58" t="s">
        <v>103</v>
      </c>
    </row>
    <row r="39" spans="1:64" ht="39.950000000000003" customHeight="1" x14ac:dyDescent="0.2">
      <c r="A39" s="14" t="s">
        <v>276</v>
      </c>
      <c r="B39" s="65" t="s">
        <v>51</v>
      </c>
      <c r="C39" s="66" t="s">
        <v>38</v>
      </c>
      <c r="D39" s="14" t="s">
        <v>540</v>
      </c>
      <c r="E39" s="77" t="s">
        <v>274</v>
      </c>
      <c r="F39" s="14" t="s">
        <v>48</v>
      </c>
      <c r="G39" s="66" t="s">
        <v>95</v>
      </c>
      <c r="H39" s="14" t="s">
        <v>275</v>
      </c>
      <c r="I39" s="14" t="s">
        <v>50</v>
      </c>
      <c r="J39" s="14" t="s">
        <v>21</v>
      </c>
      <c r="K39" s="14" t="s">
        <v>45</v>
      </c>
      <c r="L39" s="65" t="s">
        <v>191</v>
      </c>
      <c r="M39" s="13" t="s">
        <v>323</v>
      </c>
      <c r="N39" s="13" t="s">
        <v>43</v>
      </c>
      <c r="O39" s="13" t="s">
        <v>538</v>
      </c>
      <c r="P39" s="13" t="s">
        <v>548</v>
      </c>
      <c r="Q39" s="64" t="s">
        <v>9</v>
      </c>
      <c r="R39" s="62" t="e">
        <f>20000/USD</f>
        <v>#REF!</v>
      </c>
      <c r="S39" s="62">
        <v>20000</v>
      </c>
      <c r="T39" s="62" t="e">
        <f>20000/USD</f>
        <v>#REF!</v>
      </c>
      <c r="U39" s="62">
        <v>175000</v>
      </c>
      <c r="V39" s="76" t="e">
        <f>500861/USD</f>
        <v>#REF!</v>
      </c>
      <c r="W39" s="61" t="s">
        <v>11</v>
      </c>
      <c r="X39" s="181">
        <v>1.77E-2</v>
      </c>
      <c r="Y39" s="60">
        <v>43850</v>
      </c>
      <c r="Z39" s="60">
        <v>45562</v>
      </c>
      <c r="AA39" s="60">
        <v>45562</v>
      </c>
      <c r="AB39" s="58">
        <f t="shared" si="3"/>
        <v>1713</v>
      </c>
      <c r="AC39" s="59" t="e">
        <f t="shared" si="7"/>
        <v>#REF!</v>
      </c>
      <c r="AD39" s="58" t="e">
        <f>AA39-#REF!</f>
        <v>#REF!</v>
      </c>
      <c r="AE39" s="57" t="e">
        <f t="shared" si="0"/>
        <v>#REF!</v>
      </c>
      <c r="AF39" s="56" t="s">
        <v>436</v>
      </c>
      <c r="AG39" s="71" t="s">
        <v>1</v>
      </c>
      <c r="AH39" s="71" t="s">
        <v>1</v>
      </c>
      <c r="AI39" s="70" t="s">
        <v>0</v>
      </c>
      <c r="AJ39" s="11" t="e">
        <f t="shared" si="2"/>
        <v>#REF!</v>
      </c>
      <c r="AK39" s="11" t="s">
        <v>271</v>
      </c>
      <c r="AL39" s="14" t="s">
        <v>385</v>
      </c>
      <c r="AM39" s="11">
        <v>6697.5</v>
      </c>
      <c r="AN39" s="11">
        <v>7000</v>
      </c>
      <c r="AO39" s="197" t="str">
        <f>Table12129[[#This Row],[Risk Location ]]</f>
        <v>Philippines</v>
      </c>
      <c r="AP39" s="198" t="str">
        <f>Table12129[[#This Row],[Sector (GICS Industry Group)]]</f>
        <v>Energy</v>
      </c>
      <c r="AS39" s="212" t="e">
        <v>#REF!</v>
      </c>
      <c r="AT39" s="212" t="e">
        <v>#REF!</v>
      </c>
      <c r="AU39" s="212" t="e">
        <v>#REF!</v>
      </c>
      <c r="AV39" s="212"/>
      <c r="AW39" s="212" t="e">
        <v>#REF!</v>
      </c>
      <c r="AX39" s="212">
        <f t="shared" si="1"/>
        <v>0</v>
      </c>
      <c r="BB39" s="212">
        <v>0</v>
      </c>
      <c r="BC39" s="212">
        <v>0</v>
      </c>
      <c r="BD39" s="212">
        <v>0</v>
      </c>
      <c r="BE39" s="212">
        <v>0</v>
      </c>
      <c r="BF39" s="212">
        <v>0</v>
      </c>
      <c r="BG39" s="226">
        <v>0</v>
      </c>
      <c r="BH39" s="226"/>
      <c r="BJ39" s="58" t="s">
        <v>970</v>
      </c>
      <c r="BK39" s="112"/>
      <c r="BL39" s="58"/>
    </row>
    <row r="40" spans="1:64" ht="39.950000000000003" customHeight="1" x14ac:dyDescent="0.2">
      <c r="A40" s="14" t="s">
        <v>284</v>
      </c>
      <c r="B40" s="65" t="s">
        <v>24</v>
      </c>
      <c r="C40" s="66" t="s">
        <v>127</v>
      </c>
      <c r="D40" s="14" t="s">
        <v>542</v>
      </c>
      <c r="E40" s="77" t="s">
        <v>88</v>
      </c>
      <c r="F40" s="14" t="s">
        <v>104</v>
      </c>
      <c r="G40" s="66" t="s">
        <v>105</v>
      </c>
      <c r="H40" s="14" t="s">
        <v>285</v>
      </c>
      <c r="I40" s="14" t="s">
        <v>286</v>
      </c>
      <c r="J40" s="14" t="s">
        <v>220</v>
      </c>
      <c r="K40" s="14" t="s">
        <v>209</v>
      </c>
      <c r="L40" s="65" t="s">
        <v>191</v>
      </c>
      <c r="M40" s="13" t="s">
        <v>59</v>
      </c>
      <c r="N40" s="13" t="s">
        <v>43</v>
      </c>
      <c r="O40" s="13" t="s">
        <v>538</v>
      </c>
      <c r="P40" s="13" t="s">
        <v>548</v>
      </c>
      <c r="Q40" s="64" t="s">
        <v>59</v>
      </c>
      <c r="R40" s="62" t="e">
        <f>15000/EUR</f>
        <v>#REF!</v>
      </c>
      <c r="S40" s="62">
        <v>12567.567569999999</v>
      </c>
      <c r="T40" s="62" t="e">
        <f>Table12129[[#This Row],[Amortised Limit in Original Currency]]/EUR</f>
        <v>#REF!</v>
      </c>
      <c r="U40" s="62" t="e">
        <f>120000/EUR</f>
        <v>#REF!</v>
      </c>
      <c r="V40" s="62" t="e">
        <f>568447.41/EUR</f>
        <v>#REF!</v>
      </c>
      <c r="W40" s="61" t="s">
        <v>11</v>
      </c>
      <c r="X40" s="181">
        <v>0.01</v>
      </c>
      <c r="Y40" s="60">
        <v>43861</v>
      </c>
      <c r="Z40" s="60">
        <v>45868</v>
      </c>
      <c r="AA40" s="60">
        <v>45868</v>
      </c>
      <c r="AB40" s="58">
        <f t="shared" si="3"/>
        <v>2008</v>
      </c>
      <c r="AC40" s="75" t="e">
        <f t="shared" si="7"/>
        <v>#REF!</v>
      </c>
      <c r="AD40" s="58" t="e">
        <f>AA40-#REF!</f>
        <v>#REF!</v>
      </c>
      <c r="AE40" s="57" t="e">
        <f t="shared" si="0"/>
        <v>#REF!</v>
      </c>
      <c r="AF40" s="56"/>
      <c r="AG40" s="71" t="s">
        <v>1</v>
      </c>
      <c r="AH40" s="71" t="s">
        <v>1</v>
      </c>
      <c r="AI40" s="187" t="s">
        <v>890</v>
      </c>
      <c r="AJ40" s="11" t="e">
        <f t="shared" si="2"/>
        <v>#REF!</v>
      </c>
      <c r="AK40" s="11" t="s">
        <v>271</v>
      </c>
      <c r="AL40" s="14" t="s">
        <v>389</v>
      </c>
      <c r="AM40" s="11">
        <v>10000</v>
      </c>
      <c r="AN40" s="11">
        <v>30000</v>
      </c>
      <c r="AO40" s="197" t="str">
        <f>Table12129[[#This Row],[Risk Location ]]</f>
        <v>Belgium</v>
      </c>
      <c r="AP40" s="198" t="str">
        <f>Table12129[[#This Row],[Sector (GICS Industry Group)]]</f>
        <v>Materials</v>
      </c>
      <c r="AQ40" s="229">
        <v>1</v>
      </c>
      <c r="AR40" s="310">
        <v>0.1</v>
      </c>
      <c r="AS40" s="278" t="e">
        <v>#REF!</v>
      </c>
      <c r="AT40" s="278" t="e">
        <v>#REF!</v>
      </c>
      <c r="AU40" s="278" t="e">
        <v>#REF!</v>
      </c>
      <c r="AV40" s="278"/>
      <c r="AW40" s="278" t="e">
        <v>#REF!</v>
      </c>
      <c r="AX40" s="212">
        <f t="shared" si="1"/>
        <v>0</v>
      </c>
      <c r="AY40" s="11" t="s">
        <v>1129</v>
      </c>
      <c r="BB40" s="212">
        <v>1943.9601371133028</v>
      </c>
      <c r="BC40" s="212">
        <v>0</v>
      </c>
      <c r="BD40" s="212">
        <v>0</v>
      </c>
      <c r="BE40" s="212">
        <v>0</v>
      </c>
      <c r="BF40" s="212">
        <v>0</v>
      </c>
      <c r="BG40" s="226">
        <v>0</v>
      </c>
      <c r="BH40" s="226"/>
      <c r="BJ40" s="58" t="s">
        <v>971</v>
      </c>
      <c r="BK40" s="112"/>
      <c r="BL40" s="58"/>
    </row>
    <row r="41" spans="1:64" ht="39.950000000000003" customHeight="1" x14ac:dyDescent="0.2">
      <c r="A41" s="14" t="s">
        <v>289</v>
      </c>
      <c r="B41" s="65" t="s">
        <v>24</v>
      </c>
      <c r="C41" s="66" t="s">
        <v>38</v>
      </c>
      <c r="D41" s="14" t="s">
        <v>540</v>
      </c>
      <c r="E41" s="77" t="s">
        <v>35</v>
      </c>
      <c r="F41" s="14" t="s">
        <v>892</v>
      </c>
      <c r="G41" s="66" t="s">
        <v>259</v>
      </c>
      <c r="H41" s="14" t="s">
        <v>258</v>
      </c>
      <c r="I41" s="133" t="s">
        <v>638</v>
      </c>
      <c r="J41" s="14" t="s">
        <v>687</v>
      </c>
      <c r="K41" s="14" t="s">
        <v>209</v>
      </c>
      <c r="L41" s="65" t="s">
        <v>191</v>
      </c>
      <c r="M41" s="13" t="s">
        <v>323</v>
      </c>
      <c r="N41" s="13" t="s">
        <v>43</v>
      </c>
      <c r="O41" s="13" t="s">
        <v>531</v>
      </c>
      <c r="P41" s="65" t="s">
        <v>534</v>
      </c>
      <c r="Q41" s="64" t="s">
        <v>9</v>
      </c>
      <c r="R41" s="62" t="e">
        <f>10000/USD</f>
        <v>#REF!</v>
      </c>
      <c r="S41" s="62">
        <f>10000</f>
        <v>10000</v>
      </c>
      <c r="T41" s="62" t="e">
        <f>Table12129[[#This Row],[Amortised Limit in Original Currency]]/USD</f>
        <v>#REF!</v>
      </c>
      <c r="U41" s="62" t="e">
        <f>30000/USD</f>
        <v>#REF!</v>
      </c>
      <c r="V41" s="62" t="e">
        <f>475041.6/USD+1162786.67/USD</f>
        <v>#REF!</v>
      </c>
      <c r="W41" s="61" t="s">
        <v>11</v>
      </c>
      <c r="X41" s="181">
        <v>0.04</v>
      </c>
      <c r="Y41" s="60">
        <v>44629</v>
      </c>
      <c r="Z41" s="60">
        <v>46442</v>
      </c>
      <c r="AA41" s="60">
        <v>46486</v>
      </c>
      <c r="AB41" s="58">
        <f t="shared" si="3"/>
        <v>1858</v>
      </c>
      <c r="AC41" s="59" t="e">
        <f t="shared" si="7"/>
        <v>#REF!</v>
      </c>
      <c r="AD41" s="58" t="e">
        <f>AA41-#REF!</f>
        <v>#REF!</v>
      </c>
      <c r="AE41" s="57" t="e">
        <f t="shared" si="0"/>
        <v>#REF!</v>
      </c>
      <c r="AF41" s="56"/>
      <c r="AG41" s="71" t="s">
        <v>1</v>
      </c>
      <c r="AH41" s="71" t="s">
        <v>1</v>
      </c>
      <c r="AI41" s="70" t="s">
        <v>752</v>
      </c>
      <c r="AJ41" s="11" t="e">
        <f>+IF(AA41-60&lt;$A$1, "SEND NOTICE", "N/A")</f>
        <v>#REF!</v>
      </c>
      <c r="AK41" s="11" t="s">
        <v>563</v>
      </c>
      <c r="AL41" s="14" t="s">
        <v>386</v>
      </c>
      <c r="AM41" s="11">
        <v>10000</v>
      </c>
      <c r="AN41" s="11">
        <v>66600</v>
      </c>
      <c r="AO41" s="197" t="str">
        <f>Table12129[[#This Row],[Risk Location ]]</f>
        <v>India</v>
      </c>
      <c r="AP41" s="198" t="str">
        <f>Table12129[[#This Row],[Sector (GICS Industry Group)]]</f>
        <v>Information Technology - Software &amp; Services</v>
      </c>
      <c r="AS41" s="212" t="e">
        <v>#REF!</v>
      </c>
      <c r="AT41" s="212" t="e">
        <v>#REF!</v>
      </c>
      <c r="AU41" s="212" t="e">
        <v>#REF!</v>
      </c>
      <c r="AV41" s="212"/>
      <c r="AW41" s="212" t="e">
        <v>#REF!</v>
      </c>
      <c r="AX41" s="212">
        <f t="shared" si="1"/>
        <v>0</v>
      </c>
      <c r="BB41" s="212">
        <v>0</v>
      </c>
      <c r="BC41" s="212">
        <v>0</v>
      </c>
      <c r="BD41" s="212">
        <v>0</v>
      </c>
      <c r="BE41" s="212">
        <v>0</v>
      </c>
      <c r="BF41" s="212">
        <v>0</v>
      </c>
      <c r="BG41" s="226">
        <v>0</v>
      </c>
      <c r="BH41" s="226"/>
      <c r="BJ41" s="58" t="s">
        <v>972</v>
      </c>
      <c r="BK41" s="112"/>
      <c r="BL41" s="58"/>
    </row>
    <row r="42" spans="1:64" ht="39.950000000000003" customHeight="1" x14ac:dyDescent="0.2">
      <c r="A42" s="14" t="s">
        <v>280</v>
      </c>
      <c r="B42" s="65" t="s">
        <v>23</v>
      </c>
      <c r="C42" s="66" t="s">
        <v>89</v>
      </c>
      <c r="D42" s="14" t="s">
        <v>542</v>
      </c>
      <c r="E42" s="77" t="s">
        <v>89</v>
      </c>
      <c r="F42" s="14" t="s">
        <v>891</v>
      </c>
      <c r="G42" s="66" t="s">
        <v>249</v>
      </c>
      <c r="H42" s="14" t="s">
        <v>767</v>
      </c>
      <c r="I42" s="14" t="s">
        <v>281</v>
      </c>
      <c r="J42" s="14" t="s">
        <v>256</v>
      </c>
      <c r="K42" s="14" t="s">
        <v>29</v>
      </c>
      <c r="L42" s="65" t="s">
        <v>191</v>
      </c>
      <c r="M42" s="13" t="s">
        <v>59</v>
      </c>
      <c r="N42" s="65" t="s">
        <v>43</v>
      </c>
      <c r="O42" s="65" t="s">
        <v>538</v>
      </c>
      <c r="P42" s="65" t="s">
        <v>534</v>
      </c>
      <c r="Q42" s="64" t="s">
        <v>9</v>
      </c>
      <c r="R42" s="62" t="e">
        <f>7500/USD</f>
        <v>#REF!</v>
      </c>
      <c r="S42" s="62">
        <v>7500</v>
      </c>
      <c r="T42" s="62" t="e">
        <f>R42</f>
        <v>#REF!</v>
      </c>
      <c r="U42" s="62" t="e">
        <f>114400/USD</f>
        <v>#REF!</v>
      </c>
      <c r="V42" s="62" t="e">
        <f>333545.02/USD</f>
        <v>#REF!</v>
      </c>
      <c r="W42" s="61" t="s">
        <v>11</v>
      </c>
      <c r="X42" s="181">
        <v>2.2499999999999999E-2</v>
      </c>
      <c r="Y42" s="60">
        <v>43872</v>
      </c>
      <c r="Z42" s="60">
        <v>45558</v>
      </c>
      <c r="AA42" s="60">
        <f>Z42</f>
        <v>45558</v>
      </c>
      <c r="AB42" s="58">
        <f t="shared" si="3"/>
        <v>1687</v>
      </c>
      <c r="AC42" s="59" t="e">
        <f t="shared" si="7"/>
        <v>#REF!</v>
      </c>
      <c r="AD42" s="58" t="e">
        <f>AA42-#REF!</f>
        <v>#REF!</v>
      </c>
      <c r="AE42" s="57" t="e">
        <f t="shared" si="0"/>
        <v>#REF!</v>
      </c>
      <c r="AF42" s="56"/>
      <c r="AG42" s="71" t="s">
        <v>1</v>
      </c>
      <c r="AH42" s="71" t="s">
        <v>1</v>
      </c>
      <c r="AI42" s="70" t="s">
        <v>0</v>
      </c>
      <c r="AJ42" s="11" t="e">
        <f t="shared" si="2"/>
        <v>#REF!</v>
      </c>
      <c r="AK42" s="11" t="s">
        <v>271</v>
      </c>
      <c r="AL42" s="14" t="s">
        <v>387</v>
      </c>
      <c r="AM42" s="11">
        <v>7255</v>
      </c>
      <c r="AN42" s="11">
        <v>25000</v>
      </c>
      <c r="AO42" s="197" t="str">
        <f>Table12129[[#This Row],[Risk Location ]]</f>
        <v>Netherlands</v>
      </c>
      <c r="AP42" s="198" t="str">
        <f>Table12129[[#This Row],[Sector (GICS Industry Group)]]</f>
        <v>Information Technology - Hardware &amp; Equipment</v>
      </c>
      <c r="AS42" s="212" t="e">
        <v>#REF!</v>
      </c>
      <c r="AT42" s="212" t="e">
        <v>#REF!</v>
      </c>
      <c r="AU42" s="212" t="e">
        <v>#REF!</v>
      </c>
      <c r="AV42" s="212"/>
      <c r="AW42" s="212" t="e">
        <v>#REF!</v>
      </c>
      <c r="AX42" s="212">
        <f t="shared" si="1"/>
        <v>0</v>
      </c>
      <c r="BB42" s="212">
        <v>0</v>
      </c>
      <c r="BC42" s="212">
        <v>0</v>
      </c>
      <c r="BD42" s="212">
        <v>0</v>
      </c>
      <c r="BE42" s="212">
        <v>0</v>
      </c>
      <c r="BF42" s="212">
        <v>0</v>
      </c>
      <c r="BG42" s="226">
        <v>0</v>
      </c>
      <c r="BH42" s="226"/>
      <c r="BJ42" s="58" t="s">
        <v>973</v>
      </c>
      <c r="BK42" s="112"/>
      <c r="BL42" s="58"/>
    </row>
    <row r="43" spans="1:64" ht="39.950000000000003" customHeight="1" x14ac:dyDescent="0.2">
      <c r="A43" s="14" t="s">
        <v>282</v>
      </c>
      <c r="B43" s="65" t="s">
        <v>23</v>
      </c>
      <c r="C43" s="66" t="s">
        <v>88</v>
      </c>
      <c r="D43" s="14" t="s">
        <v>540</v>
      </c>
      <c r="E43" s="77" t="s">
        <v>49</v>
      </c>
      <c r="F43" s="14" t="s">
        <v>104</v>
      </c>
      <c r="G43" s="14" t="s">
        <v>111</v>
      </c>
      <c r="H43" s="14" t="s">
        <v>135</v>
      </c>
      <c r="I43" s="14" t="s">
        <v>283</v>
      </c>
      <c r="J43" s="14" t="s">
        <v>148</v>
      </c>
      <c r="K43" s="14" t="s">
        <v>140</v>
      </c>
      <c r="L43" s="65" t="s">
        <v>191</v>
      </c>
      <c r="M43" s="13" t="s">
        <v>59</v>
      </c>
      <c r="N43" s="13" t="s">
        <v>43</v>
      </c>
      <c r="O43" s="13" t="s">
        <v>531</v>
      </c>
      <c r="P43" s="65" t="s">
        <v>534</v>
      </c>
      <c r="Q43" s="64" t="s">
        <v>9</v>
      </c>
      <c r="R43" s="62" t="e">
        <f>7500/USD</f>
        <v>#REF!</v>
      </c>
      <c r="S43" s="62">
        <v>7500</v>
      </c>
      <c r="T43" s="62" t="e">
        <f>R43</f>
        <v>#REF!</v>
      </c>
      <c r="U43" s="62" t="e">
        <f>15000/USD</f>
        <v>#REF!</v>
      </c>
      <c r="V43" s="62" t="e">
        <f>1015053/USD-75724.2/USD</f>
        <v>#REF!</v>
      </c>
      <c r="W43" s="61" t="s">
        <v>11</v>
      </c>
      <c r="X43" s="181">
        <v>3.0700000000000002E-2</v>
      </c>
      <c r="Y43" s="60">
        <v>43878</v>
      </c>
      <c r="Z43" s="60">
        <v>47382</v>
      </c>
      <c r="AA43" s="60">
        <v>47382</v>
      </c>
      <c r="AB43" s="58">
        <f t="shared" si="3"/>
        <v>3505</v>
      </c>
      <c r="AC43" s="59" t="e">
        <f t="shared" si="7"/>
        <v>#REF!</v>
      </c>
      <c r="AD43" s="58" t="e">
        <f>AA43-#REF!</f>
        <v>#REF!</v>
      </c>
      <c r="AE43" s="57" t="e">
        <f t="shared" si="0"/>
        <v>#REF!</v>
      </c>
      <c r="AF43" s="56"/>
      <c r="AG43" s="71" t="s">
        <v>1</v>
      </c>
      <c r="AH43" s="71" t="s">
        <v>1</v>
      </c>
      <c r="AI43" s="70" t="s">
        <v>0</v>
      </c>
      <c r="AJ43" s="11" t="e">
        <f t="shared" si="2"/>
        <v>#REF!</v>
      </c>
      <c r="AK43" s="11" t="s">
        <v>271</v>
      </c>
      <c r="AL43" s="14" t="s">
        <v>388</v>
      </c>
      <c r="AM43" s="11">
        <v>7700</v>
      </c>
      <c r="AN43" s="11">
        <v>50000</v>
      </c>
      <c r="AO43" s="197" t="str">
        <f>Table12129[[#This Row],[Risk Location ]]</f>
        <v>Indonesia</v>
      </c>
      <c r="AP43" s="198" t="str">
        <f>Table12129[[#This Row],[Sector (GICS Industry Group)]]</f>
        <v>Materials</v>
      </c>
      <c r="AS43" s="212" t="e">
        <v>#REF!</v>
      </c>
      <c r="AT43" s="212" t="e">
        <v>#REF!</v>
      </c>
      <c r="AU43" s="212" t="e">
        <v>#REF!</v>
      </c>
      <c r="AV43" s="212"/>
      <c r="AW43" s="212" t="e">
        <v>#REF!</v>
      </c>
      <c r="AX43" s="212">
        <f t="shared" si="1"/>
        <v>0</v>
      </c>
      <c r="BB43" s="212">
        <v>0</v>
      </c>
      <c r="BC43" s="212">
        <v>0</v>
      </c>
      <c r="BD43" s="212">
        <v>0</v>
      </c>
      <c r="BE43" s="212">
        <v>0</v>
      </c>
      <c r="BF43" s="212">
        <v>0</v>
      </c>
      <c r="BG43" s="226">
        <v>0</v>
      </c>
      <c r="BH43" s="226"/>
      <c r="BJ43" s="58" t="s">
        <v>974</v>
      </c>
      <c r="BK43" s="112"/>
      <c r="BL43" s="58"/>
    </row>
    <row r="44" spans="1:64" ht="39.950000000000003" customHeight="1" x14ac:dyDescent="0.2">
      <c r="A44" s="13" t="s">
        <v>317</v>
      </c>
      <c r="B44" s="65" t="s">
        <v>23</v>
      </c>
      <c r="C44" s="66" t="s">
        <v>34</v>
      </c>
      <c r="D44" s="14" t="s">
        <v>34</v>
      </c>
      <c r="E44" s="77" t="s">
        <v>34</v>
      </c>
      <c r="F44" s="14" t="s">
        <v>48</v>
      </c>
      <c r="G44" s="66" t="s">
        <v>95</v>
      </c>
      <c r="H44" s="14" t="s">
        <v>130</v>
      </c>
      <c r="I44" s="14" t="s">
        <v>321</v>
      </c>
      <c r="J44" s="14" t="s">
        <v>26</v>
      </c>
      <c r="K44" s="14" t="s">
        <v>29</v>
      </c>
      <c r="L44" s="65" t="s">
        <v>191</v>
      </c>
      <c r="M44" s="13" t="s">
        <v>323</v>
      </c>
      <c r="N44" s="13" t="s">
        <v>43</v>
      </c>
      <c r="O44" s="13" t="s">
        <v>537</v>
      </c>
      <c r="P44" s="65" t="s">
        <v>534</v>
      </c>
      <c r="Q44" s="64" t="s">
        <v>8</v>
      </c>
      <c r="R44" s="62">
        <v>7000</v>
      </c>
      <c r="S44" s="62">
        <v>7000</v>
      </c>
      <c r="T44" s="62">
        <v>7000</v>
      </c>
      <c r="U44" s="62">
        <v>50000</v>
      </c>
      <c r="V44" s="62">
        <f>454461.66-2810.62-55923.75</f>
        <v>395727.29</v>
      </c>
      <c r="W44" s="61" t="s">
        <v>11</v>
      </c>
      <c r="X44" s="181">
        <v>2.1499999999999998E-2</v>
      </c>
      <c r="Y44" s="60">
        <v>43886</v>
      </c>
      <c r="Z44" s="60">
        <v>45152</v>
      </c>
      <c r="AA44" s="60">
        <v>45152</v>
      </c>
      <c r="AB44" s="58">
        <f t="shared" si="3"/>
        <v>1267</v>
      </c>
      <c r="AC44" s="59" t="e">
        <f t="shared" si="7"/>
        <v>#REF!</v>
      </c>
      <c r="AD44" s="58" t="e">
        <f>AA44-#REF!</f>
        <v>#REF!</v>
      </c>
      <c r="AE44" s="57" t="e">
        <f t="shared" si="0"/>
        <v>#REF!</v>
      </c>
      <c r="AF44" s="56"/>
      <c r="AG44" s="71" t="s">
        <v>1</v>
      </c>
      <c r="AH44" s="71" t="s">
        <v>1</v>
      </c>
      <c r="AI44" s="70" t="s">
        <v>0</v>
      </c>
      <c r="AJ44" s="11" t="e">
        <f t="shared" si="2"/>
        <v>#REF!</v>
      </c>
      <c r="AK44" s="11" t="s">
        <v>271</v>
      </c>
      <c r="AL44" s="78" t="s">
        <v>399</v>
      </c>
      <c r="AO44" s="197" t="str">
        <f>Table12129[[#This Row],[Risk Location ]]</f>
        <v>Australia</v>
      </c>
      <c r="AP44" s="198" t="str">
        <f>Table12129[[#This Row],[Sector (GICS Industry Group)]]</f>
        <v>Energy</v>
      </c>
      <c r="AS44" s="212" t="e">
        <v>#REF!</v>
      </c>
      <c r="AT44" s="212" t="e">
        <v>#REF!</v>
      </c>
      <c r="AU44" s="212" t="e">
        <v>#REF!</v>
      </c>
      <c r="AV44" s="212"/>
      <c r="AW44" s="212" t="e">
        <v>#REF!</v>
      </c>
      <c r="AX44" s="212">
        <f t="shared" si="1"/>
        <v>0</v>
      </c>
      <c r="BB44" s="212">
        <v>0</v>
      </c>
      <c r="BC44" s="212">
        <v>0</v>
      </c>
      <c r="BD44" s="212">
        <v>0</v>
      </c>
      <c r="BE44" s="212">
        <v>0</v>
      </c>
      <c r="BF44" s="212">
        <v>0</v>
      </c>
      <c r="BG44" s="226">
        <v>0</v>
      </c>
      <c r="BH44" s="226"/>
      <c r="BJ44" s="58" t="s">
        <v>975</v>
      </c>
      <c r="BK44" s="112"/>
      <c r="BL44" s="58"/>
    </row>
    <row r="45" spans="1:64" ht="39.950000000000003" customHeight="1" x14ac:dyDescent="0.2">
      <c r="A45" s="14" t="s">
        <v>294</v>
      </c>
      <c r="B45" s="65" t="s">
        <v>24</v>
      </c>
      <c r="C45" s="66" t="s">
        <v>295</v>
      </c>
      <c r="D45" s="14" t="s">
        <v>34</v>
      </c>
      <c r="E45" s="77" t="s">
        <v>295</v>
      </c>
      <c r="F45" s="66" t="s">
        <v>106</v>
      </c>
      <c r="G45" s="66" t="s">
        <v>106</v>
      </c>
      <c r="H45" s="66" t="s">
        <v>107</v>
      </c>
      <c r="I45" s="66" t="s">
        <v>296</v>
      </c>
      <c r="J45" s="66" t="s">
        <v>687</v>
      </c>
      <c r="K45" s="14" t="s">
        <v>101</v>
      </c>
      <c r="L45" s="65" t="s">
        <v>191</v>
      </c>
      <c r="M45" s="65" t="s">
        <v>323</v>
      </c>
      <c r="N45" s="13" t="s">
        <v>43</v>
      </c>
      <c r="O45" s="13" t="s">
        <v>531</v>
      </c>
      <c r="P45" s="65" t="s">
        <v>534</v>
      </c>
      <c r="Q45" s="64" t="s">
        <v>297</v>
      </c>
      <c r="R45" s="62" t="e">
        <f>34375/NZD</f>
        <v>#REF!</v>
      </c>
      <c r="S45" s="62">
        <f>31927589/1000</f>
        <v>31927.589</v>
      </c>
      <c r="T45" s="62" t="e">
        <f>Table12129[[#This Row],[Amortised Limit in Original Currency]]/NZD</f>
        <v>#REF!</v>
      </c>
      <c r="U45" s="62" t="e">
        <f>70857670.14/1000/NZD</f>
        <v>#REF!</v>
      </c>
      <c r="V45" s="62" t="e">
        <f>(1386683.39)/NZD</f>
        <v>#REF!</v>
      </c>
      <c r="W45" s="61" t="s">
        <v>11</v>
      </c>
      <c r="X45" s="181">
        <v>2.5000000000000001E-2</v>
      </c>
      <c r="Y45" s="60">
        <v>43910</v>
      </c>
      <c r="Z45" s="60">
        <v>45377</v>
      </c>
      <c r="AA45" s="60">
        <v>45397</v>
      </c>
      <c r="AB45" s="58">
        <f t="shared" si="3"/>
        <v>1488</v>
      </c>
      <c r="AC45" s="59" t="e">
        <f t="shared" si="7"/>
        <v>#REF!</v>
      </c>
      <c r="AD45" s="58" t="e">
        <f>AA45-#REF!</f>
        <v>#REF!</v>
      </c>
      <c r="AE45" s="57" t="e">
        <f t="shared" si="0"/>
        <v>#REF!</v>
      </c>
      <c r="AF45" s="56" t="s">
        <v>436</v>
      </c>
      <c r="AG45" s="71" t="s">
        <v>1</v>
      </c>
      <c r="AH45" s="71" t="s">
        <v>1</v>
      </c>
      <c r="AI45" s="70" t="s">
        <v>0</v>
      </c>
      <c r="AJ45" s="11" t="e">
        <f t="shared" si="2"/>
        <v>#REF!</v>
      </c>
      <c r="AK45" s="11" t="s">
        <v>271</v>
      </c>
      <c r="AL45" s="14" t="s">
        <v>391</v>
      </c>
      <c r="AM45" s="11">
        <v>13000</v>
      </c>
      <c r="AN45" s="11">
        <v>60000</v>
      </c>
      <c r="AO45" s="197" t="str">
        <f>Table12129[[#This Row],[Risk Location ]]</f>
        <v>New Zealand</v>
      </c>
      <c r="AP45" s="198" t="str">
        <f>Table12129[[#This Row],[Sector (GICS Industry Group)]]</f>
        <v>Real Estate Management &amp; Development</v>
      </c>
      <c r="AS45" s="212" t="e">
        <v>#REF!</v>
      </c>
      <c r="AT45" s="212" t="e">
        <v>#REF!</v>
      </c>
      <c r="AU45" s="212" t="e">
        <v>#REF!</v>
      </c>
      <c r="AV45" s="212"/>
      <c r="AW45" s="212" t="e">
        <v>#REF!</v>
      </c>
      <c r="AX45" s="212">
        <f t="shared" si="1"/>
        <v>0</v>
      </c>
      <c r="BB45" s="212">
        <v>0</v>
      </c>
      <c r="BC45" s="212">
        <v>0</v>
      </c>
      <c r="BD45" s="212">
        <v>0</v>
      </c>
      <c r="BE45" s="212">
        <v>0</v>
      </c>
      <c r="BF45" s="212">
        <v>0</v>
      </c>
      <c r="BG45" s="226">
        <v>0</v>
      </c>
      <c r="BH45" s="226"/>
      <c r="BJ45" s="58" t="s">
        <v>933</v>
      </c>
      <c r="BK45" s="112"/>
      <c r="BL45" s="58" t="s">
        <v>103</v>
      </c>
    </row>
    <row r="46" spans="1:64" ht="39.950000000000003" customHeight="1" x14ac:dyDescent="0.2">
      <c r="A46" s="14" t="s">
        <v>313</v>
      </c>
      <c r="B46" s="65" t="s">
        <v>67</v>
      </c>
      <c r="C46" s="66" t="s">
        <v>87</v>
      </c>
      <c r="D46" s="14" t="s">
        <v>499</v>
      </c>
      <c r="E46" s="77" t="s">
        <v>162</v>
      </c>
      <c r="F46" s="14" t="s">
        <v>891</v>
      </c>
      <c r="G46" s="66" t="s">
        <v>167</v>
      </c>
      <c r="H46" s="131" t="s">
        <v>167</v>
      </c>
      <c r="I46" s="14" t="s">
        <v>298</v>
      </c>
      <c r="J46" s="66" t="s">
        <v>218</v>
      </c>
      <c r="K46" s="14" t="s">
        <v>209</v>
      </c>
      <c r="L46" s="65" t="s">
        <v>191</v>
      </c>
      <c r="M46" s="65" t="s">
        <v>59</v>
      </c>
      <c r="N46" s="13" t="s">
        <v>43</v>
      </c>
      <c r="O46" s="13" t="s">
        <v>531</v>
      </c>
      <c r="P46" s="65" t="s">
        <v>534</v>
      </c>
      <c r="Q46" s="64" t="s">
        <v>9</v>
      </c>
      <c r="R46" s="62" t="e">
        <f>15000/USD</f>
        <v>#REF!</v>
      </c>
      <c r="S46" s="62">
        <v>15000</v>
      </c>
      <c r="T46" s="62" t="e">
        <f>15000/USD</f>
        <v>#REF!</v>
      </c>
      <c r="U46" s="62" t="e">
        <f>30000/USD</f>
        <v>#REF!</v>
      </c>
      <c r="V46" s="62" t="e">
        <f>2800416.69/USD</f>
        <v>#REF!</v>
      </c>
      <c r="W46" s="61" t="s">
        <v>11</v>
      </c>
      <c r="X46" s="181">
        <v>5.3800000000000001E-2</v>
      </c>
      <c r="Y46" s="60">
        <v>43915</v>
      </c>
      <c r="Z46" s="60">
        <v>46372</v>
      </c>
      <c r="AA46" s="60">
        <v>46372</v>
      </c>
      <c r="AB46" s="58">
        <f t="shared" si="3"/>
        <v>2458</v>
      </c>
      <c r="AC46" s="75" t="e">
        <f t="shared" si="7"/>
        <v>#REF!</v>
      </c>
      <c r="AD46" s="58" t="e">
        <f>AA46-#REF!</f>
        <v>#REF!</v>
      </c>
      <c r="AE46" s="57" t="e">
        <f t="shared" si="0"/>
        <v>#REF!</v>
      </c>
      <c r="AF46" s="56"/>
      <c r="AG46" s="71" t="s">
        <v>182</v>
      </c>
      <c r="AH46" s="71" t="s">
        <v>182</v>
      </c>
      <c r="AI46" s="70" t="s">
        <v>0</v>
      </c>
      <c r="AJ46" s="11" t="e">
        <f t="shared" si="2"/>
        <v>#REF!</v>
      </c>
      <c r="AK46" s="11" t="s">
        <v>271</v>
      </c>
      <c r="AL46" s="14" t="s">
        <v>392</v>
      </c>
      <c r="AM46" s="11">
        <v>12000</v>
      </c>
      <c r="AN46" s="11">
        <v>250000</v>
      </c>
      <c r="AO46" s="197" t="str">
        <f>Table12129[[#This Row],[Risk Location ]]</f>
        <v>United States</v>
      </c>
      <c r="AP46" s="198" t="str">
        <f>Table12129[[#This Row],[Sector (GICS Industry Group)]]</f>
        <v>Information Technology - Hardware &amp; Equipment</v>
      </c>
      <c r="AS46" s="212" t="e">
        <v>#REF!</v>
      </c>
      <c r="AT46" s="212" t="e">
        <v>#REF!</v>
      </c>
      <c r="AU46" s="212" t="e">
        <v>#REF!</v>
      </c>
      <c r="AV46" s="212"/>
      <c r="AW46" s="212" t="e">
        <v>#REF!</v>
      </c>
      <c r="AX46" s="212">
        <f t="shared" si="1"/>
        <v>0</v>
      </c>
      <c r="BB46" s="212">
        <v>0</v>
      </c>
      <c r="BC46" s="212">
        <v>0</v>
      </c>
      <c r="BD46" s="212">
        <v>0</v>
      </c>
      <c r="BE46" s="212">
        <v>0</v>
      </c>
      <c r="BF46" s="212">
        <v>0</v>
      </c>
      <c r="BG46" s="226">
        <v>0</v>
      </c>
      <c r="BH46" s="226"/>
      <c r="BJ46" s="58" t="s">
        <v>976</v>
      </c>
      <c r="BK46" s="112"/>
      <c r="BL46" s="58"/>
    </row>
    <row r="47" spans="1:64" s="229" customFormat="1" ht="39.950000000000003" customHeight="1" x14ac:dyDescent="0.2">
      <c r="A47" s="269" t="s">
        <v>301</v>
      </c>
      <c r="B47" s="270" t="s">
        <v>24</v>
      </c>
      <c r="C47" s="133" t="s">
        <v>37</v>
      </c>
      <c r="D47" s="131" t="s">
        <v>542</v>
      </c>
      <c r="E47" s="145" t="s">
        <v>87</v>
      </c>
      <c r="F47" s="131" t="s">
        <v>102</v>
      </c>
      <c r="G47" s="131" t="s">
        <v>102</v>
      </c>
      <c r="H47" s="133" t="s">
        <v>110</v>
      </c>
      <c r="I47" s="131" t="s">
        <v>55</v>
      </c>
      <c r="J47" s="133" t="s">
        <v>218</v>
      </c>
      <c r="K47" s="131" t="s">
        <v>101</v>
      </c>
      <c r="L47" s="270" t="s">
        <v>191</v>
      </c>
      <c r="M47" s="269" t="s">
        <v>323</v>
      </c>
      <c r="N47" s="269" t="s">
        <v>43</v>
      </c>
      <c r="O47" s="269" t="s">
        <v>538</v>
      </c>
      <c r="P47" s="270" t="s">
        <v>534</v>
      </c>
      <c r="Q47" s="297" t="s">
        <v>59</v>
      </c>
      <c r="R47" s="62" t="e">
        <f>14705/EUR+3814/USD</f>
        <v>#REF!</v>
      </c>
      <c r="S47" s="62" t="e">
        <f>14705+3814/USD*EUR-3814/USD*EUR</f>
        <v>#REF!</v>
      </c>
      <c r="T47" s="62" t="e">
        <f>Table12129[[#This Row],[Amortised Limit in Original Currency]]/EUR</f>
        <v>#REF!</v>
      </c>
      <c r="U47" s="62" t="e">
        <f>((5085/USD)+(19607/EUR))</f>
        <v>#REF!</v>
      </c>
      <c r="V47" s="62" t="e">
        <f>((132465.72/USD)+(510766.79/EUR)-(132465.72/USD))</f>
        <v>#REF!</v>
      </c>
      <c r="W47" s="61" t="s">
        <v>11</v>
      </c>
      <c r="X47" s="181">
        <v>2.6499999999999999E-2</v>
      </c>
      <c r="Y47" s="271">
        <v>43915</v>
      </c>
      <c r="Z47" s="271">
        <v>44970</v>
      </c>
      <c r="AA47" s="271">
        <v>44970</v>
      </c>
      <c r="AB47" s="272">
        <f t="shared" si="3"/>
        <v>1056</v>
      </c>
      <c r="AC47" s="139" t="e">
        <f t="shared" si="7"/>
        <v>#REF!</v>
      </c>
      <c r="AD47" s="272" t="e">
        <f>AA47-#REF!</f>
        <v>#REF!</v>
      </c>
      <c r="AE47" s="273" t="e">
        <f t="shared" si="0"/>
        <v>#REF!</v>
      </c>
      <c r="AF47" s="274" t="s">
        <v>436</v>
      </c>
      <c r="AG47" s="275" t="s">
        <v>1</v>
      </c>
      <c r="AH47" s="275" t="s">
        <v>1</v>
      </c>
      <c r="AI47" s="163" t="s">
        <v>0</v>
      </c>
      <c r="AJ47" s="229" t="e">
        <f t="shared" si="2"/>
        <v>#REF!</v>
      </c>
      <c r="AK47" s="229" t="s">
        <v>271</v>
      </c>
      <c r="AL47" s="131" t="s">
        <v>394</v>
      </c>
      <c r="AM47" s="229">
        <v>6000</v>
      </c>
      <c r="AN47" s="229">
        <v>55000</v>
      </c>
      <c r="AO47" s="197" t="str">
        <f>Table12129[[#This Row],[Risk Location ]]</f>
        <v>United Kingdom</v>
      </c>
      <c r="AP47" s="198" t="str">
        <f>Table12129[[#This Row],[Sector (GICS Industry Group)]]</f>
        <v>Real Estate Investment</v>
      </c>
      <c r="AS47" s="212" t="e">
        <v>#REF!</v>
      </c>
      <c r="AT47" s="212" t="e">
        <v>#REF!</v>
      </c>
      <c r="AU47" s="212" t="e">
        <v>#REF!</v>
      </c>
      <c r="AV47" s="278"/>
      <c r="AW47" s="212" t="e">
        <v>#REF!</v>
      </c>
      <c r="AX47" s="212">
        <f t="shared" si="1"/>
        <v>0</v>
      </c>
      <c r="BB47" s="278">
        <v>0</v>
      </c>
      <c r="BC47" s="278">
        <v>0</v>
      </c>
      <c r="BD47" s="278">
        <v>0</v>
      </c>
      <c r="BE47" s="278">
        <v>0</v>
      </c>
      <c r="BF47" s="278">
        <v>0</v>
      </c>
      <c r="BG47" s="226">
        <v>0</v>
      </c>
      <c r="BH47" s="226"/>
      <c r="BJ47" s="272" t="s">
        <v>977</v>
      </c>
      <c r="BK47" s="276"/>
      <c r="BL47" s="272"/>
    </row>
    <row r="48" spans="1:64" ht="39.950000000000003" customHeight="1" x14ac:dyDescent="0.2">
      <c r="A48" s="13" t="s">
        <v>306</v>
      </c>
      <c r="B48" s="65" t="s">
        <v>243</v>
      </c>
      <c r="C48" s="66" t="s">
        <v>89</v>
      </c>
      <c r="D48" s="14" t="s">
        <v>542</v>
      </c>
      <c r="E48" s="130" t="s">
        <v>308</v>
      </c>
      <c r="F48" s="14" t="s">
        <v>92</v>
      </c>
      <c r="G48" s="66" t="s">
        <v>134</v>
      </c>
      <c r="H48" s="66" t="s">
        <v>134</v>
      </c>
      <c r="I48" s="66" t="s">
        <v>311</v>
      </c>
      <c r="J48" s="66" t="s">
        <v>256</v>
      </c>
      <c r="K48" s="14" t="s">
        <v>68</v>
      </c>
      <c r="L48" s="65" t="s">
        <v>191</v>
      </c>
      <c r="M48" s="65" t="s">
        <v>59</v>
      </c>
      <c r="N48" s="13" t="s">
        <v>43</v>
      </c>
      <c r="O48" s="13" t="s">
        <v>538</v>
      </c>
      <c r="P48" s="65" t="s">
        <v>534</v>
      </c>
      <c r="Q48" s="64" t="s">
        <v>9</v>
      </c>
      <c r="R48" s="62" t="e">
        <f>8000/USD</f>
        <v>#REF!</v>
      </c>
      <c r="S48" s="62">
        <v>3199.9989999999998</v>
      </c>
      <c r="T48" s="62" t="e">
        <f>Table12129[[#This Row],[Amortised Limit in Original Currency]]/USD</f>
        <v>#REF!</v>
      </c>
      <c r="U48" s="62" t="e">
        <f>42033.33333/USD</f>
        <v>#REF!</v>
      </c>
      <c r="V48" s="62" t="e">
        <f>275381.15/USD</f>
        <v>#REF!</v>
      </c>
      <c r="W48" s="61" t="s">
        <v>11</v>
      </c>
      <c r="X48" s="181">
        <v>0.02</v>
      </c>
      <c r="Y48" s="60">
        <v>43921</v>
      </c>
      <c r="Z48" s="60">
        <v>45660</v>
      </c>
      <c r="AA48" s="60">
        <v>45660</v>
      </c>
      <c r="AB48" s="58">
        <f t="shared" si="3"/>
        <v>1740</v>
      </c>
      <c r="AC48" s="59" t="e">
        <f t="shared" si="7"/>
        <v>#REF!</v>
      </c>
      <c r="AD48" s="58" t="e">
        <f>AA48-#REF!</f>
        <v>#REF!</v>
      </c>
      <c r="AE48" s="57" t="e">
        <f t="shared" si="0"/>
        <v>#REF!</v>
      </c>
      <c r="AF48" s="56"/>
      <c r="AG48" s="71" t="s">
        <v>1</v>
      </c>
      <c r="AH48" s="71" t="s">
        <v>1</v>
      </c>
      <c r="AI48" s="187" t="s">
        <v>784</v>
      </c>
      <c r="AJ48" s="11" t="e">
        <f t="shared" si="2"/>
        <v>#REF!</v>
      </c>
      <c r="AK48" s="11" t="s">
        <v>271</v>
      </c>
      <c r="AL48" s="13" t="s">
        <v>396</v>
      </c>
      <c r="AM48" s="11">
        <v>10480</v>
      </c>
      <c r="AN48" s="11">
        <v>31210</v>
      </c>
      <c r="AO48" s="197" t="str">
        <f>Table12129[[#This Row],[Risk Location ]]</f>
        <v>Norway</v>
      </c>
      <c r="AP48" s="198" t="str">
        <f>Table12129[[#This Row],[Sector (GICS Industry Group)]]</f>
        <v>Transportation</v>
      </c>
      <c r="AS48" s="212" t="e">
        <v>#REF!</v>
      </c>
      <c r="AT48" s="212" t="e">
        <v>#REF!</v>
      </c>
      <c r="AU48" s="212" t="e">
        <v>#REF!</v>
      </c>
      <c r="AV48" s="212"/>
      <c r="AW48" s="212" t="e">
        <v>#REF!</v>
      </c>
      <c r="AX48" s="212">
        <f t="shared" si="1"/>
        <v>0</v>
      </c>
      <c r="BB48" s="212">
        <v>0</v>
      </c>
      <c r="BC48" s="212">
        <v>0</v>
      </c>
      <c r="BD48" s="212">
        <v>0</v>
      </c>
      <c r="BE48" s="212">
        <v>0</v>
      </c>
      <c r="BF48" s="212">
        <v>0</v>
      </c>
      <c r="BG48" s="226">
        <v>0</v>
      </c>
      <c r="BH48" s="226"/>
      <c r="BJ48" s="58" t="s">
        <v>978</v>
      </c>
      <c r="BK48" s="112"/>
      <c r="BL48" s="58"/>
    </row>
    <row r="49" spans="1:64" ht="39.950000000000003" customHeight="1" x14ac:dyDescent="0.2">
      <c r="A49" s="13" t="s">
        <v>303</v>
      </c>
      <c r="B49" s="65" t="s">
        <v>23</v>
      </c>
      <c r="C49" s="66" t="s">
        <v>38</v>
      </c>
      <c r="D49" s="14" t="s">
        <v>540</v>
      </c>
      <c r="E49" s="130" t="s">
        <v>49</v>
      </c>
      <c r="F49" s="14" t="s">
        <v>544</v>
      </c>
      <c r="G49" s="66" t="s">
        <v>304</v>
      </c>
      <c r="H49" s="14" t="s">
        <v>310</v>
      </c>
      <c r="I49" s="66" t="s">
        <v>142</v>
      </c>
      <c r="J49" s="66" t="s">
        <v>218</v>
      </c>
      <c r="K49" s="14" t="s">
        <v>29</v>
      </c>
      <c r="L49" s="65" t="s">
        <v>191</v>
      </c>
      <c r="M49" s="65" t="s">
        <v>323</v>
      </c>
      <c r="N49" s="13" t="s">
        <v>43</v>
      </c>
      <c r="O49" s="13" t="s">
        <v>538</v>
      </c>
      <c r="P49" s="65" t="s">
        <v>534</v>
      </c>
      <c r="Q49" s="64" t="s">
        <v>59</v>
      </c>
      <c r="R49" s="62" t="e">
        <f>7500/EUR</f>
        <v>#REF!</v>
      </c>
      <c r="S49" s="62">
        <v>7387.5</v>
      </c>
      <c r="T49" s="62" t="e">
        <f>Table12129[[#This Row],[Amortised Limit in Original Currency]]/EUR</f>
        <v>#REF!</v>
      </c>
      <c r="U49" s="62" t="e">
        <f>10000/EUR</f>
        <v>#REF!</v>
      </c>
      <c r="V49" s="62" t="e">
        <f>407389.86/EUR</f>
        <v>#REF!</v>
      </c>
      <c r="W49" s="61" t="s">
        <v>11</v>
      </c>
      <c r="X49" s="181">
        <v>2.7E-2</v>
      </c>
      <c r="Y49" s="60">
        <v>43921</v>
      </c>
      <c r="Z49" s="60">
        <v>45691</v>
      </c>
      <c r="AA49" s="60">
        <v>45691</v>
      </c>
      <c r="AB49" s="58">
        <f t="shared" si="3"/>
        <v>1771</v>
      </c>
      <c r="AC49" s="59" t="e">
        <f t="shared" si="7"/>
        <v>#REF!</v>
      </c>
      <c r="AD49" s="58" t="e">
        <f>AA49-#REF!</f>
        <v>#REF!</v>
      </c>
      <c r="AE49" s="57" t="e">
        <f t="shared" si="0"/>
        <v>#REF!</v>
      </c>
      <c r="AF49" s="56"/>
      <c r="AG49" s="71" t="s">
        <v>1</v>
      </c>
      <c r="AH49" s="71" t="s">
        <v>1</v>
      </c>
      <c r="AI49" s="70" t="s">
        <v>663</v>
      </c>
      <c r="AJ49" s="11" t="e">
        <f t="shared" si="2"/>
        <v>#REF!</v>
      </c>
      <c r="AK49" s="11" t="s">
        <v>271</v>
      </c>
      <c r="AL49" s="14" t="s">
        <v>395</v>
      </c>
      <c r="AM49" s="11">
        <v>10000</v>
      </c>
      <c r="AN49" s="11">
        <v>45000</v>
      </c>
      <c r="AO49" s="197" t="str">
        <f>Table12129[[#This Row],[Risk Location ]]</f>
        <v>Indonesia</v>
      </c>
      <c r="AP49" s="198" t="str">
        <f>Table12129[[#This Row],[Sector (GICS Industry Group)]]</f>
        <v>Consumer Discretionary</v>
      </c>
      <c r="AQ49" s="11">
        <v>1</v>
      </c>
      <c r="AR49" s="214">
        <v>0.15</v>
      </c>
      <c r="AS49" s="212" t="e">
        <v>#REF!</v>
      </c>
      <c r="AT49" s="212" t="e">
        <v>#REF!</v>
      </c>
      <c r="AU49" s="212" t="e">
        <v>#REF!</v>
      </c>
      <c r="AV49" s="212"/>
      <c r="AW49" s="212" t="e">
        <v>#REF!</v>
      </c>
      <c r="AX49" s="212">
        <f t="shared" si="1"/>
        <v>1357.1439506437439</v>
      </c>
      <c r="AY49" s="12"/>
      <c r="BB49" s="212">
        <v>1371.2443970977135</v>
      </c>
      <c r="BC49" s="212">
        <v>1357.1439506437439</v>
      </c>
      <c r="BD49" s="212">
        <v>1116.2063338571256</v>
      </c>
      <c r="BE49" s="212">
        <v>1081.0063186093237</v>
      </c>
      <c r="BF49" s="212">
        <v>1411.5699873896597</v>
      </c>
      <c r="BG49" s="226">
        <v>1411.5699873896597</v>
      </c>
      <c r="BH49" s="226">
        <v>1198.713532738429</v>
      </c>
      <c r="BJ49" s="58" t="s">
        <v>979</v>
      </c>
      <c r="BK49" s="112"/>
      <c r="BL49" s="58"/>
    </row>
    <row r="50" spans="1:64" ht="39.950000000000003" customHeight="1" x14ac:dyDescent="0.2">
      <c r="A50" s="13" t="s">
        <v>320</v>
      </c>
      <c r="B50" s="65" t="s">
        <v>51</v>
      </c>
      <c r="C50" s="66" t="s">
        <v>87</v>
      </c>
      <c r="D50" s="14" t="s">
        <v>542</v>
      </c>
      <c r="E50" s="130" t="s">
        <v>87</v>
      </c>
      <c r="F50" s="14" t="s">
        <v>173</v>
      </c>
      <c r="G50" s="66" t="s">
        <v>316</v>
      </c>
      <c r="H50" s="14" t="s">
        <v>197</v>
      </c>
      <c r="I50" s="77" t="s">
        <v>75</v>
      </c>
      <c r="J50" s="66" t="s">
        <v>21</v>
      </c>
      <c r="K50" s="14" t="s">
        <v>29</v>
      </c>
      <c r="L50" s="65" t="s">
        <v>191</v>
      </c>
      <c r="M50" s="65" t="s">
        <v>59</v>
      </c>
      <c r="N50" s="13" t="s">
        <v>43</v>
      </c>
      <c r="O50" s="13" t="s">
        <v>538</v>
      </c>
      <c r="P50" s="13" t="s">
        <v>548</v>
      </c>
      <c r="Q50" s="64" t="s">
        <v>156</v>
      </c>
      <c r="R50" s="62" t="e">
        <f>10000/GBP</f>
        <v>#REF!</v>
      </c>
      <c r="S50" s="62">
        <v>6500</v>
      </c>
      <c r="T50" s="62" t="e">
        <f>Table12129[[#This Row],[Amortised Limit in Original Currency]]/GBP</f>
        <v>#REF!</v>
      </c>
      <c r="U50" s="62" t="e">
        <f>80000/GBP</f>
        <v>#REF!</v>
      </c>
      <c r="V50" s="62" t="e">
        <f>175390.44/GBP</f>
        <v>#REF!</v>
      </c>
      <c r="W50" s="61" t="s">
        <v>11</v>
      </c>
      <c r="X50" s="181">
        <v>7.7000000000000002E-3</v>
      </c>
      <c r="Y50" s="60">
        <v>43927</v>
      </c>
      <c r="Z50" s="60">
        <v>46081</v>
      </c>
      <c r="AA50" s="60">
        <v>46081</v>
      </c>
      <c r="AB50" s="58">
        <f t="shared" si="3"/>
        <v>2155</v>
      </c>
      <c r="AC50" s="75" t="e">
        <f t="shared" si="7"/>
        <v>#REF!</v>
      </c>
      <c r="AD50" s="58" t="e">
        <f>AA50-#REF!</f>
        <v>#REF!</v>
      </c>
      <c r="AE50" s="57" t="e">
        <f t="shared" si="0"/>
        <v>#REF!</v>
      </c>
      <c r="AF50" s="56"/>
      <c r="AG50" s="71" t="s">
        <v>1</v>
      </c>
      <c r="AH50" s="71" t="s">
        <v>1</v>
      </c>
      <c r="AI50" s="70" t="s">
        <v>0</v>
      </c>
      <c r="AJ50" s="11" t="e">
        <f t="shared" si="2"/>
        <v>#REF!</v>
      </c>
      <c r="AK50" s="11" t="s">
        <v>271</v>
      </c>
      <c r="AL50" s="13" t="s">
        <v>398</v>
      </c>
      <c r="AM50" s="11">
        <v>10230</v>
      </c>
      <c r="AO50" s="197" t="str">
        <f>Table12129[[#This Row],[Risk Location ]]</f>
        <v>United Kingdom</v>
      </c>
      <c r="AP50" s="198" t="str">
        <f>Table12129[[#This Row],[Sector (GICS Industry Group)]]</f>
        <v>Automobiles &amp; Components</v>
      </c>
      <c r="AS50" s="212" t="e">
        <v>#REF!</v>
      </c>
      <c r="AT50" s="212" t="e">
        <v>#REF!</v>
      </c>
      <c r="AU50" s="212" t="e">
        <v>#REF!</v>
      </c>
      <c r="AV50" s="212"/>
      <c r="AW50" s="212" t="e">
        <v>#REF!</v>
      </c>
      <c r="AX50" s="212">
        <f t="shared" si="1"/>
        <v>0</v>
      </c>
      <c r="BB50" s="212">
        <v>0</v>
      </c>
      <c r="BC50" s="212">
        <v>0</v>
      </c>
      <c r="BD50" s="212">
        <v>0</v>
      </c>
      <c r="BE50" s="212">
        <v>0</v>
      </c>
      <c r="BF50" s="212">
        <v>0</v>
      </c>
      <c r="BG50" s="226">
        <v>0</v>
      </c>
      <c r="BH50" s="226"/>
      <c r="BJ50" s="58" t="s">
        <v>980</v>
      </c>
      <c r="BK50" s="112"/>
      <c r="BL50" s="58"/>
    </row>
    <row r="51" spans="1:64" ht="39.950000000000003" customHeight="1" x14ac:dyDescent="0.2">
      <c r="A51" s="13" t="s">
        <v>550</v>
      </c>
      <c r="B51" s="65" t="s">
        <v>23</v>
      </c>
      <c r="C51" s="66" t="s">
        <v>37</v>
      </c>
      <c r="D51" s="14" t="s">
        <v>540</v>
      </c>
      <c r="E51" s="161" t="s">
        <v>36</v>
      </c>
      <c r="F51" s="14" t="s">
        <v>104</v>
      </c>
      <c r="G51" s="14" t="s">
        <v>111</v>
      </c>
      <c r="H51" s="66" t="s">
        <v>135</v>
      </c>
      <c r="I51" s="14" t="s">
        <v>77</v>
      </c>
      <c r="J51" s="66" t="s">
        <v>220</v>
      </c>
      <c r="K51" s="14" t="s">
        <v>29</v>
      </c>
      <c r="L51" s="65" t="s">
        <v>191</v>
      </c>
      <c r="M51" s="13" t="s">
        <v>323</v>
      </c>
      <c r="N51" s="13" t="s">
        <v>43</v>
      </c>
      <c r="O51" s="13" t="s">
        <v>531</v>
      </c>
      <c r="P51" s="13" t="s">
        <v>548</v>
      </c>
      <c r="Q51" s="64" t="s">
        <v>9</v>
      </c>
      <c r="R51" s="62" t="e">
        <f>7000/USD</f>
        <v>#REF!</v>
      </c>
      <c r="S51" s="62">
        <v>8662.5</v>
      </c>
      <c r="T51" s="62" t="e">
        <f>Table12129[[#This Row],[Amortised Limit in Original Currency]]/USD</f>
        <v>#REF!</v>
      </c>
      <c r="U51" s="62" t="e">
        <f>185000/USD</f>
        <v>#REF!</v>
      </c>
      <c r="V51" s="62" t="e">
        <f>600563.11/USD</f>
        <v>#REF!</v>
      </c>
      <c r="W51" s="61" t="s">
        <v>11</v>
      </c>
      <c r="X51" s="181">
        <v>3.7499999999999999E-2</v>
      </c>
      <c r="Y51" s="60">
        <v>43938</v>
      </c>
      <c r="Z51" s="60">
        <v>45063</v>
      </c>
      <c r="AA51" s="60">
        <v>45063</v>
      </c>
      <c r="AB51" s="58">
        <f t="shared" si="3"/>
        <v>1126</v>
      </c>
      <c r="AC51" s="59" t="e">
        <f t="shared" si="7"/>
        <v>#REF!</v>
      </c>
      <c r="AD51" s="58" t="e">
        <f>AA51-#REF!</f>
        <v>#REF!</v>
      </c>
      <c r="AE51" s="57" t="e">
        <f t="shared" si="0"/>
        <v>#REF!</v>
      </c>
      <c r="AF51" s="56"/>
      <c r="AG51" s="71" t="s">
        <v>1</v>
      </c>
      <c r="AH51" s="71" t="s">
        <v>1</v>
      </c>
      <c r="AI51" s="263" t="s">
        <v>881</v>
      </c>
      <c r="AJ51" s="11" t="e">
        <f t="shared" si="2"/>
        <v>#REF!</v>
      </c>
      <c r="AK51" s="11" t="s">
        <v>271</v>
      </c>
      <c r="AL51" s="13" t="s">
        <v>401</v>
      </c>
      <c r="AM51" s="11">
        <f>11000+1225</f>
        <v>12225</v>
      </c>
      <c r="AO51" s="197" t="str">
        <f>Table12129[[#This Row],[Risk Location ]]</f>
        <v>China</v>
      </c>
      <c r="AP51" s="198" t="str">
        <f>Table12129[[#This Row],[Sector (GICS Industry Group)]]</f>
        <v>Materials</v>
      </c>
      <c r="AS51" s="212" t="e">
        <v>#REF!</v>
      </c>
      <c r="AT51" s="212" t="e">
        <v>#REF!</v>
      </c>
      <c r="AU51" s="212" t="e">
        <v>#REF!</v>
      </c>
      <c r="AV51" s="212"/>
      <c r="AW51" s="212" t="e">
        <v>#REF!</v>
      </c>
      <c r="AX51" s="212">
        <f t="shared" si="1"/>
        <v>0</v>
      </c>
      <c r="BB51" s="212">
        <v>0</v>
      </c>
      <c r="BC51" s="212">
        <v>0</v>
      </c>
      <c r="BD51" s="212">
        <v>0</v>
      </c>
      <c r="BE51" s="212">
        <v>0</v>
      </c>
      <c r="BF51" s="212">
        <v>0</v>
      </c>
      <c r="BG51" s="226">
        <v>0</v>
      </c>
      <c r="BH51" s="226"/>
      <c r="BJ51" s="58" t="s">
        <v>981</v>
      </c>
      <c r="BK51" s="112"/>
      <c r="BL51" s="58"/>
    </row>
    <row r="52" spans="1:64" ht="39.950000000000003" customHeight="1" x14ac:dyDescent="0.2">
      <c r="A52" s="13" t="s">
        <v>319</v>
      </c>
      <c r="B52" s="65" t="s">
        <v>23</v>
      </c>
      <c r="C52" s="66" t="s">
        <v>89</v>
      </c>
      <c r="D52" s="14" t="s">
        <v>542</v>
      </c>
      <c r="E52" s="130" t="s">
        <v>166</v>
      </c>
      <c r="F52" s="14" t="s">
        <v>92</v>
      </c>
      <c r="G52" s="66" t="s">
        <v>134</v>
      </c>
      <c r="H52" s="14" t="s">
        <v>134</v>
      </c>
      <c r="I52" s="66" t="s">
        <v>58</v>
      </c>
      <c r="J52" s="14" t="s">
        <v>220</v>
      </c>
      <c r="K52" s="14" t="s">
        <v>68</v>
      </c>
      <c r="L52" s="65" t="s">
        <v>191</v>
      </c>
      <c r="M52" s="65" t="s">
        <v>59</v>
      </c>
      <c r="N52" s="13" t="s">
        <v>43</v>
      </c>
      <c r="O52" s="13" t="s">
        <v>539</v>
      </c>
      <c r="P52" s="65" t="s">
        <v>534</v>
      </c>
      <c r="Q52" s="64" t="s">
        <v>9</v>
      </c>
      <c r="R52" s="62" t="e">
        <f>20000/USD</f>
        <v>#REF!</v>
      </c>
      <c r="S52" s="62">
        <v>11380.34</v>
      </c>
      <c r="T52" s="62" t="e">
        <f>Table12129[[#This Row],[Amortised Limit in Original Currency]]/USD</f>
        <v>#REF!</v>
      </c>
      <c r="U52" s="62" t="e">
        <f>53400/USD</f>
        <v>#REF!</v>
      </c>
      <c r="V52" s="62" t="e">
        <f>886043/USD</f>
        <v>#REF!</v>
      </c>
      <c r="W52" s="61" t="s">
        <v>11</v>
      </c>
      <c r="X52" s="181">
        <v>2.1999999999999999E-2</v>
      </c>
      <c r="Y52" s="60">
        <v>43943</v>
      </c>
      <c r="Z52" s="60">
        <v>45860</v>
      </c>
      <c r="AA52" s="60">
        <v>45860</v>
      </c>
      <c r="AB52" s="58">
        <f t="shared" si="3"/>
        <v>1918</v>
      </c>
      <c r="AC52" s="59" t="e">
        <f t="shared" si="7"/>
        <v>#REF!</v>
      </c>
      <c r="AD52" s="58" t="e">
        <f>AA52-#REF!</f>
        <v>#REF!</v>
      </c>
      <c r="AE52" s="57" t="e">
        <f t="shared" si="0"/>
        <v>#REF!</v>
      </c>
      <c r="AF52" s="56" t="s">
        <v>436</v>
      </c>
      <c r="AG52" s="71" t="s">
        <v>1</v>
      </c>
      <c r="AH52" s="71" t="s">
        <v>1</v>
      </c>
      <c r="AI52" s="187" t="s">
        <v>889</v>
      </c>
      <c r="AJ52" s="11" t="e">
        <f t="shared" si="2"/>
        <v>#REF!</v>
      </c>
      <c r="AK52" s="11" t="s">
        <v>271</v>
      </c>
      <c r="AL52" s="13" t="s">
        <v>402</v>
      </c>
      <c r="AM52" s="11">
        <v>6000</v>
      </c>
      <c r="AO52" s="197" t="str">
        <f>Table12129[[#This Row],[Risk Location ]]</f>
        <v>France</v>
      </c>
      <c r="AP52" s="198" t="str">
        <f>Table12129[[#This Row],[Sector (GICS Industry Group)]]</f>
        <v>Transportation</v>
      </c>
      <c r="AS52" s="212" t="e">
        <v>#REF!</v>
      </c>
      <c r="AT52" s="212" t="e">
        <v>#REF!</v>
      </c>
      <c r="AU52" s="212" t="e">
        <v>#REF!</v>
      </c>
      <c r="AV52" s="212"/>
      <c r="AW52" s="212" t="e">
        <v>#REF!</v>
      </c>
      <c r="AX52" s="212">
        <f t="shared" si="1"/>
        <v>0</v>
      </c>
      <c r="BB52" s="212">
        <v>0</v>
      </c>
      <c r="BC52" s="212">
        <v>0</v>
      </c>
      <c r="BD52" s="212">
        <v>0</v>
      </c>
      <c r="BE52" s="212">
        <v>0</v>
      </c>
      <c r="BF52" s="212">
        <v>0</v>
      </c>
      <c r="BG52" s="226">
        <v>0</v>
      </c>
      <c r="BH52" s="226"/>
      <c r="BJ52" s="58" t="s">
        <v>934</v>
      </c>
      <c r="BK52" s="112"/>
      <c r="BL52" s="58"/>
    </row>
    <row r="53" spans="1:64" ht="39.950000000000003" customHeight="1" x14ac:dyDescent="0.2">
      <c r="A53" s="13" t="s">
        <v>318</v>
      </c>
      <c r="B53" s="65" t="s">
        <v>24</v>
      </c>
      <c r="C53" s="66" t="s">
        <v>38</v>
      </c>
      <c r="D53" s="14" t="s">
        <v>540</v>
      </c>
      <c r="E53" s="161" t="s">
        <v>36</v>
      </c>
      <c r="F53" s="14" t="s">
        <v>102</v>
      </c>
      <c r="G53" s="14" t="s">
        <v>102</v>
      </c>
      <c r="H53" s="130" t="s">
        <v>473</v>
      </c>
      <c r="I53" s="133" t="s">
        <v>706</v>
      </c>
      <c r="J53" s="14" t="s">
        <v>220</v>
      </c>
      <c r="K53" s="14" t="s">
        <v>101</v>
      </c>
      <c r="L53" s="65" t="s">
        <v>191</v>
      </c>
      <c r="M53" s="65" t="s">
        <v>323</v>
      </c>
      <c r="N53" s="13" t="s">
        <v>43</v>
      </c>
      <c r="O53" s="13" t="s">
        <v>531</v>
      </c>
      <c r="P53" s="65" t="s">
        <v>534</v>
      </c>
      <c r="Q53" s="64" t="s">
        <v>238</v>
      </c>
      <c r="R53" s="62" t="e">
        <f>14100/SGD</f>
        <v>#REF!</v>
      </c>
      <c r="S53" s="62">
        <v>14100</v>
      </c>
      <c r="T53" s="62" t="e">
        <f>R53</f>
        <v>#REF!</v>
      </c>
      <c r="U53" s="62" t="e">
        <f>51700/SGD</f>
        <v>#REF!</v>
      </c>
      <c r="V53" s="62" t="e">
        <f>782511.34/SGD</f>
        <v>#REF!</v>
      </c>
      <c r="W53" s="61" t="s">
        <v>11</v>
      </c>
      <c r="X53" s="181">
        <v>2.3E-2</v>
      </c>
      <c r="Y53" s="60">
        <v>43948</v>
      </c>
      <c r="Z53" s="60">
        <v>45748</v>
      </c>
      <c r="AA53" s="60">
        <v>45748</v>
      </c>
      <c r="AB53" s="58">
        <f t="shared" si="3"/>
        <v>1801</v>
      </c>
      <c r="AC53" s="59" t="e">
        <f t="shared" si="7"/>
        <v>#REF!</v>
      </c>
      <c r="AD53" s="58" t="e">
        <f>AA53-#REF!</f>
        <v>#REF!</v>
      </c>
      <c r="AE53" s="57" t="e">
        <f t="shared" si="0"/>
        <v>#REF!</v>
      </c>
      <c r="AF53" s="56"/>
      <c r="AG53" s="71" t="s">
        <v>1</v>
      </c>
      <c r="AH53" s="71" t="s">
        <v>1</v>
      </c>
      <c r="AI53" s="70" t="s">
        <v>0</v>
      </c>
      <c r="AJ53" s="11" t="e">
        <f t="shared" si="2"/>
        <v>#REF!</v>
      </c>
      <c r="AK53" s="11" t="s">
        <v>271</v>
      </c>
      <c r="AL53" s="14" t="s">
        <v>400</v>
      </c>
      <c r="AM53" s="11">
        <v>15933</v>
      </c>
      <c r="AO53" s="197" t="str">
        <f>Table12129[[#This Row],[Risk Location ]]</f>
        <v>China</v>
      </c>
      <c r="AP53" s="198" t="str">
        <f>Table12129[[#This Row],[Sector (GICS Industry Group)]]</f>
        <v>Real Estate Investment</v>
      </c>
      <c r="AS53" s="212" t="e">
        <v>#REF!</v>
      </c>
      <c r="AT53" s="212" t="e">
        <v>#REF!</v>
      </c>
      <c r="AU53" s="212" t="e">
        <v>#REF!</v>
      </c>
      <c r="AV53" s="212"/>
      <c r="AW53" s="212" t="e">
        <v>#REF!</v>
      </c>
      <c r="AX53" s="212">
        <f t="shared" si="1"/>
        <v>0</v>
      </c>
      <c r="BB53" s="212">
        <v>0</v>
      </c>
      <c r="BC53" s="212">
        <v>0</v>
      </c>
      <c r="BD53" s="212">
        <v>0</v>
      </c>
      <c r="BE53" s="212">
        <v>0</v>
      </c>
      <c r="BF53" s="212">
        <v>0</v>
      </c>
      <c r="BG53" s="226">
        <v>0</v>
      </c>
      <c r="BH53" s="226"/>
      <c r="BJ53" s="58" t="s">
        <v>987</v>
      </c>
      <c r="BK53" s="112"/>
      <c r="BL53" s="58"/>
    </row>
    <row r="54" spans="1:64" ht="39.950000000000003" customHeight="1" x14ac:dyDescent="0.2">
      <c r="A54" s="13" t="s">
        <v>404</v>
      </c>
      <c r="B54" s="65" t="s">
        <v>67</v>
      </c>
      <c r="C54" s="66" t="s">
        <v>87</v>
      </c>
      <c r="D54" s="14" t="s">
        <v>34</v>
      </c>
      <c r="E54" s="130" t="s">
        <v>34</v>
      </c>
      <c r="F54" s="14" t="s">
        <v>891</v>
      </c>
      <c r="G54" s="66" t="s">
        <v>167</v>
      </c>
      <c r="H54" s="131" t="s">
        <v>167</v>
      </c>
      <c r="I54" s="66" t="s">
        <v>298</v>
      </c>
      <c r="J54" s="14" t="s">
        <v>218</v>
      </c>
      <c r="K54" s="14" t="s">
        <v>209</v>
      </c>
      <c r="L54" s="65" t="s">
        <v>191</v>
      </c>
      <c r="M54" s="65" t="s">
        <v>59</v>
      </c>
      <c r="N54" s="13" t="s">
        <v>43</v>
      </c>
      <c r="O54" s="13" t="s">
        <v>531</v>
      </c>
      <c r="P54" s="65" t="s">
        <v>534</v>
      </c>
      <c r="Q54" s="64" t="s">
        <v>8</v>
      </c>
      <c r="R54" s="62">
        <v>30000</v>
      </c>
      <c r="S54" s="62">
        <v>30000</v>
      </c>
      <c r="T54" s="62">
        <v>30000</v>
      </c>
      <c r="U54" s="62">
        <v>60000</v>
      </c>
      <c r="V54" s="62">
        <f>3639452.05-656449.37</f>
        <v>2983002.6799999997</v>
      </c>
      <c r="W54" s="61" t="s">
        <v>11</v>
      </c>
      <c r="X54" s="181">
        <v>4.4999999999999998E-2</v>
      </c>
      <c r="Y54" s="60">
        <v>43955</v>
      </c>
      <c r="Z54" s="60">
        <v>45768</v>
      </c>
      <c r="AA54" s="60">
        <v>45768</v>
      </c>
      <c r="AB54" s="58">
        <f t="shared" si="3"/>
        <v>1814</v>
      </c>
      <c r="AC54" s="59" t="e">
        <f t="shared" si="7"/>
        <v>#REF!</v>
      </c>
      <c r="AD54" s="58" t="e">
        <f>AA54-#REF!</f>
        <v>#REF!</v>
      </c>
      <c r="AE54" s="57" t="e">
        <f t="shared" si="0"/>
        <v>#REF!</v>
      </c>
      <c r="AF54" s="56" t="s">
        <v>436</v>
      </c>
      <c r="AG54" s="71" t="s">
        <v>1</v>
      </c>
      <c r="AH54" s="71" t="s">
        <v>1</v>
      </c>
      <c r="AI54" s="70" t="s">
        <v>0</v>
      </c>
      <c r="AJ54" s="11" t="e">
        <f t="shared" si="2"/>
        <v>#REF!</v>
      </c>
      <c r="AK54" s="11" t="s">
        <v>271</v>
      </c>
      <c r="AL54" s="13" t="s">
        <v>406</v>
      </c>
      <c r="AM54" s="11">
        <v>12267.5</v>
      </c>
      <c r="AO54" s="197" t="str">
        <f>Table12129[[#This Row],[Risk Location ]]</f>
        <v>Australia</v>
      </c>
      <c r="AP54" s="198" t="str">
        <f>Table12129[[#This Row],[Sector (GICS Industry Group)]]</f>
        <v>Information Technology - Hardware &amp; Equipment</v>
      </c>
      <c r="AS54" s="212" t="e">
        <v>#REF!</v>
      </c>
      <c r="AT54" s="212" t="e">
        <v>#REF!</v>
      </c>
      <c r="AU54" s="212" t="e">
        <v>#REF!</v>
      </c>
      <c r="AV54" s="212"/>
      <c r="AW54" s="212" t="e">
        <v>#REF!</v>
      </c>
      <c r="AX54" s="212">
        <f t="shared" si="1"/>
        <v>0</v>
      </c>
      <c r="BB54" s="212">
        <v>0</v>
      </c>
      <c r="BC54" s="212">
        <v>0</v>
      </c>
      <c r="BD54" s="212">
        <v>0</v>
      </c>
      <c r="BE54" s="212">
        <v>0</v>
      </c>
      <c r="BF54" s="212">
        <v>0</v>
      </c>
      <c r="BG54" s="226">
        <v>0</v>
      </c>
      <c r="BH54" s="226"/>
      <c r="BJ54" s="58" t="s">
        <v>988</v>
      </c>
      <c r="BK54" s="112"/>
      <c r="BL54" s="58"/>
    </row>
    <row r="55" spans="1:64" ht="39.950000000000003" customHeight="1" x14ac:dyDescent="0.2">
      <c r="A55" s="13" t="s">
        <v>405</v>
      </c>
      <c r="B55" s="65" t="s">
        <v>67</v>
      </c>
      <c r="C55" s="66" t="s">
        <v>34</v>
      </c>
      <c r="D55" s="14" t="s">
        <v>34</v>
      </c>
      <c r="E55" s="130" t="s">
        <v>34</v>
      </c>
      <c r="F55" s="14" t="s">
        <v>102</v>
      </c>
      <c r="G55" s="14" t="s">
        <v>102</v>
      </c>
      <c r="H55" s="130" t="s">
        <v>473</v>
      </c>
      <c r="I55" s="66" t="s">
        <v>409</v>
      </c>
      <c r="J55" s="14" t="s">
        <v>408</v>
      </c>
      <c r="K55" s="14" t="s">
        <v>29</v>
      </c>
      <c r="L55" s="65" t="s">
        <v>191</v>
      </c>
      <c r="M55" s="13" t="s">
        <v>323</v>
      </c>
      <c r="N55" s="13" t="s">
        <v>43</v>
      </c>
      <c r="O55" s="13" t="s">
        <v>533</v>
      </c>
      <c r="P55" s="65" t="s">
        <v>534</v>
      </c>
      <c r="Q55" s="64" t="s">
        <v>8</v>
      </c>
      <c r="R55" s="62">
        <v>25000</v>
      </c>
      <c r="S55" s="62">
        <v>25000</v>
      </c>
      <c r="T55" s="62">
        <v>25000</v>
      </c>
      <c r="U55" s="62">
        <v>50000</v>
      </c>
      <c r="V55" s="62">
        <v>1429880.14</v>
      </c>
      <c r="W55" s="61" t="s">
        <v>11</v>
      </c>
      <c r="X55" s="181">
        <v>2.1999999999999999E-2</v>
      </c>
      <c r="Y55" s="60">
        <v>43957</v>
      </c>
      <c r="Z55" s="60">
        <v>45628</v>
      </c>
      <c r="AA55" s="60">
        <v>45628</v>
      </c>
      <c r="AB55" s="58">
        <f t="shared" si="3"/>
        <v>1672</v>
      </c>
      <c r="AC55" s="59" t="e">
        <f t="shared" si="7"/>
        <v>#REF!</v>
      </c>
      <c r="AD55" s="58" t="e">
        <f>AA55-#REF!</f>
        <v>#REF!</v>
      </c>
      <c r="AE55" s="57" t="e">
        <f t="shared" si="0"/>
        <v>#REF!</v>
      </c>
      <c r="AF55" s="56" t="s">
        <v>436</v>
      </c>
      <c r="AG55" s="71" t="s">
        <v>1</v>
      </c>
      <c r="AH55" s="71" t="s">
        <v>1</v>
      </c>
      <c r="AI55" s="70" t="s">
        <v>0</v>
      </c>
      <c r="AJ55" s="11" t="e">
        <f t="shared" si="2"/>
        <v>#REF!</v>
      </c>
      <c r="AK55" s="11" t="s">
        <v>271</v>
      </c>
      <c r="AL55" s="13" t="s">
        <v>407</v>
      </c>
      <c r="AM55" s="11">
        <v>4500</v>
      </c>
      <c r="AO55" s="197" t="str">
        <f>Table12129[[#This Row],[Risk Location ]]</f>
        <v>Australia</v>
      </c>
      <c r="AP55" s="198" t="str">
        <f>Table12129[[#This Row],[Sector (GICS Industry Group)]]</f>
        <v>Real Estate Investment</v>
      </c>
      <c r="AS55" s="212" t="e">
        <v>#REF!</v>
      </c>
      <c r="AT55" s="212" t="e">
        <v>#REF!</v>
      </c>
      <c r="AU55" s="212" t="e">
        <v>#REF!</v>
      </c>
      <c r="AV55" s="212"/>
      <c r="AW55" s="212" t="e">
        <v>#REF!</v>
      </c>
      <c r="AX55" s="212">
        <f t="shared" si="1"/>
        <v>0</v>
      </c>
      <c r="BB55" s="212">
        <v>0</v>
      </c>
      <c r="BC55" s="212">
        <v>0</v>
      </c>
      <c r="BD55" s="212">
        <v>0</v>
      </c>
      <c r="BE55" s="212">
        <v>0</v>
      </c>
      <c r="BF55" s="212">
        <v>0</v>
      </c>
      <c r="BG55" s="226">
        <v>0</v>
      </c>
      <c r="BH55" s="226"/>
      <c r="BJ55" s="58" t="s">
        <v>989</v>
      </c>
      <c r="BK55" s="112"/>
      <c r="BL55" s="58"/>
    </row>
    <row r="56" spans="1:64" s="229" customFormat="1" ht="39.950000000000003" customHeight="1" x14ac:dyDescent="0.2">
      <c r="A56" s="269" t="s">
        <v>412</v>
      </c>
      <c r="B56" s="270" t="s">
        <v>243</v>
      </c>
      <c r="C56" s="133" t="s">
        <v>87</v>
      </c>
      <c r="D56" s="131" t="s">
        <v>469</v>
      </c>
      <c r="E56" s="145" t="s">
        <v>413</v>
      </c>
      <c r="F56" s="131" t="s">
        <v>48</v>
      </c>
      <c r="G56" s="131" t="s">
        <v>95</v>
      </c>
      <c r="H56" s="145" t="s">
        <v>521</v>
      </c>
      <c r="I56" s="131" t="s">
        <v>181</v>
      </c>
      <c r="J56" s="131" t="s">
        <v>33</v>
      </c>
      <c r="K56" s="131" t="s">
        <v>140</v>
      </c>
      <c r="L56" s="270" t="s">
        <v>191</v>
      </c>
      <c r="M56" s="269" t="s">
        <v>59</v>
      </c>
      <c r="N56" s="269" t="s">
        <v>43</v>
      </c>
      <c r="O56" s="269" t="s">
        <v>538</v>
      </c>
      <c r="P56" s="270" t="s">
        <v>534</v>
      </c>
      <c r="Q56" s="135" t="s">
        <v>9</v>
      </c>
      <c r="R56" s="62" t="e">
        <f>7500/USD</f>
        <v>#REF!</v>
      </c>
      <c r="S56" s="62">
        <v>7500</v>
      </c>
      <c r="T56" s="62" t="e">
        <f>7500/USD</f>
        <v>#REF!</v>
      </c>
      <c r="U56" s="62" t="e">
        <f>25000/USD</f>
        <v>#REF!</v>
      </c>
      <c r="V56" s="62" t="e">
        <f>(1149241.37-19044.44-21103.78-100461.29)/USD</f>
        <v>#REF!</v>
      </c>
      <c r="W56" s="61" t="s">
        <v>11</v>
      </c>
      <c r="X56" s="181">
        <v>3.7499999999999999E-2</v>
      </c>
      <c r="Y56" s="271">
        <v>43965</v>
      </c>
      <c r="Z56" s="271">
        <v>47238</v>
      </c>
      <c r="AA56" s="271">
        <v>47238</v>
      </c>
      <c r="AB56" s="272">
        <f t="shared" si="3"/>
        <v>3274</v>
      </c>
      <c r="AC56" s="139" t="e">
        <f t="shared" si="7"/>
        <v>#REF!</v>
      </c>
      <c r="AD56" s="272" t="e">
        <f>AA56-#REF!</f>
        <v>#REF!</v>
      </c>
      <c r="AE56" s="273" t="e">
        <f t="shared" si="0"/>
        <v>#REF!</v>
      </c>
      <c r="AF56" s="274"/>
      <c r="AG56" s="275" t="s">
        <v>1</v>
      </c>
      <c r="AH56" s="275" t="s">
        <v>1</v>
      </c>
      <c r="AI56" s="163" t="s">
        <v>0</v>
      </c>
      <c r="AJ56" s="229" t="e">
        <f t="shared" si="2"/>
        <v>#REF!</v>
      </c>
      <c r="AK56" s="229" t="s">
        <v>271</v>
      </c>
      <c r="AL56" s="269" t="s">
        <v>416</v>
      </c>
      <c r="AM56" s="229">
        <v>10237</v>
      </c>
      <c r="AO56" s="197" t="str">
        <f>Table12129[[#This Row],[Risk Location ]]</f>
        <v>Nigeria</v>
      </c>
      <c r="AP56" s="198" t="str">
        <f>Table12129[[#This Row],[Sector (GICS Industry Group)]]</f>
        <v>Energy</v>
      </c>
      <c r="AS56" s="212" t="e">
        <v>#REF!</v>
      </c>
      <c r="AT56" s="212" t="e">
        <v>#REF!</v>
      </c>
      <c r="AU56" s="212" t="e">
        <v>#REF!</v>
      </c>
      <c r="AV56" s="278"/>
      <c r="AW56" s="212" t="e">
        <v>#REF!</v>
      </c>
      <c r="AX56" s="212">
        <f t="shared" si="1"/>
        <v>0</v>
      </c>
      <c r="BB56" s="278">
        <v>0</v>
      </c>
      <c r="BC56" s="278">
        <v>0</v>
      </c>
      <c r="BD56" s="278">
        <v>0</v>
      </c>
      <c r="BE56" s="278">
        <v>0</v>
      </c>
      <c r="BF56" s="278">
        <v>0</v>
      </c>
      <c r="BG56" s="226">
        <v>0</v>
      </c>
      <c r="BH56" s="226"/>
      <c r="BJ56" s="272" t="s">
        <v>990</v>
      </c>
      <c r="BK56" s="276"/>
      <c r="BL56" s="272"/>
    </row>
    <row r="57" spans="1:64" ht="39.950000000000003" customHeight="1" x14ac:dyDescent="0.2">
      <c r="A57" s="13" t="s">
        <v>410</v>
      </c>
      <c r="B57" s="65" t="s">
        <v>23</v>
      </c>
      <c r="C57" s="66" t="s">
        <v>34</v>
      </c>
      <c r="D57" s="14" t="s">
        <v>34</v>
      </c>
      <c r="E57" s="130" t="s">
        <v>34</v>
      </c>
      <c r="F57" s="14" t="s">
        <v>543</v>
      </c>
      <c r="G57" s="131" t="s">
        <v>133</v>
      </c>
      <c r="H57" s="130" t="s">
        <v>133</v>
      </c>
      <c r="I57" s="66" t="s">
        <v>232</v>
      </c>
      <c r="J57" s="14" t="s">
        <v>21</v>
      </c>
      <c r="K57" s="14" t="s">
        <v>44</v>
      </c>
      <c r="L57" s="65" t="s">
        <v>191</v>
      </c>
      <c r="M57" s="13" t="s">
        <v>323</v>
      </c>
      <c r="N57" s="13" t="s">
        <v>43</v>
      </c>
      <c r="O57" s="13" t="s">
        <v>533</v>
      </c>
      <c r="P57" s="65" t="s">
        <v>534</v>
      </c>
      <c r="Q57" s="64" t="s">
        <v>9</v>
      </c>
      <c r="R57" s="62" t="e">
        <f>20000/USD</f>
        <v>#REF!</v>
      </c>
      <c r="S57" s="62">
        <v>20000</v>
      </c>
      <c r="T57" s="62" t="e">
        <f>20000/USD</f>
        <v>#REF!</v>
      </c>
      <c r="U57" s="62" t="e">
        <f>46700/USD</f>
        <v>#REF!</v>
      </c>
      <c r="V57" s="62" t="e">
        <f>660880.66/USD</f>
        <v>#REF!</v>
      </c>
      <c r="W57" s="61" t="s">
        <v>11</v>
      </c>
      <c r="X57" s="181">
        <v>2.1000000000000001E-2</v>
      </c>
      <c r="Y57" s="60">
        <v>43966</v>
      </c>
      <c r="Z57" s="60">
        <v>45823</v>
      </c>
      <c r="AA57" s="60">
        <v>45823</v>
      </c>
      <c r="AB57" s="72">
        <f t="shared" si="3"/>
        <v>1858</v>
      </c>
      <c r="AC57" s="59" t="e">
        <f t="shared" si="7"/>
        <v>#REF!</v>
      </c>
      <c r="AD57" s="58" t="e">
        <f>AA57-#REF!</f>
        <v>#REF!</v>
      </c>
      <c r="AE57" s="57" t="e">
        <f t="shared" si="0"/>
        <v>#REF!</v>
      </c>
      <c r="AF57" s="56" t="s">
        <v>436</v>
      </c>
      <c r="AG57" s="71" t="s">
        <v>1</v>
      </c>
      <c r="AH57" s="71" t="s">
        <v>1</v>
      </c>
      <c r="AI57" s="70" t="s">
        <v>0</v>
      </c>
      <c r="AJ57" s="11" t="e">
        <f t="shared" si="2"/>
        <v>#REF!</v>
      </c>
      <c r="AK57" s="11" t="s">
        <v>271</v>
      </c>
      <c r="AL57" s="13" t="s">
        <v>418</v>
      </c>
      <c r="AM57" s="11">
        <v>6000</v>
      </c>
      <c r="AO57" s="197" t="str">
        <f>Table12129[[#This Row],[Risk Location ]]</f>
        <v>Australia</v>
      </c>
      <c r="AP57" s="198" t="str">
        <f>Table12129[[#This Row],[Sector (GICS Industry Group)]]</f>
        <v>Industrials</v>
      </c>
      <c r="AS57" s="212" t="e">
        <v>#REF!</v>
      </c>
      <c r="AT57" s="212" t="e">
        <v>#REF!</v>
      </c>
      <c r="AU57" s="212" t="e">
        <v>#REF!</v>
      </c>
      <c r="AV57" s="212"/>
      <c r="AW57" s="212" t="e">
        <v>#REF!</v>
      </c>
      <c r="AX57" s="212">
        <f t="shared" si="1"/>
        <v>0</v>
      </c>
      <c r="BB57" s="212">
        <v>0</v>
      </c>
      <c r="BC57" s="212">
        <v>0</v>
      </c>
      <c r="BD57" s="212">
        <v>0</v>
      </c>
      <c r="BE57" s="212">
        <v>0</v>
      </c>
      <c r="BF57" s="212">
        <v>0</v>
      </c>
      <c r="BG57" s="226">
        <v>0</v>
      </c>
      <c r="BH57" s="226"/>
      <c r="BJ57" s="58" t="s">
        <v>992</v>
      </c>
      <c r="BK57" s="112"/>
      <c r="BL57" s="58"/>
    </row>
    <row r="58" spans="1:64" ht="39.950000000000003" customHeight="1" x14ac:dyDescent="0.2">
      <c r="A58" s="13" t="s">
        <v>414</v>
      </c>
      <c r="B58" s="65" t="s">
        <v>24</v>
      </c>
      <c r="C58" s="66" t="s">
        <v>166</v>
      </c>
      <c r="D58" s="14" t="s">
        <v>542</v>
      </c>
      <c r="E58" s="130" t="s">
        <v>166</v>
      </c>
      <c r="F58" s="14" t="s">
        <v>102</v>
      </c>
      <c r="G58" s="14" t="s">
        <v>102</v>
      </c>
      <c r="H58" s="66" t="s">
        <v>122</v>
      </c>
      <c r="I58" s="66" t="s">
        <v>704</v>
      </c>
      <c r="J58" s="14" t="s">
        <v>220</v>
      </c>
      <c r="K58" s="14" t="s">
        <v>101</v>
      </c>
      <c r="L58" s="65" t="s">
        <v>191</v>
      </c>
      <c r="M58" s="13" t="s">
        <v>59</v>
      </c>
      <c r="N58" s="13" t="s">
        <v>43</v>
      </c>
      <c r="O58" s="13" t="s">
        <v>531</v>
      </c>
      <c r="P58" s="65" t="s">
        <v>534</v>
      </c>
      <c r="Q58" s="64" t="s">
        <v>59</v>
      </c>
      <c r="R58" s="62" t="e">
        <f>15000/EUR</f>
        <v>#REF!</v>
      </c>
      <c r="S58" s="62">
        <v>15000</v>
      </c>
      <c r="T58" s="62" t="e">
        <f>15000/EUR</f>
        <v>#REF!</v>
      </c>
      <c r="U58" s="62" t="e">
        <f>53000/EUR</f>
        <v>#REF!</v>
      </c>
      <c r="V58" s="62" t="e">
        <f>577470/EUR</f>
        <v>#REF!</v>
      </c>
      <c r="W58" s="61" t="s">
        <v>11</v>
      </c>
      <c r="X58" s="181">
        <v>1.2E-2</v>
      </c>
      <c r="Y58" s="60">
        <v>43966</v>
      </c>
      <c r="Z58" s="60">
        <v>46523</v>
      </c>
      <c r="AA58" s="60">
        <v>46523</v>
      </c>
      <c r="AB58" s="58">
        <f t="shared" si="3"/>
        <v>2558</v>
      </c>
      <c r="AC58" s="59" t="e">
        <f t="shared" si="7"/>
        <v>#REF!</v>
      </c>
      <c r="AD58" s="58" t="e">
        <f>AA58-#REF!</f>
        <v>#REF!</v>
      </c>
      <c r="AE58" s="57" t="e">
        <f t="shared" si="0"/>
        <v>#REF!</v>
      </c>
      <c r="AF58" s="56"/>
      <c r="AG58" s="71" t="s">
        <v>1</v>
      </c>
      <c r="AH58" s="71" t="s">
        <v>1</v>
      </c>
      <c r="AI58" s="70" t="s">
        <v>0</v>
      </c>
      <c r="AJ58" s="11" t="e">
        <f t="shared" si="2"/>
        <v>#REF!</v>
      </c>
      <c r="AK58" s="11" t="s">
        <v>271</v>
      </c>
      <c r="AL58" s="13" t="s">
        <v>415</v>
      </c>
      <c r="AM58" s="11">
        <v>8850</v>
      </c>
      <c r="AO58" s="197" t="str">
        <f>Table12129[[#This Row],[Risk Location ]]</f>
        <v>France</v>
      </c>
      <c r="AP58" s="198" t="str">
        <f>Table12129[[#This Row],[Sector (GICS Industry Group)]]</f>
        <v>Real Estate Investment</v>
      </c>
      <c r="AS58" s="212" t="e">
        <v>#REF!</v>
      </c>
      <c r="AT58" s="212" t="e">
        <v>#REF!</v>
      </c>
      <c r="AU58" s="212" t="e">
        <v>#REF!</v>
      </c>
      <c r="AV58" s="212"/>
      <c r="AW58" s="212" t="e">
        <v>#REF!</v>
      </c>
      <c r="AX58" s="212">
        <f t="shared" si="1"/>
        <v>0</v>
      </c>
      <c r="BB58" s="212">
        <v>0</v>
      </c>
      <c r="BC58" s="212">
        <v>0</v>
      </c>
      <c r="BD58" s="212">
        <v>0</v>
      </c>
      <c r="BE58" s="212">
        <v>0</v>
      </c>
      <c r="BF58" s="212">
        <v>0</v>
      </c>
      <c r="BG58" s="226">
        <v>0</v>
      </c>
      <c r="BH58" s="226"/>
      <c r="BJ58" s="58" t="s">
        <v>993</v>
      </c>
      <c r="BK58" s="112"/>
      <c r="BL58" s="58"/>
    </row>
    <row r="59" spans="1:64" ht="39.950000000000003" customHeight="1" x14ac:dyDescent="0.2">
      <c r="A59" s="13" t="s">
        <v>419</v>
      </c>
      <c r="B59" s="65" t="s">
        <v>51</v>
      </c>
      <c r="C59" s="66" t="s">
        <v>166</v>
      </c>
      <c r="D59" s="14" t="s">
        <v>542</v>
      </c>
      <c r="E59" s="130" t="s">
        <v>166</v>
      </c>
      <c r="F59" s="14" t="s">
        <v>102</v>
      </c>
      <c r="G59" s="14" t="s">
        <v>102</v>
      </c>
      <c r="H59" s="66" t="s">
        <v>110</v>
      </c>
      <c r="I59" s="66" t="s">
        <v>145</v>
      </c>
      <c r="J59" s="14" t="s">
        <v>221</v>
      </c>
      <c r="K59" s="14" t="s">
        <v>101</v>
      </c>
      <c r="L59" s="65" t="s">
        <v>191</v>
      </c>
      <c r="M59" s="13" t="s">
        <v>59</v>
      </c>
      <c r="N59" s="13" t="s">
        <v>43</v>
      </c>
      <c r="O59" s="13" t="s">
        <v>538</v>
      </c>
      <c r="P59" s="65" t="s">
        <v>534</v>
      </c>
      <c r="Q59" s="64" t="s">
        <v>59</v>
      </c>
      <c r="R59" s="62" t="e">
        <f>20000/EUR</f>
        <v>#REF!</v>
      </c>
      <c r="S59" s="62">
        <v>20000</v>
      </c>
      <c r="T59" s="62" t="e">
        <f>Table12129[[#This Row],[Original Limit (A$)]]</f>
        <v>#REF!</v>
      </c>
      <c r="U59" s="62" t="e">
        <f>65000/EUR</f>
        <v>#REF!</v>
      </c>
      <c r="V59" s="62" t="e">
        <f>786565.3/EUR</f>
        <v>#REF!</v>
      </c>
      <c r="W59" s="61" t="s">
        <v>551</v>
      </c>
      <c r="X59" s="181">
        <v>2.5000000000000001E-2</v>
      </c>
      <c r="Y59" s="60">
        <v>43971</v>
      </c>
      <c r="Z59" s="60">
        <v>45046</v>
      </c>
      <c r="AA59" s="60">
        <v>45046</v>
      </c>
      <c r="AB59" s="58">
        <f t="shared" si="3"/>
        <v>1076</v>
      </c>
      <c r="AC59" s="59" t="e">
        <f t="shared" si="7"/>
        <v>#REF!</v>
      </c>
      <c r="AD59" s="58" t="e">
        <f>AA59-#REF!</f>
        <v>#REF!</v>
      </c>
      <c r="AE59" s="57" t="e">
        <f t="shared" si="0"/>
        <v>#REF!</v>
      </c>
      <c r="AF59" s="56" t="s">
        <v>436</v>
      </c>
      <c r="AG59" s="71" t="s">
        <v>1</v>
      </c>
      <c r="AH59" s="71" t="s">
        <v>1</v>
      </c>
      <c r="AI59" s="70" t="s">
        <v>0</v>
      </c>
      <c r="AJ59" s="11" t="e">
        <f t="shared" si="2"/>
        <v>#REF!</v>
      </c>
      <c r="AK59" s="11" t="s">
        <v>271</v>
      </c>
      <c r="AL59" s="13" t="s">
        <v>420</v>
      </c>
      <c r="AM59" s="11">
        <v>3367.5</v>
      </c>
      <c r="AO59" s="197" t="str">
        <f>Table12129[[#This Row],[Risk Location ]]</f>
        <v>France</v>
      </c>
      <c r="AP59" s="198" t="str">
        <f>Table12129[[#This Row],[Sector (GICS Industry Group)]]</f>
        <v>Real Estate Investment</v>
      </c>
      <c r="AS59" s="212" t="e">
        <v>#REF!</v>
      </c>
      <c r="AT59" s="212" t="e">
        <v>#REF!</v>
      </c>
      <c r="AU59" s="212" t="e">
        <v>#REF!</v>
      </c>
      <c r="AV59" s="212"/>
      <c r="AW59" s="212" t="e">
        <v>#REF!</v>
      </c>
      <c r="AX59" s="212">
        <f t="shared" si="1"/>
        <v>0</v>
      </c>
      <c r="BB59" s="212">
        <v>0</v>
      </c>
      <c r="BC59" s="212">
        <v>0</v>
      </c>
      <c r="BD59" s="212">
        <v>0</v>
      </c>
      <c r="BE59" s="212">
        <v>0</v>
      </c>
      <c r="BF59" s="212">
        <v>0</v>
      </c>
      <c r="BG59" s="226">
        <v>0</v>
      </c>
      <c r="BH59" s="226"/>
      <c r="BJ59" s="58" t="s">
        <v>994</v>
      </c>
      <c r="BK59" s="112"/>
      <c r="BL59" s="58"/>
    </row>
    <row r="60" spans="1:64" ht="39.950000000000003" customHeight="1" x14ac:dyDescent="0.2">
      <c r="A60" s="13" t="s">
        <v>421</v>
      </c>
      <c r="B60" s="69" t="s">
        <v>51</v>
      </c>
      <c r="C60" s="66" t="s">
        <v>127</v>
      </c>
      <c r="D60" s="14" t="s">
        <v>499</v>
      </c>
      <c r="E60" s="130" t="s">
        <v>162</v>
      </c>
      <c r="F60" s="14" t="s">
        <v>475</v>
      </c>
      <c r="G60" s="131" t="s">
        <v>227</v>
      </c>
      <c r="H60" s="130" t="s">
        <v>422</v>
      </c>
      <c r="I60" s="14" t="s">
        <v>158</v>
      </c>
      <c r="J60" s="14" t="s">
        <v>220</v>
      </c>
      <c r="K60" s="14" t="s">
        <v>209</v>
      </c>
      <c r="L60" s="65" t="s">
        <v>191</v>
      </c>
      <c r="M60" s="13" t="s">
        <v>59</v>
      </c>
      <c r="N60" s="13" t="s">
        <v>43</v>
      </c>
      <c r="O60" s="13" t="s">
        <v>533</v>
      </c>
      <c r="P60" s="65" t="s">
        <v>534</v>
      </c>
      <c r="Q60" s="64" t="s">
        <v>9</v>
      </c>
      <c r="R60" s="62" t="e">
        <f>20000/USD</f>
        <v>#REF!</v>
      </c>
      <c r="S60" s="62">
        <v>23681.268</v>
      </c>
      <c r="T60" s="62" t="e">
        <f>Table12129[[#This Row],[Amortised Limit in Original Currency]]/USD</f>
        <v>#REF!</v>
      </c>
      <c r="U60" s="62" t="e">
        <f>350000/USD</f>
        <v>#REF!</v>
      </c>
      <c r="V60" s="62" t="e">
        <f>1064165.42/USD</f>
        <v>#REF!</v>
      </c>
      <c r="W60" s="61" t="s">
        <v>11</v>
      </c>
      <c r="X60" s="181">
        <v>1.7500000000000002E-2</v>
      </c>
      <c r="Y60" s="60">
        <v>44530</v>
      </c>
      <c r="Z60" s="60">
        <v>46386</v>
      </c>
      <c r="AA60" s="60">
        <v>46386</v>
      </c>
      <c r="AB60" s="72">
        <f t="shared" si="3"/>
        <v>1857</v>
      </c>
      <c r="AC60" s="59" t="e">
        <f t="shared" si="7"/>
        <v>#REF!</v>
      </c>
      <c r="AD60" s="58" t="e">
        <f>AA60-#REF!</f>
        <v>#REF!</v>
      </c>
      <c r="AE60" s="57" t="e">
        <f t="shared" si="0"/>
        <v>#REF!</v>
      </c>
      <c r="AF60" s="56" t="s">
        <v>436</v>
      </c>
      <c r="AG60" s="71" t="s">
        <v>1</v>
      </c>
      <c r="AH60" s="71" t="s">
        <v>1</v>
      </c>
      <c r="AI60" s="70" t="s">
        <v>731</v>
      </c>
      <c r="AJ60" s="11" t="e">
        <f t="shared" si="2"/>
        <v>#REF!</v>
      </c>
      <c r="AK60" s="11" t="s">
        <v>271</v>
      </c>
      <c r="AL60" s="13" t="s">
        <v>423</v>
      </c>
      <c r="AM60" s="11">
        <v>8500</v>
      </c>
      <c r="AO60" s="197" t="str">
        <f>Table12129[[#This Row],[Risk Location ]]</f>
        <v>United States</v>
      </c>
      <c r="AP60" s="198" t="str">
        <f>Table12129[[#This Row],[Sector (GICS Industry Group)]]</f>
        <v>Health Care</v>
      </c>
      <c r="AS60" s="212" t="e">
        <v>#REF!</v>
      </c>
      <c r="AT60" s="212" t="e">
        <v>#REF!</v>
      </c>
      <c r="AU60" s="212" t="e">
        <v>#REF!</v>
      </c>
      <c r="AV60" s="212"/>
      <c r="AW60" s="212" t="e">
        <v>#REF!</v>
      </c>
      <c r="AX60" s="212">
        <f t="shared" si="1"/>
        <v>0</v>
      </c>
      <c r="BB60" s="212">
        <v>0</v>
      </c>
      <c r="BC60" s="212">
        <v>0</v>
      </c>
      <c r="BD60" s="212">
        <v>0</v>
      </c>
      <c r="BE60" s="212">
        <v>0</v>
      </c>
      <c r="BF60" s="212">
        <v>0</v>
      </c>
      <c r="BG60" s="226">
        <v>0</v>
      </c>
      <c r="BH60" s="226"/>
      <c r="BJ60" s="58" t="s">
        <v>995</v>
      </c>
      <c r="BK60" s="112"/>
      <c r="BL60" s="58"/>
    </row>
    <row r="61" spans="1:64" s="21" customFormat="1" ht="39.950000000000003" customHeight="1" x14ac:dyDescent="0.2">
      <c r="A61" s="13" t="s">
        <v>424</v>
      </c>
      <c r="B61" s="74" t="s">
        <v>67</v>
      </c>
      <c r="C61" s="66" t="s">
        <v>87</v>
      </c>
      <c r="D61" s="14" t="s">
        <v>541</v>
      </c>
      <c r="E61" s="130" t="s">
        <v>425</v>
      </c>
      <c r="F61" s="14" t="s">
        <v>439</v>
      </c>
      <c r="G61" s="131" t="s">
        <v>445</v>
      </c>
      <c r="H61" s="68" t="s">
        <v>463</v>
      </c>
      <c r="I61" s="66" t="s">
        <v>298</v>
      </c>
      <c r="J61" s="66" t="s">
        <v>218</v>
      </c>
      <c r="K61" s="65" t="s">
        <v>45</v>
      </c>
      <c r="L61" s="65" t="s">
        <v>191</v>
      </c>
      <c r="M61" s="65" t="s">
        <v>59</v>
      </c>
      <c r="N61" s="13" t="s">
        <v>43</v>
      </c>
      <c r="O61" s="13" t="s">
        <v>538</v>
      </c>
      <c r="P61" s="65" t="s">
        <v>534</v>
      </c>
      <c r="Q61" s="64" t="s">
        <v>9</v>
      </c>
      <c r="R61" s="62" t="e">
        <f>10000/USD</f>
        <v>#REF!</v>
      </c>
      <c r="S61" s="62">
        <v>10000</v>
      </c>
      <c r="T61" s="62" t="e">
        <f>Table12129[[#This Row],[Original Limit (A$)]]</f>
        <v>#REF!</v>
      </c>
      <c r="U61" s="62" t="e">
        <f>58000/USD</f>
        <v>#REF!</v>
      </c>
      <c r="V61" s="62" t="e">
        <f>(441885.38+315216.55)/USD</f>
        <v>#REF!</v>
      </c>
      <c r="W61" s="61" t="s">
        <v>11</v>
      </c>
      <c r="X61" s="181">
        <v>2.2499999999999999E-2</v>
      </c>
      <c r="Y61" s="60">
        <v>44006</v>
      </c>
      <c r="Z61" s="60">
        <v>47634</v>
      </c>
      <c r="AA61" s="60">
        <v>47634</v>
      </c>
      <c r="AB61" s="72">
        <f t="shared" si="3"/>
        <v>3629</v>
      </c>
      <c r="AC61" s="59" t="e">
        <f t="shared" si="7"/>
        <v>#REF!</v>
      </c>
      <c r="AD61" s="58" t="e">
        <f>AA61-#REF!</f>
        <v>#REF!</v>
      </c>
      <c r="AE61" s="57" t="e">
        <f t="shared" si="0"/>
        <v>#REF!</v>
      </c>
      <c r="AF61" s="56"/>
      <c r="AG61" s="71" t="s">
        <v>1</v>
      </c>
      <c r="AH61" s="71" t="s">
        <v>1</v>
      </c>
      <c r="AI61" s="187" t="s">
        <v>1123</v>
      </c>
      <c r="AJ61" s="11" t="e">
        <f t="shared" si="2"/>
        <v>#REF!</v>
      </c>
      <c r="AK61" s="11" t="s">
        <v>271</v>
      </c>
      <c r="AL61" s="13" t="s">
        <v>426</v>
      </c>
      <c r="AM61" s="11">
        <v>8075</v>
      </c>
      <c r="AN61" s="11"/>
      <c r="AO61" s="197" t="str">
        <f>Table12129[[#This Row],[Risk Location ]]</f>
        <v>Taiwan</v>
      </c>
      <c r="AP61" s="198" t="str">
        <f>Table12129[[#This Row],[Sector (GICS Industry Group)]]</f>
        <v>Utilities</v>
      </c>
      <c r="AQ61" s="11">
        <v>1</v>
      </c>
      <c r="AR61" s="214">
        <v>7.4999999999999997E-2</v>
      </c>
      <c r="AS61" s="212" t="e">
        <v>#REF!</v>
      </c>
      <c r="AT61" s="212" t="e">
        <v>#REF!</v>
      </c>
      <c r="AU61" s="212" t="e">
        <v>#REF!</v>
      </c>
      <c r="AV61" s="212"/>
      <c r="AW61" s="212" t="e">
        <v>#REF!</v>
      </c>
      <c r="AX61" s="212">
        <f t="shared" si="1"/>
        <v>1180.3959835059336</v>
      </c>
      <c r="AY61" s="12"/>
      <c r="BB61" s="259">
        <v>1089.7148585265334</v>
      </c>
      <c r="BC61" s="259">
        <v>1180.3959835059336</v>
      </c>
      <c r="BD61" s="259">
        <v>1104.110234365799</v>
      </c>
      <c r="BE61" s="212">
        <v>1008.41691989136</v>
      </c>
      <c r="BF61" s="212">
        <v>1044.902963344804</v>
      </c>
      <c r="BG61" s="228">
        <v>1671.8447413516865</v>
      </c>
      <c r="BH61" s="228">
        <v>692.13732004429676</v>
      </c>
      <c r="BJ61" s="58" t="s">
        <v>996</v>
      </c>
      <c r="BK61" s="112"/>
      <c r="BL61" s="58"/>
    </row>
    <row r="62" spans="1:64" ht="39.950000000000003" customHeight="1" x14ac:dyDescent="0.2">
      <c r="A62" s="13" t="s">
        <v>465</v>
      </c>
      <c r="B62" s="74" t="s">
        <v>24</v>
      </c>
      <c r="C62" s="66" t="s">
        <v>34</v>
      </c>
      <c r="D62" s="14" t="s">
        <v>34</v>
      </c>
      <c r="E62" s="130" t="s">
        <v>34</v>
      </c>
      <c r="F62" s="14" t="s">
        <v>233</v>
      </c>
      <c r="G62" s="131" t="s">
        <v>443</v>
      </c>
      <c r="H62" s="131" t="s">
        <v>234</v>
      </c>
      <c r="I62" s="133" t="s">
        <v>706</v>
      </c>
      <c r="J62" s="66" t="s">
        <v>220</v>
      </c>
      <c r="K62" s="65" t="s">
        <v>29</v>
      </c>
      <c r="L62" s="65" t="s">
        <v>191</v>
      </c>
      <c r="M62" s="65" t="s">
        <v>323</v>
      </c>
      <c r="N62" s="13" t="s">
        <v>43</v>
      </c>
      <c r="O62" s="13" t="s">
        <v>538</v>
      </c>
      <c r="P62" s="65" t="s">
        <v>534</v>
      </c>
      <c r="Q62" s="64" t="s">
        <v>8</v>
      </c>
      <c r="R62" s="62">
        <v>15000</v>
      </c>
      <c r="S62" s="62">
        <v>15000</v>
      </c>
      <c r="T62" s="62">
        <v>15000</v>
      </c>
      <c r="U62" s="62">
        <v>95000</v>
      </c>
      <c r="V62" s="62">
        <f>394028.14+32000</f>
        <v>426028.14</v>
      </c>
      <c r="W62" s="61" t="s">
        <v>11</v>
      </c>
      <c r="X62" s="181">
        <v>1.2500000000000001E-2</v>
      </c>
      <c r="Y62" s="60">
        <v>44014</v>
      </c>
      <c r="Z62" s="60">
        <v>45478</v>
      </c>
      <c r="AA62" s="60">
        <v>45478</v>
      </c>
      <c r="AB62" s="72">
        <f t="shared" si="3"/>
        <v>1465</v>
      </c>
      <c r="AC62" s="59" t="s">
        <v>10</v>
      </c>
      <c r="AD62" s="58" t="e">
        <f>AA62-#REF!</f>
        <v>#REF!</v>
      </c>
      <c r="AE62" s="57" t="e">
        <f t="shared" si="0"/>
        <v>#REF!</v>
      </c>
      <c r="AF62" s="56"/>
      <c r="AG62" s="152" t="s">
        <v>1</v>
      </c>
      <c r="AH62" s="152" t="s">
        <v>1</v>
      </c>
      <c r="AI62" s="153" t="s">
        <v>0</v>
      </c>
      <c r="AJ62" s="11" t="e">
        <f t="shared" si="2"/>
        <v>#REF!</v>
      </c>
      <c r="AK62" s="154" t="s">
        <v>271</v>
      </c>
      <c r="AL62" s="13" t="s">
        <v>466</v>
      </c>
      <c r="AM62" s="11">
        <v>8000</v>
      </c>
      <c r="AO62" s="197" t="str">
        <f>Table12129[[#This Row],[Risk Location ]]</f>
        <v>Australia</v>
      </c>
      <c r="AP62" s="198" t="str">
        <f>Table12129[[#This Row],[Sector (GICS Industry Group)]]</f>
        <v>Telecommunication Services</v>
      </c>
      <c r="AS62" s="212" t="e">
        <v>#REF!</v>
      </c>
      <c r="AT62" s="212" t="e">
        <v>#REF!</v>
      </c>
      <c r="AU62" s="212" t="e">
        <v>#REF!</v>
      </c>
      <c r="AV62" s="212"/>
      <c r="AW62" s="212" t="e">
        <v>#REF!</v>
      </c>
      <c r="AX62" s="212">
        <f t="shared" si="1"/>
        <v>0</v>
      </c>
      <c r="BB62" s="212">
        <v>0</v>
      </c>
      <c r="BC62" s="212">
        <v>0</v>
      </c>
      <c r="BD62" s="212">
        <v>0</v>
      </c>
      <c r="BE62" s="212">
        <v>0</v>
      </c>
      <c r="BF62" s="212">
        <v>0</v>
      </c>
      <c r="BG62" s="226">
        <v>0</v>
      </c>
      <c r="BH62" s="226"/>
      <c r="BJ62" s="58" t="s">
        <v>997</v>
      </c>
      <c r="BK62" s="112"/>
      <c r="BL62" s="58"/>
    </row>
    <row r="63" spans="1:64" s="229" customFormat="1" ht="39.950000000000003" customHeight="1" x14ac:dyDescent="0.2">
      <c r="A63" s="132" t="s">
        <v>520</v>
      </c>
      <c r="B63" s="132" t="s">
        <v>243</v>
      </c>
      <c r="C63" s="133" t="s">
        <v>87</v>
      </c>
      <c r="D63" s="131" t="s">
        <v>469</v>
      </c>
      <c r="E63" s="145" t="s">
        <v>413</v>
      </c>
      <c r="F63" s="133" t="s">
        <v>48</v>
      </c>
      <c r="G63" s="131" t="s">
        <v>95</v>
      </c>
      <c r="H63" s="145" t="s">
        <v>521</v>
      </c>
      <c r="I63" s="131" t="s">
        <v>522</v>
      </c>
      <c r="J63" s="133" t="s">
        <v>219</v>
      </c>
      <c r="K63" s="133" t="s">
        <v>45</v>
      </c>
      <c r="L63" s="134" t="s">
        <v>191</v>
      </c>
      <c r="M63" s="134" t="s">
        <v>59</v>
      </c>
      <c r="N63" s="132" t="s">
        <v>43</v>
      </c>
      <c r="O63" s="132" t="s">
        <v>538</v>
      </c>
      <c r="P63" s="270" t="s">
        <v>534</v>
      </c>
      <c r="Q63" s="135" t="s">
        <v>9</v>
      </c>
      <c r="R63" s="136" t="e">
        <f>Table12129[[#This Row],[Amortised Limit in Original Currency]]/USD</f>
        <v>#REF!</v>
      </c>
      <c r="S63" s="62">
        <v>10000</v>
      </c>
      <c r="T63" s="136" t="e">
        <f>10000/USD</f>
        <v>#REF!</v>
      </c>
      <c r="U63" s="136" t="e">
        <f>100000/USD</f>
        <v>#REF!</v>
      </c>
      <c r="V63" s="303" t="e">
        <f>(1394802-49500.98-83464.99-34228.12-6318.71)/USD</f>
        <v>#REF!</v>
      </c>
      <c r="W63" s="147" t="s">
        <v>11</v>
      </c>
      <c r="X63" s="181">
        <v>3.7499999999999999E-2</v>
      </c>
      <c r="Y63" s="137">
        <v>44039</v>
      </c>
      <c r="Z63" s="137">
        <v>47238</v>
      </c>
      <c r="AA63" s="137">
        <v>47238</v>
      </c>
      <c r="AB63" s="138">
        <f t="shared" si="3"/>
        <v>3200</v>
      </c>
      <c r="AC63" s="139" t="s">
        <v>10</v>
      </c>
      <c r="AD63" s="138" t="e">
        <f>AA63-#REF!</f>
        <v>#REF!</v>
      </c>
      <c r="AE63" s="140" t="e">
        <f t="shared" si="0"/>
        <v>#REF!</v>
      </c>
      <c r="AF63" s="274"/>
      <c r="AG63" s="141" t="s">
        <v>1</v>
      </c>
      <c r="AH63" s="141" t="s">
        <v>1</v>
      </c>
      <c r="AI63" s="142" t="s">
        <v>523</v>
      </c>
      <c r="AJ63" s="229" t="e">
        <f t="shared" si="2"/>
        <v>#REF!</v>
      </c>
      <c r="AK63" s="277" t="s">
        <v>271</v>
      </c>
      <c r="AL63" s="132" t="s">
        <v>519</v>
      </c>
      <c r="AN63" s="304"/>
      <c r="AO63" s="197" t="str">
        <f>Table12129[[#This Row],[Risk Location ]]</f>
        <v>Nigeria</v>
      </c>
      <c r="AP63" s="198" t="str">
        <f>Table12129[[#This Row],[Sector (GICS Industry Group)]]</f>
        <v>Energy</v>
      </c>
      <c r="AQ63" s="201"/>
      <c r="AS63" s="212" t="e">
        <v>#REF!</v>
      </c>
      <c r="AT63" s="212" t="e">
        <v>#REF!</v>
      </c>
      <c r="AU63" s="212" t="e">
        <v>#REF!</v>
      </c>
      <c r="AV63" s="278"/>
      <c r="AW63" s="212" t="e">
        <v>#REF!</v>
      </c>
      <c r="AX63" s="212">
        <f t="shared" si="1"/>
        <v>0</v>
      </c>
      <c r="BB63" s="278">
        <v>0</v>
      </c>
      <c r="BC63" s="278">
        <v>0</v>
      </c>
      <c r="BD63" s="278">
        <v>0</v>
      </c>
      <c r="BE63" s="278">
        <v>0</v>
      </c>
      <c r="BF63" s="278">
        <v>0</v>
      </c>
      <c r="BG63" s="226">
        <v>0</v>
      </c>
      <c r="BH63" s="226"/>
      <c r="BJ63" s="138" t="s">
        <v>991</v>
      </c>
      <c r="BK63" s="276"/>
      <c r="BL63" s="272"/>
    </row>
    <row r="64" spans="1:64" ht="39.950000000000003" customHeight="1" x14ac:dyDescent="0.2">
      <c r="A64" s="13" t="s">
        <v>492</v>
      </c>
      <c r="B64" s="74" t="s">
        <v>24</v>
      </c>
      <c r="C64" s="66" t="s">
        <v>34</v>
      </c>
      <c r="D64" s="14" t="s">
        <v>34</v>
      </c>
      <c r="E64" s="130" t="s">
        <v>34</v>
      </c>
      <c r="F64" s="14" t="s">
        <v>102</v>
      </c>
      <c r="G64" s="14" t="s">
        <v>102</v>
      </c>
      <c r="H64" s="66" t="s">
        <v>122</v>
      </c>
      <c r="I64" s="66" t="s">
        <v>70</v>
      </c>
      <c r="J64" s="66" t="s">
        <v>218</v>
      </c>
      <c r="K64" s="65" t="s">
        <v>101</v>
      </c>
      <c r="L64" s="65" t="s">
        <v>191</v>
      </c>
      <c r="M64" s="65" t="s">
        <v>323</v>
      </c>
      <c r="N64" s="13" t="s">
        <v>43</v>
      </c>
      <c r="O64" s="13" t="s">
        <v>531</v>
      </c>
      <c r="P64" s="65" t="s">
        <v>534</v>
      </c>
      <c r="Q64" s="64" t="s">
        <v>8</v>
      </c>
      <c r="R64" s="62">
        <f>25000</f>
        <v>25000</v>
      </c>
      <c r="S64" s="62">
        <v>25000</v>
      </c>
      <c r="T64" s="62">
        <v>25000</v>
      </c>
      <c r="U64" s="62">
        <v>50000</v>
      </c>
      <c r="V64" s="62">
        <v>1166537.21</v>
      </c>
      <c r="W64" s="61" t="s">
        <v>11</v>
      </c>
      <c r="X64" s="181">
        <v>1.7999999999999999E-2</v>
      </c>
      <c r="Y64" s="60">
        <v>44064</v>
      </c>
      <c r="Z64" s="60">
        <v>45674</v>
      </c>
      <c r="AA64" s="60">
        <v>45674</v>
      </c>
      <c r="AB64" s="72">
        <f t="shared" si="3"/>
        <v>1611</v>
      </c>
      <c r="AC64" s="59" t="e">
        <f t="shared" ref="AC64:AC69" si="8">IF(AA64-$A$1&gt;60,"No","Yes")</f>
        <v>#REF!</v>
      </c>
      <c r="AD64" s="58" t="e">
        <f>AA64-#REF!</f>
        <v>#REF!</v>
      </c>
      <c r="AE64" s="57" t="e">
        <f t="shared" si="0"/>
        <v>#REF!</v>
      </c>
      <c r="AF64" s="56" t="s">
        <v>436</v>
      </c>
      <c r="AG64" s="71" t="s">
        <v>1</v>
      </c>
      <c r="AH64" s="71" t="s">
        <v>1</v>
      </c>
      <c r="AI64" s="70" t="s">
        <v>0</v>
      </c>
      <c r="AJ64" s="11" t="e">
        <f t="shared" si="2"/>
        <v>#REF!</v>
      </c>
      <c r="AK64" s="11" t="s">
        <v>271</v>
      </c>
      <c r="AL64" s="13" t="s">
        <v>478</v>
      </c>
      <c r="AM64" s="11">
        <v>8815</v>
      </c>
      <c r="AN64" s="52">
        <v>125000</v>
      </c>
      <c r="AO64" s="197" t="str">
        <f>Table12129[[#This Row],[Risk Location ]]</f>
        <v>Australia</v>
      </c>
      <c r="AP64" s="198" t="str">
        <f>Table12129[[#This Row],[Sector (GICS Industry Group)]]</f>
        <v>Real Estate Investment</v>
      </c>
      <c r="AQ64" s="201"/>
      <c r="AS64" s="212" t="e">
        <v>#REF!</v>
      </c>
      <c r="AT64" s="212" t="e">
        <v>#REF!</v>
      </c>
      <c r="AU64" s="212" t="e">
        <v>#REF!</v>
      </c>
      <c r="AV64" s="212"/>
      <c r="AW64" s="212" t="e">
        <v>#REF!</v>
      </c>
      <c r="AX64" s="212">
        <f t="shared" si="1"/>
        <v>0</v>
      </c>
      <c r="BB64" s="212">
        <v>0</v>
      </c>
      <c r="BC64" s="212">
        <v>0</v>
      </c>
      <c r="BD64" s="212">
        <v>0</v>
      </c>
      <c r="BE64" s="212">
        <v>0</v>
      </c>
      <c r="BF64" s="212">
        <v>0</v>
      </c>
      <c r="BG64" s="226">
        <v>0</v>
      </c>
      <c r="BH64" s="226"/>
      <c r="BJ64" s="58" t="s">
        <v>998</v>
      </c>
      <c r="BK64" s="112"/>
      <c r="BL64" s="58"/>
    </row>
    <row r="65" spans="1:64" ht="39.950000000000003" customHeight="1" x14ac:dyDescent="0.2">
      <c r="A65" s="13" t="s">
        <v>493</v>
      </c>
      <c r="B65" s="69" t="s">
        <v>243</v>
      </c>
      <c r="C65" s="66" t="s">
        <v>87</v>
      </c>
      <c r="D65" s="14" t="s">
        <v>542</v>
      </c>
      <c r="E65" s="130" t="s">
        <v>308</v>
      </c>
      <c r="F65" s="14" t="s">
        <v>102</v>
      </c>
      <c r="G65" s="14" t="s">
        <v>102</v>
      </c>
      <c r="H65" s="130" t="s">
        <v>473</v>
      </c>
      <c r="I65" s="66" t="s">
        <v>298</v>
      </c>
      <c r="J65" s="66" t="s">
        <v>218</v>
      </c>
      <c r="K65" s="128" t="s">
        <v>101</v>
      </c>
      <c r="L65" s="65" t="s">
        <v>191</v>
      </c>
      <c r="M65" s="65" t="s">
        <v>59</v>
      </c>
      <c r="N65" s="13" t="s">
        <v>43</v>
      </c>
      <c r="O65" s="13" t="s">
        <v>533</v>
      </c>
      <c r="P65" s="65" t="s">
        <v>534</v>
      </c>
      <c r="Q65" s="64" t="s">
        <v>487</v>
      </c>
      <c r="R65" s="62" t="e" cm="1">
        <f t="array" ref="R65">160500/NOK</f>
        <v>#REF!</v>
      </c>
      <c r="S65" s="62">
        <v>160500</v>
      </c>
      <c r="T65" s="62" t="e">
        <f>Table12129[[#This Row],[Original Limit (A$)]]</f>
        <v>#REF!</v>
      </c>
      <c r="U65" s="62" t="e">
        <f>990000/NOK</f>
        <v>#REF!</v>
      </c>
      <c r="V65" s="62" t="e">
        <f>9508234/NOK</f>
        <v>#REF!</v>
      </c>
      <c r="W65" s="61" t="s">
        <v>11</v>
      </c>
      <c r="X65" s="181">
        <v>2.5000000000000001E-2</v>
      </c>
      <c r="Y65" s="60">
        <v>44091</v>
      </c>
      <c r="Z65" s="60">
        <v>45595</v>
      </c>
      <c r="AA65" s="60">
        <v>45595</v>
      </c>
      <c r="AB65" s="58">
        <f t="shared" si="3"/>
        <v>1505</v>
      </c>
      <c r="AC65" s="59" t="e">
        <f t="shared" si="8"/>
        <v>#REF!</v>
      </c>
      <c r="AD65" s="58" t="e">
        <f>AA65-#REF!</f>
        <v>#REF!</v>
      </c>
      <c r="AE65" s="57" t="e">
        <f t="shared" si="0"/>
        <v>#REF!</v>
      </c>
      <c r="AF65" s="56" t="s">
        <v>436</v>
      </c>
      <c r="AG65" s="55" t="s">
        <v>1</v>
      </c>
      <c r="AH65" s="55" t="s">
        <v>1</v>
      </c>
      <c r="AI65" s="54" t="s">
        <v>0</v>
      </c>
      <c r="AJ65" s="11" t="e">
        <f t="shared" si="2"/>
        <v>#REF!</v>
      </c>
      <c r="AK65" s="53" t="s">
        <v>271</v>
      </c>
      <c r="AL65" s="13" t="s">
        <v>483</v>
      </c>
      <c r="AM65" s="11">
        <v>900</v>
      </c>
      <c r="AN65" s="52"/>
      <c r="AO65" s="197" t="str">
        <f>Table12129[[#This Row],[Risk Location ]]</f>
        <v>Norway</v>
      </c>
      <c r="AP65" s="198" t="str">
        <f>Table12129[[#This Row],[Sector (GICS Industry Group)]]</f>
        <v>Real Estate Investment</v>
      </c>
      <c r="AQ65" s="201"/>
      <c r="AS65" s="212" t="e">
        <v>#REF!</v>
      </c>
      <c r="AT65" s="212" t="e">
        <v>#REF!</v>
      </c>
      <c r="AU65" s="212" t="e">
        <v>#REF!</v>
      </c>
      <c r="AV65" s="212"/>
      <c r="AW65" s="212" t="e">
        <v>#REF!</v>
      </c>
      <c r="AX65" s="212">
        <f t="shared" si="1"/>
        <v>0</v>
      </c>
      <c r="BB65" s="212">
        <v>0</v>
      </c>
      <c r="BC65" s="212">
        <v>0</v>
      </c>
      <c r="BD65" s="212">
        <v>0</v>
      </c>
      <c r="BE65" s="212">
        <v>0</v>
      </c>
      <c r="BF65" s="212">
        <v>0</v>
      </c>
      <c r="BG65" s="226">
        <v>0</v>
      </c>
      <c r="BH65" s="226"/>
      <c r="BJ65" s="58" t="s">
        <v>999</v>
      </c>
      <c r="BK65" s="112"/>
      <c r="BL65" s="58"/>
    </row>
    <row r="66" spans="1:64" ht="39.950000000000003" customHeight="1" x14ac:dyDescent="0.2">
      <c r="A66" s="13" t="s">
        <v>497</v>
      </c>
      <c r="B66" s="69" t="s">
        <v>24</v>
      </c>
      <c r="C66" s="66" t="s">
        <v>34</v>
      </c>
      <c r="D66" s="14" t="s">
        <v>34</v>
      </c>
      <c r="E66" s="14" t="s">
        <v>34</v>
      </c>
      <c r="F66" s="14" t="s">
        <v>92</v>
      </c>
      <c r="G66" s="131" t="s">
        <v>100</v>
      </c>
      <c r="H66" s="14" t="s">
        <v>100</v>
      </c>
      <c r="I66" s="66" t="s">
        <v>232</v>
      </c>
      <c r="J66" s="66" t="s">
        <v>21</v>
      </c>
      <c r="K66" s="65" t="s">
        <v>44</v>
      </c>
      <c r="L66" s="65" t="s">
        <v>191</v>
      </c>
      <c r="M66" s="65" t="s">
        <v>323</v>
      </c>
      <c r="N66" s="13" t="s">
        <v>43</v>
      </c>
      <c r="O66" s="13" t="s">
        <v>531</v>
      </c>
      <c r="P66" s="65" t="s">
        <v>534</v>
      </c>
      <c r="Q66" s="64" t="s">
        <v>8</v>
      </c>
      <c r="R66" s="62">
        <f>25000-7420.739</f>
        <v>17579.260999999999</v>
      </c>
      <c r="S66" s="62">
        <f>25000-7420.739</f>
        <v>17579.260999999999</v>
      </c>
      <c r="T66" s="62">
        <f>25000-7420.739</f>
        <v>17579.260999999999</v>
      </c>
      <c r="U66" s="62">
        <v>93608.577000000005</v>
      </c>
      <c r="V66" s="296">
        <f>954545+185000-76262.16-10541.41</f>
        <v>1052741.4300000002</v>
      </c>
      <c r="W66" s="61" t="s">
        <v>551</v>
      </c>
      <c r="X66" s="181">
        <v>3.5000000000000003E-2</v>
      </c>
      <c r="Y66" s="60">
        <v>44097</v>
      </c>
      <c r="Z66" s="60">
        <v>45277</v>
      </c>
      <c r="AA66" s="60">
        <v>45277</v>
      </c>
      <c r="AB66" s="58">
        <f t="shared" si="3"/>
        <v>1181</v>
      </c>
      <c r="AC66" s="59" t="e">
        <f t="shared" si="8"/>
        <v>#REF!</v>
      </c>
      <c r="AD66" s="58" t="e">
        <f>AA66-#REF!</f>
        <v>#REF!</v>
      </c>
      <c r="AE66" s="57" t="e">
        <f t="shared" si="0"/>
        <v>#REF!</v>
      </c>
      <c r="AF66" s="56"/>
      <c r="AG66" s="55" t="s">
        <v>1</v>
      </c>
      <c r="AH66" s="55" t="s">
        <v>1</v>
      </c>
      <c r="AI66" s="54" t="s">
        <v>0</v>
      </c>
      <c r="AJ66" s="11" t="e">
        <f t="shared" si="2"/>
        <v>#REF!</v>
      </c>
      <c r="AK66" s="53" t="s">
        <v>271</v>
      </c>
      <c r="AL66" s="13" t="s">
        <v>486</v>
      </c>
      <c r="AM66" s="11">
        <v>17910</v>
      </c>
      <c r="AN66" s="52">
        <v>35000</v>
      </c>
      <c r="AO66" s="197" t="str">
        <f>Table12129[[#This Row],[Risk Location ]]</f>
        <v>Australia</v>
      </c>
      <c r="AP66" s="198" t="str">
        <f>Table12129[[#This Row],[Sector (GICS Industry Group)]]</f>
        <v>Transportation</v>
      </c>
      <c r="AQ66" s="199">
        <v>1</v>
      </c>
      <c r="AR66" s="214">
        <v>2.5000000000000001E-2</v>
      </c>
      <c r="AS66" s="212" t="e">
        <v>#REF!</v>
      </c>
      <c r="AT66" s="212" t="e">
        <v>#REF!</v>
      </c>
      <c r="AU66" s="212" t="e">
        <v>#REF!</v>
      </c>
      <c r="AV66" s="212"/>
      <c r="AW66" s="212" t="e">
        <v>#REF!</v>
      </c>
      <c r="AX66" s="212">
        <f t="shared" si="1"/>
        <v>625</v>
      </c>
      <c r="AY66" s="12"/>
      <c r="BB66" s="212">
        <v>439.48152499999998</v>
      </c>
      <c r="BC66" s="212">
        <v>625</v>
      </c>
      <c r="BD66" s="212">
        <v>625</v>
      </c>
      <c r="BE66" s="212">
        <v>1250</v>
      </c>
      <c r="BF66" s="212">
        <v>1250</v>
      </c>
      <c r="BG66" s="226">
        <v>1250</v>
      </c>
      <c r="BH66" s="226">
        <v>1250</v>
      </c>
      <c r="BJ66" s="58" t="s">
        <v>1000</v>
      </c>
      <c r="BK66" s="112"/>
      <c r="BL66" s="58"/>
    </row>
    <row r="67" spans="1:64" ht="39.950000000000003" customHeight="1" x14ac:dyDescent="0.2">
      <c r="A67" s="131" t="s">
        <v>511</v>
      </c>
      <c r="B67" s="132" t="s">
        <v>67</v>
      </c>
      <c r="C67" s="133" t="s">
        <v>127</v>
      </c>
      <c r="D67" s="14" t="s">
        <v>542</v>
      </c>
      <c r="E67" s="161" t="s">
        <v>127</v>
      </c>
      <c r="F67" s="14" t="s">
        <v>892</v>
      </c>
      <c r="G67" s="131" t="s">
        <v>259</v>
      </c>
      <c r="H67" s="14" t="s">
        <v>258</v>
      </c>
      <c r="I67" s="66" t="s">
        <v>158</v>
      </c>
      <c r="J67" s="66" t="s">
        <v>220</v>
      </c>
      <c r="K67" s="13" t="s">
        <v>45</v>
      </c>
      <c r="L67" s="65" t="s">
        <v>191</v>
      </c>
      <c r="M67" s="134" t="s">
        <v>59</v>
      </c>
      <c r="N67" s="132" t="s">
        <v>43</v>
      </c>
      <c r="O67" s="132" t="s">
        <v>533</v>
      </c>
      <c r="P67" s="13" t="s">
        <v>548</v>
      </c>
      <c r="Q67" s="135" t="s">
        <v>59</v>
      </c>
      <c r="R67" s="136" t="e">
        <f>15000/EUR</f>
        <v>#REF!</v>
      </c>
      <c r="S67" s="62">
        <v>15000</v>
      </c>
      <c r="T67" s="136" t="e">
        <f>15000/EUR</f>
        <v>#REF!</v>
      </c>
      <c r="U67" s="136" t="e">
        <f>212000/EUR</f>
        <v>#REF!</v>
      </c>
      <c r="V67" s="136" t="e">
        <f>685134.98/EUR</f>
        <v>#REF!</v>
      </c>
      <c r="W67" s="61" t="s">
        <v>11</v>
      </c>
      <c r="X67" s="181">
        <v>1.17E-2</v>
      </c>
      <c r="Y67" s="137">
        <v>44146</v>
      </c>
      <c r="Z67" s="137">
        <v>46640</v>
      </c>
      <c r="AA67" s="137">
        <v>46640</v>
      </c>
      <c r="AB67" s="138">
        <f t="shared" si="3"/>
        <v>2495</v>
      </c>
      <c r="AC67" s="59" t="e">
        <f t="shared" si="8"/>
        <v>#REF!</v>
      </c>
      <c r="AD67" s="138" t="e">
        <f>AA67-#REF!</f>
        <v>#REF!</v>
      </c>
      <c r="AE67" s="140" t="e">
        <f t="shared" ref="AE67:AE74" si="9">AD67/365</f>
        <v>#REF!</v>
      </c>
      <c r="AF67" s="56"/>
      <c r="AG67" s="141" t="s">
        <v>1</v>
      </c>
      <c r="AH67" s="141" t="s">
        <v>1</v>
      </c>
      <c r="AI67" s="142" t="s">
        <v>0</v>
      </c>
      <c r="AJ67" s="11" t="e">
        <f t="shared" si="2"/>
        <v>#REF!</v>
      </c>
      <c r="AK67" s="144" t="s">
        <v>271</v>
      </c>
      <c r="AL67" s="132" t="s">
        <v>512</v>
      </c>
      <c r="AN67" s="52"/>
      <c r="AO67" s="197" t="str">
        <f>Table12129[[#This Row],[Risk Location ]]</f>
        <v>Germany</v>
      </c>
      <c r="AP67" s="198" t="str">
        <f>Table12129[[#This Row],[Sector (GICS Industry Group)]]</f>
        <v>Information Technology - Software &amp; Services</v>
      </c>
      <c r="AQ67" s="201"/>
      <c r="AS67" s="212" t="e">
        <v>#REF!</v>
      </c>
      <c r="AT67" s="212" t="e">
        <v>#REF!</v>
      </c>
      <c r="AU67" s="212" t="e">
        <v>#REF!</v>
      </c>
      <c r="AV67" s="212"/>
      <c r="AW67" s="212" t="e">
        <v>#REF!</v>
      </c>
      <c r="AX67" s="212">
        <f t="shared" ref="AX67:AX130" si="10">+BC67</f>
        <v>0</v>
      </c>
      <c r="BB67" s="212">
        <v>0</v>
      </c>
      <c r="BC67" s="212">
        <v>0</v>
      </c>
      <c r="BD67" s="212">
        <v>0</v>
      </c>
      <c r="BE67" s="212">
        <v>0</v>
      </c>
      <c r="BF67" s="212">
        <v>0</v>
      </c>
      <c r="BG67" s="226">
        <v>0</v>
      </c>
      <c r="BH67" s="226"/>
      <c r="BJ67" s="138" t="s">
        <v>935</v>
      </c>
      <c r="BK67" s="112"/>
      <c r="BL67" s="58"/>
    </row>
    <row r="68" spans="1:64" ht="39.950000000000003" customHeight="1" x14ac:dyDescent="0.2">
      <c r="A68" s="131" t="s">
        <v>508</v>
      </c>
      <c r="B68" s="132" t="s">
        <v>243</v>
      </c>
      <c r="C68" s="66" t="s">
        <v>162</v>
      </c>
      <c r="D68" s="14" t="s">
        <v>499</v>
      </c>
      <c r="E68" s="130" t="s">
        <v>162</v>
      </c>
      <c r="F68" s="14" t="s">
        <v>102</v>
      </c>
      <c r="G68" s="14" t="s">
        <v>102</v>
      </c>
      <c r="H68" s="130" t="s">
        <v>103</v>
      </c>
      <c r="I68" s="131" t="s">
        <v>509</v>
      </c>
      <c r="J68" s="133" t="s">
        <v>222</v>
      </c>
      <c r="K68" s="65" t="s">
        <v>101</v>
      </c>
      <c r="L68" s="134" t="s">
        <v>191</v>
      </c>
      <c r="M68" s="134" t="s">
        <v>59</v>
      </c>
      <c r="N68" s="132" t="s">
        <v>43</v>
      </c>
      <c r="O68" s="132" t="s">
        <v>531</v>
      </c>
      <c r="P68" s="65" t="s">
        <v>534</v>
      </c>
      <c r="Q68" s="135" t="s">
        <v>9</v>
      </c>
      <c r="R68" s="136" t="e">
        <f>20000/USD</f>
        <v>#REF!</v>
      </c>
      <c r="S68" s="62">
        <v>20000</v>
      </c>
      <c r="T68" s="136" t="e">
        <f>20000/USD</f>
        <v>#REF!</v>
      </c>
      <c r="U68" s="136" t="e">
        <f>75000/USD</f>
        <v>#REF!</v>
      </c>
      <c r="V68" s="136">
        <v>764347</v>
      </c>
      <c r="W68" s="61" t="s">
        <v>11</v>
      </c>
      <c r="X68" s="181">
        <v>1.6E-2</v>
      </c>
      <c r="Y68" s="137">
        <v>44148</v>
      </c>
      <c r="Z68" s="137">
        <v>45734</v>
      </c>
      <c r="AA68" s="137">
        <v>45734</v>
      </c>
      <c r="AB68" s="58">
        <f t="shared" si="3"/>
        <v>1587</v>
      </c>
      <c r="AC68" s="59" t="e">
        <f t="shared" si="8"/>
        <v>#REF!</v>
      </c>
      <c r="AD68" s="138" t="e">
        <f>AA68-#REF!</f>
        <v>#REF!</v>
      </c>
      <c r="AE68" s="140" t="e">
        <f t="shared" si="9"/>
        <v>#REF!</v>
      </c>
      <c r="AF68" s="56" t="s">
        <v>436</v>
      </c>
      <c r="AG68" s="141" t="s">
        <v>1</v>
      </c>
      <c r="AH68" s="141" t="s">
        <v>1</v>
      </c>
      <c r="AI68" s="142" t="s">
        <v>0</v>
      </c>
      <c r="AJ68" s="11" t="e">
        <f t="shared" ref="AJ68:AJ120" si="11">+IF(AA68-60&lt;$A$1, "SEND NOTICE", "N/A")</f>
        <v>#REF!</v>
      </c>
      <c r="AK68" s="144" t="s">
        <v>271</v>
      </c>
      <c r="AL68" s="132" t="s">
        <v>510</v>
      </c>
      <c r="AN68" s="52"/>
      <c r="AO68" s="197" t="str">
        <f>Table12129[[#This Row],[Risk Location ]]</f>
        <v>United States</v>
      </c>
      <c r="AP68" s="198" t="str">
        <f>Table12129[[#This Row],[Sector (GICS Industry Group)]]</f>
        <v>Real Estate Investment</v>
      </c>
      <c r="AQ68" s="201"/>
      <c r="AS68" s="212" t="e">
        <v>#REF!</v>
      </c>
      <c r="AT68" s="212" t="e">
        <v>#REF!</v>
      </c>
      <c r="AU68" s="212" t="e">
        <v>#REF!</v>
      </c>
      <c r="AV68" s="212"/>
      <c r="AW68" s="212" t="e">
        <v>#REF!</v>
      </c>
      <c r="AX68" s="212">
        <f t="shared" si="10"/>
        <v>0</v>
      </c>
      <c r="BB68" s="212">
        <v>0</v>
      </c>
      <c r="BC68" s="212">
        <v>0</v>
      </c>
      <c r="BD68" s="212">
        <v>0</v>
      </c>
      <c r="BE68" s="212">
        <v>0</v>
      </c>
      <c r="BF68" s="212">
        <v>0</v>
      </c>
      <c r="BG68" s="226">
        <v>0</v>
      </c>
      <c r="BH68" s="226"/>
      <c r="BJ68" s="138" t="s">
        <v>1001</v>
      </c>
      <c r="BK68" s="112"/>
      <c r="BL68" s="58"/>
    </row>
    <row r="69" spans="1:64" ht="39.950000000000003" customHeight="1" x14ac:dyDescent="0.2">
      <c r="A69" s="132" t="s">
        <v>513</v>
      </c>
      <c r="B69" s="132" t="s">
        <v>51</v>
      </c>
      <c r="C69" s="133" t="s">
        <v>88</v>
      </c>
      <c r="D69" s="14" t="s">
        <v>542</v>
      </c>
      <c r="E69" s="145" t="s">
        <v>88</v>
      </c>
      <c r="F69" s="66" t="s">
        <v>106</v>
      </c>
      <c r="G69" s="66" t="s">
        <v>106</v>
      </c>
      <c r="H69" s="66" t="s">
        <v>107</v>
      </c>
      <c r="I69" s="133" t="s">
        <v>61</v>
      </c>
      <c r="J69" s="133" t="s">
        <v>220</v>
      </c>
      <c r="K69" s="14" t="s">
        <v>101</v>
      </c>
      <c r="L69" s="134" t="s">
        <v>191</v>
      </c>
      <c r="M69" s="134" t="s">
        <v>59</v>
      </c>
      <c r="N69" s="132" t="s">
        <v>43</v>
      </c>
      <c r="O69" s="132" t="s">
        <v>533</v>
      </c>
      <c r="P69" s="13" t="s">
        <v>548</v>
      </c>
      <c r="Q69" s="135" t="s">
        <v>59</v>
      </c>
      <c r="R69" s="136" t="e">
        <f>3000/EUR</f>
        <v>#REF!</v>
      </c>
      <c r="S69" s="62">
        <v>3000</v>
      </c>
      <c r="T69" s="136" t="e">
        <f>3000/EUR</f>
        <v>#REF!</v>
      </c>
      <c r="U69" s="136" t="e">
        <f>20000/EUR</f>
        <v>#REF!</v>
      </c>
      <c r="V69" s="136" t="e">
        <f>115993/EUR</f>
        <v>#REF!</v>
      </c>
      <c r="W69" s="61" t="s">
        <v>11</v>
      </c>
      <c r="X69" s="181">
        <v>0.01</v>
      </c>
      <c r="Y69" s="137">
        <v>44159</v>
      </c>
      <c r="Z69" s="137">
        <v>45792</v>
      </c>
      <c r="AA69" s="137">
        <v>45792</v>
      </c>
      <c r="AB69" s="138">
        <f t="shared" si="3"/>
        <v>1634</v>
      </c>
      <c r="AC69" s="139" t="e">
        <f t="shared" si="8"/>
        <v>#REF!</v>
      </c>
      <c r="AD69" s="138" t="e">
        <f>AA69-#REF!</f>
        <v>#REF!</v>
      </c>
      <c r="AE69" s="140" t="e">
        <f t="shared" si="9"/>
        <v>#REF!</v>
      </c>
      <c r="AF69" s="56"/>
      <c r="AG69" s="141" t="s">
        <v>1</v>
      </c>
      <c r="AH69" s="141" t="s">
        <v>1</v>
      </c>
      <c r="AI69" s="187" t="s">
        <v>0</v>
      </c>
      <c r="AJ69" s="11" t="e">
        <f t="shared" si="11"/>
        <v>#REF!</v>
      </c>
      <c r="AK69" s="144" t="s">
        <v>271</v>
      </c>
      <c r="AL69" s="132" t="s">
        <v>514</v>
      </c>
      <c r="AN69" s="52"/>
      <c r="AO69" s="197" t="str">
        <f>Table12129[[#This Row],[Risk Location ]]</f>
        <v>Belgium</v>
      </c>
      <c r="AP69" s="198" t="str">
        <f>Table12129[[#This Row],[Sector (GICS Industry Group)]]</f>
        <v>Real Estate Management &amp; Development</v>
      </c>
      <c r="AQ69" s="201"/>
      <c r="AS69" s="212" t="e">
        <v>#REF!</v>
      </c>
      <c r="AT69" s="212" t="e">
        <v>#REF!</v>
      </c>
      <c r="AU69" s="212" t="e">
        <v>#REF!</v>
      </c>
      <c r="AV69" s="212"/>
      <c r="AW69" s="212" t="e">
        <v>#REF!</v>
      </c>
      <c r="AX69" s="212">
        <f t="shared" si="10"/>
        <v>0</v>
      </c>
      <c r="BB69" s="212">
        <v>0</v>
      </c>
      <c r="BC69" s="212">
        <v>0</v>
      </c>
      <c r="BD69" s="212">
        <v>0</v>
      </c>
      <c r="BE69" s="212">
        <v>0</v>
      </c>
      <c r="BF69" s="212">
        <v>0</v>
      </c>
      <c r="BG69" s="226">
        <v>0</v>
      </c>
      <c r="BH69" s="226"/>
      <c r="BJ69" s="138" t="s">
        <v>1002</v>
      </c>
      <c r="BK69" s="112"/>
      <c r="BL69" s="58" t="s">
        <v>103</v>
      </c>
    </row>
    <row r="70" spans="1:64" ht="39.950000000000003" customHeight="1" x14ac:dyDescent="0.2">
      <c r="A70" s="132" t="s">
        <v>524</v>
      </c>
      <c r="B70" s="132" t="s">
        <v>24</v>
      </c>
      <c r="C70" s="133" t="s">
        <v>37</v>
      </c>
      <c r="D70" s="14" t="s">
        <v>541</v>
      </c>
      <c r="E70" s="145" t="s">
        <v>152</v>
      </c>
      <c r="F70" s="14" t="s">
        <v>102</v>
      </c>
      <c r="G70" s="14" t="s">
        <v>102</v>
      </c>
      <c r="H70" s="130" t="s">
        <v>473</v>
      </c>
      <c r="I70" s="146" t="s">
        <v>526</v>
      </c>
      <c r="J70" s="133" t="s">
        <v>221</v>
      </c>
      <c r="K70" s="14" t="s">
        <v>101</v>
      </c>
      <c r="L70" s="134" t="s">
        <v>191</v>
      </c>
      <c r="M70" s="134" t="s">
        <v>323</v>
      </c>
      <c r="N70" s="132" t="s">
        <v>43</v>
      </c>
      <c r="O70" s="132" t="s">
        <v>533</v>
      </c>
      <c r="P70" s="65" t="s">
        <v>534</v>
      </c>
      <c r="Q70" s="135" t="s">
        <v>488</v>
      </c>
      <c r="R70" s="136" t="e">
        <f>Table12129[[#This Row],[Amortised Limit in Original Currency]]/JPY</f>
        <v>#REF!</v>
      </c>
      <c r="S70" s="62">
        <v>2600000</v>
      </c>
      <c r="T70" s="136" t="e">
        <f>2600000/JPY</f>
        <v>#REF!</v>
      </c>
      <c r="U70" s="136" t="e">
        <f>7000000/JPY</f>
        <v>#REF!</v>
      </c>
      <c r="V70" s="136" t="e">
        <f>55011388/JPY</f>
        <v>#REF!</v>
      </c>
      <c r="W70" s="147" t="s">
        <v>11</v>
      </c>
      <c r="X70" s="181">
        <v>0.01</v>
      </c>
      <c r="Y70" s="137">
        <v>44166</v>
      </c>
      <c r="Z70" s="137">
        <v>45504</v>
      </c>
      <c r="AA70" s="137">
        <v>45504</v>
      </c>
      <c r="AB70" s="138">
        <f t="shared" si="3"/>
        <v>1339</v>
      </c>
      <c r="AC70" s="139" t="s">
        <v>10</v>
      </c>
      <c r="AD70" s="138" t="e">
        <f>AA70-#REF!</f>
        <v>#REF!</v>
      </c>
      <c r="AE70" s="140" t="e">
        <f t="shared" si="9"/>
        <v>#REF!</v>
      </c>
      <c r="AF70" s="56" t="s">
        <v>436</v>
      </c>
      <c r="AG70" s="141" t="s">
        <v>1</v>
      </c>
      <c r="AH70" s="141" t="s">
        <v>1</v>
      </c>
      <c r="AI70" s="187" t="s">
        <v>0</v>
      </c>
      <c r="AJ70" s="11" t="e">
        <f t="shared" si="11"/>
        <v>#REF!</v>
      </c>
      <c r="AK70" s="164" t="s">
        <v>271</v>
      </c>
      <c r="AL70" s="132" t="s">
        <v>525</v>
      </c>
      <c r="AN70" s="52"/>
      <c r="AO70" s="197" t="str">
        <f>Table12129[[#This Row],[Risk Location ]]</f>
        <v>Japan</v>
      </c>
      <c r="AP70" s="198" t="str">
        <f>Table12129[[#This Row],[Sector (GICS Industry Group)]]</f>
        <v>Real Estate Investment</v>
      </c>
      <c r="AQ70" s="201"/>
      <c r="AS70" s="212" t="e">
        <v>#REF!</v>
      </c>
      <c r="AT70" s="212" t="e">
        <v>#REF!</v>
      </c>
      <c r="AU70" s="212" t="e">
        <v>#REF!</v>
      </c>
      <c r="AV70" s="212"/>
      <c r="AW70" s="212" t="e">
        <v>#REF!</v>
      </c>
      <c r="AX70" s="212">
        <f t="shared" si="10"/>
        <v>0</v>
      </c>
      <c r="BB70" s="212">
        <v>0</v>
      </c>
      <c r="BC70" s="212">
        <v>0</v>
      </c>
      <c r="BD70" s="212">
        <v>0</v>
      </c>
      <c r="BE70" s="212">
        <v>0</v>
      </c>
      <c r="BF70" s="212">
        <v>0</v>
      </c>
      <c r="BG70" s="226">
        <v>0</v>
      </c>
      <c r="BH70" s="226"/>
      <c r="BJ70" s="138" t="s">
        <v>1003</v>
      </c>
      <c r="BK70" s="112"/>
      <c r="BL70" s="58"/>
    </row>
    <row r="71" spans="1:64" ht="39.950000000000003" customHeight="1" x14ac:dyDescent="0.2">
      <c r="A71" s="131" t="s">
        <v>155</v>
      </c>
      <c r="B71" s="132" t="s">
        <v>51</v>
      </c>
      <c r="C71" s="133" t="s">
        <v>87</v>
      </c>
      <c r="D71" s="14" t="s">
        <v>542</v>
      </c>
      <c r="E71" s="145" t="s">
        <v>87</v>
      </c>
      <c r="F71" s="14" t="s">
        <v>102</v>
      </c>
      <c r="G71" s="14" t="s">
        <v>102</v>
      </c>
      <c r="H71" s="66" t="s">
        <v>122</v>
      </c>
      <c r="I71" s="133" t="s">
        <v>705</v>
      </c>
      <c r="J71" s="133" t="s">
        <v>220</v>
      </c>
      <c r="K71" s="66" t="s">
        <v>101</v>
      </c>
      <c r="L71" s="134" t="s">
        <v>191</v>
      </c>
      <c r="M71" s="134" t="s">
        <v>59</v>
      </c>
      <c r="N71" s="132" t="s">
        <v>43</v>
      </c>
      <c r="O71" s="132" t="s">
        <v>533</v>
      </c>
      <c r="P71" s="65" t="s">
        <v>534</v>
      </c>
      <c r="Q71" s="135" t="s">
        <v>156</v>
      </c>
      <c r="R71" s="136" t="e">
        <f>5000/GBP</f>
        <v>#REF!</v>
      </c>
      <c r="S71" s="62">
        <v>5000</v>
      </c>
      <c r="T71" s="136" t="e">
        <f>S71/GBP</f>
        <v>#REF!</v>
      </c>
      <c r="U71" s="136" t="e">
        <f>36000/GBP</f>
        <v>#REF!</v>
      </c>
      <c r="V71" s="136" t="e">
        <f>196370/GBP+42000/GBP</f>
        <v>#REF!</v>
      </c>
      <c r="W71" s="147" t="s">
        <v>11</v>
      </c>
      <c r="X71" s="181">
        <v>1.7999999999999999E-2</v>
      </c>
      <c r="Y71" s="137">
        <v>44211</v>
      </c>
      <c r="Z71" s="137">
        <v>46029</v>
      </c>
      <c r="AA71" s="137">
        <v>46029</v>
      </c>
      <c r="AB71" s="138">
        <f t="shared" si="3"/>
        <v>1819</v>
      </c>
      <c r="AC71" s="172" t="e">
        <f>IF(AA71-$A$1&gt;60,"No","Yes")</f>
        <v>#REF!</v>
      </c>
      <c r="AD71" s="138" t="e">
        <f>AA71-#REF!</f>
        <v>#REF!</v>
      </c>
      <c r="AE71" s="140" t="e">
        <f t="shared" si="9"/>
        <v>#REF!</v>
      </c>
      <c r="AF71" s="56"/>
      <c r="AG71" s="162" t="s">
        <v>1</v>
      </c>
      <c r="AH71" s="162" t="s">
        <v>1</v>
      </c>
      <c r="AI71" s="187" t="s">
        <v>0</v>
      </c>
      <c r="AJ71" s="11" t="e">
        <f t="shared" si="11"/>
        <v>#REF!</v>
      </c>
      <c r="AK71" s="164" t="s">
        <v>271</v>
      </c>
      <c r="AL71" s="131" t="s">
        <v>348</v>
      </c>
      <c r="AM71" s="11">
        <v>6807.5</v>
      </c>
      <c r="AO71" s="197" t="str">
        <f>Table12129[[#This Row],[Risk Location ]]</f>
        <v>United Kingdom</v>
      </c>
      <c r="AP71" s="198" t="str">
        <f>Table12129[[#This Row],[Sector (GICS Industry Group)]]</f>
        <v>Real Estate Investment</v>
      </c>
      <c r="AS71" s="212" t="e">
        <v>#REF!</v>
      </c>
      <c r="AT71" s="212" t="e">
        <v>#REF!</v>
      </c>
      <c r="AU71" s="212" t="e">
        <v>#REF!</v>
      </c>
      <c r="AV71" s="212"/>
      <c r="AW71" s="212" t="e">
        <v>#REF!</v>
      </c>
      <c r="AX71" s="212">
        <f t="shared" si="10"/>
        <v>0</v>
      </c>
      <c r="BB71" s="212">
        <v>0</v>
      </c>
      <c r="BC71" s="212">
        <v>0</v>
      </c>
      <c r="BD71" s="212">
        <v>0</v>
      </c>
      <c r="BE71" s="212">
        <v>0</v>
      </c>
      <c r="BF71" s="212">
        <v>0</v>
      </c>
      <c r="BG71" s="226">
        <v>0</v>
      </c>
      <c r="BH71" s="226"/>
      <c r="BJ71" s="138" t="s">
        <v>1004</v>
      </c>
      <c r="BK71" s="112"/>
      <c r="BL71" s="58"/>
    </row>
    <row r="72" spans="1:64" ht="39.950000000000003" customHeight="1" x14ac:dyDescent="0.2">
      <c r="A72" s="132" t="s">
        <v>528</v>
      </c>
      <c r="B72" s="132" t="s">
        <v>24</v>
      </c>
      <c r="C72" s="133" t="s">
        <v>34</v>
      </c>
      <c r="D72" s="14" t="s">
        <v>34</v>
      </c>
      <c r="E72" s="161" t="s">
        <v>34</v>
      </c>
      <c r="F72" s="14" t="s">
        <v>102</v>
      </c>
      <c r="G72" s="14" t="s">
        <v>102</v>
      </c>
      <c r="H72" s="130" t="s">
        <v>103</v>
      </c>
      <c r="I72" s="66" t="s">
        <v>70</v>
      </c>
      <c r="J72" s="66" t="s">
        <v>218</v>
      </c>
      <c r="K72" s="13" t="s">
        <v>101</v>
      </c>
      <c r="L72" s="65" t="s">
        <v>191</v>
      </c>
      <c r="M72" s="65" t="s">
        <v>323</v>
      </c>
      <c r="N72" s="13" t="s">
        <v>43</v>
      </c>
      <c r="O72" s="13" t="s">
        <v>533</v>
      </c>
      <c r="P72" s="65" t="s">
        <v>534</v>
      </c>
      <c r="Q72" s="64" t="s">
        <v>8</v>
      </c>
      <c r="R72" s="136">
        <v>30000</v>
      </c>
      <c r="S72" s="62">
        <v>29059.561000000002</v>
      </c>
      <c r="T72" s="136">
        <f>+Table12129[[#This Row],[Amortised Limit in Original Currency]]</f>
        <v>29059.561000000002</v>
      </c>
      <c r="U72" s="136">
        <v>319000</v>
      </c>
      <c r="V72" s="136">
        <f>1021098+1077911.86</f>
        <v>2099009.8600000003</v>
      </c>
      <c r="W72" s="61" t="s">
        <v>11</v>
      </c>
      <c r="X72" s="181">
        <v>3.15E-2</v>
      </c>
      <c r="Y72" s="137">
        <v>44218</v>
      </c>
      <c r="Z72" s="137">
        <v>45693</v>
      </c>
      <c r="AA72" s="137">
        <v>45693</v>
      </c>
      <c r="AB72" s="58">
        <f t="shared" ref="AB72:AB74" si="12">AA72-Y72+1</f>
        <v>1476</v>
      </c>
      <c r="AC72" s="59" t="e">
        <f>IF(AA72-$A$1&gt;60,"No","Yes")</f>
        <v>#REF!</v>
      </c>
      <c r="AD72" s="138" t="e">
        <f>AA72-#REF!</f>
        <v>#REF!</v>
      </c>
      <c r="AE72" s="140" t="e">
        <f t="shared" si="9"/>
        <v>#REF!</v>
      </c>
      <c r="AF72" s="56" t="s">
        <v>436</v>
      </c>
      <c r="AG72" s="141" t="s">
        <v>1</v>
      </c>
      <c r="AH72" s="141" t="s">
        <v>1</v>
      </c>
      <c r="AI72" s="142" t="s">
        <v>764</v>
      </c>
      <c r="AJ72" s="11" t="e">
        <f t="shared" si="11"/>
        <v>#REF!</v>
      </c>
      <c r="AK72" s="164" t="s">
        <v>271</v>
      </c>
      <c r="AL72" s="132" t="s">
        <v>529</v>
      </c>
      <c r="AN72" s="52"/>
      <c r="AO72" s="197" t="str">
        <f>Table12129[[#This Row],[Risk Location ]]</f>
        <v>Australia</v>
      </c>
      <c r="AP72" s="198" t="str">
        <f>Table12129[[#This Row],[Sector (GICS Industry Group)]]</f>
        <v>Real Estate Investment</v>
      </c>
      <c r="AQ72" s="201"/>
      <c r="AS72" s="212" t="e">
        <v>#REF!</v>
      </c>
      <c r="AT72" s="212" t="e">
        <v>#REF!</v>
      </c>
      <c r="AU72" s="212" t="e">
        <v>#REF!</v>
      </c>
      <c r="AV72" s="212"/>
      <c r="AW72" s="212" t="e">
        <v>#REF!</v>
      </c>
      <c r="AX72" s="212">
        <f t="shared" si="10"/>
        <v>0</v>
      </c>
      <c r="BB72" s="212">
        <v>0</v>
      </c>
      <c r="BC72" s="212">
        <v>0</v>
      </c>
      <c r="BD72" s="212">
        <v>0</v>
      </c>
      <c r="BE72" s="212">
        <v>0</v>
      </c>
      <c r="BF72" s="212">
        <v>0</v>
      </c>
      <c r="BG72" s="226">
        <v>0</v>
      </c>
      <c r="BH72" s="226"/>
      <c r="BJ72" s="138" t="s">
        <v>911</v>
      </c>
      <c r="BK72" s="112"/>
      <c r="BL72" s="58"/>
    </row>
    <row r="73" spans="1:64" ht="39.950000000000003" customHeight="1" x14ac:dyDescent="0.2">
      <c r="A73" s="131" t="s">
        <v>554</v>
      </c>
      <c r="B73" s="132" t="s">
        <v>51</v>
      </c>
      <c r="C73" s="133" t="s">
        <v>88</v>
      </c>
      <c r="D73" s="14" t="s">
        <v>542</v>
      </c>
      <c r="E73" s="133" t="s">
        <v>88</v>
      </c>
      <c r="F73" s="14" t="s">
        <v>102</v>
      </c>
      <c r="G73" s="14" t="s">
        <v>102</v>
      </c>
      <c r="H73" s="14" t="s">
        <v>474</v>
      </c>
      <c r="I73" s="133" t="s">
        <v>555</v>
      </c>
      <c r="J73" s="133" t="s">
        <v>220</v>
      </c>
      <c r="K73" s="14" t="s">
        <v>101</v>
      </c>
      <c r="L73" s="134" t="s">
        <v>191</v>
      </c>
      <c r="M73" s="134" t="s">
        <v>59</v>
      </c>
      <c r="N73" s="132" t="s">
        <v>43</v>
      </c>
      <c r="O73" s="132" t="s">
        <v>533</v>
      </c>
      <c r="P73" s="13" t="s">
        <v>548</v>
      </c>
      <c r="Q73" s="135" t="s">
        <v>59</v>
      </c>
      <c r="R73" s="136" t="e">
        <f>10000/EUR</f>
        <v>#REF!</v>
      </c>
      <c r="S73" s="62">
        <f>10000</f>
        <v>10000</v>
      </c>
      <c r="T73" s="136" t="e">
        <f>Table12129[[#This Row],[Original Limit (A$)]]</f>
        <v>#REF!</v>
      </c>
      <c r="U73" s="136">
        <f>25000</f>
        <v>25000</v>
      </c>
      <c r="V73" s="136" t="e">
        <f>264662.5/EUR</f>
        <v>#REF!</v>
      </c>
      <c r="W73" s="147" t="s">
        <v>11</v>
      </c>
      <c r="X73" s="181">
        <v>1.35E-2</v>
      </c>
      <c r="Y73" s="137">
        <v>44225</v>
      </c>
      <c r="Z73" s="137">
        <v>45337</v>
      </c>
      <c r="AA73" s="137">
        <f>Table12129[[#This Row],[Expiry Date]]</f>
        <v>45337</v>
      </c>
      <c r="AB73" s="138">
        <f t="shared" si="12"/>
        <v>1113</v>
      </c>
      <c r="AC73" s="139" t="e">
        <f>IF(AA73-$A$1&gt;60,"No","Yes")</f>
        <v>#REF!</v>
      </c>
      <c r="AD73" s="138" t="e">
        <f>AA73-#REF!</f>
        <v>#REF!</v>
      </c>
      <c r="AE73" s="140" t="e">
        <f t="shared" si="9"/>
        <v>#REF!</v>
      </c>
      <c r="AF73" s="56"/>
      <c r="AG73" s="162" t="s">
        <v>1</v>
      </c>
      <c r="AH73" s="162" t="s">
        <v>1</v>
      </c>
      <c r="AI73" s="187" t="s">
        <v>0</v>
      </c>
      <c r="AJ73" s="11" t="e">
        <f t="shared" si="11"/>
        <v>#REF!</v>
      </c>
      <c r="AK73" s="164" t="s">
        <v>271</v>
      </c>
      <c r="AL73" s="131" t="s">
        <v>556</v>
      </c>
      <c r="AO73" s="197" t="str">
        <f>Table12129[[#This Row],[Risk Location ]]</f>
        <v>Belgium</v>
      </c>
      <c r="AP73" s="198" t="str">
        <f>Table12129[[#This Row],[Sector (GICS Industry Group)]]</f>
        <v>Real Estate Investment</v>
      </c>
      <c r="AS73" s="212" t="e">
        <v>#REF!</v>
      </c>
      <c r="AT73" s="212" t="e">
        <v>#REF!</v>
      </c>
      <c r="AU73" s="212" t="e">
        <v>#REF!</v>
      </c>
      <c r="AV73" s="212"/>
      <c r="AW73" s="212" t="e">
        <v>#REF!</v>
      </c>
      <c r="AX73" s="212">
        <f t="shared" si="10"/>
        <v>0</v>
      </c>
      <c r="BB73" s="212">
        <v>0</v>
      </c>
      <c r="BC73" s="212">
        <v>0</v>
      </c>
      <c r="BD73" s="212">
        <v>0</v>
      </c>
      <c r="BE73" s="212">
        <v>0</v>
      </c>
      <c r="BF73" s="212">
        <v>0</v>
      </c>
      <c r="BG73" s="226">
        <v>0</v>
      </c>
      <c r="BH73" s="226"/>
      <c r="BJ73" s="138" t="s">
        <v>1005</v>
      </c>
      <c r="BK73" s="112"/>
      <c r="BL73" s="58"/>
    </row>
    <row r="74" spans="1:64" s="229" customFormat="1" ht="39.950000000000003" customHeight="1" x14ac:dyDescent="0.2">
      <c r="A74" s="131" t="s">
        <v>557</v>
      </c>
      <c r="B74" s="132" t="s">
        <v>51</v>
      </c>
      <c r="C74" s="133" t="s">
        <v>89</v>
      </c>
      <c r="D74" s="131" t="s">
        <v>542</v>
      </c>
      <c r="E74" s="161" t="s">
        <v>89</v>
      </c>
      <c r="F74" s="131" t="s">
        <v>547</v>
      </c>
      <c r="G74" s="131" t="s">
        <v>124</v>
      </c>
      <c r="H74" s="145" t="s">
        <v>123</v>
      </c>
      <c r="I74" s="133" t="s">
        <v>220</v>
      </c>
      <c r="J74" s="133" t="s">
        <v>220</v>
      </c>
      <c r="K74" s="131" t="s">
        <v>29</v>
      </c>
      <c r="L74" s="134" t="s">
        <v>191</v>
      </c>
      <c r="M74" s="134" t="s">
        <v>59</v>
      </c>
      <c r="N74" s="132" t="s">
        <v>43</v>
      </c>
      <c r="O74" s="167" t="s">
        <v>538</v>
      </c>
      <c r="P74" s="270" t="s">
        <v>534</v>
      </c>
      <c r="Q74" s="135" t="s">
        <v>59</v>
      </c>
      <c r="R74" s="136" t="e">
        <f>10000/EUR</f>
        <v>#REF!</v>
      </c>
      <c r="S74" s="62">
        <v>6667</v>
      </c>
      <c r="T74" s="136" t="e">
        <f>Table12129[[#This Row],[Amortised Limit in Original Currency]]/EUR</f>
        <v>#REF!</v>
      </c>
      <c r="U74" s="136" t="e">
        <f>55700/EUR</f>
        <v>#REF!</v>
      </c>
      <c r="V74" s="136" t="e">
        <f>234266.96/EUR</f>
        <v>#REF!</v>
      </c>
      <c r="W74" s="147" t="s">
        <v>11</v>
      </c>
      <c r="X74" s="181">
        <v>1.2999999999999999E-2</v>
      </c>
      <c r="Y74" s="137">
        <v>44236</v>
      </c>
      <c r="Z74" s="137">
        <v>46021</v>
      </c>
      <c r="AA74" s="137">
        <v>46053</v>
      </c>
      <c r="AB74" s="138">
        <f t="shared" si="12"/>
        <v>1818</v>
      </c>
      <c r="AC74" s="139" t="e">
        <f>IF(AA74-$A$1&gt;60,"No","Yes")</f>
        <v>#REF!</v>
      </c>
      <c r="AD74" s="138" t="e">
        <f>AA74-#REF!</f>
        <v>#REF!</v>
      </c>
      <c r="AE74" s="140" t="e">
        <f t="shared" si="9"/>
        <v>#REF!</v>
      </c>
      <c r="AF74" s="274"/>
      <c r="AG74" s="162" t="s">
        <v>1</v>
      </c>
      <c r="AH74" s="162" t="s">
        <v>1</v>
      </c>
      <c r="AI74" s="187" t="s">
        <v>1118</v>
      </c>
      <c r="AJ74" s="229" t="e">
        <f t="shared" si="11"/>
        <v>#REF!</v>
      </c>
      <c r="AK74" s="164" t="s">
        <v>271</v>
      </c>
      <c r="AL74" s="131" t="s">
        <v>558</v>
      </c>
      <c r="AO74" s="197" t="str">
        <f>Table12129[[#This Row],[Risk Location ]]</f>
        <v>Netherlands</v>
      </c>
      <c r="AP74" s="198" t="str">
        <f>Table12129[[#This Row],[Sector (GICS Industry Group)]]</f>
        <v>Consumer Staples</v>
      </c>
      <c r="AS74" s="212" t="e">
        <v>#REF!</v>
      </c>
      <c r="AT74" s="212" t="e">
        <v>#REF!</v>
      </c>
      <c r="AU74" s="212" t="e">
        <v>#REF!</v>
      </c>
      <c r="AV74" s="278"/>
      <c r="AW74" s="212" t="e">
        <v>#REF!</v>
      </c>
      <c r="AX74" s="212">
        <f t="shared" si="10"/>
        <v>0</v>
      </c>
      <c r="BB74" s="278">
        <v>0</v>
      </c>
      <c r="BC74" s="278">
        <v>0</v>
      </c>
      <c r="BD74" s="278">
        <v>0</v>
      </c>
      <c r="BE74" s="278">
        <v>0</v>
      </c>
      <c r="BF74" s="278">
        <v>0</v>
      </c>
      <c r="BG74" s="226">
        <v>0</v>
      </c>
      <c r="BH74" s="226"/>
      <c r="BJ74" s="138" t="s">
        <v>1006</v>
      </c>
      <c r="BK74" s="276"/>
      <c r="BL74" s="272"/>
    </row>
    <row r="75" spans="1:64" ht="39.950000000000003" customHeight="1" x14ac:dyDescent="0.2">
      <c r="A75" s="131" t="s">
        <v>559</v>
      </c>
      <c r="B75" s="132" t="s">
        <v>243</v>
      </c>
      <c r="C75" s="133" t="s">
        <v>560</v>
      </c>
      <c r="D75" s="131" t="s">
        <v>499</v>
      </c>
      <c r="E75" s="161" t="s">
        <v>162</v>
      </c>
      <c r="F75" s="131" t="s">
        <v>48</v>
      </c>
      <c r="G75" s="131" t="s">
        <v>120</v>
      </c>
      <c r="H75" s="66" t="s">
        <v>121</v>
      </c>
      <c r="I75" s="133" t="s">
        <v>561</v>
      </c>
      <c r="J75" s="133" t="s">
        <v>220</v>
      </c>
      <c r="K75" s="14" t="s">
        <v>29</v>
      </c>
      <c r="L75" s="134" t="s">
        <v>191</v>
      </c>
      <c r="M75" s="134" t="s">
        <v>59</v>
      </c>
      <c r="N75" s="132" t="s">
        <v>43</v>
      </c>
      <c r="O75" s="167" t="s">
        <v>533</v>
      </c>
      <c r="P75" s="65" t="s">
        <v>534</v>
      </c>
      <c r="Q75" s="135" t="s">
        <v>9</v>
      </c>
      <c r="R75" s="136" t="e">
        <f>10000/USD</f>
        <v>#REF!</v>
      </c>
      <c r="S75" s="62">
        <f>9250+4154.32</f>
        <v>13404.32</v>
      </c>
      <c r="T75" s="136" t="e">
        <f>Table12129[[#This Row],[Amortised Limit in Original Currency]]/USD</f>
        <v>#REF!</v>
      </c>
      <c r="U75" s="136" t="e">
        <f>(61000+20257)/USD</f>
        <v>#REF!</v>
      </c>
      <c r="V75" s="136" t="e">
        <f>1241766.56/USD</f>
        <v>#REF!</v>
      </c>
      <c r="W75" s="147" t="s">
        <v>11</v>
      </c>
      <c r="X75" s="181">
        <v>3.5000000000000003E-2</v>
      </c>
      <c r="Y75" s="137">
        <v>44246</v>
      </c>
      <c r="Z75" s="137">
        <v>46079</v>
      </c>
      <c r="AA75" s="137">
        <v>46079</v>
      </c>
      <c r="AB75" s="138">
        <f>AA75-Y75+1</f>
        <v>1834</v>
      </c>
      <c r="AC75" s="139" t="e">
        <f>IF(AA75-$A$1&gt;60,"No","Yes")</f>
        <v>#REF!</v>
      </c>
      <c r="AD75" s="138" t="e">
        <f>AA75-#REF!</f>
        <v>#REF!</v>
      </c>
      <c r="AE75" s="140" t="e">
        <f>AD75/365</f>
        <v>#REF!</v>
      </c>
      <c r="AF75" s="56"/>
      <c r="AG75" s="162" t="s">
        <v>1</v>
      </c>
      <c r="AH75" s="162" t="s">
        <v>1</v>
      </c>
      <c r="AI75" s="187" t="s">
        <v>784</v>
      </c>
      <c r="AJ75" s="11" t="e">
        <f t="shared" si="11"/>
        <v>#REF!</v>
      </c>
      <c r="AK75" s="164" t="s">
        <v>271</v>
      </c>
      <c r="AL75" s="131" t="s">
        <v>562</v>
      </c>
      <c r="AO75" s="197" t="str">
        <f>Table12129[[#This Row],[Risk Location ]]</f>
        <v>United States</v>
      </c>
      <c r="AP75" s="198" t="str">
        <f>Table12129[[#This Row],[Sector (GICS Industry Group)]]</f>
        <v>Energy</v>
      </c>
      <c r="AS75" s="212" t="e">
        <v>#REF!</v>
      </c>
      <c r="AT75" s="212" t="e">
        <v>#REF!</v>
      </c>
      <c r="AU75" s="212" t="e">
        <v>#REF!</v>
      </c>
      <c r="AV75" s="212"/>
      <c r="AW75" s="212" t="e">
        <v>#REF!</v>
      </c>
      <c r="AX75" s="212">
        <f t="shared" si="10"/>
        <v>0</v>
      </c>
      <c r="BB75" s="212">
        <v>0</v>
      </c>
      <c r="BC75" s="212">
        <v>0</v>
      </c>
      <c r="BD75" s="212">
        <v>0</v>
      </c>
      <c r="BE75" s="212">
        <v>0</v>
      </c>
      <c r="BF75" s="212">
        <v>0</v>
      </c>
      <c r="BG75" s="226">
        <v>0</v>
      </c>
      <c r="BH75" s="226"/>
      <c r="BJ75" s="138" t="s">
        <v>1007</v>
      </c>
      <c r="BK75" s="112"/>
      <c r="BL75" s="58"/>
    </row>
    <row r="76" spans="1:64" ht="39.950000000000003" customHeight="1" x14ac:dyDescent="0.2">
      <c r="A76" s="131" t="s">
        <v>566</v>
      </c>
      <c r="B76" s="132" t="s">
        <v>23</v>
      </c>
      <c r="C76" s="133" t="s">
        <v>88</v>
      </c>
      <c r="D76" s="131" t="s">
        <v>542</v>
      </c>
      <c r="E76" s="161" t="s">
        <v>166</v>
      </c>
      <c r="F76" s="131" t="s">
        <v>92</v>
      </c>
      <c r="G76" s="131" t="s">
        <v>134</v>
      </c>
      <c r="H76" s="66" t="s">
        <v>134</v>
      </c>
      <c r="I76" s="133" t="s">
        <v>61</v>
      </c>
      <c r="J76" s="133" t="s">
        <v>220</v>
      </c>
      <c r="K76" s="14" t="s">
        <v>68</v>
      </c>
      <c r="L76" s="134" t="s">
        <v>191</v>
      </c>
      <c r="M76" s="134" t="s">
        <v>59</v>
      </c>
      <c r="N76" s="132" t="s">
        <v>43</v>
      </c>
      <c r="O76" s="167" t="s">
        <v>538</v>
      </c>
      <c r="P76" s="167" t="s">
        <v>548</v>
      </c>
      <c r="Q76" s="135" t="s">
        <v>9</v>
      </c>
      <c r="R76" s="136" t="e">
        <f>5000/USD</f>
        <v>#REF!</v>
      </c>
      <c r="S76" s="62">
        <f>5000</f>
        <v>5000</v>
      </c>
      <c r="T76" s="136" t="e">
        <f>Table12129[[#This Row],[Original Limit (A$)]]</f>
        <v>#REF!</v>
      </c>
      <c r="U76" s="136" t="e">
        <f>95000/USD</f>
        <v>#REF!</v>
      </c>
      <c r="V76" s="136" t="e">
        <f>116302.02/USD+50000/USD</f>
        <v>#REF!</v>
      </c>
      <c r="W76" s="147" t="s">
        <v>11</v>
      </c>
      <c r="X76" s="181">
        <v>3.4000000000000002E-2</v>
      </c>
      <c r="Y76" s="137">
        <v>44274</v>
      </c>
      <c r="Z76" s="137">
        <v>45545</v>
      </c>
      <c r="AA76" s="137">
        <v>45545</v>
      </c>
      <c r="AB76" s="175">
        <f>AA76-Y76+1</f>
        <v>1272</v>
      </c>
      <c r="AC76" s="176" t="e">
        <f t="shared" ref="AC76:AC85" si="13">IF(AA76-$A$1&gt;60,"No","Yes")</f>
        <v>#REF!</v>
      </c>
      <c r="AD76" s="175" t="e">
        <f>AA76-#REF!</f>
        <v>#REF!</v>
      </c>
      <c r="AE76" s="177" t="e">
        <f>AD76/365</f>
        <v>#REF!</v>
      </c>
      <c r="AF76" s="173"/>
      <c r="AG76" s="178" t="s">
        <v>1</v>
      </c>
      <c r="AH76" s="178" t="s">
        <v>1</v>
      </c>
      <c r="AI76" s="187" t="s">
        <v>0</v>
      </c>
      <c r="AJ76" s="11" t="e">
        <f t="shared" si="11"/>
        <v>#REF!</v>
      </c>
      <c r="AK76" s="164" t="s">
        <v>271</v>
      </c>
      <c r="AL76" s="168" t="s">
        <v>567</v>
      </c>
      <c r="AM76" s="11">
        <v>6000</v>
      </c>
      <c r="AO76" s="197" t="str">
        <f>Table12129[[#This Row],[Risk Location ]]</f>
        <v>France</v>
      </c>
      <c r="AP76" s="198" t="str">
        <f>Table12129[[#This Row],[Sector (GICS Industry Group)]]</f>
        <v>Transportation</v>
      </c>
      <c r="AS76" s="212" t="e">
        <v>#REF!</v>
      </c>
      <c r="AT76" s="212" t="e">
        <v>#REF!</v>
      </c>
      <c r="AU76" s="212" t="e">
        <v>#REF!</v>
      </c>
      <c r="AV76" s="212"/>
      <c r="AW76" s="212" t="e">
        <v>#REF!</v>
      </c>
      <c r="AX76" s="212">
        <f t="shared" si="10"/>
        <v>0</v>
      </c>
      <c r="BB76" s="212">
        <v>0</v>
      </c>
      <c r="BC76" s="212">
        <v>0</v>
      </c>
      <c r="BD76" s="212">
        <v>0</v>
      </c>
      <c r="BE76" s="212">
        <v>0</v>
      </c>
      <c r="BF76" s="212">
        <v>0</v>
      </c>
      <c r="BG76" s="226">
        <v>0</v>
      </c>
      <c r="BH76" s="226"/>
      <c r="BJ76" s="175" t="s">
        <v>936</v>
      </c>
      <c r="BK76" s="112"/>
      <c r="BL76" s="58"/>
    </row>
    <row r="77" spans="1:64" ht="39.950000000000003" customHeight="1" x14ac:dyDescent="0.2">
      <c r="A77" s="131" t="s">
        <v>575</v>
      </c>
      <c r="B77" s="132" t="s">
        <v>23</v>
      </c>
      <c r="C77" s="133" t="s">
        <v>37</v>
      </c>
      <c r="D77" s="14" t="s">
        <v>540</v>
      </c>
      <c r="E77" s="161" t="s">
        <v>36</v>
      </c>
      <c r="F77" s="131" t="s">
        <v>104</v>
      </c>
      <c r="G77" s="14" t="s">
        <v>111</v>
      </c>
      <c r="H77" s="66" t="s">
        <v>135</v>
      </c>
      <c r="I77" s="133" t="s">
        <v>77</v>
      </c>
      <c r="J77" s="133" t="s">
        <v>220</v>
      </c>
      <c r="K77" s="14" t="s">
        <v>29</v>
      </c>
      <c r="L77" s="134" t="s">
        <v>191</v>
      </c>
      <c r="M77" s="134" t="s">
        <v>323</v>
      </c>
      <c r="N77" s="132" t="s">
        <v>43</v>
      </c>
      <c r="O77" s="167" t="s">
        <v>531</v>
      </c>
      <c r="P77" s="167" t="s">
        <v>548</v>
      </c>
      <c r="Q77" s="135" t="s">
        <v>9</v>
      </c>
      <c r="R77" s="136" t="e">
        <f>11000/USD</f>
        <v>#REF!</v>
      </c>
      <c r="S77" s="62">
        <v>4000</v>
      </c>
      <c r="T77" s="136" t="e">
        <f>Table12129[[#This Row],[Amortised Limit in Original Currency]]/USD</f>
        <v>#REF!</v>
      </c>
      <c r="U77" s="136" t="e">
        <f>50000/USD</f>
        <v>#REF!</v>
      </c>
      <c r="V77" s="136" t="e">
        <f>674902/USD</f>
        <v>#REF!</v>
      </c>
      <c r="W77" s="147" t="s">
        <v>11</v>
      </c>
      <c r="X77" s="181">
        <v>3.7999999999999999E-2</v>
      </c>
      <c r="Y77" s="137">
        <v>44285</v>
      </c>
      <c r="Z77" s="137">
        <v>45413</v>
      </c>
      <c r="AA77" s="174">
        <v>45413</v>
      </c>
      <c r="AB77" s="175">
        <f t="shared" ref="AB77:AB85" si="14">AA77-Y77+1</f>
        <v>1129</v>
      </c>
      <c r="AC77" s="176" t="e">
        <f t="shared" si="13"/>
        <v>#REF!</v>
      </c>
      <c r="AD77" s="175" t="e">
        <f>AA77-#REF!</f>
        <v>#REF!</v>
      </c>
      <c r="AE77" s="177" t="e">
        <f>AD77/365</f>
        <v>#REF!</v>
      </c>
      <c r="AF77" s="173"/>
      <c r="AG77" s="178" t="s">
        <v>1</v>
      </c>
      <c r="AH77" s="178" t="s">
        <v>1</v>
      </c>
      <c r="AI77" s="179" t="s">
        <v>817</v>
      </c>
      <c r="AJ77" s="11" t="e">
        <f t="shared" si="11"/>
        <v>#REF!</v>
      </c>
      <c r="AK77" s="164" t="s">
        <v>271</v>
      </c>
      <c r="AL77" s="168" t="s">
        <v>576</v>
      </c>
      <c r="AM77" s="11">
        <f>11000+1225</f>
        <v>12225</v>
      </c>
      <c r="AO77" s="197" t="str">
        <f>Table12129[[#This Row],[Risk Location ]]</f>
        <v>China</v>
      </c>
      <c r="AP77" s="198" t="str">
        <f>Table12129[[#This Row],[Sector (GICS Industry Group)]]</f>
        <v>Materials</v>
      </c>
      <c r="AS77" s="212" t="e">
        <v>#REF!</v>
      </c>
      <c r="AT77" s="212" t="e">
        <v>#REF!</v>
      </c>
      <c r="AU77" s="212" t="e">
        <v>#REF!</v>
      </c>
      <c r="AV77" s="212"/>
      <c r="AW77" s="212" t="e">
        <v>#REF!</v>
      </c>
      <c r="AX77" s="212">
        <f t="shared" si="10"/>
        <v>0</v>
      </c>
      <c r="BB77" s="212">
        <v>0</v>
      </c>
      <c r="BC77" s="212">
        <v>0</v>
      </c>
      <c r="BD77" s="212">
        <v>0</v>
      </c>
      <c r="BE77" s="212">
        <v>0</v>
      </c>
      <c r="BF77" s="212">
        <v>0</v>
      </c>
      <c r="BG77" s="226">
        <v>0</v>
      </c>
      <c r="BH77" s="226"/>
      <c r="BJ77" s="175" t="s">
        <v>982</v>
      </c>
      <c r="BK77" s="112"/>
      <c r="BL77" s="58"/>
    </row>
    <row r="78" spans="1:64" ht="39.950000000000003" customHeight="1" x14ac:dyDescent="0.2">
      <c r="A78" s="131" t="s">
        <v>578</v>
      </c>
      <c r="B78" s="132" t="s">
        <v>23</v>
      </c>
      <c r="C78" s="133" t="s">
        <v>149</v>
      </c>
      <c r="D78" s="131" t="s">
        <v>496</v>
      </c>
      <c r="E78" s="161" t="s">
        <v>125</v>
      </c>
      <c r="F78" s="131" t="s">
        <v>104</v>
      </c>
      <c r="G78" s="14" t="s">
        <v>111</v>
      </c>
      <c r="H78" s="66" t="s">
        <v>450</v>
      </c>
      <c r="I78" s="133" t="s">
        <v>283</v>
      </c>
      <c r="J78" s="133" t="s">
        <v>148</v>
      </c>
      <c r="K78" s="14" t="s">
        <v>209</v>
      </c>
      <c r="L78" s="134" t="s">
        <v>191</v>
      </c>
      <c r="M78" s="134" t="s">
        <v>59</v>
      </c>
      <c r="N78" s="132" t="s">
        <v>43</v>
      </c>
      <c r="O78" s="167" t="s">
        <v>531</v>
      </c>
      <c r="P78" s="167" t="s">
        <v>548</v>
      </c>
      <c r="Q78" s="135" t="s">
        <v>9</v>
      </c>
      <c r="R78" s="136" t="e">
        <f>15000/USD</f>
        <v>#REF!</v>
      </c>
      <c r="S78" s="62">
        <v>15000</v>
      </c>
      <c r="T78" s="136" t="e">
        <f>Table12129[[#This Row],[Original Limit (A$)]]</f>
        <v>#REF!</v>
      </c>
      <c r="U78" s="136" t="e">
        <f>80000/USD</f>
        <v>#REF!</v>
      </c>
      <c r="V78" s="136" t="e">
        <f>787739.16/USD</f>
        <v>#REF!</v>
      </c>
      <c r="W78" s="147" t="s">
        <v>11</v>
      </c>
      <c r="X78" s="185">
        <v>0.03</v>
      </c>
      <c r="Y78" s="137">
        <v>44328</v>
      </c>
      <c r="Z78" s="137">
        <v>46505</v>
      </c>
      <c r="AA78" s="137">
        <v>46505</v>
      </c>
      <c r="AB78" s="175">
        <f t="shared" si="14"/>
        <v>2178</v>
      </c>
      <c r="AC78" s="176" t="e">
        <f t="shared" si="13"/>
        <v>#REF!</v>
      </c>
      <c r="AD78" s="138" t="e">
        <f>AA78-#REF!</f>
        <v>#REF!</v>
      </c>
      <c r="AE78" s="140" t="e">
        <f t="shared" ref="AE78:AE85" si="15">AD78/365</f>
        <v>#REF!</v>
      </c>
      <c r="AF78" s="184"/>
      <c r="AG78" s="186" t="s">
        <v>1</v>
      </c>
      <c r="AH78" s="186" t="s">
        <v>1</v>
      </c>
      <c r="AI78" s="187" t="s">
        <v>0</v>
      </c>
      <c r="AJ78" s="11" t="e">
        <f t="shared" si="11"/>
        <v>#REF!</v>
      </c>
      <c r="AK78" s="164" t="s">
        <v>271</v>
      </c>
      <c r="AL78" s="188" t="s">
        <v>579</v>
      </c>
      <c r="AO78" s="197" t="str">
        <f>Table12129[[#This Row],[Risk Location ]]</f>
        <v>Turkey</v>
      </c>
      <c r="AP78" s="198" t="str">
        <f>Table12129[[#This Row],[Sector (GICS Industry Group)]]</f>
        <v>Materials</v>
      </c>
      <c r="AS78" s="212" t="e">
        <v>#REF!</v>
      </c>
      <c r="AT78" s="212" t="e">
        <v>#REF!</v>
      </c>
      <c r="AU78" s="212" t="e">
        <v>#REF!</v>
      </c>
      <c r="AV78" s="212"/>
      <c r="AW78" s="212" t="e">
        <v>#REF!</v>
      </c>
      <c r="AX78" s="212">
        <f t="shared" si="10"/>
        <v>0</v>
      </c>
      <c r="BB78" s="212">
        <v>0</v>
      </c>
      <c r="BC78" s="212">
        <v>0</v>
      </c>
      <c r="BD78" s="212">
        <v>0</v>
      </c>
      <c r="BE78" s="212">
        <v>0</v>
      </c>
      <c r="BF78" s="212">
        <v>0</v>
      </c>
      <c r="BG78" s="226">
        <v>0</v>
      </c>
      <c r="BH78" s="226"/>
      <c r="BJ78" s="138" t="s">
        <v>983</v>
      </c>
      <c r="BK78" s="112"/>
      <c r="BL78" s="58"/>
    </row>
    <row r="79" spans="1:64" ht="39.950000000000003" customHeight="1" x14ac:dyDescent="0.2">
      <c r="A79" s="131" t="s">
        <v>586</v>
      </c>
      <c r="B79" s="132" t="s">
        <v>67</v>
      </c>
      <c r="C79" s="133" t="s">
        <v>38</v>
      </c>
      <c r="D79" s="14" t="s">
        <v>540</v>
      </c>
      <c r="E79" s="161" t="s">
        <v>229</v>
      </c>
      <c r="F79" s="14" t="s">
        <v>102</v>
      </c>
      <c r="G79" s="14" t="s">
        <v>102</v>
      </c>
      <c r="H79" s="14" t="s">
        <v>474</v>
      </c>
      <c r="I79" s="133" t="s">
        <v>142</v>
      </c>
      <c r="J79" s="66" t="s">
        <v>218</v>
      </c>
      <c r="K79" s="14" t="s">
        <v>209</v>
      </c>
      <c r="L79" s="134" t="s">
        <v>191</v>
      </c>
      <c r="M79" s="134" t="s">
        <v>323</v>
      </c>
      <c r="N79" s="132" t="s">
        <v>43</v>
      </c>
      <c r="O79" s="167" t="s">
        <v>531</v>
      </c>
      <c r="P79" s="65" t="s">
        <v>534</v>
      </c>
      <c r="Q79" s="135" t="s">
        <v>9</v>
      </c>
      <c r="R79" s="136" t="e">
        <f>7500/USD</f>
        <v>#REF!</v>
      </c>
      <c r="S79" s="62">
        <v>7500</v>
      </c>
      <c r="T79" s="136" t="e">
        <f>Table12129[[#This Row],[Original Limit (A$)]]</f>
        <v>#REF!</v>
      </c>
      <c r="U79" s="136" t="e">
        <f>9375/USD</f>
        <v>#REF!</v>
      </c>
      <c r="V79" s="136" t="e">
        <f>693656.25/USD</f>
        <v>#REF!</v>
      </c>
      <c r="W79" s="147" t="s">
        <v>11</v>
      </c>
      <c r="X79" s="185">
        <v>0.06</v>
      </c>
      <c r="Y79" s="137">
        <v>44349</v>
      </c>
      <c r="Z79" s="137">
        <v>45419</v>
      </c>
      <c r="AA79" s="137">
        <v>45419</v>
      </c>
      <c r="AB79" s="175">
        <f>AA79-Y79+1</f>
        <v>1071</v>
      </c>
      <c r="AC79" s="176" t="e">
        <f t="shared" si="13"/>
        <v>#REF!</v>
      </c>
      <c r="AD79" s="138" t="e">
        <f>AA79-#REF!</f>
        <v>#REF!</v>
      </c>
      <c r="AE79" s="140" t="e">
        <f t="shared" si="15"/>
        <v>#REF!</v>
      </c>
      <c r="AF79" s="184"/>
      <c r="AG79" s="186" t="s">
        <v>1</v>
      </c>
      <c r="AH79" s="186" t="s">
        <v>1</v>
      </c>
      <c r="AI79" s="187" t="s">
        <v>0</v>
      </c>
      <c r="AJ79" s="11" t="e">
        <f t="shared" si="11"/>
        <v>#REF!</v>
      </c>
      <c r="AK79" s="164" t="s">
        <v>271</v>
      </c>
      <c r="AL79" s="188" t="s">
        <v>580</v>
      </c>
      <c r="AO79" s="197" t="str">
        <f>Table12129[[#This Row],[Risk Location ]]</f>
        <v>Vietnam</v>
      </c>
      <c r="AP79" s="198" t="str">
        <f>Table12129[[#This Row],[Sector (GICS Industry Group)]]</f>
        <v>Real Estate Investment</v>
      </c>
      <c r="AS79" s="212" t="e">
        <v>#REF!</v>
      </c>
      <c r="AT79" s="212" t="e">
        <v>#REF!</v>
      </c>
      <c r="AU79" s="212" t="e">
        <v>#REF!</v>
      </c>
      <c r="AV79" s="212"/>
      <c r="AW79" s="212" t="e">
        <v>#REF!</v>
      </c>
      <c r="AX79" s="212">
        <f t="shared" si="10"/>
        <v>0</v>
      </c>
      <c r="BB79" s="212">
        <v>0</v>
      </c>
      <c r="BC79" s="212">
        <v>0</v>
      </c>
      <c r="BD79" s="212">
        <v>0</v>
      </c>
      <c r="BE79" s="212">
        <v>0</v>
      </c>
      <c r="BF79" s="212">
        <v>0</v>
      </c>
      <c r="BG79" s="226">
        <v>0</v>
      </c>
      <c r="BH79" s="226"/>
      <c r="BJ79" s="138" t="s">
        <v>984</v>
      </c>
      <c r="BK79" s="112"/>
      <c r="BL79" s="58"/>
    </row>
    <row r="80" spans="1:64" ht="39.950000000000003" customHeight="1" x14ac:dyDescent="0.2">
      <c r="A80" s="131" t="s">
        <v>587</v>
      </c>
      <c r="B80" s="132" t="s">
        <v>67</v>
      </c>
      <c r="C80" s="133" t="s">
        <v>588</v>
      </c>
      <c r="D80" s="131" t="s">
        <v>499</v>
      </c>
      <c r="E80" s="161" t="s">
        <v>162</v>
      </c>
      <c r="F80" s="131" t="s">
        <v>233</v>
      </c>
      <c r="G80" s="131" t="s">
        <v>443</v>
      </c>
      <c r="H80" s="131" t="s">
        <v>234</v>
      </c>
      <c r="I80" s="133" t="s">
        <v>589</v>
      </c>
      <c r="J80" s="66" t="s">
        <v>218</v>
      </c>
      <c r="K80" s="14" t="s">
        <v>209</v>
      </c>
      <c r="L80" s="134" t="s">
        <v>191</v>
      </c>
      <c r="M80" s="134" t="s">
        <v>59</v>
      </c>
      <c r="N80" s="132" t="s">
        <v>43</v>
      </c>
      <c r="O80" s="167" t="s">
        <v>531</v>
      </c>
      <c r="P80" s="65" t="s">
        <v>534</v>
      </c>
      <c r="Q80" s="135" t="s">
        <v>9</v>
      </c>
      <c r="R80" s="136" t="e">
        <f>15000/USD</f>
        <v>#REF!</v>
      </c>
      <c r="S80" s="62">
        <f>15000+2500</f>
        <v>17500</v>
      </c>
      <c r="T80" s="136" t="e">
        <f>Table12129[[#This Row],[Amortised Limit in Original Currency]]/USD</f>
        <v>#REF!</v>
      </c>
      <c r="U80" s="136" t="e">
        <f>30000/USD</f>
        <v>#REF!</v>
      </c>
      <c r="V80" s="136" t="e">
        <f>1963963.71/USD</f>
        <v>#REF!</v>
      </c>
      <c r="W80" s="147" t="s">
        <v>11</v>
      </c>
      <c r="X80" s="185">
        <v>5.7500000000000002E-2</v>
      </c>
      <c r="Y80" s="137">
        <v>44365</v>
      </c>
      <c r="Z80" s="137">
        <v>46107</v>
      </c>
      <c r="AA80" s="137">
        <v>46107</v>
      </c>
      <c r="AB80" s="175">
        <f t="shared" si="14"/>
        <v>1743</v>
      </c>
      <c r="AC80" s="176" t="e">
        <f t="shared" si="13"/>
        <v>#REF!</v>
      </c>
      <c r="AD80" s="138" t="e">
        <f>AA80-#REF!</f>
        <v>#REF!</v>
      </c>
      <c r="AE80" s="140" t="e">
        <f t="shared" si="15"/>
        <v>#REF!</v>
      </c>
      <c r="AF80" s="184" t="s">
        <v>436</v>
      </c>
      <c r="AG80" s="186" t="s">
        <v>1</v>
      </c>
      <c r="AH80" s="186" t="s">
        <v>1</v>
      </c>
      <c r="AI80" s="187" t="s">
        <v>0</v>
      </c>
      <c r="AJ80" s="11" t="e">
        <f t="shared" si="11"/>
        <v>#REF!</v>
      </c>
      <c r="AK80" s="164" t="s">
        <v>271</v>
      </c>
      <c r="AL80" s="188" t="s">
        <v>581</v>
      </c>
      <c r="AO80" s="197" t="str">
        <f>Table12129[[#This Row],[Risk Location ]]</f>
        <v>United States</v>
      </c>
      <c r="AP80" s="198" t="str">
        <f>Table12129[[#This Row],[Sector (GICS Industry Group)]]</f>
        <v>Telecommunication Services</v>
      </c>
      <c r="AS80" s="212" t="e">
        <v>#REF!</v>
      </c>
      <c r="AT80" s="212" t="e">
        <v>#REF!</v>
      </c>
      <c r="AU80" s="212" t="e">
        <v>#REF!</v>
      </c>
      <c r="AV80" s="212"/>
      <c r="AW80" s="212" t="e">
        <v>#REF!</v>
      </c>
      <c r="AX80" s="212">
        <f t="shared" si="10"/>
        <v>0</v>
      </c>
      <c r="BB80" s="212">
        <v>0</v>
      </c>
      <c r="BC80" s="212">
        <v>0</v>
      </c>
      <c r="BD80" s="212">
        <v>0</v>
      </c>
      <c r="BE80" s="212">
        <v>0</v>
      </c>
      <c r="BF80" s="212">
        <v>0</v>
      </c>
      <c r="BG80" s="226">
        <v>0</v>
      </c>
      <c r="BH80" s="226"/>
      <c r="BJ80" s="138" t="s">
        <v>985</v>
      </c>
      <c r="BK80" s="112"/>
      <c r="BL80" s="58"/>
    </row>
    <row r="81" spans="1:64" ht="39.950000000000003" customHeight="1" x14ac:dyDescent="0.2">
      <c r="A81" s="131" t="s">
        <v>590</v>
      </c>
      <c r="B81" s="132" t="s">
        <v>24</v>
      </c>
      <c r="C81" s="192" t="s">
        <v>38</v>
      </c>
      <c r="D81" s="14" t="s">
        <v>540</v>
      </c>
      <c r="E81" s="161" t="s">
        <v>35</v>
      </c>
      <c r="F81" s="131" t="s">
        <v>104</v>
      </c>
      <c r="G81" s="14" t="s">
        <v>111</v>
      </c>
      <c r="H81" s="66" t="s">
        <v>450</v>
      </c>
      <c r="I81" s="133" t="s">
        <v>591</v>
      </c>
      <c r="J81" s="133" t="s">
        <v>218</v>
      </c>
      <c r="K81" s="168" t="s">
        <v>209</v>
      </c>
      <c r="L81" s="194" t="s">
        <v>191</v>
      </c>
      <c r="M81" s="134" t="s">
        <v>323</v>
      </c>
      <c r="N81" s="167" t="s">
        <v>43</v>
      </c>
      <c r="O81" s="167" t="s">
        <v>538</v>
      </c>
      <c r="P81" s="65" t="s">
        <v>534</v>
      </c>
      <c r="Q81" s="135" t="s">
        <v>66</v>
      </c>
      <c r="R81" s="136" t="e">
        <f>1112163/INR</f>
        <v>#REF!</v>
      </c>
      <c r="S81" s="62">
        <v>1112163</v>
      </c>
      <c r="T81" s="136" t="e">
        <f>Table12129[[#This Row],[Original Limit (A$)]]</f>
        <v>#REF!</v>
      </c>
      <c r="U81" s="136" t="e">
        <f>3367001/INR</f>
        <v>#REF!</v>
      </c>
      <c r="V81" s="136" t="e">
        <f>68489435.19/INR</f>
        <v>#REF!</v>
      </c>
      <c r="W81" s="147" t="s">
        <v>11</v>
      </c>
      <c r="X81" s="185">
        <v>0.05</v>
      </c>
      <c r="Y81" s="137">
        <v>44369</v>
      </c>
      <c r="Z81" s="137">
        <v>45415</v>
      </c>
      <c r="AA81" s="137">
        <v>45415</v>
      </c>
      <c r="AB81" s="138">
        <f t="shared" si="14"/>
        <v>1047</v>
      </c>
      <c r="AC81" s="139" t="e">
        <f t="shared" si="13"/>
        <v>#REF!</v>
      </c>
      <c r="AD81" s="138" t="e">
        <f>AA81-#REF!</f>
        <v>#REF!</v>
      </c>
      <c r="AE81" s="140" t="e">
        <f t="shared" si="15"/>
        <v>#REF!</v>
      </c>
      <c r="AF81" s="184" t="s">
        <v>436</v>
      </c>
      <c r="AG81" s="186" t="s">
        <v>1</v>
      </c>
      <c r="AH81" s="186" t="s">
        <v>1</v>
      </c>
      <c r="AI81" s="187" t="s">
        <v>0</v>
      </c>
      <c r="AJ81" s="11" t="e">
        <f t="shared" si="11"/>
        <v>#REF!</v>
      </c>
      <c r="AK81" s="164" t="s">
        <v>271</v>
      </c>
      <c r="AL81" s="188" t="s">
        <v>592</v>
      </c>
      <c r="AO81" s="197" t="str">
        <f>Table12129[[#This Row],[Risk Location ]]</f>
        <v>India</v>
      </c>
      <c r="AP81" s="198" t="str">
        <f>Table12129[[#This Row],[Sector (GICS Industry Group)]]</f>
        <v>Materials</v>
      </c>
      <c r="AS81" s="212" t="e">
        <v>#REF!</v>
      </c>
      <c r="AT81" s="212" t="e">
        <v>#REF!</v>
      </c>
      <c r="AU81" s="212" t="e">
        <v>#REF!</v>
      </c>
      <c r="AV81" s="212"/>
      <c r="AW81" s="212" t="e">
        <v>#REF!</v>
      </c>
      <c r="AX81" s="212">
        <f t="shared" si="10"/>
        <v>0</v>
      </c>
      <c r="BB81" s="212">
        <v>0</v>
      </c>
      <c r="BC81" s="212">
        <v>0</v>
      </c>
      <c r="BD81" s="212">
        <v>0</v>
      </c>
      <c r="BE81" s="212">
        <v>0</v>
      </c>
      <c r="BF81" s="212">
        <v>0</v>
      </c>
      <c r="BG81" s="226">
        <v>0</v>
      </c>
      <c r="BH81" s="226"/>
      <c r="BJ81" s="138" t="s">
        <v>986</v>
      </c>
      <c r="BK81" s="112"/>
      <c r="BL81" s="58"/>
    </row>
    <row r="82" spans="1:64" ht="39.950000000000003" customHeight="1" x14ac:dyDescent="0.2">
      <c r="A82" s="131" t="s">
        <v>593</v>
      </c>
      <c r="B82" s="132" t="s">
        <v>67</v>
      </c>
      <c r="C82" s="133" t="s">
        <v>588</v>
      </c>
      <c r="D82" s="188" t="s">
        <v>542</v>
      </c>
      <c r="E82" s="161" t="s">
        <v>127</v>
      </c>
      <c r="F82" s="14" t="s">
        <v>891</v>
      </c>
      <c r="G82" s="66" t="s">
        <v>167</v>
      </c>
      <c r="H82" s="131" t="s">
        <v>167</v>
      </c>
      <c r="I82" s="133" t="s">
        <v>589</v>
      </c>
      <c r="J82" s="133" t="s">
        <v>218</v>
      </c>
      <c r="K82" s="14" t="s">
        <v>140</v>
      </c>
      <c r="L82" s="194" t="s">
        <v>191</v>
      </c>
      <c r="M82" s="134" t="s">
        <v>59</v>
      </c>
      <c r="N82" s="167" t="s">
        <v>43</v>
      </c>
      <c r="O82" s="167" t="s">
        <v>538</v>
      </c>
      <c r="P82" s="65" t="s">
        <v>534</v>
      </c>
      <c r="Q82" s="135" t="s">
        <v>59</v>
      </c>
      <c r="R82" s="136" t="e">
        <f>15000/EUR</f>
        <v>#REF!</v>
      </c>
      <c r="S82" s="62">
        <v>15000</v>
      </c>
      <c r="T82" s="136" t="e">
        <f>Table12129[[#This Row],[Original Limit (A$)]]</f>
        <v>#REF!</v>
      </c>
      <c r="U82" s="136" t="e">
        <f>100000/EUR</f>
        <v>#REF!</v>
      </c>
      <c r="V82" s="136" t="e">
        <f>1014049.83/EUR</f>
        <v>#REF!</v>
      </c>
      <c r="W82" s="147" t="s">
        <v>11</v>
      </c>
      <c r="X82" s="185">
        <v>2.8500000000000001E-2</v>
      </c>
      <c r="Y82" s="137">
        <v>44372</v>
      </c>
      <c r="Z82" s="137">
        <v>46475</v>
      </c>
      <c r="AA82" s="137">
        <v>46475</v>
      </c>
      <c r="AB82" s="138">
        <f t="shared" si="14"/>
        <v>2104</v>
      </c>
      <c r="AC82" s="139" t="e">
        <f t="shared" si="13"/>
        <v>#REF!</v>
      </c>
      <c r="AD82" s="138" t="e">
        <f>AA82-#REF!</f>
        <v>#REF!</v>
      </c>
      <c r="AE82" s="140" t="e">
        <f t="shared" si="15"/>
        <v>#REF!</v>
      </c>
      <c r="AF82" s="184"/>
      <c r="AG82" s="186" t="s">
        <v>1</v>
      </c>
      <c r="AH82" s="186" t="s">
        <v>1</v>
      </c>
      <c r="AI82" s="187" t="s">
        <v>0</v>
      </c>
      <c r="AJ82" s="11" t="e">
        <f t="shared" si="11"/>
        <v>#REF!</v>
      </c>
      <c r="AK82" s="164" t="s">
        <v>271</v>
      </c>
      <c r="AL82" s="188" t="s">
        <v>582</v>
      </c>
      <c r="AO82" s="197" t="str">
        <f>Table12129[[#This Row],[Risk Location ]]</f>
        <v>Germany</v>
      </c>
      <c r="AP82" s="198" t="str">
        <f>Table12129[[#This Row],[Sector (GICS Industry Group)]]</f>
        <v>Information Technology - Hardware &amp; Equipment</v>
      </c>
      <c r="AS82" s="212" t="e">
        <v>#REF!</v>
      </c>
      <c r="AT82" s="212" t="e">
        <v>#REF!</v>
      </c>
      <c r="AU82" s="212" t="e">
        <v>#REF!</v>
      </c>
      <c r="AV82" s="212"/>
      <c r="AW82" s="212" t="e">
        <v>#REF!</v>
      </c>
      <c r="AX82" s="212">
        <f t="shared" si="10"/>
        <v>0</v>
      </c>
      <c r="BB82" s="212">
        <v>0</v>
      </c>
      <c r="BC82" s="212">
        <v>0</v>
      </c>
      <c r="BD82" s="212">
        <v>0</v>
      </c>
      <c r="BE82" s="212">
        <v>0</v>
      </c>
      <c r="BF82" s="212">
        <v>0</v>
      </c>
      <c r="BG82" s="226">
        <v>0</v>
      </c>
      <c r="BH82" s="226"/>
      <c r="BJ82" s="138" t="s">
        <v>1008</v>
      </c>
      <c r="BK82" s="112"/>
      <c r="BL82" s="58"/>
    </row>
    <row r="83" spans="1:64" ht="39.950000000000003" customHeight="1" x14ac:dyDescent="0.2">
      <c r="A83" s="131" t="s">
        <v>594</v>
      </c>
      <c r="B83" s="132" t="s">
        <v>67</v>
      </c>
      <c r="C83" s="133" t="s">
        <v>588</v>
      </c>
      <c r="D83" s="188" t="s">
        <v>499</v>
      </c>
      <c r="E83" s="193" t="s">
        <v>162</v>
      </c>
      <c r="F83" s="188" t="s">
        <v>233</v>
      </c>
      <c r="G83" s="131" t="s">
        <v>443</v>
      </c>
      <c r="H83" s="131" t="s">
        <v>234</v>
      </c>
      <c r="I83" s="133" t="s">
        <v>589</v>
      </c>
      <c r="J83" s="133" t="s">
        <v>218</v>
      </c>
      <c r="K83" s="168" t="s">
        <v>209</v>
      </c>
      <c r="L83" s="194" t="s">
        <v>191</v>
      </c>
      <c r="M83" s="134" t="s">
        <v>59</v>
      </c>
      <c r="N83" s="167" t="s">
        <v>43</v>
      </c>
      <c r="O83" s="167" t="s">
        <v>538</v>
      </c>
      <c r="P83" s="65" t="s">
        <v>534</v>
      </c>
      <c r="Q83" s="135" t="s">
        <v>9</v>
      </c>
      <c r="R83" s="136" t="e">
        <f>15000/USD</f>
        <v>#REF!</v>
      </c>
      <c r="S83" s="62">
        <v>15000</v>
      </c>
      <c r="T83" s="136" t="e">
        <f>Table12129[[#This Row],[Original Limit (A$)]]</f>
        <v>#REF!</v>
      </c>
      <c r="U83" s="136" t="e">
        <f>69800/USD</f>
        <v>#REF!</v>
      </c>
      <c r="V83" s="136" t="e">
        <f>1271367.15/USD</f>
        <v>#REF!</v>
      </c>
      <c r="W83" s="147" t="s">
        <v>11</v>
      </c>
      <c r="X83" s="185">
        <v>4.4999999999999998E-2</v>
      </c>
      <c r="Y83" s="137">
        <v>44372</v>
      </c>
      <c r="Z83" s="137">
        <v>46112</v>
      </c>
      <c r="AA83" s="137">
        <v>46112</v>
      </c>
      <c r="AB83" s="138">
        <f t="shared" si="14"/>
        <v>1741</v>
      </c>
      <c r="AC83" s="139" t="e">
        <f t="shared" si="13"/>
        <v>#REF!</v>
      </c>
      <c r="AD83" s="138" t="e">
        <f>AA83-#REF!</f>
        <v>#REF!</v>
      </c>
      <c r="AE83" s="140" t="e">
        <f t="shared" si="15"/>
        <v>#REF!</v>
      </c>
      <c r="AF83" s="184"/>
      <c r="AG83" s="186" t="s">
        <v>1</v>
      </c>
      <c r="AH83" s="186" t="s">
        <v>1</v>
      </c>
      <c r="AI83" s="187" t="s">
        <v>0</v>
      </c>
      <c r="AJ83" s="11" t="e">
        <f t="shared" si="11"/>
        <v>#REF!</v>
      </c>
      <c r="AK83" s="164" t="s">
        <v>271</v>
      </c>
      <c r="AL83" s="188" t="s">
        <v>583</v>
      </c>
      <c r="AO83" s="197" t="str">
        <f>Table12129[[#This Row],[Risk Location ]]</f>
        <v>United States</v>
      </c>
      <c r="AP83" s="198" t="str">
        <f>Table12129[[#This Row],[Sector (GICS Industry Group)]]</f>
        <v>Telecommunication Services</v>
      </c>
      <c r="AS83" s="212" t="e">
        <v>#REF!</v>
      </c>
      <c r="AT83" s="212" t="e">
        <v>#REF!</v>
      </c>
      <c r="AU83" s="212" t="e">
        <v>#REF!</v>
      </c>
      <c r="AV83" s="212"/>
      <c r="AW83" s="212" t="e">
        <v>#REF!</v>
      </c>
      <c r="AX83" s="212">
        <f t="shared" si="10"/>
        <v>0</v>
      </c>
      <c r="BB83" s="212">
        <v>0</v>
      </c>
      <c r="BC83" s="212">
        <v>0</v>
      </c>
      <c r="BD83" s="212">
        <v>0</v>
      </c>
      <c r="BE83" s="212">
        <v>0</v>
      </c>
      <c r="BF83" s="212">
        <v>0</v>
      </c>
      <c r="BG83" s="226">
        <v>0</v>
      </c>
      <c r="BH83" s="226"/>
      <c r="BJ83" s="138" t="s">
        <v>1009</v>
      </c>
      <c r="BK83" s="112"/>
      <c r="BL83" s="58"/>
    </row>
    <row r="84" spans="1:64" ht="39.950000000000003" customHeight="1" x14ac:dyDescent="0.2">
      <c r="A84" s="131" t="s">
        <v>595</v>
      </c>
      <c r="B84" s="132" t="s">
        <v>51</v>
      </c>
      <c r="C84" s="192" t="s">
        <v>38</v>
      </c>
      <c r="D84" s="14" t="s">
        <v>540</v>
      </c>
      <c r="E84" s="161" t="s">
        <v>36</v>
      </c>
      <c r="F84" s="14" t="s">
        <v>102</v>
      </c>
      <c r="G84" s="14" t="s">
        <v>102</v>
      </c>
      <c r="H84" s="14" t="s">
        <v>474</v>
      </c>
      <c r="I84" s="133" t="s">
        <v>142</v>
      </c>
      <c r="J84" s="133" t="s">
        <v>218</v>
      </c>
      <c r="K84" s="168" t="s">
        <v>209</v>
      </c>
      <c r="L84" s="194" t="s">
        <v>191</v>
      </c>
      <c r="M84" s="134" t="s">
        <v>323</v>
      </c>
      <c r="N84" s="167" t="s">
        <v>43</v>
      </c>
      <c r="O84" s="167" t="s">
        <v>538</v>
      </c>
      <c r="P84" s="65" t="s">
        <v>534</v>
      </c>
      <c r="Q84" s="135" t="s">
        <v>9</v>
      </c>
      <c r="R84" s="136" t="e">
        <f>15000/USD</f>
        <v>#REF!</v>
      </c>
      <c r="S84" s="62">
        <v>15000</v>
      </c>
      <c r="T84" s="136" t="e">
        <f>Table12129[[#This Row],[Original Limit (A$)]]</f>
        <v>#REF!</v>
      </c>
      <c r="U84" s="136" t="e">
        <f>30000/USD</f>
        <v>#REF!</v>
      </c>
      <c r="V84" s="136" t="e">
        <f>1827916.68/USD</f>
        <v>#REF!</v>
      </c>
      <c r="W84" s="147" t="s">
        <v>11</v>
      </c>
      <c r="X84" s="185">
        <v>7.85E-2</v>
      </c>
      <c r="Y84" s="137">
        <v>44377</v>
      </c>
      <c r="Z84" s="137">
        <v>45460</v>
      </c>
      <c r="AA84" s="137">
        <v>45460</v>
      </c>
      <c r="AB84" s="138">
        <f t="shared" si="14"/>
        <v>1084</v>
      </c>
      <c r="AC84" s="139" t="e">
        <f t="shared" si="13"/>
        <v>#REF!</v>
      </c>
      <c r="AD84" s="138" t="e">
        <f>AA84-#REF!</f>
        <v>#REF!</v>
      </c>
      <c r="AE84" s="140" t="e">
        <f t="shared" si="15"/>
        <v>#REF!</v>
      </c>
      <c r="AF84" s="184"/>
      <c r="AG84" s="186" t="s">
        <v>1</v>
      </c>
      <c r="AH84" s="186" t="s">
        <v>1</v>
      </c>
      <c r="AI84" s="187" t="s">
        <v>0</v>
      </c>
      <c r="AJ84" s="11" t="e">
        <f t="shared" si="11"/>
        <v>#REF!</v>
      </c>
      <c r="AK84" s="164" t="s">
        <v>271</v>
      </c>
      <c r="AL84" s="188" t="s">
        <v>584</v>
      </c>
      <c r="AO84" s="197" t="str">
        <f>Table12129[[#This Row],[Risk Location ]]</f>
        <v>China</v>
      </c>
      <c r="AP84" s="198" t="str">
        <f>Table12129[[#This Row],[Sector (GICS Industry Group)]]</f>
        <v>Real Estate Investment</v>
      </c>
      <c r="AS84" s="212" t="e">
        <v>#REF!</v>
      </c>
      <c r="AT84" s="212" t="e">
        <v>#REF!</v>
      </c>
      <c r="AU84" s="212" t="e">
        <v>#REF!</v>
      </c>
      <c r="AV84" s="212"/>
      <c r="AW84" s="212" t="e">
        <v>#REF!</v>
      </c>
      <c r="AX84" s="212">
        <f t="shared" si="10"/>
        <v>0</v>
      </c>
      <c r="BB84" s="212">
        <v>0</v>
      </c>
      <c r="BC84" s="212">
        <v>0</v>
      </c>
      <c r="BD84" s="212">
        <v>0</v>
      </c>
      <c r="BE84" s="212">
        <v>0</v>
      </c>
      <c r="BF84" s="212">
        <v>0</v>
      </c>
      <c r="BG84" s="226">
        <v>0</v>
      </c>
      <c r="BH84" s="226"/>
      <c r="BJ84" s="138" t="s">
        <v>1010</v>
      </c>
      <c r="BK84" s="112"/>
      <c r="BL84" s="58"/>
    </row>
    <row r="85" spans="1:64" ht="39.950000000000003" customHeight="1" x14ac:dyDescent="0.2">
      <c r="A85" s="131" t="s">
        <v>596</v>
      </c>
      <c r="B85" s="132" t="s">
        <v>24</v>
      </c>
      <c r="C85" s="133" t="s">
        <v>166</v>
      </c>
      <c r="D85" s="14" t="s">
        <v>542</v>
      </c>
      <c r="E85" s="161" t="s">
        <v>166</v>
      </c>
      <c r="F85" s="14" t="s">
        <v>102</v>
      </c>
      <c r="G85" s="14" t="s">
        <v>102</v>
      </c>
      <c r="H85" s="130" t="s">
        <v>103</v>
      </c>
      <c r="I85" s="133" t="s">
        <v>597</v>
      </c>
      <c r="J85" s="192" t="s">
        <v>220</v>
      </c>
      <c r="K85" s="168" t="s">
        <v>101</v>
      </c>
      <c r="L85" s="194" t="s">
        <v>191</v>
      </c>
      <c r="M85" s="134" t="s">
        <v>59</v>
      </c>
      <c r="N85" s="167" t="s">
        <v>43</v>
      </c>
      <c r="O85" s="167" t="s">
        <v>538</v>
      </c>
      <c r="P85" s="65" t="s">
        <v>534</v>
      </c>
      <c r="Q85" s="135" t="s">
        <v>59</v>
      </c>
      <c r="R85" s="136" t="e">
        <f>22000/EUR</f>
        <v>#REF!</v>
      </c>
      <c r="S85" s="62">
        <v>22000</v>
      </c>
      <c r="T85" s="136" t="e">
        <f>Table12129[[#This Row],[Original Limit (A$)]]</f>
        <v>#REF!</v>
      </c>
      <c r="U85" s="136" t="e">
        <f>185600/EUR</f>
        <v>#REF!</v>
      </c>
      <c r="V85" s="136" t="e">
        <f>1193121.11/EUR-105402.92/EUR</f>
        <v>#REF!</v>
      </c>
      <c r="W85" s="147" t="s">
        <v>11</v>
      </c>
      <c r="X85" s="185">
        <v>1.4500000000000001E-2</v>
      </c>
      <c r="Y85" s="137">
        <v>44376</v>
      </c>
      <c r="Z85" s="137">
        <v>46565</v>
      </c>
      <c r="AA85" s="137">
        <v>46565</v>
      </c>
      <c r="AB85" s="138">
        <f t="shared" si="14"/>
        <v>2190</v>
      </c>
      <c r="AC85" s="139" t="e">
        <f t="shared" si="13"/>
        <v>#REF!</v>
      </c>
      <c r="AD85" s="138" t="e">
        <f>AA85-#REF!</f>
        <v>#REF!</v>
      </c>
      <c r="AE85" s="140" t="e">
        <f t="shared" si="15"/>
        <v>#REF!</v>
      </c>
      <c r="AF85" s="184" t="s">
        <v>436</v>
      </c>
      <c r="AG85" s="186" t="s">
        <v>1</v>
      </c>
      <c r="AH85" s="186" t="s">
        <v>1</v>
      </c>
      <c r="AI85" s="187" t="s">
        <v>0</v>
      </c>
      <c r="AJ85" s="11" t="e">
        <f t="shared" si="11"/>
        <v>#REF!</v>
      </c>
      <c r="AK85" s="164" t="s">
        <v>271</v>
      </c>
      <c r="AL85" s="188" t="s">
        <v>585</v>
      </c>
      <c r="AO85" s="197" t="str">
        <f>Table12129[[#This Row],[Risk Location ]]</f>
        <v>France</v>
      </c>
      <c r="AP85" s="198" t="str">
        <f>Table12129[[#This Row],[Sector (GICS Industry Group)]]</f>
        <v>Real Estate Investment</v>
      </c>
      <c r="AS85" s="212" t="e">
        <v>#REF!</v>
      </c>
      <c r="AT85" s="212" t="e">
        <v>#REF!</v>
      </c>
      <c r="AU85" s="212" t="e">
        <v>#REF!</v>
      </c>
      <c r="AV85" s="212"/>
      <c r="AW85" s="212" t="e">
        <v>#REF!</v>
      </c>
      <c r="AX85" s="212">
        <f t="shared" si="10"/>
        <v>0</v>
      </c>
      <c r="BB85" s="212">
        <v>0</v>
      </c>
      <c r="BC85" s="212">
        <v>0</v>
      </c>
      <c r="BD85" s="212">
        <v>0</v>
      </c>
      <c r="BE85" s="212">
        <v>0</v>
      </c>
      <c r="BF85" s="212">
        <v>0</v>
      </c>
      <c r="BG85" s="226">
        <v>0</v>
      </c>
      <c r="BH85" s="226"/>
      <c r="BJ85" s="138" t="s">
        <v>1011</v>
      </c>
      <c r="BK85" s="112"/>
      <c r="BL85" s="58"/>
    </row>
    <row r="86" spans="1:64" ht="39.950000000000003" customHeight="1" x14ac:dyDescent="0.2">
      <c r="A86" s="131" t="s">
        <v>625</v>
      </c>
      <c r="B86" s="132" t="s">
        <v>67</v>
      </c>
      <c r="C86" s="133" t="s">
        <v>127</v>
      </c>
      <c r="D86" s="188" t="s">
        <v>542</v>
      </c>
      <c r="E86" s="161" t="s">
        <v>88</v>
      </c>
      <c r="F86" s="131" t="s">
        <v>233</v>
      </c>
      <c r="G86" s="131" t="s">
        <v>443</v>
      </c>
      <c r="H86" s="131" t="s">
        <v>234</v>
      </c>
      <c r="I86" s="133" t="s">
        <v>165</v>
      </c>
      <c r="J86" s="192" t="s">
        <v>220</v>
      </c>
      <c r="K86" s="168" t="s">
        <v>140</v>
      </c>
      <c r="L86" s="194" t="s">
        <v>191</v>
      </c>
      <c r="M86" s="134" t="s">
        <v>59</v>
      </c>
      <c r="N86" s="167" t="s">
        <v>43</v>
      </c>
      <c r="O86" s="167" t="s">
        <v>538</v>
      </c>
      <c r="P86" s="65" t="s">
        <v>534</v>
      </c>
      <c r="Q86" s="135" t="s">
        <v>59</v>
      </c>
      <c r="R86" s="136" t="e">
        <f>10000/EUR</f>
        <v>#REF!</v>
      </c>
      <c r="S86" s="62">
        <v>10000</v>
      </c>
      <c r="T86" s="136" t="e">
        <f>Table12129[[#This Row],[Original Limit (A$)]]</f>
        <v>#REF!</v>
      </c>
      <c r="U86" s="136" t="e">
        <f>50000/EUR</f>
        <v>#REF!</v>
      </c>
      <c r="V86" s="136" t="e">
        <f>949357.63/EUR</f>
        <v>#REF!</v>
      </c>
      <c r="W86" s="147" t="s">
        <v>11</v>
      </c>
      <c r="X86" s="185">
        <v>2.5000000000000001E-2</v>
      </c>
      <c r="Y86" s="137">
        <v>44341</v>
      </c>
      <c r="Z86" s="137">
        <v>46837</v>
      </c>
      <c r="AA86" s="137">
        <v>46853</v>
      </c>
      <c r="AB86" s="138">
        <f>AA86-Y86+1</f>
        <v>2513</v>
      </c>
      <c r="AC86" s="139" t="e">
        <f>IF(AA86-$A$1&gt;60,"No","Yes")</f>
        <v>#REF!</v>
      </c>
      <c r="AD86" s="138" t="e">
        <f>AA86-#REF!</f>
        <v>#REF!</v>
      </c>
      <c r="AE86" s="140" t="e">
        <f>AD86/365</f>
        <v>#REF!</v>
      </c>
      <c r="AF86" s="184"/>
      <c r="AG86" s="186" t="s">
        <v>1</v>
      </c>
      <c r="AH86" s="186" t="s">
        <v>1</v>
      </c>
      <c r="AI86" s="187" t="s">
        <v>0</v>
      </c>
      <c r="AJ86" s="11" t="e">
        <f t="shared" si="11"/>
        <v>#REF!</v>
      </c>
      <c r="AK86" s="164" t="s">
        <v>271</v>
      </c>
      <c r="AL86" s="188" t="s">
        <v>626</v>
      </c>
      <c r="AO86" s="197" t="str">
        <f>Table12129[[#This Row],[Risk Location ]]</f>
        <v>Belgium</v>
      </c>
      <c r="AP86" s="198" t="str">
        <f>Table12129[[#This Row],[Sector (GICS Industry Group)]]</f>
        <v>Telecommunication Services</v>
      </c>
      <c r="AS86" s="212" t="e">
        <v>#REF!</v>
      </c>
      <c r="AT86" s="212" t="e">
        <v>#REF!</v>
      </c>
      <c r="AU86" s="212" t="e">
        <v>#REF!</v>
      </c>
      <c r="AV86" s="212"/>
      <c r="AW86" s="212" t="e">
        <v>#REF!</v>
      </c>
      <c r="AX86" s="212">
        <f t="shared" si="10"/>
        <v>0</v>
      </c>
      <c r="BB86" s="212">
        <v>0</v>
      </c>
      <c r="BC86" s="212">
        <v>0</v>
      </c>
      <c r="BD86" s="212">
        <v>0</v>
      </c>
      <c r="BE86" s="212">
        <v>0</v>
      </c>
      <c r="BF86" s="212">
        <v>0</v>
      </c>
      <c r="BG86" s="226">
        <v>0</v>
      </c>
      <c r="BH86" s="226"/>
      <c r="BJ86" s="138" t="s">
        <v>937</v>
      </c>
      <c r="BK86" s="112"/>
      <c r="BL86" s="58"/>
    </row>
    <row r="87" spans="1:64" ht="39.950000000000003" customHeight="1" x14ac:dyDescent="0.2">
      <c r="A87" s="131" t="s">
        <v>630</v>
      </c>
      <c r="B87" s="132" t="s">
        <v>23</v>
      </c>
      <c r="C87" s="133" t="s">
        <v>89</v>
      </c>
      <c r="D87" s="188" t="s">
        <v>542</v>
      </c>
      <c r="E87" s="161" t="s">
        <v>87</v>
      </c>
      <c r="F87" s="188" t="s">
        <v>92</v>
      </c>
      <c r="G87" s="131" t="s">
        <v>134</v>
      </c>
      <c r="H87" s="66" t="s">
        <v>134</v>
      </c>
      <c r="I87" s="133" t="s">
        <v>631</v>
      </c>
      <c r="J87" s="192" t="s">
        <v>256</v>
      </c>
      <c r="K87" s="168" t="s">
        <v>140</v>
      </c>
      <c r="L87" s="194" t="s">
        <v>191</v>
      </c>
      <c r="M87" s="134" t="s">
        <v>59</v>
      </c>
      <c r="N87" s="167" t="s">
        <v>43</v>
      </c>
      <c r="O87" s="167" t="s">
        <v>533</v>
      </c>
      <c r="P87" s="65" t="s">
        <v>534</v>
      </c>
      <c r="Q87" s="135" t="s">
        <v>9</v>
      </c>
      <c r="R87" s="136" t="e">
        <f>15000/USD</f>
        <v>#REF!</v>
      </c>
      <c r="S87" s="62">
        <v>15000</v>
      </c>
      <c r="T87" s="136" t="e">
        <f>Table12129[[#This Row],[Original Limit (A$)]]</f>
        <v>#REF!</v>
      </c>
      <c r="U87" s="136" t="e">
        <f>125000/USD</f>
        <v>#REF!</v>
      </c>
      <c r="V87" s="136" t="e">
        <f>584064.98/USD-40060.16/USD</f>
        <v>#REF!</v>
      </c>
      <c r="W87" s="147" t="s">
        <v>11</v>
      </c>
      <c r="X87" s="185">
        <v>1.9E-2</v>
      </c>
      <c r="Y87" s="137">
        <v>44385</v>
      </c>
      <c r="Z87" s="137">
        <v>46386</v>
      </c>
      <c r="AA87" s="137">
        <v>46386</v>
      </c>
      <c r="AB87" s="138">
        <f t="shared" ref="AB87:AB150" si="16">AA87-Y87+1</f>
        <v>2002</v>
      </c>
      <c r="AC87" s="139" t="e">
        <f t="shared" ref="AC87:AC150" si="17">IF(AA87-$A$1&gt;60,"No","Yes")</f>
        <v>#REF!</v>
      </c>
      <c r="AD87" s="138" t="e">
        <f>AA87-#REF!</f>
        <v>#REF!</v>
      </c>
      <c r="AE87" s="140" t="e">
        <f>AD87/365</f>
        <v>#REF!</v>
      </c>
      <c r="AF87" s="184"/>
      <c r="AG87" s="186" t="s">
        <v>1</v>
      </c>
      <c r="AH87" s="186" t="s">
        <v>1</v>
      </c>
      <c r="AI87" s="187" t="s">
        <v>0</v>
      </c>
      <c r="AJ87" s="11" t="e">
        <f t="shared" si="11"/>
        <v>#REF!</v>
      </c>
      <c r="AK87" s="164" t="s">
        <v>271</v>
      </c>
      <c r="AL87" s="188" t="s">
        <v>628</v>
      </c>
      <c r="AO87" s="197" t="str">
        <f>Table12129[[#This Row],[Risk Location ]]</f>
        <v>United Kingdom</v>
      </c>
      <c r="AP87" s="198" t="str">
        <f>Table12129[[#This Row],[Sector (GICS Industry Group)]]</f>
        <v>Transportation</v>
      </c>
      <c r="AS87" s="212" t="e">
        <v>#REF!</v>
      </c>
      <c r="AT87" s="212" t="e">
        <v>#REF!</v>
      </c>
      <c r="AU87" s="212" t="e">
        <v>#REF!</v>
      </c>
      <c r="AV87" s="212"/>
      <c r="AW87" s="212" t="e">
        <v>#REF!</v>
      </c>
      <c r="AX87" s="212">
        <f t="shared" si="10"/>
        <v>0</v>
      </c>
      <c r="BB87" s="212">
        <v>0</v>
      </c>
      <c r="BC87" s="212">
        <v>0</v>
      </c>
      <c r="BD87" s="212">
        <v>0</v>
      </c>
      <c r="BE87" s="212">
        <v>0</v>
      </c>
      <c r="BF87" s="212">
        <v>0</v>
      </c>
      <c r="BG87" s="226">
        <v>0</v>
      </c>
      <c r="BH87" s="226"/>
      <c r="BJ87" s="138" t="s">
        <v>1012</v>
      </c>
      <c r="BK87" s="112"/>
      <c r="BL87" s="58"/>
    </row>
    <row r="88" spans="1:64" ht="39.950000000000003" customHeight="1" x14ac:dyDescent="0.2">
      <c r="A88" s="131" t="s">
        <v>636</v>
      </c>
      <c r="B88" s="132" t="s">
        <v>243</v>
      </c>
      <c r="C88" s="133" t="s">
        <v>37</v>
      </c>
      <c r="D88" s="188" t="s">
        <v>541</v>
      </c>
      <c r="E88" s="161" t="s">
        <v>152</v>
      </c>
      <c r="F88" s="188" t="s">
        <v>439</v>
      </c>
      <c r="G88" s="131" t="s">
        <v>445</v>
      </c>
      <c r="H88" s="66" t="s">
        <v>463</v>
      </c>
      <c r="I88" s="133" t="s">
        <v>526</v>
      </c>
      <c r="J88" s="192" t="s">
        <v>221</v>
      </c>
      <c r="K88" s="168" t="s">
        <v>140</v>
      </c>
      <c r="L88" s="194" t="s">
        <v>191</v>
      </c>
      <c r="M88" s="134" t="s">
        <v>323</v>
      </c>
      <c r="N88" s="167" t="s">
        <v>43</v>
      </c>
      <c r="O88" s="167" t="s">
        <v>538</v>
      </c>
      <c r="P88" s="65" t="s">
        <v>534</v>
      </c>
      <c r="Q88" s="135" t="s">
        <v>488</v>
      </c>
      <c r="R88" s="136" t="e">
        <f>986842.10526/JPY</f>
        <v>#REF!</v>
      </c>
      <c r="S88" s="62">
        <v>986842.10525999998</v>
      </c>
      <c r="T88" s="136" t="e">
        <f>Table12129[[#This Row],[Amortised Limit in Original Currency]]/JPY</f>
        <v>#REF!</v>
      </c>
      <c r="U88" s="136" t="e">
        <f>221170032/JPY</f>
        <v>#REF!</v>
      </c>
      <c r="V88" s="136" t="e">
        <f>21030136.48/JPY</f>
        <v>#REF!</v>
      </c>
      <c r="W88" s="147" t="s">
        <v>11</v>
      </c>
      <c r="X88" s="185">
        <v>2.2499999999999999E-2</v>
      </c>
      <c r="Y88" s="137">
        <v>44418</v>
      </c>
      <c r="Z88" s="137">
        <v>45290</v>
      </c>
      <c r="AA88" s="137">
        <v>45290</v>
      </c>
      <c r="AB88" s="138">
        <f t="shared" si="16"/>
        <v>873</v>
      </c>
      <c r="AC88" s="139" t="e">
        <f>IF(AA88-$A$1&gt;60,"No","Yes")</f>
        <v>#REF!</v>
      </c>
      <c r="AD88" s="138" t="e">
        <f>AA88-#REF!</f>
        <v>#REF!</v>
      </c>
      <c r="AE88" s="140" t="e">
        <f t="shared" ref="AE88:AE120" si="18">AD88/365</f>
        <v>#REF!</v>
      </c>
      <c r="AF88" s="184"/>
      <c r="AG88" s="186" t="s">
        <v>1</v>
      </c>
      <c r="AH88" s="186" t="s">
        <v>1</v>
      </c>
      <c r="AI88" s="187" t="s">
        <v>0</v>
      </c>
      <c r="AJ88" s="11" t="e">
        <f t="shared" si="11"/>
        <v>#REF!</v>
      </c>
      <c r="AK88" s="164" t="s">
        <v>271</v>
      </c>
      <c r="AL88" s="188" t="s">
        <v>632</v>
      </c>
      <c r="AO88" s="197" t="str">
        <f>Table12129[[#This Row],[Risk Location ]]</f>
        <v>Japan</v>
      </c>
      <c r="AP88" s="198" t="str">
        <f>Table12129[[#This Row],[Sector (GICS Industry Group)]]</f>
        <v>Utilities</v>
      </c>
      <c r="AS88" s="212" t="e">
        <v>#REF!</v>
      </c>
      <c r="AT88" s="212" t="e">
        <v>#REF!</v>
      </c>
      <c r="AU88" s="212" t="e">
        <v>#REF!</v>
      </c>
      <c r="AV88" s="212"/>
      <c r="AW88" s="212" t="e">
        <v>#REF!</v>
      </c>
      <c r="AX88" s="212">
        <f t="shared" si="10"/>
        <v>0</v>
      </c>
      <c r="BB88" s="212">
        <v>0</v>
      </c>
      <c r="BC88" s="212">
        <v>0</v>
      </c>
      <c r="BD88" s="212">
        <v>0</v>
      </c>
      <c r="BE88" s="212">
        <v>0</v>
      </c>
      <c r="BF88" s="212">
        <v>0</v>
      </c>
      <c r="BG88" s="226">
        <v>0</v>
      </c>
      <c r="BH88" s="226"/>
      <c r="BJ88" s="138" t="s">
        <v>1013</v>
      </c>
      <c r="BK88" s="112"/>
      <c r="BL88" s="58"/>
    </row>
    <row r="89" spans="1:64" ht="39.950000000000003" customHeight="1" x14ac:dyDescent="0.2">
      <c r="A89" s="131" t="s">
        <v>637</v>
      </c>
      <c r="B89" s="132" t="s">
        <v>67</v>
      </c>
      <c r="C89" s="133" t="s">
        <v>38</v>
      </c>
      <c r="D89" s="14" t="s">
        <v>540</v>
      </c>
      <c r="E89" s="161" t="s">
        <v>35</v>
      </c>
      <c r="F89" s="14" t="s">
        <v>892</v>
      </c>
      <c r="G89" s="188" t="s">
        <v>259</v>
      </c>
      <c r="H89" s="188" t="s">
        <v>258</v>
      </c>
      <c r="I89" s="133" t="s">
        <v>638</v>
      </c>
      <c r="J89" s="192" t="s">
        <v>687</v>
      </c>
      <c r="K89" s="168" t="s">
        <v>209</v>
      </c>
      <c r="L89" s="194" t="s">
        <v>191</v>
      </c>
      <c r="M89" s="134" t="s">
        <v>323</v>
      </c>
      <c r="N89" s="167" t="s">
        <v>43</v>
      </c>
      <c r="O89" s="167" t="s">
        <v>538</v>
      </c>
      <c r="P89" s="65" t="s">
        <v>534</v>
      </c>
      <c r="Q89" s="135" t="s">
        <v>9</v>
      </c>
      <c r="R89" s="136" t="e">
        <f>10000/USD</f>
        <v>#REF!</v>
      </c>
      <c r="S89" s="62">
        <v>10000</v>
      </c>
      <c r="T89" s="136" t="e">
        <f>Table12129[[#This Row],[Original Limit (A$)]]</f>
        <v>#REF!</v>
      </c>
      <c r="U89" s="136" t="e">
        <f>20000/USD</f>
        <v>#REF!</v>
      </c>
      <c r="V89" s="136" t="e">
        <f>565401.86/USD</f>
        <v>#REF!</v>
      </c>
      <c r="W89" s="147" t="s">
        <v>11</v>
      </c>
      <c r="X89" s="185">
        <v>0.04</v>
      </c>
      <c r="Y89" s="137">
        <v>44425</v>
      </c>
      <c r="Z89" s="137">
        <v>46233</v>
      </c>
      <c r="AA89" s="137">
        <v>46233</v>
      </c>
      <c r="AB89" s="138">
        <f>AA89-Y89+1</f>
        <v>1809</v>
      </c>
      <c r="AC89" s="139" t="e">
        <f t="shared" si="17"/>
        <v>#REF!</v>
      </c>
      <c r="AD89" s="138" t="e">
        <f>AA89-#REF!</f>
        <v>#REF!</v>
      </c>
      <c r="AE89" s="140" t="e">
        <f t="shared" si="18"/>
        <v>#REF!</v>
      </c>
      <c r="AF89" s="184"/>
      <c r="AG89" s="186" t="s">
        <v>1</v>
      </c>
      <c r="AH89" s="186" t="s">
        <v>1</v>
      </c>
      <c r="AI89" s="187" t="s">
        <v>0</v>
      </c>
      <c r="AJ89" s="11" t="e">
        <f t="shared" si="11"/>
        <v>#REF!</v>
      </c>
      <c r="AK89" s="164" t="s">
        <v>271</v>
      </c>
      <c r="AL89" s="188" t="s">
        <v>633</v>
      </c>
      <c r="AO89" s="197" t="str">
        <f>Table12129[[#This Row],[Risk Location ]]</f>
        <v>India</v>
      </c>
      <c r="AP89" s="198" t="str">
        <f>Table12129[[#This Row],[Sector (GICS Industry Group)]]</f>
        <v>Information Technology - Software &amp; Services</v>
      </c>
      <c r="AS89" s="212" t="e">
        <v>#REF!</v>
      </c>
      <c r="AT89" s="212" t="e">
        <v>#REF!</v>
      </c>
      <c r="AU89" s="212" t="e">
        <v>#REF!</v>
      </c>
      <c r="AV89" s="212"/>
      <c r="AW89" s="212" t="e">
        <v>#REF!</v>
      </c>
      <c r="AX89" s="212">
        <f t="shared" si="10"/>
        <v>0</v>
      </c>
      <c r="BB89" s="212">
        <v>0</v>
      </c>
      <c r="BC89" s="212">
        <v>0</v>
      </c>
      <c r="BD89" s="212">
        <v>0</v>
      </c>
      <c r="BE89" s="212">
        <v>0</v>
      </c>
      <c r="BF89" s="212">
        <v>0</v>
      </c>
      <c r="BG89" s="226">
        <v>0</v>
      </c>
      <c r="BH89" s="226"/>
      <c r="BJ89" s="138" t="s">
        <v>1014</v>
      </c>
      <c r="BK89" s="112"/>
      <c r="BL89" s="58"/>
    </row>
    <row r="90" spans="1:64" ht="39.950000000000003" customHeight="1" x14ac:dyDescent="0.2">
      <c r="A90" s="131" t="s">
        <v>639</v>
      </c>
      <c r="B90" s="132" t="s">
        <v>24</v>
      </c>
      <c r="C90" s="133" t="s">
        <v>38</v>
      </c>
      <c r="D90" s="14" t="s">
        <v>540</v>
      </c>
      <c r="E90" s="161" t="s">
        <v>35</v>
      </c>
      <c r="F90" s="14" t="s">
        <v>892</v>
      </c>
      <c r="G90" s="188" t="s">
        <v>259</v>
      </c>
      <c r="H90" s="188" t="s">
        <v>258</v>
      </c>
      <c r="I90" s="133" t="s">
        <v>638</v>
      </c>
      <c r="J90" s="192" t="s">
        <v>687</v>
      </c>
      <c r="K90" s="168" t="s">
        <v>139</v>
      </c>
      <c r="L90" s="194" t="s">
        <v>191</v>
      </c>
      <c r="M90" s="134" t="s">
        <v>323</v>
      </c>
      <c r="N90" s="167" t="s">
        <v>43</v>
      </c>
      <c r="O90" s="167" t="s">
        <v>538</v>
      </c>
      <c r="P90" s="65" t="s">
        <v>534</v>
      </c>
      <c r="Q90" s="135" t="s">
        <v>9</v>
      </c>
      <c r="R90" s="136" t="e">
        <f>20000/USD</f>
        <v>#REF!</v>
      </c>
      <c r="S90" s="62" t="e">
        <f>Table12129[[#This Row],[Amortised Limit A$ Balance]]*USD</f>
        <v>#REF!</v>
      </c>
      <c r="T90" s="136" t="e">
        <f>15000/USD</f>
        <v>#REF!</v>
      </c>
      <c r="U90" s="136" t="e">
        <f>40000/USD</f>
        <v>#REF!</v>
      </c>
      <c r="V90" s="136" t="e">
        <f>1806917.2/USD-407722/USD</f>
        <v>#REF!</v>
      </c>
      <c r="W90" s="147" t="s">
        <v>11</v>
      </c>
      <c r="X90" s="185">
        <v>3.3300000000000003E-2</v>
      </c>
      <c r="Y90" s="137">
        <v>44425</v>
      </c>
      <c r="Z90" s="137">
        <v>46240</v>
      </c>
      <c r="AA90" s="137">
        <v>46270</v>
      </c>
      <c r="AB90" s="138">
        <f t="shared" si="16"/>
        <v>1846</v>
      </c>
      <c r="AC90" s="139" t="e">
        <f>IF(AA90-$A$1&gt;60,"No","Yes")</f>
        <v>#REF!</v>
      </c>
      <c r="AD90" s="138" t="e">
        <f>AA90-#REF!</f>
        <v>#REF!</v>
      </c>
      <c r="AE90" s="140" t="e">
        <f t="shared" si="18"/>
        <v>#REF!</v>
      </c>
      <c r="AF90" s="184" t="s">
        <v>436</v>
      </c>
      <c r="AG90" s="186" t="s">
        <v>1</v>
      </c>
      <c r="AH90" s="186" t="s">
        <v>1</v>
      </c>
      <c r="AI90" s="187" t="s">
        <v>0</v>
      </c>
      <c r="AJ90" s="11" t="e">
        <f t="shared" si="11"/>
        <v>#REF!</v>
      </c>
      <c r="AK90" s="164" t="s">
        <v>271</v>
      </c>
      <c r="AL90" s="188" t="s">
        <v>640</v>
      </c>
      <c r="AO90" s="197" t="str">
        <f>Table12129[[#This Row],[Risk Location ]]</f>
        <v>India</v>
      </c>
      <c r="AP90" s="198" t="str">
        <f>Table12129[[#This Row],[Sector (GICS Industry Group)]]</f>
        <v>Information Technology - Software &amp; Services</v>
      </c>
      <c r="AS90" s="212" t="e">
        <v>#REF!</v>
      </c>
      <c r="AT90" s="212" t="e">
        <v>#REF!</v>
      </c>
      <c r="AU90" s="212" t="e">
        <v>#REF!</v>
      </c>
      <c r="AV90" s="212"/>
      <c r="AW90" s="212" t="e">
        <v>#REF!</v>
      </c>
      <c r="AX90" s="212">
        <f t="shared" si="10"/>
        <v>0</v>
      </c>
      <c r="BB90" s="212">
        <v>0</v>
      </c>
      <c r="BC90" s="212">
        <v>0</v>
      </c>
      <c r="BD90" s="212">
        <v>0</v>
      </c>
      <c r="BE90" s="212">
        <v>0</v>
      </c>
      <c r="BF90" s="212">
        <v>0</v>
      </c>
      <c r="BG90" s="226">
        <v>0</v>
      </c>
      <c r="BH90" s="226"/>
      <c r="BJ90" s="138" t="s">
        <v>1015</v>
      </c>
      <c r="BK90" s="112"/>
      <c r="BL90" s="58"/>
    </row>
    <row r="91" spans="1:64" ht="39.950000000000003" customHeight="1" x14ac:dyDescent="0.2">
      <c r="A91" s="131" t="s">
        <v>641</v>
      </c>
      <c r="B91" s="132" t="s">
        <v>51</v>
      </c>
      <c r="C91" s="133" t="s">
        <v>38</v>
      </c>
      <c r="D91" s="14" t="s">
        <v>540</v>
      </c>
      <c r="E91" s="161" t="s">
        <v>35</v>
      </c>
      <c r="F91" s="188" t="s">
        <v>475</v>
      </c>
      <c r="G91" s="131" t="s">
        <v>138</v>
      </c>
      <c r="H91" s="66" t="s">
        <v>138</v>
      </c>
      <c r="I91" s="133" t="s">
        <v>638</v>
      </c>
      <c r="J91" s="192" t="s">
        <v>687</v>
      </c>
      <c r="K91" s="168" t="s">
        <v>209</v>
      </c>
      <c r="L91" s="194" t="s">
        <v>191</v>
      </c>
      <c r="M91" s="134" t="s">
        <v>323</v>
      </c>
      <c r="N91" s="167" t="s">
        <v>43</v>
      </c>
      <c r="O91" s="167" t="s">
        <v>538</v>
      </c>
      <c r="P91" s="65" t="s">
        <v>534</v>
      </c>
      <c r="Q91" s="135" t="s">
        <v>9</v>
      </c>
      <c r="R91" s="136" t="e">
        <f>7500/USD</f>
        <v>#REF!</v>
      </c>
      <c r="S91" s="62">
        <v>7500</v>
      </c>
      <c r="T91" s="136" t="e">
        <f>Table12129[[#This Row],[Original Limit (A$)]]</f>
        <v>#REF!</v>
      </c>
      <c r="U91" s="136" t="e">
        <f>15000/USD</f>
        <v>#REF!</v>
      </c>
      <c r="V91" s="136" t="e">
        <f>1083687/USD</f>
        <v>#REF!</v>
      </c>
      <c r="W91" s="147" t="s">
        <v>11</v>
      </c>
      <c r="X91" s="185">
        <v>6.7500000000000004E-2</v>
      </c>
      <c r="Y91" s="137">
        <v>44434</v>
      </c>
      <c r="Z91" s="137">
        <v>45791</v>
      </c>
      <c r="AA91" s="137">
        <v>45821</v>
      </c>
      <c r="AB91" s="138">
        <f t="shared" si="16"/>
        <v>1388</v>
      </c>
      <c r="AC91" s="139" t="e">
        <f t="shared" si="17"/>
        <v>#REF!</v>
      </c>
      <c r="AD91" s="138" t="e">
        <f>AA91-#REF!</f>
        <v>#REF!</v>
      </c>
      <c r="AE91" s="140" t="e">
        <f t="shared" si="18"/>
        <v>#REF!</v>
      </c>
      <c r="AF91" s="184"/>
      <c r="AG91" s="186" t="s">
        <v>1</v>
      </c>
      <c r="AH91" s="186" t="s">
        <v>1</v>
      </c>
      <c r="AI91" s="187" t="s">
        <v>0</v>
      </c>
      <c r="AJ91" s="11" t="e">
        <f t="shared" si="11"/>
        <v>#REF!</v>
      </c>
      <c r="AK91" s="164" t="s">
        <v>271</v>
      </c>
      <c r="AL91" s="188" t="s">
        <v>634</v>
      </c>
      <c r="AO91" s="197" t="str">
        <f>Table12129[[#This Row],[Risk Location ]]</f>
        <v>India</v>
      </c>
      <c r="AP91" s="198" t="str">
        <f>Table12129[[#This Row],[Sector (GICS Industry Group)]]</f>
        <v>Health Care</v>
      </c>
      <c r="AS91" s="212" t="e">
        <v>#REF!</v>
      </c>
      <c r="AT91" s="212" t="e">
        <v>#REF!</v>
      </c>
      <c r="AU91" s="212" t="e">
        <v>#REF!</v>
      </c>
      <c r="AV91" s="212"/>
      <c r="AW91" s="212" t="e">
        <v>#REF!</v>
      </c>
      <c r="AX91" s="212">
        <f t="shared" si="10"/>
        <v>0</v>
      </c>
      <c r="BB91" s="212">
        <v>0</v>
      </c>
      <c r="BC91" s="212">
        <v>0</v>
      </c>
      <c r="BD91" s="212">
        <v>0</v>
      </c>
      <c r="BE91" s="212">
        <v>0</v>
      </c>
      <c r="BF91" s="212">
        <v>0</v>
      </c>
      <c r="BG91" s="226">
        <v>0</v>
      </c>
      <c r="BH91" s="226"/>
      <c r="BJ91" s="138" t="s">
        <v>1018</v>
      </c>
      <c r="BK91" s="112"/>
      <c r="BL91" s="58"/>
    </row>
    <row r="92" spans="1:64" ht="39.950000000000003" customHeight="1" x14ac:dyDescent="0.2">
      <c r="A92" s="131" t="s">
        <v>642</v>
      </c>
      <c r="B92" s="132" t="s">
        <v>67</v>
      </c>
      <c r="C92" s="133" t="s">
        <v>588</v>
      </c>
      <c r="D92" s="188" t="s">
        <v>499</v>
      </c>
      <c r="E92" s="161" t="s">
        <v>643</v>
      </c>
      <c r="F92" s="14" t="s">
        <v>891</v>
      </c>
      <c r="G92" s="66" t="s">
        <v>167</v>
      </c>
      <c r="H92" s="131" t="s">
        <v>167</v>
      </c>
      <c r="I92" s="133" t="s">
        <v>589</v>
      </c>
      <c r="J92" s="192" t="s">
        <v>218</v>
      </c>
      <c r="K92" s="168" t="s">
        <v>209</v>
      </c>
      <c r="L92" s="194" t="s">
        <v>191</v>
      </c>
      <c r="M92" s="134" t="s">
        <v>59</v>
      </c>
      <c r="N92" s="167" t="s">
        <v>43</v>
      </c>
      <c r="O92" s="167" t="s">
        <v>538</v>
      </c>
      <c r="P92" s="65" t="s">
        <v>534</v>
      </c>
      <c r="Q92" s="135" t="s">
        <v>644</v>
      </c>
      <c r="R92" s="136" t="e">
        <f>15000/CAD</f>
        <v>#REF!</v>
      </c>
      <c r="S92" s="62">
        <v>15000</v>
      </c>
      <c r="T92" s="136" t="e">
        <f>Table12129[[#This Row],[Original Limit (A$)]]</f>
        <v>#REF!</v>
      </c>
      <c r="U92" s="136" t="e">
        <f>30000/CAD</f>
        <v>#REF!</v>
      </c>
      <c r="V92" s="136" t="e">
        <f>2011126.25/CAD</f>
        <v>#REF!</v>
      </c>
      <c r="W92" s="147" t="s">
        <v>11</v>
      </c>
      <c r="X92" s="185">
        <v>5.7500000000000002E-2</v>
      </c>
      <c r="Y92" s="137">
        <v>44433</v>
      </c>
      <c r="Z92" s="137">
        <v>46142</v>
      </c>
      <c r="AA92" s="137">
        <f>Table12129[[#This Row],[Expiry Date]]+21</f>
        <v>46163</v>
      </c>
      <c r="AB92" s="138">
        <f t="shared" si="16"/>
        <v>1731</v>
      </c>
      <c r="AC92" s="139" t="e">
        <f t="shared" si="17"/>
        <v>#REF!</v>
      </c>
      <c r="AD92" s="138" t="e">
        <f>AA92-#REF!</f>
        <v>#REF!</v>
      </c>
      <c r="AE92" s="140" t="e">
        <f t="shared" si="18"/>
        <v>#REF!</v>
      </c>
      <c r="AF92" s="184"/>
      <c r="AG92" s="186" t="s">
        <v>1</v>
      </c>
      <c r="AH92" s="186" t="s">
        <v>1</v>
      </c>
      <c r="AI92" s="187" t="s">
        <v>0</v>
      </c>
      <c r="AJ92" s="11" t="e">
        <f t="shared" si="11"/>
        <v>#REF!</v>
      </c>
      <c r="AK92" s="164" t="s">
        <v>271</v>
      </c>
      <c r="AL92" s="188" t="s">
        <v>635</v>
      </c>
      <c r="AO92" s="197" t="str">
        <f>Table12129[[#This Row],[Risk Location ]]</f>
        <v>Canada</v>
      </c>
      <c r="AP92" s="198" t="str">
        <f>Table12129[[#This Row],[Sector (GICS Industry Group)]]</f>
        <v>Information Technology - Hardware &amp; Equipment</v>
      </c>
      <c r="AS92" s="212" t="e">
        <v>#REF!</v>
      </c>
      <c r="AT92" s="212" t="e">
        <v>#REF!</v>
      </c>
      <c r="AU92" s="212" t="e">
        <v>#REF!</v>
      </c>
      <c r="AV92" s="212"/>
      <c r="AW92" s="212" t="e">
        <v>#REF!</v>
      </c>
      <c r="AX92" s="212">
        <f t="shared" si="10"/>
        <v>0</v>
      </c>
      <c r="BB92" s="212">
        <v>0</v>
      </c>
      <c r="BC92" s="212">
        <v>0</v>
      </c>
      <c r="BD92" s="212">
        <v>0</v>
      </c>
      <c r="BE92" s="212">
        <v>0</v>
      </c>
      <c r="BF92" s="212">
        <v>0</v>
      </c>
      <c r="BG92" s="226">
        <v>0</v>
      </c>
      <c r="BH92" s="226"/>
      <c r="BJ92" s="138" t="s">
        <v>1019</v>
      </c>
      <c r="BK92" s="112"/>
      <c r="BL92" s="58"/>
    </row>
    <row r="93" spans="1:64" ht="39.950000000000003" customHeight="1" x14ac:dyDescent="0.2">
      <c r="A93" s="131" t="s">
        <v>646</v>
      </c>
      <c r="B93" s="132" t="s">
        <v>67</v>
      </c>
      <c r="C93" s="133" t="s">
        <v>38</v>
      </c>
      <c r="D93" s="14" t="s">
        <v>540</v>
      </c>
      <c r="E93" s="161" t="s">
        <v>35</v>
      </c>
      <c r="F93" s="14" t="s">
        <v>892</v>
      </c>
      <c r="G93" s="188" t="s">
        <v>259</v>
      </c>
      <c r="H93" s="188" t="s">
        <v>258</v>
      </c>
      <c r="I93" s="133" t="s">
        <v>142</v>
      </c>
      <c r="J93" s="192" t="s">
        <v>218</v>
      </c>
      <c r="K93" s="168" t="s">
        <v>209</v>
      </c>
      <c r="L93" s="194" t="s">
        <v>191</v>
      </c>
      <c r="M93" s="134" t="s">
        <v>323</v>
      </c>
      <c r="N93" s="167" t="s">
        <v>43</v>
      </c>
      <c r="O93" s="167" t="s">
        <v>538</v>
      </c>
      <c r="P93" s="65" t="s">
        <v>534</v>
      </c>
      <c r="Q93" s="135" t="s">
        <v>9</v>
      </c>
      <c r="R93" s="136" t="e">
        <f>6900/USD</f>
        <v>#REF!</v>
      </c>
      <c r="S93" s="62">
        <v>6146.2755399999996</v>
      </c>
      <c r="T93" s="136" t="e">
        <f>Table12129[[#This Row],[Amortised Limit in Original Currency]]/USD</f>
        <v>#REF!</v>
      </c>
      <c r="U93" s="136" t="e">
        <f>13800/USD</f>
        <v>#REF!</v>
      </c>
      <c r="V93" s="136" t="e">
        <f>579263.43/USD</f>
        <v>#REF!</v>
      </c>
      <c r="W93" s="147" t="s">
        <v>11</v>
      </c>
      <c r="X93" s="185">
        <v>0.04</v>
      </c>
      <c r="Y93" s="137">
        <v>44441</v>
      </c>
      <c r="Z93" s="137">
        <v>46217</v>
      </c>
      <c r="AA93" s="137">
        <v>46217</v>
      </c>
      <c r="AB93" s="138">
        <f t="shared" si="16"/>
        <v>1777</v>
      </c>
      <c r="AC93" s="139" t="e">
        <f t="shared" si="17"/>
        <v>#REF!</v>
      </c>
      <c r="AD93" s="138" t="e">
        <f>AA93-#REF!</f>
        <v>#REF!</v>
      </c>
      <c r="AE93" s="140" t="e">
        <f t="shared" si="18"/>
        <v>#REF!</v>
      </c>
      <c r="AF93" s="184"/>
      <c r="AG93" s="186" t="s">
        <v>1</v>
      </c>
      <c r="AH93" s="186" t="s">
        <v>1</v>
      </c>
      <c r="AI93" s="187" t="s">
        <v>0</v>
      </c>
      <c r="AJ93" s="11" t="e">
        <f t="shared" si="11"/>
        <v>#REF!</v>
      </c>
      <c r="AK93" s="164" t="s">
        <v>271</v>
      </c>
      <c r="AL93" s="188" t="s">
        <v>645</v>
      </c>
      <c r="AO93" s="197" t="str">
        <f>Table12129[[#This Row],[Risk Location ]]</f>
        <v>India</v>
      </c>
      <c r="AP93" s="198" t="str">
        <f>Table12129[[#This Row],[Sector (GICS Industry Group)]]</f>
        <v>Information Technology - Software &amp; Services</v>
      </c>
      <c r="AS93" s="212" t="e">
        <v>#REF!</v>
      </c>
      <c r="AT93" s="212" t="e">
        <v>#REF!</v>
      </c>
      <c r="AU93" s="212" t="e">
        <v>#REF!</v>
      </c>
      <c r="AV93" s="212"/>
      <c r="AW93" s="212" t="e">
        <v>#REF!</v>
      </c>
      <c r="AX93" s="212">
        <f t="shared" si="10"/>
        <v>0</v>
      </c>
      <c r="BB93" s="212">
        <v>0</v>
      </c>
      <c r="BC93" s="212">
        <v>0</v>
      </c>
      <c r="BD93" s="212">
        <v>0</v>
      </c>
      <c r="BE93" s="212">
        <v>0</v>
      </c>
      <c r="BF93" s="212">
        <v>0</v>
      </c>
      <c r="BG93" s="226">
        <v>0</v>
      </c>
      <c r="BH93" s="226"/>
      <c r="BJ93" s="138" t="s">
        <v>1020</v>
      </c>
      <c r="BK93" s="112"/>
      <c r="BL93" s="58"/>
    </row>
    <row r="94" spans="1:64" ht="39.950000000000003" customHeight="1" x14ac:dyDescent="0.2">
      <c r="A94" s="131" t="s">
        <v>647</v>
      </c>
      <c r="B94" s="132" t="s">
        <v>243</v>
      </c>
      <c r="C94" s="133" t="s">
        <v>38</v>
      </c>
      <c r="D94" s="14" t="s">
        <v>540</v>
      </c>
      <c r="E94" s="161" t="s">
        <v>36</v>
      </c>
      <c r="F94" s="14" t="s">
        <v>102</v>
      </c>
      <c r="G94" s="14" t="s">
        <v>102</v>
      </c>
      <c r="H94" s="130" t="s">
        <v>473</v>
      </c>
      <c r="I94" s="133" t="s">
        <v>142</v>
      </c>
      <c r="J94" s="192" t="s">
        <v>218</v>
      </c>
      <c r="K94" s="168" t="s">
        <v>101</v>
      </c>
      <c r="L94" s="194" t="s">
        <v>191</v>
      </c>
      <c r="M94" s="134" t="s">
        <v>323</v>
      </c>
      <c r="N94" s="167" t="s">
        <v>43</v>
      </c>
      <c r="O94" s="167" t="s">
        <v>538</v>
      </c>
      <c r="P94" s="65" t="s">
        <v>534</v>
      </c>
      <c r="Q94" s="135" t="s">
        <v>9</v>
      </c>
      <c r="R94" s="136" t="e">
        <f>15000/USD</f>
        <v>#REF!</v>
      </c>
      <c r="S94" s="62">
        <v>15000</v>
      </c>
      <c r="T94" s="136" t="e">
        <f>Table12129[[#This Row],[Original Limit (A$)]]</f>
        <v>#REF!</v>
      </c>
      <c r="U94" s="136" t="e">
        <f>103000/USD</f>
        <v>#REF!</v>
      </c>
      <c r="V94" s="136" t="e">
        <f>552604.16/USD</f>
        <v>#REF!</v>
      </c>
      <c r="W94" s="147" t="s">
        <v>11</v>
      </c>
      <c r="X94" s="185">
        <v>2.5000000000000001E-2</v>
      </c>
      <c r="Y94" s="137">
        <v>44441</v>
      </c>
      <c r="Z94" s="137">
        <v>45516</v>
      </c>
      <c r="AA94" s="137">
        <v>45516</v>
      </c>
      <c r="AB94" s="138">
        <f t="shared" si="16"/>
        <v>1076</v>
      </c>
      <c r="AC94" s="139" t="e">
        <f t="shared" si="17"/>
        <v>#REF!</v>
      </c>
      <c r="AD94" s="138" t="e">
        <f>AA94-#REF!</f>
        <v>#REF!</v>
      </c>
      <c r="AE94" s="140" t="e">
        <f t="shared" si="18"/>
        <v>#REF!</v>
      </c>
      <c r="AF94" s="184"/>
      <c r="AG94" s="186" t="s">
        <v>1</v>
      </c>
      <c r="AH94" s="186" t="s">
        <v>1</v>
      </c>
      <c r="AI94" s="187" t="s">
        <v>0</v>
      </c>
      <c r="AJ94" s="11" t="e">
        <f t="shared" si="11"/>
        <v>#REF!</v>
      </c>
      <c r="AK94" s="164" t="s">
        <v>271</v>
      </c>
      <c r="AL94" s="188" t="s">
        <v>648</v>
      </c>
      <c r="AO94" s="197" t="str">
        <f>Table12129[[#This Row],[Risk Location ]]</f>
        <v>China</v>
      </c>
      <c r="AP94" s="198" t="str">
        <f>Table12129[[#This Row],[Sector (GICS Industry Group)]]</f>
        <v>Real Estate Investment</v>
      </c>
      <c r="AS94" s="212" t="e">
        <v>#REF!</v>
      </c>
      <c r="AT94" s="212" t="e">
        <v>#REF!</v>
      </c>
      <c r="AU94" s="212" t="e">
        <v>#REF!</v>
      </c>
      <c r="AV94" s="212"/>
      <c r="AW94" s="212" t="e">
        <v>#REF!</v>
      </c>
      <c r="AX94" s="212">
        <f t="shared" si="10"/>
        <v>0</v>
      </c>
      <c r="BB94" s="212">
        <v>0</v>
      </c>
      <c r="BC94" s="212">
        <v>0</v>
      </c>
      <c r="BD94" s="212">
        <v>0</v>
      </c>
      <c r="BE94" s="212">
        <v>0</v>
      </c>
      <c r="BF94" s="212">
        <v>0</v>
      </c>
      <c r="BG94" s="226">
        <v>0</v>
      </c>
      <c r="BH94" s="226"/>
      <c r="BJ94" s="138" t="s">
        <v>1021</v>
      </c>
      <c r="BK94" s="112"/>
      <c r="BL94" s="58"/>
    </row>
    <row r="95" spans="1:64" ht="39.950000000000003" customHeight="1" x14ac:dyDescent="0.2">
      <c r="A95" s="131" t="s">
        <v>655</v>
      </c>
      <c r="B95" s="132" t="s">
        <v>23</v>
      </c>
      <c r="C95" s="133" t="s">
        <v>34</v>
      </c>
      <c r="D95" s="188" t="s">
        <v>34</v>
      </c>
      <c r="E95" s="161" t="s">
        <v>34</v>
      </c>
      <c r="F95" s="188" t="s">
        <v>475</v>
      </c>
      <c r="G95" s="131" t="s">
        <v>227</v>
      </c>
      <c r="H95" s="14" t="s">
        <v>228</v>
      </c>
      <c r="I95" s="133" t="s">
        <v>656</v>
      </c>
      <c r="J95" s="192" t="s">
        <v>656</v>
      </c>
      <c r="K95" s="168" t="s">
        <v>209</v>
      </c>
      <c r="L95" s="194" t="s">
        <v>191</v>
      </c>
      <c r="M95" s="134" t="s">
        <v>323</v>
      </c>
      <c r="N95" s="167" t="s">
        <v>43</v>
      </c>
      <c r="O95" s="167" t="s">
        <v>531</v>
      </c>
      <c r="P95" s="65" t="s">
        <v>534</v>
      </c>
      <c r="Q95" s="135" t="s">
        <v>8</v>
      </c>
      <c r="R95" s="136">
        <v>15000</v>
      </c>
      <c r="S95" s="62">
        <f>15000+10000</f>
        <v>25000</v>
      </c>
      <c r="T95" s="136">
        <f>Table12129[[#This Row],[Amortised Limit in Original Currency]]</f>
        <v>25000</v>
      </c>
      <c r="U95" s="136">
        <v>72688</v>
      </c>
      <c r="V95" s="136">
        <v>1465806.08</v>
      </c>
      <c r="W95" s="147" t="s">
        <v>11</v>
      </c>
      <c r="X95" s="185">
        <v>3.5000000000000003E-2</v>
      </c>
      <c r="Y95" s="137">
        <v>44466</v>
      </c>
      <c r="Z95" s="137">
        <v>45473</v>
      </c>
      <c r="AA95" s="137">
        <v>45473</v>
      </c>
      <c r="AB95" s="138">
        <f t="shared" si="16"/>
        <v>1008</v>
      </c>
      <c r="AC95" s="139" t="e">
        <f t="shared" si="17"/>
        <v>#REF!</v>
      </c>
      <c r="AD95" s="138" t="e">
        <f>AA95-#REF!</f>
        <v>#REF!</v>
      </c>
      <c r="AE95" s="140" t="e">
        <f t="shared" si="18"/>
        <v>#REF!</v>
      </c>
      <c r="AF95" s="184" t="s">
        <v>436</v>
      </c>
      <c r="AG95" s="186" t="s">
        <v>1</v>
      </c>
      <c r="AH95" s="186" t="s">
        <v>1</v>
      </c>
      <c r="AI95" s="187" t="s">
        <v>0</v>
      </c>
      <c r="AJ95" s="143" t="e">
        <f t="shared" si="11"/>
        <v>#REF!</v>
      </c>
      <c r="AK95" s="164" t="s">
        <v>271</v>
      </c>
      <c r="AL95" s="188" t="s">
        <v>650</v>
      </c>
      <c r="AO95" s="197" t="str">
        <f>Table12129[[#This Row],[Risk Location ]]</f>
        <v>Australia</v>
      </c>
      <c r="AP95" s="198" t="str">
        <f>Table12129[[#This Row],[Sector (GICS Industry Group)]]</f>
        <v>Health Care</v>
      </c>
      <c r="AS95" s="212" t="e">
        <v>#REF!</v>
      </c>
      <c r="AT95" s="212" t="e">
        <v>#REF!</v>
      </c>
      <c r="AU95" s="212" t="e">
        <v>#REF!</v>
      </c>
      <c r="AV95" s="212"/>
      <c r="AW95" s="212" t="e">
        <v>#REF!</v>
      </c>
      <c r="AX95" s="212">
        <f t="shared" si="10"/>
        <v>0</v>
      </c>
      <c r="BB95" s="212">
        <v>0</v>
      </c>
      <c r="BC95" s="212">
        <v>0</v>
      </c>
      <c r="BD95" s="212">
        <v>0</v>
      </c>
      <c r="BE95" s="212">
        <v>0</v>
      </c>
      <c r="BF95" s="212">
        <v>0</v>
      </c>
      <c r="BG95" s="226">
        <v>0</v>
      </c>
      <c r="BH95" s="226"/>
      <c r="BJ95" s="138" t="s">
        <v>1022</v>
      </c>
      <c r="BK95" s="112"/>
      <c r="BL95" s="58"/>
    </row>
    <row r="96" spans="1:64" s="229" customFormat="1" ht="39.950000000000003" customHeight="1" x14ac:dyDescent="0.2">
      <c r="A96" s="131" t="s">
        <v>76</v>
      </c>
      <c r="B96" s="270" t="s">
        <v>51</v>
      </c>
      <c r="C96" s="133" t="s">
        <v>34</v>
      </c>
      <c r="D96" s="131" t="s">
        <v>34</v>
      </c>
      <c r="E96" s="161" t="s">
        <v>34</v>
      </c>
      <c r="F96" s="131" t="s">
        <v>104</v>
      </c>
      <c r="G96" s="131" t="s">
        <v>111</v>
      </c>
      <c r="H96" s="133" t="s">
        <v>112</v>
      </c>
      <c r="I96" s="133" t="s">
        <v>232</v>
      </c>
      <c r="J96" s="131" t="s">
        <v>21</v>
      </c>
      <c r="K96" s="269" t="s">
        <v>29</v>
      </c>
      <c r="L96" s="270" t="s">
        <v>191</v>
      </c>
      <c r="M96" s="269" t="s">
        <v>323</v>
      </c>
      <c r="N96" s="269" t="s">
        <v>43</v>
      </c>
      <c r="O96" s="167" t="s">
        <v>533</v>
      </c>
      <c r="P96" s="167" t="s">
        <v>548</v>
      </c>
      <c r="Q96" s="135" t="s">
        <v>9</v>
      </c>
      <c r="R96" s="136" t="e">
        <f>20000/USD</f>
        <v>#REF!</v>
      </c>
      <c r="S96" s="62">
        <v>20000</v>
      </c>
      <c r="T96" s="136" t="e">
        <f>Table12129[[#This Row],[Original Limit (A$)]]</f>
        <v>#REF!</v>
      </c>
      <c r="U96" s="136" t="e">
        <f>74300/USD</f>
        <v>#REF!</v>
      </c>
      <c r="V96" s="136" t="e">
        <f>818102.59/USD</f>
        <v>#REF!</v>
      </c>
      <c r="W96" s="147" t="s">
        <v>11</v>
      </c>
      <c r="X96" s="185">
        <v>1.9E-2</v>
      </c>
      <c r="Y96" s="137">
        <v>44470</v>
      </c>
      <c r="Z96" s="137">
        <v>46203</v>
      </c>
      <c r="AA96" s="137">
        <v>46203</v>
      </c>
      <c r="AB96" s="138">
        <f t="shared" si="16"/>
        <v>1734</v>
      </c>
      <c r="AC96" s="139" t="e">
        <f t="shared" si="17"/>
        <v>#REF!</v>
      </c>
      <c r="AD96" s="138" t="e">
        <f>AA96-#REF!</f>
        <v>#REF!</v>
      </c>
      <c r="AE96" s="140" t="e">
        <f t="shared" si="18"/>
        <v>#REF!</v>
      </c>
      <c r="AF96" s="184" t="s">
        <v>436</v>
      </c>
      <c r="AG96" s="186" t="s">
        <v>1</v>
      </c>
      <c r="AH96" s="186" t="s">
        <v>1</v>
      </c>
      <c r="AI96" s="187" t="s">
        <v>0</v>
      </c>
      <c r="AJ96" s="164" t="e">
        <f t="shared" si="11"/>
        <v>#REF!</v>
      </c>
      <c r="AK96" s="164" t="s">
        <v>271</v>
      </c>
      <c r="AL96" s="188" t="s">
        <v>651</v>
      </c>
      <c r="AO96" s="197" t="str">
        <f>Table12129[[#This Row],[Risk Location ]]</f>
        <v>Australia</v>
      </c>
      <c r="AP96" s="198" t="str">
        <f>Table12129[[#This Row],[Sector (GICS Industry Group)]]</f>
        <v>Materials</v>
      </c>
      <c r="AS96" s="212" t="e">
        <v>#REF!</v>
      </c>
      <c r="AT96" s="212" t="e">
        <v>#REF!</v>
      </c>
      <c r="AU96" s="212" t="e">
        <v>#REF!</v>
      </c>
      <c r="AV96" s="278"/>
      <c r="AW96" s="212" t="e">
        <v>#REF!</v>
      </c>
      <c r="AX96" s="212">
        <f t="shared" si="10"/>
        <v>0</v>
      </c>
      <c r="BB96" s="278">
        <v>0</v>
      </c>
      <c r="BC96" s="278">
        <v>0</v>
      </c>
      <c r="BD96" s="278">
        <v>0</v>
      </c>
      <c r="BE96" s="278">
        <v>0</v>
      </c>
      <c r="BF96" s="278">
        <v>0</v>
      </c>
      <c r="BG96" s="226">
        <v>0</v>
      </c>
      <c r="BH96" s="226"/>
      <c r="BJ96" s="138" t="s">
        <v>1023</v>
      </c>
      <c r="BK96" s="276"/>
      <c r="BL96" s="272"/>
    </row>
    <row r="97" spans="1:64" ht="39.950000000000003" customHeight="1" x14ac:dyDescent="0.2">
      <c r="A97" s="131" t="s">
        <v>678</v>
      </c>
      <c r="B97" s="132" t="s">
        <v>67</v>
      </c>
      <c r="C97" s="133" t="s">
        <v>127</v>
      </c>
      <c r="D97" s="131" t="s">
        <v>542</v>
      </c>
      <c r="E97" s="161" t="s">
        <v>308</v>
      </c>
      <c r="F97" s="14" t="s">
        <v>891</v>
      </c>
      <c r="G97" s="66" t="s">
        <v>167</v>
      </c>
      <c r="H97" s="131" t="s">
        <v>167</v>
      </c>
      <c r="I97" s="133" t="s">
        <v>677</v>
      </c>
      <c r="J97" s="192" t="s">
        <v>218</v>
      </c>
      <c r="K97" s="168" t="s">
        <v>209</v>
      </c>
      <c r="L97" s="65" t="s">
        <v>191</v>
      </c>
      <c r="M97" s="134" t="s">
        <v>59</v>
      </c>
      <c r="N97" s="13" t="s">
        <v>43</v>
      </c>
      <c r="O97" s="167" t="s">
        <v>538</v>
      </c>
      <c r="P97" s="65" t="s">
        <v>534</v>
      </c>
      <c r="Q97" s="135" t="s">
        <v>487</v>
      </c>
      <c r="R97" s="136" t="e">
        <f>(141285.69235+28257.15382)/NOK + 28914.29694/SEK</f>
        <v>#REF!</v>
      </c>
      <c r="S97" s="62">
        <f>(141285.69235+28257.15382) + 28914.29694</f>
        <v>198457.14311</v>
      </c>
      <c r="T97" s="136" t="e">
        <f>Table12129[[#This Row],[Original Limit (A$)]]</f>
        <v>#REF!</v>
      </c>
      <c r="U97" s="136" t="e">
        <f>(282571.38471+56514.30765)/NOK+57828.59387/SEK</f>
        <v>#REF!</v>
      </c>
      <c r="V97" s="136" t="e">
        <f>12175517.3625891/NOK+728511.61/SEK</f>
        <v>#REF!</v>
      </c>
      <c r="W97" s="147" t="s">
        <v>11</v>
      </c>
      <c r="X97" s="185">
        <v>0.03</v>
      </c>
      <c r="Y97" s="137">
        <v>44476</v>
      </c>
      <c r="Z97" s="137">
        <v>46251</v>
      </c>
      <c r="AA97" s="137">
        <f>Table12129[[#This Row],[Expiry Date]]+5</f>
        <v>46256</v>
      </c>
      <c r="AB97" s="138">
        <f t="shared" si="16"/>
        <v>1781</v>
      </c>
      <c r="AC97" s="139" t="e">
        <f t="shared" si="17"/>
        <v>#REF!</v>
      </c>
      <c r="AD97" s="138" t="e">
        <f>AA97-#REF!</f>
        <v>#REF!</v>
      </c>
      <c r="AE97" s="140" t="e">
        <f t="shared" si="18"/>
        <v>#REF!</v>
      </c>
      <c r="AF97" s="184" t="s">
        <v>436</v>
      </c>
      <c r="AG97" s="186" t="s">
        <v>1</v>
      </c>
      <c r="AH97" s="186" t="s">
        <v>1</v>
      </c>
      <c r="AI97" s="187" t="s">
        <v>0</v>
      </c>
      <c r="AJ97" s="143" t="e">
        <f t="shared" si="11"/>
        <v>#REF!</v>
      </c>
      <c r="AK97" s="164" t="s">
        <v>271</v>
      </c>
      <c r="AL97" s="188" t="s">
        <v>673</v>
      </c>
      <c r="AO97" s="197" t="str">
        <f>Table12129[[#This Row],[Risk Location ]]</f>
        <v>Norway</v>
      </c>
      <c r="AP97" s="198" t="str">
        <f>Table12129[[#This Row],[Sector (GICS Industry Group)]]</f>
        <v>Information Technology - Hardware &amp; Equipment</v>
      </c>
      <c r="AS97" s="212" t="e">
        <v>#REF!</v>
      </c>
      <c r="AT97" s="212" t="e">
        <v>#REF!</v>
      </c>
      <c r="AU97" s="212" t="e">
        <v>#REF!</v>
      </c>
      <c r="AV97" s="212"/>
      <c r="AW97" s="212" t="e">
        <v>#REF!</v>
      </c>
      <c r="AX97" s="212">
        <f t="shared" si="10"/>
        <v>0</v>
      </c>
      <c r="BB97" s="212">
        <v>0</v>
      </c>
      <c r="BC97" s="212">
        <v>0</v>
      </c>
      <c r="BD97" s="212">
        <v>0</v>
      </c>
      <c r="BE97" s="212">
        <v>0</v>
      </c>
      <c r="BF97" s="212">
        <v>0</v>
      </c>
      <c r="BG97" s="226"/>
      <c r="BH97" s="226"/>
      <c r="BJ97" s="138" t="s">
        <v>1024</v>
      </c>
      <c r="BK97" s="112"/>
      <c r="BL97" s="58"/>
    </row>
    <row r="98" spans="1:64" ht="39.950000000000003" customHeight="1" x14ac:dyDescent="0.2">
      <c r="A98" s="131" t="s">
        <v>679</v>
      </c>
      <c r="B98" s="132" t="s">
        <v>243</v>
      </c>
      <c r="C98" s="133" t="s">
        <v>588</v>
      </c>
      <c r="D98" s="131" t="s">
        <v>542</v>
      </c>
      <c r="E98" s="161" t="s">
        <v>87</v>
      </c>
      <c r="F98" s="131" t="s">
        <v>48</v>
      </c>
      <c r="G98" s="131" t="s">
        <v>95</v>
      </c>
      <c r="H98" s="130" t="s">
        <v>447</v>
      </c>
      <c r="I98" s="133" t="s">
        <v>681</v>
      </c>
      <c r="J98" s="133" t="s">
        <v>680</v>
      </c>
      <c r="K98" s="168" t="s">
        <v>209</v>
      </c>
      <c r="L98" s="65" t="s">
        <v>191</v>
      </c>
      <c r="M98" s="134" t="s">
        <v>59</v>
      </c>
      <c r="N98" s="13" t="s">
        <v>43</v>
      </c>
      <c r="O98" s="167" t="s">
        <v>538</v>
      </c>
      <c r="P98" s="65" t="s">
        <v>534</v>
      </c>
      <c r="Q98" s="135" t="s">
        <v>9</v>
      </c>
      <c r="R98" s="136" t="e">
        <f>10000/USD</f>
        <v>#REF!</v>
      </c>
      <c r="S98" s="62">
        <f>10000+5000</f>
        <v>15000</v>
      </c>
      <c r="T98" s="136" t="e">
        <f>Table12129[[#This Row],[Amortised Limit in Original Currency]]/USD</f>
        <v>#REF!</v>
      </c>
      <c r="U98" s="136" t="e">
        <f>285000/USD</f>
        <v>#REF!</v>
      </c>
      <c r="V98" s="136" t="e">
        <f>659367.81/USD</f>
        <v>#REF!</v>
      </c>
      <c r="W98" s="147" t="s">
        <v>11</v>
      </c>
      <c r="X98" s="185">
        <v>3.2500000000000001E-2</v>
      </c>
      <c r="Y98" s="137">
        <v>44491</v>
      </c>
      <c r="Z98" s="137">
        <v>46714</v>
      </c>
      <c r="AA98" s="137">
        <v>46714</v>
      </c>
      <c r="AB98" s="138">
        <f t="shared" si="16"/>
        <v>2224</v>
      </c>
      <c r="AC98" s="139" t="e">
        <f t="shared" si="17"/>
        <v>#REF!</v>
      </c>
      <c r="AD98" s="138" t="e">
        <f>AA98-#REF!</f>
        <v>#REF!</v>
      </c>
      <c r="AE98" s="140" t="e">
        <f t="shared" si="18"/>
        <v>#REF!</v>
      </c>
      <c r="AF98" s="184"/>
      <c r="AG98" s="186" t="s">
        <v>1</v>
      </c>
      <c r="AH98" s="186" t="s">
        <v>1</v>
      </c>
      <c r="AI98" s="187" t="s">
        <v>818</v>
      </c>
      <c r="AJ98" s="143" t="e">
        <f t="shared" si="11"/>
        <v>#REF!</v>
      </c>
      <c r="AK98" s="164" t="s">
        <v>271</v>
      </c>
      <c r="AL98" s="188" t="s">
        <v>674</v>
      </c>
      <c r="AO98" s="197" t="str">
        <f>Table12129[[#This Row],[Risk Location ]]</f>
        <v>United Kingdom</v>
      </c>
      <c r="AP98" s="198" t="str">
        <f>Table12129[[#This Row],[Sector (GICS Industry Group)]]</f>
        <v>Energy</v>
      </c>
      <c r="AS98" s="212" t="e">
        <v>#REF!</v>
      </c>
      <c r="AT98" s="212" t="e">
        <v>#REF!</v>
      </c>
      <c r="AU98" s="212" t="e">
        <v>#REF!</v>
      </c>
      <c r="AV98" s="212"/>
      <c r="AW98" s="212" t="e">
        <v>#REF!</v>
      </c>
      <c r="AX98" s="212">
        <f t="shared" si="10"/>
        <v>0</v>
      </c>
      <c r="BB98" s="212">
        <v>0</v>
      </c>
      <c r="BC98" s="212">
        <v>0</v>
      </c>
      <c r="BD98" s="212">
        <v>0</v>
      </c>
      <c r="BE98" s="212">
        <v>0</v>
      </c>
      <c r="BF98" s="212">
        <v>0</v>
      </c>
      <c r="BG98" s="226"/>
      <c r="BH98" s="226"/>
      <c r="BJ98" s="138" t="s">
        <v>1025</v>
      </c>
      <c r="BK98" s="112"/>
      <c r="BL98" s="58"/>
    </row>
    <row r="99" spans="1:64" ht="39.950000000000003" customHeight="1" x14ac:dyDescent="0.2">
      <c r="A99" s="131" t="s">
        <v>693</v>
      </c>
      <c r="B99" s="132" t="s">
        <v>24</v>
      </c>
      <c r="C99" s="133" t="s">
        <v>34</v>
      </c>
      <c r="D99" s="131" t="s">
        <v>34</v>
      </c>
      <c r="E99" s="161" t="s">
        <v>34</v>
      </c>
      <c r="F99" s="131" t="s">
        <v>475</v>
      </c>
      <c r="G99" s="131" t="s">
        <v>227</v>
      </c>
      <c r="H99" s="14" t="s">
        <v>228</v>
      </c>
      <c r="I99" s="133" t="s">
        <v>70</v>
      </c>
      <c r="J99" s="192" t="s">
        <v>218</v>
      </c>
      <c r="K99" s="168" t="s">
        <v>209</v>
      </c>
      <c r="L99" s="65" t="s">
        <v>191</v>
      </c>
      <c r="M99" s="134" t="s">
        <v>323</v>
      </c>
      <c r="N99" s="13" t="s">
        <v>43</v>
      </c>
      <c r="O99" s="167" t="s">
        <v>538</v>
      </c>
      <c r="P99" s="65" t="s">
        <v>534</v>
      </c>
      <c r="Q99" s="135" t="s">
        <v>8</v>
      </c>
      <c r="R99" s="136">
        <v>15000</v>
      </c>
      <c r="S99" s="62">
        <v>15000</v>
      </c>
      <c r="T99" s="136">
        <f>Table12129[[#This Row],[Original Limit (A$)]]</f>
        <v>15000</v>
      </c>
      <c r="U99" s="136">
        <v>41500</v>
      </c>
      <c r="V99" s="136">
        <v>1397273.98</v>
      </c>
      <c r="W99" s="147" t="s">
        <v>11</v>
      </c>
      <c r="X99" s="185">
        <v>0.04</v>
      </c>
      <c r="Y99" s="137">
        <v>44515</v>
      </c>
      <c r="Z99" s="137">
        <v>46309</v>
      </c>
      <c r="AA99" s="137">
        <v>46320</v>
      </c>
      <c r="AB99" s="138">
        <f t="shared" si="16"/>
        <v>1806</v>
      </c>
      <c r="AC99" s="139" t="e">
        <f t="shared" si="17"/>
        <v>#REF!</v>
      </c>
      <c r="AD99" s="138" t="e">
        <f>AA99-#REF!</f>
        <v>#REF!</v>
      </c>
      <c r="AE99" s="140" t="e">
        <f t="shared" si="18"/>
        <v>#REF!</v>
      </c>
      <c r="AF99" s="184"/>
      <c r="AG99" s="186" t="s">
        <v>1</v>
      </c>
      <c r="AH99" s="186" t="s">
        <v>1</v>
      </c>
      <c r="AI99" s="187" t="s">
        <v>0</v>
      </c>
      <c r="AJ99" s="143" t="e">
        <f t="shared" si="11"/>
        <v>#REF!</v>
      </c>
      <c r="AK99" s="164" t="s">
        <v>271</v>
      </c>
      <c r="AL99" s="188" t="s">
        <v>689</v>
      </c>
      <c r="AO99" s="197" t="str">
        <f>Table12129[[#This Row],[Risk Location ]]</f>
        <v>Australia</v>
      </c>
      <c r="AP99" s="198" t="str">
        <f>Table12129[[#This Row],[Sector (GICS Industry Group)]]</f>
        <v>Health Care</v>
      </c>
      <c r="AS99" s="212" t="e">
        <v>#REF!</v>
      </c>
      <c r="AT99" s="212" t="e">
        <v>#REF!</v>
      </c>
      <c r="AU99" s="212" t="e">
        <v>#REF!</v>
      </c>
      <c r="AV99" s="212"/>
      <c r="AW99" s="212" t="e">
        <v>#REF!</v>
      </c>
      <c r="AX99" s="212">
        <f t="shared" si="10"/>
        <v>0</v>
      </c>
      <c r="BB99" s="212">
        <v>0</v>
      </c>
      <c r="BC99" s="212">
        <v>0</v>
      </c>
      <c r="BD99" s="212">
        <v>0</v>
      </c>
      <c r="BE99" s="212">
        <v>0</v>
      </c>
      <c r="BF99" s="212">
        <v>0</v>
      </c>
      <c r="BG99" s="226"/>
      <c r="BH99" s="226"/>
      <c r="BJ99" s="138" t="s">
        <v>1026</v>
      </c>
      <c r="BK99" s="112"/>
      <c r="BL99" s="58"/>
    </row>
    <row r="100" spans="1:64" ht="39.950000000000003" customHeight="1" x14ac:dyDescent="0.2">
      <c r="A100" s="131" t="s">
        <v>694</v>
      </c>
      <c r="B100" s="132" t="s">
        <v>51</v>
      </c>
      <c r="C100" s="133" t="s">
        <v>38</v>
      </c>
      <c r="D100" s="14" t="s">
        <v>541</v>
      </c>
      <c r="E100" s="161" t="s">
        <v>38</v>
      </c>
      <c r="F100" s="14" t="s">
        <v>173</v>
      </c>
      <c r="G100" s="66" t="s">
        <v>316</v>
      </c>
      <c r="H100" s="66" t="s">
        <v>197</v>
      </c>
      <c r="I100" s="14" t="s">
        <v>50</v>
      </c>
      <c r="J100" s="77" t="s">
        <v>21</v>
      </c>
      <c r="K100" s="168" t="s">
        <v>209</v>
      </c>
      <c r="L100" s="65" t="s">
        <v>191</v>
      </c>
      <c r="M100" s="134" t="s">
        <v>323</v>
      </c>
      <c r="N100" s="13" t="s">
        <v>43</v>
      </c>
      <c r="O100" s="167" t="s">
        <v>531</v>
      </c>
      <c r="P100" s="65" t="s">
        <v>534</v>
      </c>
      <c r="Q100" s="135" t="s">
        <v>9</v>
      </c>
      <c r="R100" s="136" t="e">
        <f>4750/USD</f>
        <v>#REF!</v>
      </c>
      <c r="S100" s="62">
        <v>4750</v>
      </c>
      <c r="T100" s="136" t="e">
        <f>Table12129[[#This Row],[Original Limit (A$)]]</f>
        <v>#REF!</v>
      </c>
      <c r="U100" s="136" t="e">
        <f>9500/USD</f>
        <v>#REF!</v>
      </c>
      <c r="V100" s="136" t="e">
        <f>394680.75/USD</f>
        <v>#REF!</v>
      </c>
      <c r="W100" s="147" t="s">
        <v>11</v>
      </c>
      <c r="X100" s="185">
        <v>3.2500000000000001E-2</v>
      </c>
      <c r="Y100" s="137">
        <v>44511</v>
      </c>
      <c r="Z100" s="137">
        <v>44511</v>
      </c>
      <c r="AA100" s="137">
        <v>46277</v>
      </c>
      <c r="AB100" s="138">
        <f t="shared" si="16"/>
        <v>1767</v>
      </c>
      <c r="AC100" s="139" t="e">
        <f t="shared" si="17"/>
        <v>#REF!</v>
      </c>
      <c r="AD100" s="138" t="e">
        <f>AA100-#REF!</f>
        <v>#REF!</v>
      </c>
      <c r="AE100" s="140" t="e">
        <f t="shared" si="18"/>
        <v>#REF!</v>
      </c>
      <c r="AF100" s="184"/>
      <c r="AG100" s="186" t="s">
        <v>1</v>
      </c>
      <c r="AH100" s="186" t="s">
        <v>1</v>
      </c>
      <c r="AI100" s="187" t="s">
        <v>0</v>
      </c>
      <c r="AJ100" s="143" t="e">
        <f t="shared" si="11"/>
        <v>#REF!</v>
      </c>
      <c r="AK100" s="164" t="s">
        <v>271</v>
      </c>
      <c r="AL100" s="188" t="s">
        <v>690</v>
      </c>
      <c r="AO100" s="197" t="str">
        <f>Table12129[[#This Row],[Risk Location ]]</f>
        <v>Singapore</v>
      </c>
      <c r="AP100" s="198" t="str">
        <f>Table12129[[#This Row],[Sector (GICS Industry Group)]]</f>
        <v>Automobiles &amp; Components</v>
      </c>
      <c r="AS100" s="212" t="e">
        <v>#REF!</v>
      </c>
      <c r="AT100" s="212" t="e">
        <v>#REF!</v>
      </c>
      <c r="AU100" s="212" t="e">
        <v>#REF!</v>
      </c>
      <c r="AV100" s="212"/>
      <c r="AW100" s="212" t="e">
        <v>#REF!</v>
      </c>
      <c r="AX100" s="212">
        <f t="shared" si="10"/>
        <v>0</v>
      </c>
      <c r="BB100" s="212">
        <v>0</v>
      </c>
      <c r="BC100" s="212">
        <v>0</v>
      </c>
      <c r="BD100" s="212">
        <v>0</v>
      </c>
      <c r="BE100" s="212">
        <v>0</v>
      </c>
      <c r="BF100" s="212">
        <v>0</v>
      </c>
      <c r="BG100" s="226"/>
      <c r="BH100" s="226"/>
      <c r="BJ100" s="138" t="s">
        <v>1027</v>
      </c>
      <c r="BK100" s="112"/>
      <c r="BL100" s="58"/>
    </row>
    <row r="101" spans="1:64" ht="39.950000000000003" customHeight="1" x14ac:dyDescent="0.2">
      <c r="A101" s="131" t="s">
        <v>695</v>
      </c>
      <c r="B101" s="132" t="s">
        <v>23</v>
      </c>
      <c r="C101" s="133" t="s">
        <v>149</v>
      </c>
      <c r="D101" s="14" t="s">
        <v>542</v>
      </c>
      <c r="E101" s="161" t="s">
        <v>166</v>
      </c>
      <c r="F101" s="14" t="s">
        <v>102</v>
      </c>
      <c r="G101" s="14" t="s">
        <v>102</v>
      </c>
      <c r="H101" s="130" t="s">
        <v>103</v>
      </c>
      <c r="I101" s="133" t="s">
        <v>148</v>
      </c>
      <c r="J101" s="133" t="s">
        <v>148</v>
      </c>
      <c r="K101" s="168" t="s">
        <v>101</v>
      </c>
      <c r="L101" s="65" t="s">
        <v>191</v>
      </c>
      <c r="M101" s="134" t="s">
        <v>59</v>
      </c>
      <c r="N101" s="13" t="s">
        <v>43</v>
      </c>
      <c r="O101" s="167" t="s">
        <v>538</v>
      </c>
      <c r="P101" s="65" t="s">
        <v>534</v>
      </c>
      <c r="Q101" s="135" t="s">
        <v>59</v>
      </c>
      <c r="R101" s="136" t="e">
        <f>6250/EUR</f>
        <v>#REF!</v>
      </c>
      <c r="S101" s="62">
        <v>6250</v>
      </c>
      <c r="T101" s="136" t="e">
        <f>Table12129[[#This Row],[Original Limit (A$)]]</f>
        <v>#REF!</v>
      </c>
      <c r="U101" s="136" t="e">
        <f>70000/EUR</f>
        <v>#REF!</v>
      </c>
      <c r="V101" s="136" t="e">
        <f>451171.84/EUR</f>
        <v>#REF!</v>
      </c>
      <c r="W101" s="147" t="s">
        <v>11</v>
      </c>
      <c r="X101" s="185">
        <v>1.6500000000000001E-2</v>
      </c>
      <c r="Y101" s="137">
        <v>44498</v>
      </c>
      <c r="Z101" s="137">
        <v>46920</v>
      </c>
      <c r="AA101" s="137">
        <v>46920</v>
      </c>
      <c r="AB101" s="138">
        <f t="shared" si="16"/>
        <v>2423</v>
      </c>
      <c r="AC101" s="139" t="e">
        <f t="shared" si="17"/>
        <v>#REF!</v>
      </c>
      <c r="AD101" s="138" t="e">
        <f>AA101-#REF!</f>
        <v>#REF!</v>
      </c>
      <c r="AE101" s="140" t="e">
        <f t="shared" si="18"/>
        <v>#REF!</v>
      </c>
      <c r="AF101" s="184"/>
      <c r="AG101" s="186" t="s">
        <v>1</v>
      </c>
      <c r="AH101" s="186" t="s">
        <v>188</v>
      </c>
      <c r="AI101" s="187" t="s">
        <v>0</v>
      </c>
      <c r="AJ101" s="143" t="e">
        <f t="shared" si="11"/>
        <v>#REF!</v>
      </c>
      <c r="AK101" s="164" t="s">
        <v>271</v>
      </c>
      <c r="AL101" s="188" t="s">
        <v>691</v>
      </c>
      <c r="AO101" s="197" t="str">
        <f>Table12129[[#This Row],[Risk Location ]]</f>
        <v>France</v>
      </c>
      <c r="AP101" s="198" t="str">
        <f>Table12129[[#This Row],[Sector (GICS Industry Group)]]</f>
        <v>Real Estate Investment</v>
      </c>
      <c r="AS101" s="212" t="e">
        <v>#REF!</v>
      </c>
      <c r="AT101" s="212" t="e">
        <v>#REF!</v>
      </c>
      <c r="AU101" s="212" t="e">
        <v>#REF!</v>
      </c>
      <c r="AV101" s="212"/>
      <c r="AW101" s="212" t="e">
        <v>#REF!</v>
      </c>
      <c r="AX101" s="212">
        <f t="shared" si="10"/>
        <v>0</v>
      </c>
      <c r="BB101" s="212">
        <v>0</v>
      </c>
      <c r="BC101" s="212">
        <v>0</v>
      </c>
      <c r="BD101" s="212">
        <v>0</v>
      </c>
      <c r="BE101" s="212">
        <v>0</v>
      </c>
      <c r="BF101" s="212">
        <v>0</v>
      </c>
      <c r="BG101" s="226"/>
      <c r="BH101" s="226"/>
      <c r="BJ101" s="138" t="s">
        <v>1028</v>
      </c>
      <c r="BK101" s="112"/>
      <c r="BL101" s="58"/>
    </row>
    <row r="102" spans="1:64" ht="39.950000000000003" customHeight="1" x14ac:dyDescent="0.2">
      <c r="A102" s="131" t="s">
        <v>696</v>
      </c>
      <c r="B102" s="132" t="s">
        <v>24</v>
      </c>
      <c r="C102" s="133" t="s">
        <v>38</v>
      </c>
      <c r="D102" s="14" t="s">
        <v>540</v>
      </c>
      <c r="E102" s="161" t="s">
        <v>49</v>
      </c>
      <c r="F102" s="131" t="s">
        <v>48</v>
      </c>
      <c r="G102" s="131" t="s">
        <v>95</v>
      </c>
      <c r="H102" s="130" t="s">
        <v>447</v>
      </c>
      <c r="I102" s="133" t="s">
        <v>142</v>
      </c>
      <c r="J102" s="192" t="s">
        <v>218</v>
      </c>
      <c r="K102" s="13" t="s">
        <v>29</v>
      </c>
      <c r="L102" s="65" t="s">
        <v>191</v>
      </c>
      <c r="M102" s="134" t="s">
        <v>323</v>
      </c>
      <c r="N102" s="13" t="s">
        <v>43</v>
      </c>
      <c r="O102" s="167" t="s">
        <v>531</v>
      </c>
      <c r="P102" s="65" t="s">
        <v>534</v>
      </c>
      <c r="Q102" s="135" t="s">
        <v>9</v>
      </c>
      <c r="R102" s="136" t="e">
        <f>10000/USD</f>
        <v>#REF!</v>
      </c>
      <c r="S102" s="62">
        <v>9250</v>
      </c>
      <c r="T102" s="136" t="e">
        <f>Table12129[[#This Row],[Amortised Limit in Original Currency]]/USD</f>
        <v>#REF!</v>
      </c>
      <c r="U102" s="136" t="e">
        <f>15714.28571/USD</f>
        <v>#REF!</v>
      </c>
      <c r="V102" s="136" t="e">
        <f>(597507.6+335418.55)/USD</f>
        <v>#REF!</v>
      </c>
      <c r="W102" s="147" t="s">
        <v>11</v>
      </c>
      <c r="X102" s="185">
        <v>0.06</v>
      </c>
      <c r="Y102" s="137">
        <v>44519</v>
      </c>
      <c r="Z102" s="137">
        <v>46125</v>
      </c>
      <c r="AA102" s="137">
        <v>46125</v>
      </c>
      <c r="AB102" s="138">
        <f t="shared" si="16"/>
        <v>1607</v>
      </c>
      <c r="AC102" s="139" t="e">
        <f t="shared" si="17"/>
        <v>#REF!</v>
      </c>
      <c r="AD102" s="138" t="e">
        <f>AA102-#REF!</f>
        <v>#REF!</v>
      </c>
      <c r="AE102" s="140" t="e">
        <f t="shared" si="18"/>
        <v>#REF!</v>
      </c>
      <c r="AF102" s="184"/>
      <c r="AG102" s="186" t="s">
        <v>1</v>
      </c>
      <c r="AH102" s="186" t="s">
        <v>1</v>
      </c>
      <c r="AI102" s="187" t="s">
        <v>697</v>
      </c>
      <c r="AJ102" s="143" t="e">
        <f t="shared" si="11"/>
        <v>#REF!</v>
      </c>
      <c r="AK102" s="164" t="s">
        <v>271</v>
      </c>
      <c r="AL102" s="188" t="s">
        <v>748</v>
      </c>
      <c r="AO102" s="197" t="str">
        <f>Table12129[[#This Row],[Risk Location ]]</f>
        <v>Indonesia</v>
      </c>
      <c r="AP102" s="198" t="str">
        <f>Table12129[[#This Row],[Sector (GICS Industry Group)]]</f>
        <v>Energy</v>
      </c>
      <c r="AS102" s="212" t="e">
        <v>#REF!</v>
      </c>
      <c r="AT102" s="212" t="e">
        <v>#REF!</v>
      </c>
      <c r="AU102" s="212" t="e">
        <v>#REF!</v>
      </c>
      <c r="AV102" s="212"/>
      <c r="AW102" s="212" t="e">
        <v>#REF!</v>
      </c>
      <c r="AX102" s="212">
        <f t="shared" si="10"/>
        <v>0</v>
      </c>
      <c r="BB102" s="212">
        <v>0</v>
      </c>
      <c r="BC102" s="212">
        <v>0</v>
      </c>
      <c r="BD102" s="212">
        <v>0</v>
      </c>
      <c r="BE102" s="212">
        <v>0</v>
      </c>
      <c r="BF102" s="212">
        <v>0</v>
      </c>
      <c r="BG102" s="226"/>
      <c r="BH102" s="226"/>
      <c r="BJ102" s="138" t="s">
        <v>1029</v>
      </c>
      <c r="BK102" s="112"/>
      <c r="BL102" s="58"/>
    </row>
    <row r="103" spans="1:64" ht="39.950000000000003" customHeight="1" x14ac:dyDescent="0.2">
      <c r="A103" s="131" t="s">
        <v>698</v>
      </c>
      <c r="B103" s="132" t="s">
        <v>23</v>
      </c>
      <c r="C103" s="133" t="s">
        <v>37</v>
      </c>
      <c r="D103" s="14" t="s">
        <v>540</v>
      </c>
      <c r="E103" s="161" t="s">
        <v>36</v>
      </c>
      <c r="F103" s="131" t="s">
        <v>543</v>
      </c>
      <c r="G103" s="131" t="s">
        <v>133</v>
      </c>
      <c r="H103" s="131" t="s">
        <v>133</v>
      </c>
      <c r="I103" s="133" t="s">
        <v>236</v>
      </c>
      <c r="J103" s="192" t="s">
        <v>21</v>
      </c>
      <c r="K103" s="13" t="s">
        <v>29</v>
      </c>
      <c r="L103" s="65" t="s">
        <v>191</v>
      </c>
      <c r="M103" s="134" t="s">
        <v>323</v>
      </c>
      <c r="N103" s="13" t="s">
        <v>43</v>
      </c>
      <c r="O103" s="167" t="s">
        <v>538</v>
      </c>
      <c r="P103" s="167" t="s">
        <v>548</v>
      </c>
      <c r="Q103" s="135" t="s">
        <v>9</v>
      </c>
      <c r="R103" s="136" t="e">
        <f>15000/USD</f>
        <v>#REF!</v>
      </c>
      <c r="S103" s="62">
        <v>15000</v>
      </c>
      <c r="T103" s="136" t="e">
        <f>Table12129[[#This Row],[Amortised Limit in Original Currency]]/USD</f>
        <v>#REF!</v>
      </c>
      <c r="U103" s="136" t="e">
        <f>45000/USD</f>
        <v>#REF!</v>
      </c>
      <c r="V103" s="136" t="e">
        <f>516090/USD</f>
        <v>#REF!</v>
      </c>
      <c r="W103" s="147" t="s">
        <v>11</v>
      </c>
      <c r="X103" s="185">
        <v>1.4E-2</v>
      </c>
      <c r="Y103" s="137">
        <v>44524</v>
      </c>
      <c r="Z103" s="137">
        <v>46493</v>
      </c>
      <c r="AA103" s="137">
        <v>46493</v>
      </c>
      <c r="AB103" s="138">
        <f t="shared" si="16"/>
        <v>1970</v>
      </c>
      <c r="AC103" s="139" t="e">
        <f t="shared" si="17"/>
        <v>#REF!</v>
      </c>
      <c r="AD103" s="138" t="e">
        <f>AA103-#REF!</f>
        <v>#REF!</v>
      </c>
      <c r="AE103" s="140" t="e">
        <f t="shared" si="18"/>
        <v>#REF!</v>
      </c>
      <c r="AF103" s="184"/>
      <c r="AG103" s="186" t="s">
        <v>1</v>
      </c>
      <c r="AH103" s="186" t="s">
        <v>1</v>
      </c>
      <c r="AI103" s="187" t="s">
        <v>0</v>
      </c>
      <c r="AJ103" s="143" t="e">
        <f t="shared" si="11"/>
        <v>#REF!</v>
      </c>
      <c r="AK103" s="164" t="s">
        <v>271</v>
      </c>
      <c r="AL103" s="188" t="s">
        <v>699</v>
      </c>
      <c r="AO103" s="197" t="str">
        <f>Table12129[[#This Row],[Risk Location ]]</f>
        <v>China</v>
      </c>
      <c r="AP103" s="198" t="str">
        <f>Table12129[[#This Row],[Sector (GICS Industry Group)]]</f>
        <v>Industrials</v>
      </c>
      <c r="AS103" s="212" t="e">
        <v>#REF!</v>
      </c>
      <c r="AT103" s="212" t="e">
        <v>#REF!</v>
      </c>
      <c r="AU103" s="212" t="e">
        <v>#REF!</v>
      </c>
      <c r="AV103" s="212"/>
      <c r="AW103" s="212" t="e">
        <v>#REF!</v>
      </c>
      <c r="AX103" s="212">
        <f t="shared" si="10"/>
        <v>0</v>
      </c>
      <c r="BB103" s="212">
        <v>0</v>
      </c>
      <c r="BC103" s="212">
        <v>0</v>
      </c>
      <c r="BD103" s="212">
        <v>0</v>
      </c>
      <c r="BE103" s="212">
        <v>0</v>
      </c>
      <c r="BF103" s="212">
        <v>0</v>
      </c>
      <c r="BG103" s="226"/>
      <c r="BH103" s="226"/>
      <c r="BJ103" s="138" t="s">
        <v>1030</v>
      </c>
      <c r="BK103" s="112"/>
      <c r="BL103" s="58"/>
    </row>
    <row r="104" spans="1:64" ht="39.950000000000003" customHeight="1" x14ac:dyDescent="0.2">
      <c r="A104" s="131" t="s">
        <v>701</v>
      </c>
      <c r="B104" s="132" t="s">
        <v>24</v>
      </c>
      <c r="C104" s="133" t="s">
        <v>38</v>
      </c>
      <c r="D104" s="14" t="s">
        <v>540</v>
      </c>
      <c r="E104" s="161" t="s">
        <v>35</v>
      </c>
      <c r="F104" s="14" t="s">
        <v>892</v>
      </c>
      <c r="G104" s="188" t="s">
        <v>259</v>
      </c>
      <c r="H104" s="188" t="s">
        <v>258</v>
      </c>
      <c r="I104" s="133" t="s">
        <v>50</v>
      </c>
      <c r="J104" s="192" t="s">
        <v>21</v>
      </c>
      <c r="K104" s="168" t="s">
        <v>139</v>
      </c>
      <c r="L104" s="194" t="s">
        <v>191</v>
      </c>
      <c r="M104" s="134" t="s">
        <v>323</v>
      </c>
      <c r="N104" s="167" t="s">
        <v>43</v>
      </c>
      <c r="O104" s="167" t="s">
        <v>538</v>
      </c>
      <c r="P104" s="65" t="s">
        <v>534</v>
      </c>
      <c r="Q104" s="135" t="s">
        <v>9</v>
      </c>
      <c r="R104" s="136" t="e">
        <f>5000/USD</f>
        <v>#REF!</v>
      </c>
      <c r="S104" s="62">
        <f>5000-245</f>
        <v>4755</v>
      </c>
      <c r="T104" s="136" t="e">
        <f>Table12129[[#This Row],[Amortised Limit in Original Currency]]/USD</f>
        <v>#REF!</v>
      </c>
      <c r="U104" s="136" t="e">
        <f>35000/USD</f>
        <v>#REF!</v>
      </c>
      <c r="V104" s="136" t="e">
        <f>(464793.08-157771.82)/USD</f>
        <v>#REF!</v>
      </c>
      <c r="W104" s="147" t="s">
        <v>11</v>
      </c>
      <c r="X104" s="185">
        <v>3.3300000000000003E-2</v>
      </c>
      <c r="Y104" s="137">
        <v>44526</v>
      </c>
      <c r="Z104" s="137">
        <v>46271</v>
      </c>
      <c r="AA104" s="137">
        <v>46271</v>
      </c>
      <c r="AB104" s="138">
        <f t="shared" si="16"/>
        <v>1746</v>
      </c>
      <c r="AC104" s="139" t="e">
        <f t="shared" si="17"/>
        <v>#REF!</v>
      </c>
      <c r="AD104" s="138" t="e">
        <f>AA104-#REF!</f>
        <v>#REF!</v>
      </c>
      <c r="AE104" s="140" t="e">
        <f t="shared" si="18"/>
        <v>#REF!</v>
      </c>
      <c r="AF104" s="184"/>
      <c r="AG104" s="186" t="s">
        <v>1</v>
      </c>
      <c r="AH104" s="186" t="s">
        <v>1</v>
      </c>
      <c r="AI104" s="187" t="s">
        <v>0</v>
      </c>
      <c r="AJ104" s="11" t="e">
        <f t="shared" si="11"/>
        <v>#REF!</v>
      </c>
      <c r="AK104" s="164" t="s">
        <v>271</v>
      </c>
      <c r="AL104" s="188" t="s">
        <v>700</v>
      </c>
      <c r="AO104" s="197" t="str">
        <f>Table12129[[#This Row],[Risk Location ]]</f>
        <v>India</v>
      </c>
      <c r="AP104" s="198" t="str">
        <f>Table12129[[#This Row],[Sector (GICS Industry Group)]]</f>
        <v>Information Technology - Software &amp; Services</v>
      </c>
      <c r="AS104" s="212" t="e">
        <v>#REF!</v>
      </c>
      <c r="AT104" s="212" t="e">
        <v>#REF!</v>
      </c>
      <c r="AU104" s="212" t="e">
        <v>#REF!</v>
      </c>
      <c r="AV104" s="212"/>
      <c r="AW104" s="212" t="e">
        <v>#REF!</v>
      </c>
      <c r="AX104" s="212">
        <f t="shared" si="10"/>
        <v>0</v>
      </c>
      <c r="BB104" s="212">
        <v>0</v>
      </c>
      <c r="BC104" s="212">
        <v>0</v>
      </c>
      <c r="BD104" s="212">
        <v>0</v>
      </c>
      <c r="BE104" s="212">
        <v>0</v>
      </c>
      <c r="BF104" s="212">
        <v>0</v>
      </c>
      <c r="BG104" s="226"/>
      <c r="BH104" s="226"/>
      <c r="BJ104" s="138" t="s">
        <v>1016</v>
      </c>
      <c r="BK104" s="112"/>
      <c r="BL104" s="58"/>
    </row>
    <row r="105" spans="1:64" ht="39.950000000000003" customHeight="1" x14ac:dyDescent="0.2">
      <c r="A105" s="131" t="s">
        <v>702</v>
      </c>
      <c r="B105" s="132" t="s">
        <v>67</v>
      </c>
      <c r="C105" s="133" t="s">
        <v>38</v>
      </c>
      <c r="D105" s="131" t="s">
        <v>34</v>
      </c>
      <c r="E105" s="161" t="s">
        <v>34</v>
      </c>
      <c r="F105" s="14" t="s">
        <v>891</v>
      </c>
      <c r="G105" s="66" t="s">
        <v>167</v>
      </c>
      <c r="H105" s="131" t="s">
        <v>167</v>
      </c>
      <c r="I105" s="133" t="s">
        <v>706</v>
      </c>
      <c r="J105" s="192" t="s">
        <v>220</v>
      </c>
      <c r="K105" s="168" t="s">
        <v>209</v>
      </c>
      <c r="L105" s="194" t="s">
        <v>191</v>
      </c>
      <c r="M105" s="134" t="s">
        <v>323</v>
      </c>
      <c r="N105" s="167" t="s">
        <v>43</v>
      </c>
      <c r="O105" s="167" t="s">
        <v>538</v>
      </c>
      <c r="P105" s="65" t="s">
        <v>534</v>
      </c>
      <c r="Q105" s="135" t="s">
        <v>8</v>
      </c>
      <c r="R105" s="136">
        <v>20000</v>
      </c>
      <c r="S105" s="62">
        <v>20000</v>
      </c>
      <c r="T105" s="136">
        <f>Table12129[[#This Row],[Original Limit (A$)]]</f>
        <v>20000</v>
      </c>
      <c r="U105" s="136">
        <v>155000</v>
      </c>
      <c r="V105" s="136">
        <f>1137586.84</f>
        <v>1137586.8400000001</v>
      </c>
      <c r="W105" s="147" t="s">
        <v>11</v>
      </c>
      <c r="X105" s="185">
        <v>1.9E-2</v>
      </c>
      <c r="Y105" s="137">
        <v>44533</v>
      </c>
      <c r="Z105" s="137">
        <v>46359</v>
      </c>
      <c r="AA105" s="137">
        <v>46359</v>
      </c>
      <c r="AB105" s="138">
        <f t="shared" si="16"/>
        <v>1827</v>
      </c>
      <c r="AC105" s="139" t="e">
        <f t="shared" si="17"/>
        <v>#REF!</v>
      </c>
      <c r="AD105" s="138" t="e">
        <f>AA105-#REF!</f>
        <v>#REF!</v>
      </c>
      <c r="AE105" s="140" t="e">
        <f t="shared" si="18"/>
        <v>#REF!</v>
      </c>
      <c r="AF105" s="184"/>
      <c r="AG105" s="186" t="s">
        <v>1</v>
      </c>
      <c r="AH105" s="186" t="s">
        <v>1</v>
      </c>
      <c r="AI105" s="187" t="s">
        <v>0</v>
      </c>
      <c r="AJ105" s="143" t="e">
        <f t="shared" si="11"/>
        <v>#REF!</v>
      </c>
      <c r="AK105" s="164" t="s">
        <v>271</v>
      </c>
      <c r="AL105" s="188" t="s">
        <v>703</v>
      </c>
      <c r="AO105" s="197" t="str">
        <f>Table12129[[#This Row],[Risk Location ]]</f>
        <v>Australia</v>
      </c>
      <c r="AP105" s="198" t="str">
        <f>Table12129[[#This Row],[Sector (GICS Industry Group)]]</f>
        <v>Information Technology - Hardware &amp; Equipment</v>
      </c>
      <c r="AS105" s="212" t="e">
        <v>#REF!</v>
      </c>
      <c r="AT105" s="212" t="e">
        <v>#REF!</v>
      </c>
      <c r="AU105" s="212" t="e">
        <v>#REF!</v>
      </c>
      <c r="AV105" s="212"/>
      <c r="AW105" s="212" t="e">
        <v>#REF!</v>
      </c>
      <c r="AX105" s="212">
        <f t="shared" si="10"/>
        <v>0</v>
      </c>
      <c r="BB105" s="212">
        <v>0</v>
      </c>
      <c r="BC105" s="212">
        <v>0</v>
      </c>
      <c r="BD105" s="212">
        <v>0</v>
      </c>
      <c r="BE105" s="212">
        <v>0</v>
      </c>
      <c r="BF105" s="212">
        <v>0</v>
      </c>
      <c r="BG105" s="226"/>
      <c r="BH105" s="226"/>
      <c r="BJ105" s="138" t="s">
        <v>1017</v>
      </c>
      <c r="BK105" s="112"/>
      <c r="BL105" s="58"/>
    </row>
    <row r="106" spans="1:64" ht="39.950000000000003" customHeight="1" x14ac:dyDescent="0.2">
      <c r="A106" s="131" t="s">
        <v>713</v>
      </c>
      <c r="B106" s="132" t="s">
        <v>24</v>
      </c>
      <c r="C106" s="133" t="s">
        <v>38</v>
      </c>
      <c r="D106" s="131" t="s">
        <v>34</v>
      </c>
      <c r="E106" s="161" t="s">
        <v>295</v>
      </c>
      <c r="F106" s="131" t="s">
        <v>544</v>
      </c>
      <c r="G106" s="131" t="s">
        <v>201</v>
      </c>
      <c r="H106" s="130" t="s">
        <v>200</v>
      </c>
      <c r="I106" s="133" t="s">
        <v>638</v>
      </c>
      <c r="J106" s="192" t="s">
        <v>687</v>
      </c>
      <c r="K106" s="168" t="s">
        <v>209</v>
      </c>
      <c r="L106" s="194" t="s">
        <v>191</v>
      </c>
      <c r="M106" s="134" t="s">
        <v>323</v>
      </c>
      <c r="N106" s="167" t="s">
        <v>43</v>
      </c>
      <c r="O106" s="167" t="s">
        <v>538</v>
      </c>
      <c r="P106" s="65" t="s">
        <v>534</v>
      </c>
      <c r="Q106" s="135" t="s">
        <v>297</v>
      </c>
      <c r="R106" s="136">
        <f>12083.1486</f>
        <v>12083.1486</v>
      </c>
      <c r="S106" s="62">
        <f>Table12129[[#This Row],[Original Limit (A$)]]</f>
        <v>12083.1486</v>
      </c>
      <c r="T106" s="136">
        <f>Table12129[[#This Row],[Amortised Limit in Original Currency]]</f>
        <v>12083.1486</v>
      </c>
      <c r="U106" s="136">
        <v>24166.296999999999</v>
      </c>
      <c r="V106" s="136">
        <v>1652428.53</v>
      </c>
      <c r="W106" s="147" t="s">
        <v>11</v>
      </c>
      <c r="X106" s="185">
        <v>4.2500000000000003E-2</v>
      </c>
      <c r="Y106" s="137">
        <v>44540</v>
      </c>
      <c r="Z106" s="137">
        <v>46691</v>
      </c>
      <c r="AA106" s="137">
        <v>46691</v>
      </c>
      <c r="AB106" s="138">
        <f t="shared" si="16"/>
        <v>2152</v>
      </c>
      <c r="AC106" s="139" t="e">
        <f t="shared" si="17"/>
        <v>#REF!</v>
      </c>
      <c r="AD106" s="138" t="e">
        <f>AA106-#REF!</f>
        <v>#REF!</v>
      </c>
      <c r="AE106" s="140" t="e">
        <f t="shared" si="18"/>
        <v>#REF!</v>
      </c>
      <c r="AF106" s="184"/>
      <c r="AG106" s="186" t="s">
        <v>1</v>
      </c>
      <c r="AH106" s="186" t="s">
        <v>1</v>
      </c>
      <c r="AI106" s="187" t="s">
        <v>0</v>
      </c>
      <c r="AJ106" s="143" t="e">
        <f t="shared" si="11"/>
        <v>#REF!</v>
      </c>
      <c r="AK106" s="164" t="s">
        <v>563</v>
      </c>
      <c r="AL106" s="188" t="s">
        <v>707</v>
      </c>
      <c r="AO106" s="197" t="str">
        <f>Table12129[[#This Row],[Risk Location ]]</f>
        <v>New Zealand</v>
      </c>
      <c r="AP106" s="198" t="str">
        <f>Table12129[[#This Row],[Sector (GICS Industry Group)]]</f>
        <v>Consumer Discretionary</v>
      </c>
      <c r="AS106" s="212" t="e">
        <v>#REF!</v>
      </c>
      <c r="AT106" s="212" t="e">
        <v>#REF!</v>
      </c>
      <c r="AU106" s="212" t="e">
        <v>#REF!</v>
      </c>
      <c r="AV106" s="212"/>
      <c r="AW106" s="212" t="e">
        <v>#REF!</v>
      </c>
      <c r="AX106" s="212">
        <f t="shared" si="10"/>
        <v>0</v>
      </c>
      <c r="BB106" s="212">
        <v>0</v>
      </c>
      <c r="BC106" s="212">
        <v>0</v>
      </c>
      <c r="BD106" s="212">
        <v>0</v>
      </c>
      <c r="BE106" s="212">
        <v>0</v>
      </c>
      <c r="BF106" s="212">
        <v>0</v>
      </c>
      <c r="BG106" s="226"/>
      <c r="BH106" s="226"/>
      <c r="BJ106" s="138" t="s">
        <v>1031</v>
      </c>
      <c r="BK106" s="112"/>
      <c r="BL106" s="58"/>
    </row>
    <row r="107" spans="1:64" ht="39.950000000000003" customHeight="1" x14ac:dyDescent="0.2">
      <c r="A107" s="131" t="s">
        <v>718</v>
      </c>
      <c r="B107" s="132" t="s">
        <v>23</v>
      </c>
      <c r="C107" s="133" t="s">
        <v>88</v>
      </c>
      <c r="D107" s="131" t="s">
        <v>499</v>
      </c>
      <c r="E107" s="161" t="s">
        <v>162</v>
      </c>
      <c r="F107" s="131" t="s">
        <v>92</v>
      </c>
      <c r="G107" s="131" t="s">
        <v>134</v>
      </c>
      <c r="H107" s="130" t="s">
        <v>134</v>
      </c>
      <c r="I107" s="133" t="s">
        <v>61</v>
      </c>
      <c r="J107" s="192" t="s">
        <v>220</v>
      </c>
      <c r="K107" s="13" t="s">
        <v>68</v>
      </c>
      <c r="L107" s="194" t="s">
        <v>191</v>
      </c>
      <c r="M107" s="134" t="s">
        <v>59</v>
      </c>
      <c r="N107" s="167" t="s">
        <v>43</v>
      </c>
      <c r="O107" s="167" t="s">
        <v>533</v>
      </c>
      <c r="P107" s="167" t="s">
        <v>548</v>
      </c>
      <c r="Q107" s="135" t="s">
        <v>9</v>
      </c>
      <c r="R107" s="136" t="e">
        <f>7500/USD</f>
        <v>#REF!</v>
      </c>
      <c r="S107" s="62">
        <v>6750</v>
      </c>
      <c r="T107" s="136" t="e">
        <f>Table12129[[#This Row],[Amortised Limit in Original Currency]]/USD</f>
        <v>#REF!</v>
      </c>
      <c r="U107" s="136" t="e">
        <f>150000/USD</f>
        <v>#REF!</v>
      </c>
      <c r="V107" s="136" t="e">
        <f>230671.02/USD</f>
        <v>#REF!</v>
      </c>
      <c r="W107" s="147" t="s">
        <v>11</v>
      </c>
      <c r="X107" s="185">
        <v>1.375E-2</v>
      </c>
      <c r="Y107" s="137">
        <v>44550</v>
      </c>
      <c r="Z107" s="137">
        <v>46200</v>
      </c>
      <c r="AA107" s="137">
        <v>46200</v>
      </c>
      <c r="AB107" s="138">
        <f t="shared" si="16"/>
        <v>1651</v>
      </c>
      <c r="AC107" s="139" t="e">
        <f t="shared" si="17"/>
        <v>#REF!</v>
      </c>
      <c r="AD107" s="138" t="e">
        <f>AA107-#REF!</f>
        <v>#REF!</v>
      </c>
      <c r="AE107" s="140" t="e">
        <f t="shared" si="18"/>
        <v>#REF!</v>
      </c>
      <c r="AF107" s="184"/>
      <c r="AG107" s="186" t="s">
        <v>1</v>
      </c>
      <c r="AH107" s="186" t="s">
        <v>1</v>
      </c>
      <c r="AI107" s="187" t="s">
        <v>784</v>
      </c>
      <c r="AJ107" s="143" t="e">
        <f t="shared" si="11"/>
        <v>#REF!</v>
      </c>
      <c r="AK107" s="164" t="s">
        <v>563</v>
      </c>
      <c r="AL107" s="188" t="s">
        <v>708</v>
      </c>
      <c r="AO107" s="197" t="str">
        <f>Table12129[[#This Row],[Risk Location ]]</f>
        <v>United States</v>
      </c>
      <c r="AP107" s="198" t="str">
        <f>Table12129[[#This Row],[Sector (GICS Industry Group)]]</f>
        <v>Transportation</v>
      </c>
      <c r="AS107" s="212" t="e">
        <v>#REF!</v>
      </c>
      <c r="AT107" s="212" t="e">
        <v>#REF!</v>
      </c>
      <c r="AU107" s="212" t="e">
        <v>#REF!</v>
      </c>
      <c r="AV107" s="212"/>
      <c r="AW107" s="212" t="e">
        <v>#REF!</v>
      </c>
      <c r="AX107" s="212">
        <f t="shared" si="10"/>
        <v>0</v>
      </c>
      <c r="BB107" s="212">
        <v>0</v>
      </c>
      <c r="BC107" s="212">
        <v>0</v>
      </c>
      <c r="BD107" s="212">
        <v>0</v>
      </c>
      <c r="BE107" s="212">
        <v>0</v>
      </c>
      <c r="BF107" s="212">
        <v>0</v>
      </c>
      <c r="BG107" s="226"/>
      <c r="BH107" s="226"/>
      <c r="BJ107" s="138" t="s">
        <v>1032</v>
      </c>
      <c r="BK107" s="112"/>
      <c r="BL107" s="58"/>
    </row>
    <row r="108" spans="1:64" ht="39.950000000000003" customHeight="1" x14ac:dyDescent="0.2">
      <c r="A108" s="131" t="s">
        <v>720</v>
      </c>
      <c r="B108" s="132" t="s">
        <v>67</v>
      </c>
      <c r="C108" s="133" t="s">
        <v>127</v>
      </c>
      <c r="D108" s="131" t="s">
        <v>499</v>
      </c>
      <c r="E108" s="161" t="s">
        <v>162</v>
      </c>
      <c r="F108" s="131" t="s">
        <v>233</v>
      </c>
      <c r="G108" s="131" t="s">
        <v>443</v>
      </c>
      <c r="H108" s="131" t="s">
        <v>234</v>
      </c>
      <c r="I108" s="133" t="s">
        <v>218</v>
      </c>
      <c r="J108" s="192" t="s">
        <v>218</v>
      </c>
      <c r="K108" s="168" t="s">
        <v>209</v>
      </c>
      <c r="L108" s="194" t="s">
        <v>191</v>
      </c>
      <c r="M108" s="134" t="s">
        <v>59</v>
      </c>
      <c r="N108" s="167" t="s">
        <v>43</v>
      </c>
      <c r="O108" s="167" t="s">
        <v>538</v>
      </c>
      <c r="P108" s="65" t="s">
        <v>534</v>
      </c>
      <c r="Q108" s="135" t="s">
        <v>59</v>
      </c>
      <c r="R108" s="136" t="e">
        <f>20000/EUR</f>
        <v>#REF!</v>
      </c>
      <c r="S108" s="62">
        <v>20000</v>
      </c>
      <c r="T108" s="136" t="e">
        <f>Table12129[[#This Row],[Amortised Limit in Original Currency]]/EUR</f>
        <v>#REF!</v>
      </c>
      <c r="U108" s="136" t="e">
        <f>15551.613/USD+9109.078/EUR+12416.215/EUR</f>
        <v>#REF!</v>
      </c>
      <c r="V108" s="136" t="e">
        <f>917159.78/EUR</f>
        <v>#REF!</v>
      </c>
      <c r="W108" s="147" t="s">
        <v>11</v>
      </c>
      <c r="X108" s="185">
        <v>0.03</v>
      </c>
      <c r="Y108" s="137">
        <v>44547</v>
      </c>
      <c r="Z108" s="137">
        <v>46280</v>
      </c>
      <c r="AA108" s="137">
        <f>Table12129[[#This Row],[Expiry Date]]+5</f>
        <v>46285</v>
      </c>
      <c r="AB108" s="138">
        <f t="shared" si="16"/>
        <v>1739</v>
      </c>
      <c r="AC108" s="139" t="e">
        <f t="shared" si="17"/>
        <v>#REF!</v>
      </c>
      <c r="AD108" s="138" t="e">
        <f>AA108-#REF!</f>
        <v>#REF!</v>
      </c>
      <c r="AE108" s="140" t="e">
        <f t="shared" si="18"/>
        <v>#REF!</v>
      </c>
      <c r="AF108" s="184"/>
      <c r="AG108" s="186" t="s">
        <v>1</v>
      </c>
      <c r="AH108" s="186" t="s">
        <v>1</v>
      </c>
      <c r="AI108" s="187" t="s">
        <v>0</v>
      </c>
      <c r="AJ108" s="143" t="e">
        <f t="shared" si="11"/>
        <v>#REF!</v>
      </c>
      <c r="AK108" s="164" t="s">
        <v>271</v>
      </c>
      <c r="AL108" s="188" t="s">
        <v>709</v>
      </c>
      <c r="AO108" s="197" t="str">
        <f>Table12129[[#This Row],[Risk Location ]]</f>
        <v>United States</v>
      </c>
      <c r="AP108" s="198" t="str">
        <f>Table12129[[#This Row],[Sector (GICS Industry Group)]]</f>
        <v>Telecommunication Services</v>
      </c>
      <c r="AS108" s="212" t="e">
        <v>#REF!</v>
      </c>
      <c r="AT108" s="212" t="e">
        <v>#REF!</v>
      </c>
      <c r="AU108" s="212" t="e">
        <v>#REF!</v>
      </c>
      <c r="AV108" s="212"/>
      <c r="AW108" s="212" t="e">
        <v>#REF!</v>
      </c>
      <c r="AX108" s="212">
        <f t="shared" si="10"/>
        <v>0</v>
      </c>
      <c r="BB108" s="212">
        <v>0</v>
      </c>
      <c r="BC108" s="212">
        <v>0</v>
      </c>
      <c r="BD108" s="212">
        <v>0</v>
      </c>
      <c r="BE108" s="212">
        <v>0</v>
      </c>
      <c r="BF108" s="212">
        <v>0</v>
      </c>
      <c r="BG108" s="226"/>
      <c r="BH108" s="226"/>
      <c r="BJ108" s="138" t="s">
        <v>1033</v>
      </c>
      <c r="BK108" s="112"/>
      <c r="BL108" s="58"/>
    </row>
    <row r="109" spans="1:64" ht="39.950000000000003" customHeight="1" x14ac:dyDescent="0.2">
      <c r="A109" s="131" t="s">
        <v>721</v>
      </c>
      <c r="B109" s="132" t="s">
        <v>24</v>
      </c>
      <c r="C109" s="133" t="s">
        <v>38</v>
      </c>
      <c r="D109" s="14" t="s">
        <v>541</v>
      </c>
      <c r="E109" s="161" t="s">
        <v>37</v>
      </c>
      <c r="F109" s="131" t="s">
        <v>233</v>
      </c>
      <c r="G109" s="131" t="s">
        <v>443</v>
      </c>
      <c r="H109" s="131" t="s">
        <v>234</v>
      </c>
      <c r="I109" s="133" t="s">
        <v>142</v>
      </c>
      <c r="J109" s="192" t="s">
        <v>218</v>
      </c>
      <c r="K109" s="168" t="s">
        <v>209</v>
      </c>
      <c r="L109" s="194" t="s">
        <v>191</v>
      </c>
      <c r="M109" s="134" t="s">
        <v>323</v>
      </c>
      <c r="N109" s="167" t="s">
        <v>43</v>
      </c>
      <c r="O109" s="167" t="s">
        <v>538</v>
      </c>
      <c r="P109" s="65" t="s">
        <v>534</v>
      </c>
      <c r="Q109" s="135" t="s">
        <v>54</v>
      </c>
      <c r="R109" s="136" t="e">
        <f>120000/HKD</f>
        <v>#REF!</v>
      </c>
      <c r="S109" s="62">
        <v>120000</v>
      </c>
      <c r="T109" s="136" t="e">
        <f>Table12129[[#This Row],[Amortised Limit in Original Currency]]/HKD</f>
        <v>#REF!</v>
      </c>
      <c r="U109" s="136" t="e">
        <f>171428.571/HKD</f>
        <v>#REF!</v>
      </c>
      <c r="V109" s="136" t="e">
        <f>6427666.69/HKD</f>
        <v>#REF!</v>
      </c>
      <c r="W109" s="147" t="s">
        <v>11</v>
      </c>
      <c r="X109" s="185">
        <v>2.1999999999999999E-2</v>
      </c>
      <c r="Y109" s="137">
        <v>44550</v>
      </c>
      <c r="Z109" s="137">
        <v>46316</v>
      </c>
      <c r="AA109" s="137">
        <v>46316</v>
      </c>
      <c r="AB109" s="138">
        <f t="shared" si="16"/>
        <v>1767</v>
      </c>
      <c r="AC109" s="139" t="e">
        <f t="shared" si="17"/>
        <v>#REF!</v>
      </c>
      <c r="AD109" s="138" t="e">
        <f>AA109-#REF!</f>
        <v>#REF!</v>
      </c>
      <c r="AE109" s="140" t="e">
        <f t="shared" si="18"/>
        <v>#REF!</v>
      </c>
      <c r="AF109" s="184"/>
      <c r="AG109" s="186" t="s">
        <v>1</v>
      </c>
      <c r="AH109" s="186" t="s">
        <v>1</v>
      </c>
      <c r="AI109" s="187" t="s">
        <v>0</v>
      </c>
      <c r="AJ109" s="143" t="e">
        <f t="shared" si="11"/>
        <v>#REF!</v>
      </c>
      <c r="AK109" s="164" t="s">
        <v>563</v>
      </c>
      <c r="AL109" s="188" t="s">
        <v>722</v>
      </c>
      <c r="AO109" s="197" t="str">
        <f>Table12129[[#This Row],[Risk Location ]]</f>
        <v>Hong Kong</v>
      </c>
      <c r="AP109" s="198" t="str">
        <f>Table12129[[#This Row],[Sector (GICS Industry Group)]]</f>
        <v>Telecommunication Services</v>
      </c>
      <c r="AS109" s="212" t="e">
        <v>#REF!</v>
      </c>
      <c r="AT109" s="212" t="e">
        <v>#REF!</v>
      </c>
      <c r="AU109" s="212" t="e">
        <v>#REF!</v>
      </c>
      <c r="AV109" s="212"/>
      <c r="AW109" s="212" t="e">
        <v>#REF!</v>
      </c>
      <c r="AX109" s="212">
        <f t="shared" si="10"/>
        <v>0</v>
      </c>
      <c r="BB109" s="212">
        <v>0</v>
      </c>
      <c r="BC109" s="212">
        <v>0</v>
      </c>
      <c r="BD109" s="212">
        <v>0</v>
      </c>
      <c r="BE109" s="212">
        <v>0</v>
      </c>
      <c r="BF109" s="212">
        <v>0</v>
      </c>
      <c r="BG109" s="226"/>
      <c r="BH109" s="226"/>
      <c r="BJ109" s="138" t="s">
        <v>938</v>
      </c>
      <c r="BK109" s="112"/>
      <c r="BL109" s="58"/>
    </row>
    <row r="110" spans="1:64" ht="39.950000000000003" customHeight="1" x14ac:dyDescent="0.2">
      <c r="A110" s="131" t="s">
        <v>723</v>
      </c>
      <c r="B110" s="132" t="s">
        <v>23</v>
      </c>
      <c r="C110" s="133" t="s">
        <v>127</v>
      </c>
      <c r="D110" s="131" t="s">
        <v>542</v>
      </c>
      <c r="E110" s="161" t="s">
        <v>91</v>
      </c>
      <c r="F110" s="131" t="s">
        <v>233</v>
      </c>
      <c r="G110" s="131" t="s">
        <v>443</v>
      </c>
      <c r="H110" s="131" t="s">
        <v>234</v>
      </c>
      <c r="I110" s="133" t="s">
        <v>165</v>
      </c>
      <c r="J110" s="192" t="s">
        <v>220</v>
      </c>
      <c r="K110" s="223" t="s">
        <v>140</v>
      </c>
      <c r="L110" s="194" t="s">
        <v>191</v>
      </c>
      <c r="M110" s="134" t="s">
        <v>59</v>
      </c>
      <c r="N110" s="167" t="s">
        <v>43</v>
      </c>
      <c r="O110" s="167" t="s">
        <v>538</v>
      </c>
      <c r="P110" s="65" t="s">
        <v>534</v>
      </c>
      <c r="Q110" s="135" t="s">
        <v>59</v>
      </c>
      <c r="R110" s="136" t="e">
        <f>(7500+12500)/EUR</f>
        <v>#REF!</v>
      </c>
      <c r="S110" s="62">
        <f>7500+12500</f>
        <v>20000</v>
      </c>
      <c r="T110" s="136" t="e">
        <f>Table12129[[#This Row],[Amortised Limit in Original Currency]]/EUR</f>
        <v>#REF!</v>
      </c>
      <c r="U110" s="136" t="e">
        <f>(86000+254700)/EUR</f>
        <v>#REF!</v>
      </c>
      <c r="V110" s="302" t="e">
        <f>3301108.34650667/6.48+2710423.81865933/6.4414+1553668.73129233/4.7056+928791.99/EUR</f>
        <v>#REF!</v>
      </c>
      <c r="W110" s="147" t="s">
        <v>11</v>
      </c>
      <c r="X110" s="185">
        <v>2.5000000000000001E-2</v>
      </c>
      <c r="Y110" s="137">
        <v>44545</v>
      </c>
      <c r="Z110" s="137">
        <v>46951</v>
      </c>
      <c r="AA110" s="137">
        <v>46951</v>
      </c>
      <c r="AB110" s="138">
        <f t="shared" si="16"/>
        <v>2407</v>
      </c>
      <c r="AC110" s="139" t="e">
        <f t="shared" si="17"/>
        <v>#REF!</v>
      </c>
      <c r="AD110" s="138" t="e">
        <f>AA110-#REF!</f>
        <v>#REF!</v>
      </c>
      <c r="AE110" s="140" t="e">
        <f t="shared" si="18"/>
        <v>#REF!</v>
      </c>
      <c r="AF110" s="56" t="s">
        <v>436</v>
      </c>
      <c r="AG110" s="186" t="s">
        <v>1</v>
      </c>
      <c r="AH110" s="186" t="s">
        <v>1</v>
      </c>
      <c r="AI110" s="187" t="s">
        <v>0</v>
      </c>
      <c r="AJ110" s="143" t="e">
        <f t="shared" si="11"/>
        <v>#REF!</v>
      </c>
      <c r="AK110" s="164" t="s">
        <v>563</v>
      </c>
      <c r="AL110" s="188" t="s">
        <v>710</v>
      </c>
      <c r="AO110" s="197" t="str">
        <f>Table12129[[#This Row],[Risk Location ]]</f>
        <v>Sweden</v>
      </c>
      <c r="AP110" s="198" t="str">
        <f>Table12129[[#This Row],[Sector (GICS Industry Group)]]</f>
        <v>Telecommunication Services</v>
      </c>
      <c r="AS110" s="212" t="e">
        <v>#REF!</v>
      </c>
      <c r="AT110" s="212" t="e">
        <v>#REF!</v>
      </c>
      <c r="AU110" s="212" t="e">
        <v>#REF!</v>
      </c>
      <c r="AV110" s="212"/>
      <c r="AW110" s="212" t="e">
        <v>#REF!</v>
      </c>
      <c r="AX110" s="212">
        <f t="shared" si="10"/>
        <v>0</v>
      </c>
      <c r="BB110" s="212">
        <v>0</v>
      </c>
      <c r="BC110" s="212">
        <v>0</v>
      </c>
      <c r="BD110" s="212">
        <v>0</v>
      </c>
      <c r="BE110" s="212">
        <v>0</v>
      </c>
      <c r="BF110" s="212">
        <v>0</v>
      </c>
      <c r="BG110" s="226"/>
      <c r="BH110" s="226"/>
      <c r="BJ110" s="138" t="s">
        <v>1090</v>
      </c>
      <c r="BK110" s="112"/>
      <c r="BL110" s="58"/>
    </row>
    <row r="111" spans="1:64" ht="39.950000000000003" customHeight="1" x14ac:dyDescent="0.2">
      <c r="A111" s="14" t="s">
        <v>725</v>
      </c>
      <c r="B111" s="65" t="s">
        <v>23</v>
      </c>
      <c r="C111" s="66" t="s">
        <v>37</v>
      </c>
      <c r="D111" s="14" t="s">
        <v>542</v>
      </c>
      <c r="E111" s="77" t="s">
        <v>87</v>
      </c>
      <c r="F111" s="14" t="s">
        <v>102</v>
      </c>
      <c r="G111" s="14" t="s">
        <v>102</v>
      </c>
      <c r="H111" s="14" t="s">
        <v>474</v>
      </c>
      <c r="I111" s="14" t="s">
        <v>79</v>
      </c>
      <c r="J111" s="14" t="s">
        <v>222</v>
      </c>
      <c r="K111" s="168" t="s">
        <v>209</v>
      </c>
      <c r="L111" s="65" t="s">
        <v>191</v>
      </c>
      <c r="M111" s="13" t="s">
        <v>323</v>
      </c>
      <c r="N111" s="13" t="s">
        <v>43</v>
      </c>
      <c r="O111" s="13" t="s">
        <v>531</v>
      </c>
      <c r="P111" s="13" t="s">
        <v>548</v>
      </c>
      <c r="Q111" s="64" t="s">
        <v>9</v>
      </c>
      <c r="R111" s="62" t="e">
        <f>20000/USD</f>
        <v>#REF!</v>
      </c>
      <c r="S111" s="62">
        <v>20000</v>
      </c>
      <c r="T111" s="62" t="e">
        <f>Table12129[[#This Row],[Amortised Limit in Original Currency]]/USD</f>
        <v>#REF!</v>
      </c>
      <c r="U111" s="62" t="e">
        <f>150000/USD</f>
        <v>#REF!</v>
      </c>
      <c r="V111" s="62" t="e">
        <f>1168088.89/USD</f>
        <v>#REF!</v>
      </c>
      <c r="W111" s="61" t="s">
        <v>11</v>
      </c>
      <c r="X111" s="181">
        <v>2.0799999999999999E-2</v>
      </c>
      <c r="Y111" s="60">
        <v>44560</v>
      </c>
      <c r="Z111" s="60">
        <v>46350</v>
      </c>
      <c r="AA111" s="60">
        <v>46350</v>
      </c>
      <c r="AB111" s="58">
        <f>AA111-Y111+1</f>
        <v>1791</v>
      </c>
      <c r="AC111" s="59" t="e">
        <f>IF(AA111-$A$1&gt;60,"No","Yes")</f>
        <v>#REF!</v>
      </c>
      <c r="AD111" s="58" t="e">
        <f>AA111-#REF!</f>
        <v>#REF!</v>
      </c>
      <c r="AE111" s="57" t="e">
        <f>AD111/365</f>
        <v>#REF!</v>
      </c>
      <c r="AF111" s="56" t="s">
        <v>436</v>
      </c>
      <c r="AG111" s="71" t="s">
        <v>1</v>
      </c>
      <c r="AH111" s="71" t="s">
        <v>1</v>
      </c>
      <c r="AI111" s="70" t="s">
        <v>0</v>
      </c>
      <c r="AJ111" s="11" t="e">
        <f>+IF(AA111-60&lt;$A$1, "SEND NOTICE", "N/A")</f>
        <v>#REF!</v>
      </c>
      <c r="AK111" s="164" t="s">
        <v>271</v>
      </c>
      <c r="AL111" s="14" t="s">
        <v>724</v>
      </c>
      <c r="AM111" s="11">
        <v>5000</v>
      </c>
      <c r="AN111" s="11">
        <v>75000</v>
      </c>
      <c r="AO111" s="197" t="str">
        <f>Table12129[[#This Row],[Risk Location ]]</f>
        <v>United Kingdom</v>
      </c>
      <c r="AP111" s="198" t="str">
        <f>Table12129[[#This Row],[Sector (GICS Industry Group)]]</f>
        <v>Real Estate Investment</v>
      </c>
      <c r="AS111" s="212" t="e">
        <v>#REF!</v>
      </c>
      <c r="AT111" s="212" t="e">
        <v>#REF!</v>
      </c>
      <c r="AU111" s="212" t="e">
        <v>#REF!</v>
      </c>
      <c r="AV111" s="212"/>
      <c r="AW111" s="212" t="e">
        <v>#REF!</v>
      </c>
      <c r="AX111" s="212">
        <f t="shared" si="10"/>
        <v>0</v>
      </c>
      <c r="BB111" s="212">
        <v>0</v>
      </c>
      <c r="BC111" s="212">
        <v>0</v>
      </c>
      <c r="BD111" s="212">
        <v>0</v>
      </c>
      <c r="BE111" s="212">
        <v>0</v>
      </c>
      <c r="BF111" s="212">
        <v>0</v>
      </c>
      <c r="BG111" s="226">
        <v>0</v>
      </c>
      <c r="BH111" s="226"/>
      <c r="BJ111" s="58" t="s">
        <v>1034</v>
      </c>
      <c r="BK111" s="112"/>
      <c r="BL111" s="58"/>
    </row>
    <row r="112" spans="1:64" s="229" customFormat="1" ht="39.950000000000003" customHeight="1" x14ac:dyDescent="0.2">
      <c r="A112" s="131" t="s">
        <v>726</v>
      </c>
      <c r="B112" s="132" t="s">
        <v>243</v>
      </c>
      <c r="C112" s="133" t="s">
        <v>38</v>
      </c>
      <c r="D112" s="131" t="s">
        <v>540</v>
      </c>
      <c r="E112" s="161" t="s">
        <v>35</v>
      </c>
      <c r="F112" s="131" t="s">
        <v>892</v>
      </c>
      <c r="G112" s="188" t="s">
        <v>259</v>
      </c>
      <c r="H112" s="188" t="s">
        <v>459</v>
      </c>
      <c r="I112" s="133" t="s">
        <v>142</v>
      </c>
      <c r="J112" s="192" t="s">
        <v>218</v>
      </c>
      <c r="K112" s="168" t="s">
        <v>209</v>
      </c>
      <c r="L112" s="194" t="s">
        <v>191</v>
      </c>
      <c r="M112" s="134" t="s">
        <v>323</v>
      </c>
      <c r="N112" s="167" t="s">
        <v>43</v>
      </c>
      <c r="O112" s="167" t="s">
        <v>538</v>
      </c>
      <c r="P112" s="270" t="s">
        <v>534</v>
      </c>
      <c r="Q112" s="135" t="s">
        <v>9</v>
      </c>
      <c r="R112" s="136" t="e">
        <f>10000/USD</f>
        <v>#REF!</v>
      </c>
      <c r="S112" s="62">
        <v>10000</v>
      </c>
      <c r="T112" s="62" t="e">
        <f>Table12129[[#This Row],[Amortised Limit in Original Currency]]/USD</f>
        <v>#REF!</v>
      </c>
      <c r="U112" s="62" t="e">
        <f>13333.333/USD</f>
        <v>#REF!</v>
      </c>
      <c r="V112" s="62" t="e">
        <f>1137761.11/USD</f>
        <v>#REF!</v>
      </c>
      <c r="W112" s="61" t="s">
        <v>11</v>
      </c>
      <c r="X112" s="181">
        <v>0.04</v>
      </c>
      <c r="Y112" s="60">
        <v>44559</v>
      </c>
      <c r="Z112" s="60">
        <v>46705</v>
      </c>
      <c r="AA112" s="60">
        <v>46705</v>
      </c>
      <c r="AB112" s="138">
        <f t="shared" si="16"/>
        <v>2147</v>
      </c>
      <c r="AC112" s="139" t="e">
        <f t="shared" si="17"/>
        <v>#REF!</v>
      </c>
      <c r="AD112" s="138" t="e">
        <f>AA112-#REF!</f>
        <v>#REF!</v>
      </c>
      <c r="AE112" s="140" t="e">
        <f t="shared" si="18"/>
        <v>#REF!</v>
      </c>
      <c r="AF112" s="184"/>
      <c r="AG112" s="186" t="s">
        <v>1</v>
      </c>
      <c r="AH112" s="186" t="s">
        <v>1</v>
      </c>
      <c r="AI112" s="187" t="s">
        <v>727</v>
      </c>
      <c r="AJ112" s="164" t="e">
        <f t="shared" si="11"/>
        <v>#REF!</v>
      </c>
      <c r="AK112" s="164" t="s">
        <v>563</v>
      </c>
      <c r="AL112" s="188" t="s">
        <v>711</v>
      </c>
      <c r="AO112" s="197" t="str">
        <f>Table12129[[#This Row],[Risk Location ]]</f>
        <v>India</v>
      </c>
      <c r="AP112" s="198" t="str">
        <f>Table12129[[#This Row],[Sector (GICS Industry Group)]]</f>
        <v>Information Technology - Software &amp; Services</v>
      </c>
      <c r="AS112" s="212" t="e">
        <v>#REF!</v>
      </c>
      <c r="AT112" s="212" t="e">
        <v>#REF!</v>
      </c>
      <c r="AU112" s="212" t="e">
        <v>#REF!</v>
      </c>
      <c r="AV112" s="278"/>
      <c r="AW112" s="212" t="e">
        <v>#REF!</v>
      </c>
      <c r="AX112" s="212">
        <f t="shared" si="10"/>
        <v>0</v>
      </c>
      <c r="BB112" s="278">
        <v>0</v>
      </c>
      <c r="BC112" s="278">
        <v>0</v>
      </c>
      <c r="BD112" s="278">
        <v>0</v>
      </c>
      <c r="BE112" s="278">
        <v>0</v>
      </c>
      <c r="BF112" s="278">
        <v>0</v>
      </c>
      <c r="BG112" s="226"/>
      <c r="BH112" s="226"/>
      <c r="BJ112" s="138" t="s">
        <v>1035</v>
      </c>
      <c r="BK112" s="276"/>
      <c r="BL112" s="272"/>
    </row>
    <row r="113" spans="1:65" ht="39.950000000000003" customHeight="1" x14ac:dyDescent="0.2">
      <c r="A113" s="13" t="s">
        <v>729</v>
      </c>
      <c r="B113" s="65" t="s">
        <v>23</v>
      </c>
      <c r="C113" s="66" t="s">
        <v>37</v>
      </c>
      <c r="D113" s="14" t="s">
        <v>540</v>
      </c>
      <c r="E113" s="161" t="s">
        <v>36</v>
      </c>
      <c r="F113" s="66" t="s">
        <v>106</v>
      </c>
      <c r="G113" s="66" t="s">
        <v>106</v>
      </c>
      <c r="H113" s="66" t="s">
        <v>107</v>
      </c>
      <c r="I113" s="14" t="s">
        <v>72</v>
      </c>
      <c r="J113" s="66" t="s">
        <v>219</v>
      </c>
      <c r="K113" s="13" t="s">
        <v>29</v>
      </c>
      <c r="L113" s="65" t="s">
        <v>191</v>
      </c>
      <c r="M113" s="13" t="s">
        <v>323</v>
      </c>
      <c r="N113" s="13" t="s">
        <v>43</v>
      </c>
      <c r="O113" s="167" t="s">
        <v>538</v>
      </c>
      <c r="P113" s="13" t="s">
        <v>548</v>
      </c>
      <c r="Q113" s="64" t="s">
        <v>9</v>
      </c>
      <c r="R113" s="62" t="e">
        <f>15000/USD</f>
        <v>#REF!</v>
      </c>
      <c r="S113" s="62">
        <v>15000</v>
      </c>
      <c r="T113" s="150" t="e">
        <f>Table12129[[#This Row],[Amortised Limit in Original Currency]]/USD</f>
        <v>#REF!</v>
      </c>
      <c r="U113" s="62" t="e">
        <f>120000/USD</f>
        <v>#REF!</v>
      </c>
      <c r="V113" s="150" t="e">
        <f>748489.58/USD</f>
        <v>#REF!</v>
      </c>
      <c r="W113" s="61" t="s">
        <v>551</v>
      </c>
      <c r="X113" s="181">
        <v>2.5000000000000001E-2</v>
      </c>
      <c r="Y113" s="60">
        <v>44554</v>
      </c>
      <c r="Z113" s="60">
        <v>45799</v>
      </c>
      <c r="AA113" s="60">
        <v>45799</v>
      </c>
      <c r="AB113" s="58">
        <f>AA113-Y113+1</f>
        <v>1246</v>
      </c>
      <c r="AC113" s="59" t="e">
        <f>IF(AA113-$A$1&gt;60,"No","Yes")</f>
        <v>#REF!</v>
      </c>
      <c r="AD113" s="58" t="e">
        <f>AA113-#REF!</f>
        <v>#REF!</v>
      </c>
      <c r="AE113" s="57" t="e">
        <f>AD113/365</f>
        <v>#REF!</v>
      </c>
      <c r="AF113" s="56"/>
      <c r="AG113" s="71" t="s">
        <v>1</v>
      </c>
      <c r="AH113" s="71" t="s">
        <v>1</v>
      </c>
      <c r="AI113" s="70" t="s">
        <v>730</v>
      </c>
      <c r="AJ113" s="11" t="e">
        <f>+IF(AA113-60&lt;$A$1, "SEND NOTICE", "N/A")</f>
        <v>#REF!</v>
      </c>
      <c r="AK113" s="164" t="s">
        <v>271</v>
      </c>
      <c r="AL113" s="13" t="s">
        <v>728</v>
      </c>
      <c r="AM113" s="11">
        <v>8921</v>
      </c>
      <c r="AO113" s="197" t="str">
        <f>Table12129[[#This Row],[Risk Location ]]</f>
        <v>China</v>
      </c>
      <c r="AP113" s="198" t="str">
        <f>Table12129[[#This Row],[Sector (GICS Industry Group)]]</f>
        <v>Real Estate Management &amp; Development</v>
      </c>
      <c r="AQ113" s="11">
        <v>1</v>
      </c>
      <c r="AR113" s="214">
        <v>0.25</v>
      </c>
      <c r="AS113" s="212" t="e">
        <v>#REF!</v>
      </c>
      <c r="AT113" s="212" t="e">
        <v>#REF!</v>
      </c>
      <c r="AU113" s="212" t="e">
        <v>#REF!</v>
      </c>
      <c r="AV113" s="212"/>
      <c r="AW113" s="212" t="e">
        <v>#REF!</v>
      </c>
      <c r="AX113" s="212">
        <f t="shared" si="10"/>
        <v>2832.9503604142401</v>
      </c>
      <c r="AY113" s="12"/>
      <c r="BB113" s="212">
        <v>2615.3156604636802</v>
      </c>
      <c r="BC113" s="212">
        <v>2832.9503604142401</v>
      </c>
      <c r="BD113" s="212">
        <v>2649.8645624779178</v>
      </c>
      <c r="BE113" s="212">
        <v>2420.2006077392639</v>
      </c>
      <c r="BF113" s="212">
        <v>1567.354445017206</v>
      </c>
      <c r="BG113" s="226">
        <v>1044.9029633448042</v>
      </c>
      <c r="BH113" s="226">
        <v>0</v>
      </c>
      <c r="BJ113" s="58" t="s">
        <v>939</v>
      </c>
      <c r="BK113" s="112"/>
      <c r="BL113" s="58" t="s">
        <v>476</v>
      </c>
    </row>
    <row r="114" spans="1:65" ht="39.950000000000003" customHeight="1" x14ac:dyDescent="0.2">
      <c r="A114" s="131" t="s">
        <v>732</v>
      </c>
      <c r="B114" s="132" t="s">
        <v>67</v>
      </c>
      <c r="C114" s="133" t="s">
        <v>89</v>
      </c>
      <c r="D114" s="131" t="s">
        <v>542</v>
      </c>
      <c r="E114" s="161" t="s">
        <v>211</v>
      </c>
      <c r="F114" s="131" t="s">
        <v>233</v>
      </c>
      <c r="G114" s="131" t="s">
        <v>443</v>
      </c>
      <c r="H114" s="131" t="s">
        <v>234</v>
      </c>
      <c r="I114" s="133" t="s">
        <v>60</v>
      </c>
      <c r="J114" s="192" t="s">
        <v>220</v>
      </c>
      <c r="K114" s="168" t="s">
        <v>209</v>
      </c>
      <c r="L114" s="194" t="s">
        <v>191</v>
      </c>
      <c r="M114" s="134" t="s">
        <v>59</v>
      </c>
      <c r="N114" s="167" t="s">
        <v>43</v>
      </c>
      <c r="O114" s="167" t="s">
        <v>538</v>
      </c>
      <c r="P114" s="65" t="s">
        <v>534</v>
      </c>
      <c r="Q114" s="135" t="s">
        <v>59</v>
      </c>
      <c r="R114" s="136" t="e">
        <f>10000/EUR</f>
        <v>#REF!</v>
      </c>
      <c r="S114" s="62">
        <v>10000</v>
      </c>
      <c r="T114" s="136" t="e">
        <f>Table12129[[#This Row],[Amortised Limit in Original Currency]]/EUR</f>
        <v>#REF!</v>
      </c>
      <c r="U114" s="136" t="e">
        <f>40000/EUR</f>
        <v>#REF!</v>
      </c>
      <c r="V114" s="136" t="e">
        <f>1148504.44/EUR</f>
        <v>#REF!</v>
      </c>
      <c r="W114" s="147" t="s">
        <v>11</v>
      </c>
      <c r="X114" s="185">
        <v>3.2500000000000001E-2</v>
      </c>
      <c r="Y114" s="137">
        <v>44487</v>
      </c>
      <c r="Z114" s="137">
        <v>46929</v>
      </c>
      <c r="AA114" s="137">
        <v>46929</v>
      </c>
      <c r="AB114" s="138">
        <f t="shared" si="16"/>
        <v>2443</v>
      </c>
      <c r="AC114" s="139" t="e">
        <f t="shared" si="17"/>
        <v>#REF!</v>
      </c>
      <c r="AD114" s="138" t="e">
        <f>AA114-#REF!</f>
        <v>#REF!</v>
      </c>
      <c r="AE114" s="140" t="e">
        <f t="shared" si="18"/>
        <v>#REF!</v>
      </c>
      <c r="AF114" s="184"/>
      <c r="AG114" s="186" t="s">
        <v>1</v>
      </c>
      <c r="AH114" s="186" t="s">
        <v>1</v>
      </c>
      <c r="AI114" s="187" t="s">
        <v>0</v>
      </c>
      <c r="AJ114" s="143" t="e">
        <f t="shared" si="11"/>
        <v>#REF!</v>
      </c>
      <c r="AK114" s="164" t="s">
        <v>271</v>
      </c>
      <c r="AL114" s="188" t="s">
        <v>712</v>
      </c>
      <c r="AO114" s="197" t="str">
        <f>Table12129[[#This Row],[Risk Location ]]</f>
        <v>Spain</v>
      </c>
      <c r="AP114" s="198" t="str">
        <f>Table12129[[#This Row],[Sector (GICS Industry Group)]]</f>
        <v>Telecommunication Services</v>
      </c>
      <c r="AS114" s="212" t="e">
        <v>#REF!</v>
      </c>
      <c r="AT114" s="212" t="e">
        <v>#REF!</v>
      </c>
      <c r="AU114" s="212" t="e">
        <v>#REF!</v>
      </c>
      <c r="AV114" s="212"/>
      <c r="AW114" s="212" t="e">
        <v>#REF!</v>
      </c>
      <c r="AX114" s="212">
        <f t="shared" si="10"/>
        <v>0</v>
      </c>
      <c r="BB114" s="212">
        <v>0</v>
      </c>
      <c r="BC114" s="212">
        <v>0</v>
      </c>
      <c r="BD114" s="212">
        <v>0</v>
      </c>
      <c r="BE114" s="212">
        <v>0</v>
      </c>
      <c r="BF114" s="212">
        <v>0</v>
      </c>
      <c r="BG114" s="226"/>
      <c r="BJ114" s="138" t="s">
        <v>940</v>
      </c>
      <c r="BK114" s="112"/>
      <c r="BL114" s="58"/>
    </row>
    <row r="115" spans="1:65" ht="39.950000000000003" customHeight="1" x14ac:dyDescent="0.2">
      <c r="A115" s="131" t="s">
        <v>744</v>
      </c>
      <c r="B115" s="132" t="s">
        <v>51</v>
      </c>
      <c r="C115" s="133" t="s">
        <v>119</v>
      </c>
      <c r="D115" s="14" t="s">
        <v>542</v>
      </c>
      <c r="E115" s="161" t="s">
        <v>119</v>
      </c>
      <c r="F115" s="14" t="s">
        <v>102</v>
      </c>
      <c r="G115" s="14" t="s">
        <v>102</v>
      </c>
      <c r="H115" s="66" t="s">
        <v>122</v>
      </c>
      <c r="I115" s="133" t="s">
        <v>745</v>
      </c>
      <c r="J115" s="192" t="s">
        <v>220</v>
      </c>
      <c r="K115" s="168" t="s">
        <v>101</v>
      </c>
      <c r="L115" s="194" t="s">
        <v>191</v>
      </c>
      <c r="M115" s="134" t="s">
        <v>59</v>
      </c>
      <c r="N115" s="167" t="s">
        <v>43</v>
      </c>
      <c r="O115" s="167" t="s">
        <v>538</v>
      </c>
      <c r="P115" s="65" t="s">
        <v>534</v>
      </c>
      <c r="Q115" s="135" t="s">
        <v>59</v>
      </c>
      <c r="R115" s="136" t="e">
        <f>(10000-1989.74)/EUR</f>
        <v>#REF!</v>
      </c>
      <c r="S115" s="62">
        <f>10000-1989.74</f>
        <v>8010.26</v>
      </c>
      <c r="T115" s="136" t="e">
        <f>Table12129[[#This Row],[Amortised Limit in Original Currency]]/EUR</f>
        <v>#REF!</v>
      </c>
      <c r="U115" s="136" t="e">
        <f>30000/EUR</f>
        <v>#REF!</v>
      </c>
      <c r="V115" s="136" t="e">
        <f>(502800-94433.18)/EUR</f>
        <v>#REF!</v>
      </c>
      <c r="W115" s="147" t="s">
        <v>11</v>
      </c>
      <c r="X115" s="185">
        <v>1.7999999999999999E-2</v>
      </c>
      <c r="Y115" s="137">
        <v>44591</v>
      </c>
      <c r="Z115" s="137">
        <v>46416</v>
      </c>
      <c r="AA115" s="137">
        <v>46416</v>
      </c>
      <c r="AB115" s="138">
        <f t="shared" si="16"/>
        <v>1826</v>
      </c>
      <c r="AC115" s="139" t="e">
        <f t="shared" si="17"/>
        <v>#REF!</v>
      </c>
      <c r="AD115" s="138" t="e">
        <f>AA115-#REF!</f>
        <v>#REF!</v>
      </c>
      <c r="AE115" s="140" t="e">
        <f t="shared" si="18"/>
        <v>#REF!</v>
      </c>
      <c r="AF115" s="184"/>
      <c r="AG115" s="186" t="s">
        <v>1</v>
      </c>
      <c r="AH115" s="186" t="s">
        <v>1</v>
      </c>
      <c r="AI115" s="187" t="s">
        <v>0</v>
      </c>
      <c r="AJ115" s="143" t="e">
        <f t="shared" si="11"/>
        <v>#REF!</v>
      </c>
      <c r="AK115" s="164" t="s">
        <v>271</v>
      </c>
      <c r="AL115" s="188" t="s">
        <v>742</v>
      </c>
      <c r="AO115" s="197" t="str">
        <f>Table12129[[#This Row],[Risk Location ]]</f>
        <v>Italy</v>
      </c>
      <c r="AP115" s="198" t="str">
        <f>Table12129[[#This Row],[Sector (GICS Industry Group)]]</f>
        <v>Real Estate Investment</v>
      </c>
      <c r="AS115" s="212" t="e">
        <v>#REF!</v>
      </c>
      <c r="AT115" s="212" t="e">
        <v>#REF!</v>
      </c>
      <c r="AU115" s="212" t="e">
        <v>#REF!</v>
      </c>
      <c r="AV115" s="212"/>
      <c r="AW115" s="212" t="e">
        <v>#REF!</v>
      </c>
      <c r="AX115" s="212">
        <f t="shared" si="10"/>
        <v>0</v>
      </c>
      <c r="BB115" s="212">
        <v>0</v>
      </c>
      <c r="BC115" s="212">
        <v>0</v>
      </c>
      <c r="BD115" s="212">
        <v>0</v>
      </c>
      <c r="BE115" s="212">
        <v>0</v>
      </c>
      <c r="BF115" s="212">
        <v>0</v>
      </c>
      <c r="BG115" s="226"/>
      <c r="BJ115" s="138" t="s">
        <v>1036</v>
      </c>
      <c r="BK115" s="112"/>
      <c r="BL115" s="58"/>
      <c r="BM115" s="18"/>
    </row>
    <row r="116" spans="1:65" ht="39.950000000000003" customHeight="1" x14ac:dyDescent="0.2">
      <c r="A116" s="131" t="s">
        <v>751</v>
      </c>
      <c r="B116" s="132" t="s">
        <v>51</v>
      </c>
      <c r="C116" s="133" t="s">
        <v>746</v>
      </c>
      <c r="D116" s="131" t="s">
        <v>806</v>
      </c>
      <c r="E116" s="133" t="s">
        <v>749</v>
      </c>
      <c r="F116" s="66" t="s">
        <v>106</v>
      </c>
      <c r="G116" s="66" t="s">
        <v>106</v>
      </c>
      <c r="H116" s="14" t="s">
        <v>263</v>
      </c>
      <c r="I116" s="133" t="s">
        <v>747</v>
      </c>
      <c r="J116" s="192" t="s">
        <v>221</v>
      </c>
      <c r="K116" s="168" t="s">
        <v>101</v>
      </c>
      <c r="L116" s="194" t="s">
        <v>191</v>
      </c>
      <c r="M116" s="134" t="s">
        <v>59</v>
      </c>
      <c r="N116" s="167" t="s">
        <v>43</v>
      </c>
      <c r="O116" s="167" t="s">
        <v>538</v>
      </c>
      <c r="P116" s="65" t="s">
        <v>534</v>
      </c>
      <c r="Q116" s="135" t="s">
        <v>59</v>
      </c>
      <c r="R116" s="136" t="e">
        <f>7800/EUR</f>
        <v>#REF!</v>
      </c>
      <c r="S116" s="62">
        <v>7800</v>
      </c>
      <c r="T116" s="230" t="e">
        <f>Table12129[[#This Row],[Amortised Limit in Original Currency]]/EUR</f>
        <v>#REF!</v>
      </c>
      <c r="U116" s="136" t="e">
        <f>65000/EUR</f>
        <v>#REF!</v>
      </c>
      <c r="V116" s="136" t="e">
        <f>386294.5/EUR</f>
        <v>#REF!</v>
      </c>
      <c r="W116" s="147" t="s">
        <v>11</v>
      </c>
      <c r="X116" s="185">
        <v>1.8499999999999999E-2</v>
      </c>
      <c r="Y116" s="137">
        <v>44592</v>
      </c>
      <c r="Z116" s="137">
        <v>46472</v>
      </c>
      <c r="AA116" s="137">
        <v>46472</v>
      </c>
      <c r="AB116" s="138">
        <f t="shared" si="16"/>
        <v>1881</v>
      </c>
      <c r="AC116" s="139" t="e">
        <f t="shared" si="17"/>
        <v>#REF!</v>
      </c>
      <c r="AD116" s="138" t="e">
        <f>AA116-#REF!</f>
        <v>#REF!</v>
      </c>
      <c r="AE116" s="140" t="e">
        <f t="shared" si="18"/>
        <v>#REF!</v>
      </c>
      <c r="AF116" s="184"/>
      <c r="AG116" s="186" t="s">
        <v>1</v>
      </c>
      <c r="AH116" s="186" t="s">
        <v>1</v>
      </c>
      <c r="AI116" s="187" t="s">
        <v>0</v>
      </c>
      <c r="AJ116" s="180" t="e">
        <f t="shared" si="11"/>
        <v>#REF!</v>
      </c>
      <c r="AK116" s="164" t="s">
        <v>271</v>
      </c>
      <c r="AL116" s="188" t="s">
        <v>743</v>
      </c>
      <c r="AO116" s="197" t="str">
        <f>Table12129[[#This Row],[Risk Location ]]</f>
        <v>Slovak Republic</v>
      </c>
      <c r="AP116" s="198" t="str">
        <f>Table12129[[#This Row],[Sector (GICS Industry Group)]]</f>
        <v>Real Estate Management &amp; Development</v>
      </c>
      <c r="AS116" s="212" t="e">
        <v>#REF!</v>
      </c>
      <c r="AT116" s="212" t="e">
        <v>#REF!</v>
      </c>
      <c r="AU116" s="212" t="e">
        <v>#REF!</v>
      </c>
      <c r="AV116" s="212"/>
      <c r="AW116" s="212" t="e">
        <v>#REF!</v>
      </c>
      <c r="AX116" s="212">
        <f t="shared" si="10"/>
        <v>0</v>
      </c>
      <c r="BB116" s="212">
        <v>0</v>
      </c>
      <c r="BC116" s="212">
        <v>0</v>
      </c>
      <c r="BD116" s="212">
        <v>0</v>
      </c>
      <c r="BE116" s="212">
        <v>0</v>
      </c>
      <c r="BF116" s="212">
        <v>0</v>
      </c>
      <c r="BG116" s="226"/>
      <c r="BJ116" s="138" t="s">
        <v>1037</v>
      </c>
      <c r="BK116" s="112"/>
      <c r="BL116" s="58" t="s">
        <v>474</v>
      </c>
    </row>
    <row r="117" spans="1:65" ht="39.950000000000003" customHeight="1" x14ac:dyDescent="0.2">
      <c r="A117" s="131" t="s">
        <v>750</v>
      </c>
      <c r="B117" s="132" t="s">
        <v>51</v>
      </c>
      <c r="C117" s="133" t="s">
        <v>746</v>
      </c>
      <c r="D117" s="14" t="s">
        <v>542</v>
      </c>
      <c r="E117" s="133" t="s">
        <v>746</v>
      </c>
      <c r="F117" s="66" t="s">
        <v>106</v>
      </c>
      <c r="G117" s="66" t="s">
        <v>106</v>
      </c>
      <c r="H117" s="14" t="s">
        <v>263</v>
      </c>
      <c r="I117" s="133" t="s">
        <v>747</v>
      </c>
      <c r="J117" s="192" t="s">
        <v>221</v>
      </c>
      <c r="K117" s="168" t="s">
        <v>101</v>
      </c>
      <c r="L117" s="194" t="s">
        <v>191</v>
      </c>
      <c r="M117" s="134" t="s">
        <v>59</v>
      </c>
      <c r="N117" s="167" t="s">
        <v>43</v>
      </c>
      <c r="O117" s="167" t="s">
        <v>538</v>
      </c>
      <c r="P117" s="65" t="s">
        <v>534</v>
      </c>
      <c r="Q117" s="135" t="s">
        <v>59</v>
      </c>
      <c r="R117" s="136" t="e">
        <f>7200/EUR</f>
        <v>#REF!</v>
      </c>
      <c r="S117" s="62">
        <v>7200</v>
      </c>
      <c r="T117" s="136" t="e">
        <f>Table12129[[#This Row],[Amortised Limit in Original Currency]]/EUR</f>
        <v>#REF!</v>
      </c>
      <c r="U117" s="136" t="e">
        <f>60000/EUR</f>
        <v>#REF!</v>
      </c>
      <c r="V117" s="136" t="e">
        <f>378486.28/EUR</f>
        <v>#REF!</v>
      </c>
      <c r="W117" s="147" t="s">
        <v>11</v>
      </c>
      <c r="X117" s="185">
        <v>1.8499999999999999E-2</v>
      </c>
      <c r="Y117" s="137">
        <v>44592</v>
      </c>
      <c r="Z117" s="137">
        <v>46472</v>
      </c>
      <c r="AA117" s="137">
        <v>46472</v>
      </c>
      <c r="AB117" s="138">
        <f t="shared" si="16"/>
        <v>1881</v>
      </c>
      <c r="AC117" s="139" t="e">
        <f t="shared" si="17"/>
        <v>#REF!</v>
      </c>
      <c r="AD117" s="138" t="e">
        <f>AA117-#REF!</f>
        <v>#REF!</v>
      </c>
      <c r="AE117" s="140" t="e">
        <f t="shared" si="18"/>
        <v>#REF!</v>
      </c>
      <c r="AF117" s="184"/>
      <c r="AG117" s="186" t="s">
        <v>1</v>
      </c>
      <c r="AH117" s="186" t="s">
        <v>1</v>
      </c>
      <c r="AI117" s="187" t="s">
        <v>0</v>
      </c>
      <c r="AJ117" s="143" t="e">
        <f t="shared" si="11"/>
        <v>#REF!</v>
      </c>
      <c r="AK117" s="164" t="s">
        <v>271</v>
      </c>
      <c r="AL117" s="188" t="s">
        <v>743</v>
      </c>
      <c r="AO117" s="197" t="str">
        <f>Table12129[[#This Row],[Risk Location ]]</f>
        <v>Czech Republic</v>
      </c>
      <c r="AP117" s="198" t="str">
        <f>Table12129[[#This Row],[Sector (GICS Industry Group)]]</f>
        <v>Real Estate Management &amp; Development</v>
      </c>
      <c r="AS117" s="212" t="e">
        <v>#REF!</v>
      </c>
      <c r="AT117" s="212" t="e">
        <v>#REF!</v>
      </c>
      <c r="AU117" s="212" t="e">
        <v>#REF!</v>
      </c>
      <c r="AV117" s="212"/>
      <c r="AW117" s="212" t="e">
        <v>#REF!</v>
      </c>
      <c r="AX117" s="212">
        <f t="shared" si="10"/>
        <v>0</v>
      </c>
      <c r="BB117" s="212">
        <v>0</v>
      </c>
      <c r="BC117" s="212">
        <v>0</v>
      </c>
      <c r="BD117" s="212">
        <v>0</v>
      </c>
      <c r="BE117" s="212">
        <v>0</v>
      </c>
      <c r="BF117" s="212">
        <v>0</v>
      </c>
      <c r="BG117" s="226"/>
      <c r="BJ117" s="138" t="s">
        <v>1038</v>
      </c>
      <c r="BK117" s="112"/>
      <c r="BL117" s="58" t="s">
        <v>474</v>
      </c>
    </row>
    <row r="118" spans="1:65" ht="39.950000000000003" customHeight="1" x14ac:dyDescent="0.2">
      <c r="A118" s="131" t="s">
        <v>753</v>
      </c>
      <c r="B118" s="132" t="s">
        <v>67</v>
      </c>
      <c r="C118" s="133" t="s">
        <v>588</v>
      </c>
      <c r="D118" s="131" t="s">
        <v>499</v>
      </c>
      <c r="E118" s="133" t="s">
        <v>162</v>
      </c>
      <c r="F118" s="14" t="s">
        <v>891</v>
      </c>
      <c r="G118" s="66" t="s">
        <v>167</v>
      </c>
      <c r="H118" s="131" t="s">
        <v>167</v>
      </c>
      <c r="I118" s="14" t="s">
        <v>298</v>
      </c>
      <c r="J118" s="192" t="s">
        <v>218</v>
      </c>
      <c r="K118" s="168" t="s">
        <v>209</v>
      </c>
      <c r="L118" s="194" t="s">
        <v>191</v>
      </c>
      <c r="M118" s="134" t="s">
        <v>59</v>
      </c>
      <c r="N118" s="167" t="s">
        <v>43</v>
      </c>
      <c r="O118" s="167" t="s">
        <v>531</v>
      </c>
      <c r="P118" s="65" t="s">
        <v>534</v>
      </c>
      <c r="Q118" s="135" t="s">
        <v>9</v>
      </c>
      <c r="R118" s="136" t="e">
        <f>20000/USD</f>
        <v>#REF!</v>
      </c>
      <c r="S118" s="62">
        <v>20000</v>
      </c>
      <c r="T118" s="136" t="e">
        <f>Table12129[[#This Row],[Amortised Limit in Original Currency]]/USD</f>
        <v>#REF!</v>
      </c>
      <c r="U118" s="136" t="e">
        <f>40000/USD</f>
        <v>#REF!</v>
      </c>
      <c r="V118" s="136" t="e">
        <f>720239.34/USD</f>
        <v>#REF!</v>
      </c>
      <c r="W118" s="147" t="s">
        <v>11</v>
      </c>
      <c r="X118" s="185">
        <v>3.4849999999999999E-2</v>
      </c>
      <c r="Y118" s="137">
        <v>44634</v>
      </c>
      <c r="Z118" s="137">
        <v>45316</v>
      </c>
      <c r="AA118" s="137">
        <f>Table12129[[#This Row],[Expiry Date]]+21</f>
        <v>45337</v>
      </c>
      <c r="AB118" s="138">
        <f t="shared" si="16"/>
        <v>704</v>
      </c>
      <c r="AC118" s="139" t="e">
        <f t="shared" si="17"/>
        <v>#REF!</v>
      </c>
      <c r="AD118" s="138" t="e">
        <f>AA118-#REF!</f>
        <v>#REF!</v>
      </c>
      <c r="AE118" s="140" t="e">
        <f t="shared" si="18"/>
        <v>#REF!</v>
      </c>
      <c r="AF118" s="184" t="s">
        <v>436</v>
      </c>
      <c r="AG118" s="186" t="s">
        <v>1</v>
      </c>
      <c r="AH118" s="186" t="s">
        <v>1</v>
      </c>
      <c r="AI118" s="187" t="s">
        <v>0</v>
      </c>
      <c r="AJ118" s="143" t="e">
        <f t="shared" si="11"/>
        <v>#REF!</v>
      </c>
      <c r="AK118" s="164" t="s">
        <v>271</v>
      </c>
      <c r="AL118" s="188" t="s">
        <v>755</v>
      </c>
      <c r="AO118" s="197" t="str">
        <f>Table12129[[#This Row],[Risk Location ]]</f>
        <v>United States</v>
      </c>
      <c r="AP118" s="198" t="str">
        <f>Table12129[[#This Row],[Sector (GICS Industry Group)]]</f>
        <v>Information Technology - Hardware &amp; Equipment</v>
      </c>
      <c r="AS118" s="212" t="e">
        <v>#REF!</v>
      </c>
      <c r="AT118" s="212" t="e">
        <v>#REF!</v>
      </c>
      <c r="AU118" s="212" t="e">
        <v>#REF!</v>
      </c>
      <c r="AV118" s="212"/>
      <c r="AW118" s="212" t="e">
        <v>#REF!</v>
      </c>
      <c r="AX118" s="212">
        <f t="shared" si="10"/>
        <v>0</v>
      </c>
      <c r="BB118" s="212">
        <v>0</v>
      </c>
      <c r="BC118" s="212">
        <v>0</v>
      </c>
      <c r="BD118" s="212">
        <v>0</v>
      </c>
      <c r="BE118" s="212">
        <v>0</v>
      </c>
      <c r="BF118" s="212">
        <v>0</v>
      </c>
      <c r="BG118" s="226"/>
      <c r="BJ118" s="138" t="s">
        <v>941</v>
      </c>
      <c r="BK118" s="112"/>
      <c r="BL118" s="58"/>
    </row>
    <row r="119" spans="1:65" ht="39.950000000000003" customHeight="1" x14ac:dyDescent="0.2">
      <c r="A119" s="131" t="s">
        <v>756</v>
      </c>
      <c r="B119" s="132" t="s">
        <v>67</v>
      </c>
      <c r="C119" s="133" t="s">
        <v>684</v>
      </c>
      <c r="D119" s="131" t="s">
        <v>542</v>
      </c>
      <c r="E119" s="133" t="s">
        <v>308</v>
      </c>
      <c r="F119" s="14" t="s">
        <v>891</v>
      </c>
      <c r="G119" s="66" t="s">
        <v>167</v>
      </c>
      <c r="H119" s="131" t="s">
        <v>167</v>
      </c>
      <c r="I119" s="133" t="s">
        <v>677</v>
      </c>
      <c r="J119" s="192" t="s">
        <v>218</v>
      </c>
      <c r="K119" s="168" t="s">
        <v>209</v>
      </c>
      <c r="L119" s="194" t="s">
        <v>191</v>
      </c>
      <c r="M119" s="134" t="s">
        <v>59</v>
      </c>
      <c r="N119" s="167" t="s">
        <v>43</v>
      </c>
      <c r="O119" s="167" t="s">
        <v>533</v>
      </c>
      <c r="P119" s="65" t="s">
        <v>534</v>
      </c>
      <c r="Q119" s="135" t="s">
        <v>487</v>
      </c>
      <c r="R119" s="136" t="e">
        <f>155787.273/NOK</f>
        <v>#REF!</v>
      </c>
      <c r="S119" s="62">
        <v>155787.27299999999</v>
      </c>
      <c r="T119" s="136" t="e">
        <f>Table12129[[#This Row],[Amortised Limit in Original Currency]]/NOK</f>
        <v>#REF!</v>
      </c>
      <c r="U119" s="136" t="e">
        <f>311574.546/NOK</f>
        <v>#REF!</v>
      </c>
      <c r="V119" s="136" t="e">
        <f>10425037.06/NOK</f>
        <v>#REF!</v>
      </c>
      <c r="W119" s="147" t="s">
        <v>11</v>
      </c>
      <c r="X119" s="185">
        <f>0.0285</f>
        <v>2.8500000000000001E-2</v>
      </c>
      <c r="Y119" s="137">
        <v>44651</v>
      </c>
      <c r="Z119" s="137">
        <v>46418</v>
      </c>
      <c r="AA119" s="137">
        <f>Table12129[[#This Row],[Expiry Date]]+15</f>
        <v>46433</v>
      </c>
      <c r="AB119" s="138">
        <f t="shared" si="16"/>
        <v>1783</v>
      </c>
      <c r="AC119" s="139" t="e">
        <f t="shared" si="17"/>
        <v>#REF!</v>
      </c>
      <c r="AD119" s="138" t="e">
        <f>AA119-#REF!</f>
        <v>#REF!</v>
      </c>
      <c r="AE119" s="140" t="e">
        <f t="shared" si="18"/>
        <v>#REF!</v>
      </c>
      <c r="AF119" s="184" t="s">
        <v>436</v>
      </c>
      <c r="AG119" s="186" t="s">
        <v>1</v>
      </c>
      <c r="AH119" s="186" t="s">
        <v>1</v>
      </c>
      <c r="AI119" s="187" t="s">
        <v>0</v>
      </c>
      <c r="AJ119" s="143" t="e">
        <f t="shared" si="11"/>
        <v>#REF!</v>
      </c>
      <c r="AK119" s="164" t="s">
        <v>271</v>
      </c>
      <c r="AL119" s="188" t="s">
        <v>757</v>
      </c>
      <c r="AO119" s="197" t="str">
        <f>Table12129[[#This Row],[Risk Location ]]</f>
        <v>Norway</v>
      </c>
      <c r="AP119" s="198" t="str">
        <f>Table12129[[#This Row],[Sector (GICS Industry Group)]]</f>
        <v>Information Technology - Hardware &amp; Equipment</v>
      </c>
      <c r="AS119" s="212" t="e">
        <v>#REF!</v>
      </c>
      <c r="AT119" s="212" t="e">
        <v>#REF!</v>
      </c>
      <c r="AU119" s="212" t="e">
        <v>#REF!</v>
      </c>
      <c r="AV119" s="212"/>
      <c r="AW119" s="212" t="e">
        <v>#REF!</v>
      </c>
      <c r="AX119" s="212">
        <f t="shared" si="10"/>
        <v>0</v>
      </c>
      <c r="BB119" s="212">
        <v>0</v>
      </c>
      <c r="BC119" s="212">
        <v>0</v>
      </c>
      <c r="BD119" s="212">
        <v>0</v>
      </c>
      <c r="BE119" s="212">
        <v>0</v>
      </c>
      <c r="BF119" s="212">
        <v>0</v>
      </c>
      <c r="BG119" s="226"/>
      <c r="BJ119" s="138" t="s">
        <v>1039</v>
      </c>
      <c r="BK119" s="112"/>
      <c r="BL119" s="58"/>
    </row>
    <row r="120" spans="1:65" ht="39.950000000000003" customHeight="1" x14ac:dyDescent="0.2">
      <c r="A120" s="131" t="s">
        <v>758</v>
      </c>
      <c r="B120" s="132" t="s">
        <v>23</v>
      </c>
      <c r="C120" s="133" t="s">
        <v>34</v>
      </c>
      <c r="D120" s="14" t="s">
        <v>34</v>
      </c>
      <c r="E120" s="133" t="s">
        <v>34</v>
      </c>
      <c r="F120" s="14" t="s">
        <v>102</v>
      </c>
      <c r="G120" s="14" t="s">
        <v>102</v>
      </c>
      <c r="H120" s="131" t="s">
        <v>477</v>
      </c>
      <c r="I120" s="133" t="s">
        <v>760</v>
      </c>
      <c r="J120" s="192" t="s">
        <v>33</v>
      </c>
      <c r="K120" s="168" t="s">
        <v>101</v>
      </c>
      <c r="L120" s="194" t="s">
        <v>191</v>
      </c>
      <c r="M120" s="134" t="s">
        <v>323</v>
      </c>
      <c r="N120" s="167" t="s">
        <v>43</v>
      </c>
      <c r="O120" s="167" t="s">
        <v>533</v>
      </c>
      <c r="P120" s="65" t="s">
        <v>534</v>
      </c>
      <c r="Q120" s="135" t="s">
        <v>8</v>
      </c>
      <c r="R120" s="136">
        <v>11100</v>
      </c>
      <c r="S120" s="62">
        <v>11100</v>
      </c>
      <c r="T120" s="136">
        <v>11100</v>
      </c>
      <c r="U120" s="136">
        <v>48000</v>
      </c>
      <c r="V120" s="136">
        <v>417129.53</v>
      </c>
      <c r="W120" s="147" t="s">
        <v>11</v>
      </c>
      <c r="X120" s="185">
        <v>2.1499999999999998E-2</v>
      </c>
      <c r="Y120" s="137">
        <v>44651</v>
      </c>
      <c r="Z120" s="137">
        <v>46386</v>
      </c>
      <c r="AA120" s="137">
        <v>46386</v>
      </c>
      <c r="AB120" s="138">
        <f t="shared" si="16"/>
        <v>1736</v>
      </c>
      <c r="AC120" s="139" t="e">
        <f t="shared" si="17"/>
        <v>#REF!</v>
      </c>
      <c r="AD120" s="138" t="e">
        <f>AA120-#REF!</f>
        <v>#REF!</v>
      </c>
      <c r="AE120" s="140" t="e">
        <f t="shared" si="18"/>
        <v>#REF!</v>
      </c>
      <c r="AF120" s="184"/>
      <c r="AG120" s="186" t="s">
        <v>1</v>
      </c>
      <c r="AH120" s="186" t="s">
        <v>1</v>
      </c>
      <c r="AI120" s="187" t="s">
        <v>0</v>
      </c>
      <c r="AJ120" s="143" t="e">
        <f t="shared" si="11"/>
        <v>#REF!</v>
      </c>
      <c r="AK120" s="164" t="s">
        <v>563</v>
      </c>
      <c r="AL120" s="188" t="s">
        <v>761</v>
      </c>
      <c r="AO120" s="197" t="str">
        <f>Table12129[[#This Row],[Risk Location ]]</f>
        <v>Australia</v>
      </c>
      <c r="AP120" s="198" t="str">
        <f>Table12129[[#This Row],[Sector (GICS Industry Group)]]</f>
        <v>Real Estate Investment</v>
      </c>
      <c r="AS120" s="212" t="e">
        <v>#REF!</v>
      </c>
      <c r="AT120" s="212" t="e">
        <v>#REF!</v>
      </c>
      <c r="AU120" s="212" t="e">
        <v>#REF!</v>
      </c>
      <c r="AV120" s="212"/>
      <c r="AW120" s="212" t="e">
        <v>#REF!</v>
      </c>
      <c r="AX120" s="212">
        <f t="shared" si="10"/>
        <v>0</v>
      </c>
      <c r="BB120" s="212">
        <v>0</v>
      </c>
      <c r="BC120" s="212">
        <v>0</v>
      </c>
      <c r="BD120" s="212">
        <v>0</v>
      </c>
      <c r="BE120" s="212">
        <v>0</v>
      </c>
      <c r="BF120" s="212">
        <v>0</v>
      </c>
      <c r="BG120" s="226"/>
      <c r="BJ120" s="138" t="s">
        <v>1040</v>
      </c>
      <c r="BK120" s="112"/>
      <c r="BL120" s="58"/>
    </row>
    <row r="121" spans="1:65" ht="39.950000000000003" customHeight="1" x14ac:dyDescent="0.2">
      <c r="A121" s="131" t="s">
        <v>780</v>
      </c>
      <c r="B121" s="132" t="s">
        <v>23</v>
      </c>
      <c r="C121" s="133" t="s">
        <v>34</v>
      </c>
      <c r="D121" s="131" t="s">
        <v>34</v>
      </c>
      <c r="E121" s="133" t="s">
        <v>34</v>
      </c>
      <c r="F121" s="131" t="s">
        <v>544</v>
      </c>
      <c r="G121" s="66" t="s">
        <v>117</v>
      </c>
      <c r="H121" s="131" t="s">
        <v>273</v>
      </c>
      <c r="I121" s="133" t="s">
        <v>232</v>
      </c>
      <c r="J121" s="192" t="s">
        <v>21</v>
      </c>
      <c r="K121" s="168" t="s">
        <v>209</v>
      </c>
      <c r="L121" s="194" t="s">
        <v>191</v>
      </c>
      <c r="M121" s="134" t="s">
        <v>323</v>
      </c>
      <c r="N121" s="167" t="s">
        <v>43</v>
      </c>
      <c r="O121" s="167" t="s">
        <v>538</v>
      </c>
      <c r="P121" s="65" t="s">
        <v>534</v>
      </c>
      <c r="Q121" s="135" t="s">
        <v>8</v>
      </c>
      <c r="R121" s="136">
        <f>20000</f>
        <v>20000</v>
      </c>
      <c r="S121" s="62">
        <v>20000</v>
      </c>
      <c r="T121" s="136">
        <f>Table12129[[#This Row],[Amortised Limit in Original Currency]]</f>
        <v>20000</v>
      </c>
      <c r="U121" s="136">
        <v>172250</v>
      </c>
      <c r="V121" s="136">
        <v>528467.09</v>
      </c>
      <c r="W121" s="147" t="s">
        <v>11</v>
      </c>
      <c r="X121" s="185">
        <v>2.2499999999999999E-2</v>
      </c>
      <c r="Y121" s="137">
        <v>44658</v>
      </c>
      <c r="Z121" s="137">
        <v>45594</v>
      </c>
      <c r="AA121" s="137">
        <v>45625</v>
      </c>
      <c r="AB121" s="138">
        <f t="shared" si="16"/>
        <v>968</v>
      </c>
      <c r="AC121" s="139" t="e">
        <f t="shared" si="17"/>
        <v>#REF!</v>
      </c>
      <c r="AD121" s="138" t="e">
        <f>AA121-#REF!</f>
        <v>#REF!</v>
      </c>
      <c r="AE121" s="140" t="e">
        <f>AD121/365</f>
        <v>#REF!</v>
      </c>
      <c r="AF121" s="184"/>
      <c r="AG121" s="186" t="s">
        <v>1</v>
      </c>
      <c r="AH121" s="186" t="s">
        <v>1</v>
      </c>
      <c r="AI121" s="187" t="s">
        <v>0</v>
      </c>
      <c r="AJ121" s="143" t="e">
        <f>+IF(AA121-60&lt;$A$1, "SEND NOTICE", "N/A")</f>
        <v>#REF!</v>
      </c>
      <c r="AK121" s="164" t="s">
        <v>563</v>
      </c>
      <c r="AL121" s="188" t="s">
        <v>776</v>
      </c>
      <c r="AO121" s="197" t="str">
        <f>Table12129[[#This Row],[Risk Location ]]</f>
        <v>Australia</v>
      </c>
      <c r="AP121" s="198" t="str">
        <f>Table12129[[#This Row],[Sector (GICS Industry Group)]]</f>
        <v>Consumer Discretionary</v>
      </c>
      <c r="AS121" s="212" t="e">
        <v>#REF!</v>
      </c>
      <c r="AT121" s="212" t="e">
        <v>#REF!</v>
      </c>
      <c r="AU121" s="212" t="e">
        <v>#REF!</v>
      </c>
      <c r="AV121" s="212"/>
      <c r="AW121" s="212" t="e">
        <v>#REF!</v>
      </c>
      <c r="AX121" s="212">
        <f t="shared" si="10"/>
        <v>0</v>
      </c>
      <c r="BB121" s="212">
        <v>0</v>
      </c>
      <c r="BC121" s="212">
        <v>0</v>
      </c>
      <c r="BD121" s="212">
        <v>0</v>
      </c>
      <c r="BE121" s="212">
        <v>0</v>
      </c>
      <c r="BF121" s="212">
        <v>0</v>
      </c>
      <c r="BG121" s="226"/>
      <c r="BJ121" s="138" t="s">
        <v>1041</v>
      </c>
      <c r="BK121" s="112"/>
      <c r="BL121" s="58"/>
    </row>
    <row r="122" spans="1:65" ht="39.950000000000003" customHeight="1" x14ac:dyDescent="0.2">
      <c r="A122" s="131" t="s">
        <v>781</v>
      </c>
      <c r="B122" s="132" t="s">
        <v>243</v>
      </c>
      <c r="C122" s="133" t="s">
        <v>588</v>
      </c>
      <c r="D122" s="14" t="s">
        <v>542</v>
      </c>
      <c r="E122" s="133" t="s">
        <v>87</v>
      </c>
      <c r="F122" s="14" t="s">
        <v>102</v>
      </c>
      <c r="G122" s="14" t="s">
        <v>102</v>
      </c>
      <c r="H122" s="131" t="s">
        <v>477</v>
      </c>
      <c r="I122" s="133" t="s">
        <v>298</v>
      </c>
      <c r="J122" s="192" t="s">
        <v>218</v>
      </c>
      <c r="K122" s="168" t="s">
        <v>209</v>
      </c>
      <c r="L122" s="194" t="s">
        <v>191</v>
      </c>
      <c r="M122" s="134" t="s">
        <v>59</v>
      </c>
      <c r="N122" s="167" t="s">
        <v>43</v>
      </c>
      <c r="O122" s="167" t="s">
        <v>533</v>
      </c>
      <c r="P122" s="65" t="s">
        <v>534</v>
      </c>
      <c r="Q122" s="135" t="s">
        <v>156</v>
      </c>
      <c r="R122" s="136" t="e">
        <f>10000/GBP</f>
        <v>#REF!</v>
      </c>
      <c r="S122" s="62">
        <v>10000</v>
      </c>
      <c r="T122" s="136" t="e">
        <f>Table12129[[#This Row],[Amortised Limit in Original Currency]]/GBP</f>
        <v>#REF!</v>
      </c>
      <c r="U122" s="136" t="e">
        <f>40000/GBP</f>
        <v>#REF!</v>
      </c>
      <c r="V122" s="136" t="e">
        <f>411159.58/GBP</f>
        <v>#REF!</v>
      </c>
      <c r="W122" s="147" t="s">
        <v>11</v>
      </c>
      <c r="X122" s="185">
        <v>0.03</v>
      </c>
      <c r="Y122" s="137">
        <v>44663</v>
      </c>
      <c r="Z122" s="137">
        <v>45749</v>
      </c>
      <c r="AA122" s="137">
        <f>Table12129[[#This Row],[Expiry Date]]+15</f>
        <v>45764</v>
      </c>
      <c r="AB122" s="138">
        <f t="shared" si="16"/>
        <v>1102</v>
      </c>
      <c r="AC122" s="139" t="e">
        <f t="shared" si="17"/>
        <v>#REF!</v>
      </c>
      <c r="AD122" s="138" t="e">
        <f>AA122-#REF!</f>
        <v>#REF!</v>
      </c>
      <c r="AE122" s="140" t="e">
        <f>AD122/365</f>
        <v>#REF!</v>
      </c>
      <c r="AF122" s="184"/>
      <c r="AG122" s="186" t="s">
        <v>1</v>
      </c>
      <c r="AH122" s="186" t="s">
        <v>1</v>
      </c>
      <c r="AI122" s="187" t="s">
        <v>0</v>
      </c>
      <c r="AJ122" s="143" t="e">
        <f>+IF(AA122-60&lt;$A$1, "SEND NOTICE", "N/A")</f>
        <v>#REF!</v>
      </c>
      <c r="AK122" s="164" t="s">
        <v>563</v>
      </c>
      <c r="AL122" s="188" t="s">
        <v>777</v>
      </c>
      <c r="AO122" s="197" t="str">
        <f>Table12129[[#This Row],[Risk Location ]]</f>
        <v>United Kingdom</v>
      </c>
      <c r="AP122" s="198" t="str">
        <f>Table12129[[#This Row],[Sector (GICS Industry Group)]]</f>
        <v>Real Estate Investment</v>
      </c>
      <c r="AS122" s="212" t="e">
        <v>#REF!</v>
      </c>
      <c r="AT122" s="212" t="e">
        <v>#REF!</v>
      </c>
      <c r="AU122" s="212" t="e">
        <v>#REF!</v>
      </c>
      <c r="AV122" s="212"/>
      <c r="AW122" s="212" t="e">
        <v>#REF!</v>
      </c>
      <c r="AX122" s="212">
        <f t="shared" si="10"/>
        <v>0</v>
      </c>
      <c r="BB122" s="212">
        <v>0</v>
      </c>
      <c r="BC122" s="212">
        <v>0</v>
      </c>
      <c r="BD122" s="212">
        <v>0</v>
      </c>
      <c r="BE122" s="212">
        <v>0</v>
      </c>
      <c r="BF122" s="212">
        <v>0</v>
      </c>
      <c r="BG122" s="226"/>
      <c r="BJ122" s="138" t="s">
        <v>1042</v>
      </c>
      <c r="BK122" s="112"/>
      <c r="BL122" s="58"/>
    </row>
    <row r="123" spans="1:65" ht="39.950000000000003" customHeight="1" x14ac:dyDescent="0.2">
      <c r="A123" s="131" t="s">
        <v>782</v>
      </c>
      <c r="B123" s="132" t="s">
        <v>23</v>
      </c>
      <c r="C123" s="133" t="s">
        <v>88</v>
      </c>
      <c r="D123" s="131" t="s">
        <v>542</v>
      </c>
      <c r="E123" s="133" t="s">
        <v>193</v>
      </c>
      <c r="F123" s="131" t="s">
        <v>92</v>
      </c>
      <c r="G123" s="66" t="s">
        <v>134</v>
      </c>
      <c r="H123" s="131" t="s">
        <v>134</v>
      </c>
      <c r="I123" s="133" t="s">
        <v>286</v>
      </c>
      <c r="J123" s="192" t="s">
        <v>220</v>
      </c>
      <c r="K123" s="168" t="s">
        <v>209</v>
      </c>
      <c r="L123" s="194" t="s">
        <v>191</v>
      </c>
      <c r="M123" s="134" t="s">
        <v>59</v>
      </c>
      <c r="N123" s="167" t="s">
        <v>43</v>
      </c>
      <c r="O123" s="167" t="s">
        <v>531</v>
      </c>
      <c r="P123" s="65" t="s">
        <v>534</v>
      </c>
      <c r="Q123" s="135" t="s">
        <v>9</v>
      </c>
      <c r="R123" s="136" t="e">
        <f>7500/USD</f>
        <v>#REF!</v>
      </c>
      <c r="S123" s="62">
        <v>6648.17</v>
      </c>
      <c r="T123" s="136" t="e">
        <f>Table12129[[#This Row],[Amortised Limit in Original Currency]]/USD</f>
        <v>#REF!</v>
      </c>
      <c r="U123" s="136" t="e">
        <f>107254.32511/USD</f>
        <v>#REF!</v>
      </c>
      <c r="V123" s="136" t="e">
        <f>418014.94/USD</f>
        <v>#REF!</v>
      </c>
      <c r="W123" s="147" t="s">
        <v>11</v>
      </c>
      <c r="X123" s="185">
        <v>2.5000000000000001E-2</v>
      </c>
      <c r="Y123" s="137">
        <v>44650</v>
      </c>
      <c r="Z123" s="137">
        <v>47421</v>
      </c>
      <c r="AA123" s="137">
        <v>47421</v>
      </c>
      <c r="AB123" s="138">
        <f t="shared" si="16"/>
        <v>2772</v>
      </c>
      <c r="AC123" s="139" t="e">
        <f t="shared" si="17"/>
        <v>#REF!</v>
      </c>
      <c r="AD123" s="138" t="e">
        <f>AA123-#REF!</f>
        <v>#REF!</v>
      </c>
      <c r="AE123" s="140" t="e">
        <f>AD123/365</f>
        <v>#REF!</v>
      </c>
      <c r="AF123" s="184"/>
      <c r="AG123" s="186" t="s">
        <v>1</v>
      </c>
      <c r="AH123" s="186" t="s">
        <v>1</v>
      </c>
      <c r="AI123" s="187" t="s">
        <v>784</v>
      </c>
      <c r="AJ123" s="143" t="e">
        <f>+IF(AA123-60&lt;$A$1, "SEND NOTICE", "N/A")</f>
        <v>#REF!</v>
      </c>
      <c r="AK123" s="164" t="s">
        <v>563</v>
      </c>
      <c r="AL123" s="188" t="s">
        <v>778</v>
      </c>
      <c r="AO123" s="197" t="str">
        <f>Table12129[[#This Row],[Risk Location ]]</f>
        <v>Switzerland</v>
      </c>
      <c r="AP123" s="198" t="str">
        <f>Table12129[[#This Row],[Sector (GICS Industry Group)]]</f>
        <v>Transportation</v>
      </c>
      <c r="AS123" s="212" t="e">
        <v>#REF!</v>
      </c>
      <c r="AT123" s="212" t="e">
        <v>#REF!</v>
      </c>
      <c r="AU123" s="212" t="e">
        <v>#REF!</v>
      </c>
      <c r="AV123" s="212"/>
      <c r="AW123" s="212" t="e">
        <v>#REF!</v>
      </c>
      <c r="AX123" s="212">
        <f t="shared" si="10"/>
        <v>0</v>
      </c>
      <c r="BB123" s="212">
        <v>0</v>
      </c>
      <c r="BC123" s="212">
        <v>0</v>
      </c>
      <c r="BD123" s="212">
        <v>0</v>
      </c>
      <c r="BE123" s="212">
        <v>0</v>
      </c>
      <c r="BF123" s="212">
        <v>0</v>
      </c>
      <c r="BG123" s="226"/>
      <c r="BJ123" s="138" t="s">
        <v>1043</v>
      </c>
      <c r="BK123" s="112"/>
      <c r="BL123" s="58"/>
    </row>
    <row r="124" spans="1:65" s="229" customFormat="1" ht="39.950000000000003" customHeight="1" x14ac:dyDescent="0.2">
      <c r="A124" s="131" t="s">
        <v>785</v>
      </c>
      <c r="B124" s="132" t="s">
        <v>51</v>
      </c>
      <c r="C124" s="133" t="s">
        <v>746</v>
      </c>
      <c r="D124" s="131" t="s">
        <v>542</v>
      </c>
      <c r="E124" s="133" t="s">
        <v>746</v>
      </c>
      <c r="F124" s="133" t="s">
        <v>106</v>
      </c>
      <c r="G124" s="133" t="s">
        <v>106</v>
      </c>
      <c r="H124" s="131" t="s">
        <v>263</v>
      </c>
      <c r="I124" s="133" t="s">
        <v>747</v>
      </c>
      <c r="J124" s="192" t="s">
        <v>221</v>
      </c>
      <c r="K124" s="168" t="s">
        <v>101</v>
      </c>
      <c r="L124" s="194" t="s">
        <v>191</v>
      </c>
      <c r="M124" s="134" t="s">
        <v>59</v>
      </c>
      <c r="N124" s="167" t="s">
        <v>43</v>
      </c>
      <c r="O124" s="167" t="s">
        <v>533</v>
      </c>
      <c r="P124" s="270" t="s">
        <v>534</v>
      </c>
      <c r="Q124" s="135" t="s">
        <v>59</v>
      </c>
      <c r="R124" s="136" t="e">
        <f>10000/EUR</f>
        <v>#REF!</v>
      </c>
      <c r="S124" s="62">
        <f>9949.74874+9995.028-40.142</f>
        <v>19904.634740000001</v>
      </c>
      <c r="T124" s="136" t="e">
        <f>Table12129[[#This Row],[Amortised Limit in Original Currency]]/EUR</f>
        <v>#REF!</v>
      </c>
      <c r="U124" s="136" t="e">
        <f>199100/EUR</f>
        <v>#REF!</v>
      </c>
      <c r="V124" s="136" t="e">
        <f>1400294.59/EUR</f>
        <v>#REF!</v>
      </c>
      <c r="W124" s="147" t="s">
        <v>11</v>
      </c>
      <c r="X124" s="185">
        <v>1.55E-2</v>
      </c>
      <c r="Y124" s="137">
        <v>44678</v>
      </c>
      <c r="Z124" s="137">
        <v>48096</v>
      </c>
      <c r="AA124" s="137">
        <v>48113</v>
      </c>
      <c r="AB124" s="138">
        <f t="shared" si="16"/>
        <v>3436</v>
      </c>
      <c r="AC124" s="139" t="e">
        <f t="shared" si="17"/>
        <v>#REF!</v>
      </c>
      <c r="AD124" s="138" t="e">
        <f>AA124-#REF!</f>
        <v>#REF!</v>
      </c>
      <c r="AE124" s="140" t="e">
        <f t="shared" ref="AE124:AE179" si="19">AD124/365</f>
        <v>#REF!</v>
      </c>
      <c r="AF124" s="184" t="s">
        <v>436</v>
      </c>
      <c r="AG124" s="186" t="s">
        <v>1</v>
      </c>
      <c r="AH124" s="186" t="s">
        <v>1</v>
      </c>
      <c r="AI124" s="187" t="s">
        <v>784</v>
      </c>
      <c r="AJ124" s="164" t="e">
        <f t="shared" ref="AJ124:AJ175" si="20">+IF(AA124-60&lt;$A$1, "SEND NOTICE", "N/A")</f>
        <v>#REF!</v>
      </c>
      <c r="AK124" s="164" t="s">
        <v>271</v>
      </c>
      <c r="AL124" s="188" t="s">
        <v>779</v>
      </c>
      <c r="AO124" s="197" t="str">
        <f>Table12129[[#This Row],[Risk Location ]]</f>
        <v>Czech Republic</v>
      </c>
      <c r="AP124" s="198" t="str">
        <f>Table12129[[#This Row],[Sector (GICS Industry Group)]]</f>
        <v>Real Estate Management &amp; Development</v>
      </c>
      <c r="AS124" s="212" t="e">
        <v>#REF!</v>
      </c>
      <c r="AT124" s="212" t="e">
        <v>#REF!</v>
      </c>
      <c r="AU124" s="212" t="e">
        <v>#REF!</v>
      </c>
      <c r="AV124" s="278"/>
      <c r="AW124" s="212" t="e">
        <v>#REF!</v>
      </c>
      <c r="AX124" s="212">
        <f t="shared" si="10"/>
        <v>0</v>
      </c>
      <c r="BB124" s="278">
        <v>0</v>
      </c>
      <c r="BC124" s="278">
        <v>0</v>
      </c>
      <c r="BD124" s="278">
        <v>0</v>
      </c>
      <c r="BE124" s="278">
        <v>0</v>
      </c>
      <c r="BF124" s="278">
        <v>0</v>
      </c>
      <c r="BG124" s="226"/>
      <c r="BJ124" s="138" t="s">
        <v>1044</v>
      </c>
      <c r="BK124" s="276"/>
      <c r="BL124" s="272" t="s">
        <v>474</v>
      </c>
    </row>
    <row r="125" spans="1:65" ht="39.950000000000003" customHeight="1" x14ac:dyDescent="0.2">
      <c r="A125" s="131" t="s">
        <v>786</v>
      </c>
      <c r="B125" s="132" t="s">
        <v>23</v>
      </c>
      <c r="C125" s="133" t="s">
        <v>797</v>
      </c>
      <c r="D125" s="131" t="s">
        <v>541</v>
      </c>
      <c r="E125" s="133" t="s">
        <v>38</v>
      </c>
      <c r="F125" s="131" t="s">
        <v>543</v>
      </c>
      <c r="G125" s="66" t="s">
        <v>133</v>
      </c>
      <c r="H125" s="131" t="s">
        <v>133</v>
      </c>
      <c r="I125" s="133" t="s">
        <v>50</v>
      </c>
      <c r="J125" s="192" t="s">
        <v>21</v>
      </c>
      <c r="K125" s="168" t="s">
        <v>209</v>
      </c>
      <c r="L125" s="194" t="s">
        <v>191</v>
      </c>
      <c r="M125" s="134" t="s">
        <v>323</v>
      </c>
      <c r="N125" s="167" t="s">
        <v>43</v>
      </c>
      <c r="O125" s="167" t="s">
        <v>538</v>
      </c>
      <c r="P125" s="65" t="s">
        <v>534</v>
      </c>
      <c r="Q125" s="135" t="s">
        <v>9</v>
      </c>
      <c r="R125" s="136" t="e">
        <f>20000/USD</f>
        <v>#REF!</v>
      </c>
      <c r="S125" s="62">
        <v>20000</v>
      </c>
      <c r="T125" s="136" t="e">
        <f>Table12129[[#This Row],[Amortised Limit in Original Currency]]/USD</f>
        <v>#REF!</v>
      </c>
      <c r="U125" s="136" t="e">
        <f>60000/USD</f>
        <v>#REF!</v>
      </c>
      <c r="V125" s="136" t="e">
        <f>2065267.72/USD</f>
        <v>#REF!</v>
      </c>
      <c r="W125" s="147" t="s">
        <v>11</v>
      </c>
      <c r="X125" s="185">
        <v>3.7499999999999999E-2</v>
      </c>
      <c r="Y125" s="137">
        <v>44686</v>
      </c>
      <c r="Z125" s="137">
        <v>46437</v>
      </c>
      <c r="AA125" s="137">
        <v>46465</v>
      </c>
      <c r="AB125" s="138">
        <f t="shared" si="16"/>
        <v>1780</v>
      </c>
      <c r="AC125" s="139" t="e">
        <f t="shared" si="17"/>
        <v>#REF!</v>
      </c>
      <c r="AD125" s="138" t="e">
        <f>AA125-#REF!</f>
        <v>#REF!</v>
      </c>
      <c r="AE125" s="140" t="e">
        <f t="shared" si="19"/>
        <v>#REF!</v>
      </c>
      <c r="AF125" s="184" t="s">
        <v>436</v>
      </c>
      <c r="AG125" s="186" t="s">
        <v>1</v>
      </c>
      <c r="AH125" s="186" t="s">
        <v>1</v>
      </c>
      <c r="AI125" s="187" t="s">
        <v>803</v>
      </c>
      <c r="AJ125" s="143" t="e">
        <f t="shared" si="20"/>
        <v>#REF!</v>
      </c>
      <c r="AK125" s="164" t="s">
        <v>563</v>
      </c>
      <c r="AL125" s="188" t="s">
        <v>792</v>
      </c>
      <c r="AO125" s="197" t="str">
        <f>Table12129[[#This Row],[Risk Location ]]</f>
        <v>Singapore</v>
      </c>
      <c r="AP125" s="198" t="str">
        <f>Table12129[[#This Row],[Sector (GICS Industry Group)]]</f>
        <v>Industrials</v>
      </c>
      <c r="AS125" s="212" t="e">
        <v>#REF!</v>
      </c>
      <c r="AT125" s="212" t="e">
        <v>#REF!</v>
      </c>
      <c r="AU125" s="212" t="e">
        <v>#REF!</v>
      </c>
      <c r="AV125" s="212"/>
      <c r="AW125" s="212" t="e">
        <v>#REF!</v>
      </c>
      <c r="AX125" s="212">
        <f t="shared" si="10"/>
        <v>0</v>
      </c>
      <c r="BB125" s="212">
        <v>0</v>
      </c>
      <c r="BC125" s="212">
        <v>0</v>
      </c>
      <c r="BD125" s="212">
        <v>0</v>
      </c>
      <c r="BE125" s="212">
        <v>0</v>
      </c>
      <c r="BF125" s="212">
        <v>0</v>
      </c>
      <c r="BG125" s="226"/>
      <c r="BJ125" s="138" t="s">
        <v>1045</v>
      </c>
      <c r="BK125" s="112"/>
      <c r="BL125" s="58"/>
    </row>
    <row r="126" spans="1:65" ht="39.950000000000003" customHeight="1" x14ac:dyDescent="0.2">
      <c r="A126" s="131" t="s">
        <v>787</v>
      </c>
      <c r="B126" s="132" t="s">
        <v>67</v>
      </c>
      <c r="C126" s="133" t="s">
        <v>34</v>
      </c>
      <c r="D126" s="131" t="s">
        <v>34</v>
      </c>
      <c r="E126" s="133" t="s">
        <v>34</v>
      </c>
      <c r="F126" s="131" t="s">
        <v>547</v>
      </c>
      <c r="G126" s="66" t="s">
        <v>265</v>
      </c>
      <c r="H126" s="131" t="s">
        <v>456</v>
      </c>
      <c r="I126" s="133" t="s">
        <v>656</v>
      </c>
      <c r="J126" s="192" t="s">
        <v>656</v>
      </c>
      <c r="K126" s="168" t="s">
        <v>140</v>
      </c>
      <c r="L126" s="194" t="s">
        <v>191</v>
      </c>
      <c r="M126" s="134" t="s">
        <v>323</v>
      </c>
      <c r="N126" s="167" t="s">
        <v>43</v>
      </c>
      <c r="O126" s="167" t="s">
        <v>533</v>
      </c>
      <c r="P126" s="65" t="s">
        <v>534</v>
      </c>
      <c r="Q126" s="135" t="s">
        <v>8</v>
      </c>
      <c r="R126" s="136">
        <v>10000</v>
      </c>
      <c r="S126" s="62">
        <v>9754.4642899999999</v>
      </c>
      <c r="T126" s="136">
        <f>Table12129[[#This Row],[Amortised Limit in Original Currency]]</f>
        <v>9754.4642899999999</v>
      </c>
      <c r="U126" s="136">
        <f>88100</f>
        <v>88100</v>
      </c>
      <c r="V126" s="136">
        <v>698431.06</v>
      </c>
      <c r="W126" s="147" t="s">
        <v>11</v>
      </c>
      <c r="X126" s="185">
        <v>1.7999999999999999E-2</v>
      </c>
      <c r="Y126" s="137">
        <v>44694</v>
      </c>
      <c r="Z126" s="137">
        <v>47026</v>
      </c>
      <c r="AA126" s="137">
        <v>47047</v>
      </c>
      <c r="AB126" s="138">
        <f t="shared" si="16"/>
        <v>2354</v>
      </c>
      <c r="AC126" s="139" t="e">
        <f t="shared" si="17"/>
        <v>#REF!</v>
      </c>
      <c r="AD126" s="138" t="e">
        <f>AA126-#REF!</f>
        <v>#REF!</v>
      </c>
      <c r="AE126" s="140" t="e">
        <f t="shared" si="19"/>
        <v>#REF!</v>
      </c>
      <c r="AF126" s="184"/>
      <c r="AG126" s="186" t="s">
        <v>1</v>
      </c>
      <c r="AH126" s="186" t="s">
        <v>1</v>
      </c>
      <c r="AI126" s="187" t="s">
        <v>879</v>
      </c>
      <c r="AJ126" s="143" t="e">
        <f t="shared" si="20"/>
        <v>#REF!</v>
      </c>
      <c r="AK126" s="164" t="s">
        <v>563</v>
      </c>
      <c r="AL126" s="188" t="s">
        <v>791</v>
      </c>
      <c r="AO126" s="197" t="str">
        <f>Table12129[[#This Row],[Risk Location ]]</f>
        <v>Australia</v>
      </c>
      <c r="AP126" s="198" t="str">
        <f>Table12129[[#This Row],[Sector (GICS Industry Group)]]</f>
        <v>Consumer Staples</v>
      </c>
      <c r="AS126" s="212" t="e">
        <v>#REF!</v>
      </c>
      <c r="AT126" s="212" t="e">
        <v>#REF!</v>
      </c>
      <c r="AU126" s="212" t="e">
        <v>#REF!</v>
      </c>
      <c r="AV126" s="212"/>
      <c r="AW126" s="212" t="e">
        <v>#REF!</v>
      </c>
      <c r="AX126" s="212">
        <f t="shared" si="10"/>
        <v>0</v>
      </c>
      <c r="BB126" s="212">
        <v>0</v>
      </c>
      <c r="BC126" s="212">
        <v>0</v>
      </c>
      <c r="BD126" s="212">
        <v>0</v>
      </c>
      <c r="BE126" s="212">
        <v>0</v>
      </c>
      <c r="BF126" s="212">
        <v>0</v>
      </c>
      <c r="BG126" s="226"/>
      <c r="BJ126" s="138" t="s">
        <v>1046</v>
      </c>
      <c r="BK126" s="112"/>
      <c r="BL126" s="58"/>
    </row>
    <row r="127" spans="1:65" ht="39.950000000000003" customHeight="1" x14ac:dyDescent="0.2">
      <c r="A127" s="131" t="s">
        <v>793</v>
      </c>
      <c r="B127" s="132" t="s">
        <v>24</v>
      </c>
      <c r="C127" s="133" t="s">
        <v>38</v>
      </c>
      <c r="D127" s="131" t="s">
        <v>540</v>
      </c>
      <c r="E127" s="133" t="s">
        <v>35</v>
      </c>
      <c r="F127" s="131" t="s">
        <v>104</v>
      </c>
      <c r="G127" s="66" t="s">
        <v>105</v>
      </c>
      <c r="H127" s="131" t="s">
        <v>799</v>
      </c>
      <c r="I127" s="133" t="s">
        <v>638</v>
      </c>
      <c r="J127" s="192" t="s">
        <v>687</v>
      </c>
      <c r="K127" s="168" t="s">
        <v>209</v>
      </c>
      <c r="L127" s="194" t="s">
        <v>191</v>
      </c>
      <c r="M127" s="134" t="s">
        <v>323</v>
      </c>
      <c r="N127" s="167" t="s">
        <v>43</v>
      </c>
      <c r="O127" s="167" t="s">
        <v>538</v>
      </c>
      <c r="P127" s="65" t="s">
        <v>534</v>
      </c>
      <c r="Q127" s="135" t="s">
        <v>9</v>
      </c>
      <c r="R127" s="136" t="e">
        <f>10000/USD</f>
        <v>#REF!</v>
      </c>
      <c r="S127" s="62">
        <f>10000</f>
        <v>10000</v>
      </c>
      <c r="T127" s="136" t="e">
        <f>Table12129[[#This Row],[Amortised Limit in Original Currency]]/USD</f>
        <v>#REF!</v>
      </c>
      <c r="U127" s="136" t="e">
        <f>20000/USD</f>
        <v>#REF!</v>
      </c>
      <c r="V127" s="136" t="e">
        <f>1083772/USD</f>
        <v>#REF!</v>
      </c>
      <c r="W127" s="147" t="s">
        <v>11</v>
      </c>
      <c r="X127" s="185">
        <v>0.04</v>
      </c>
      <c r="Y127" s="137">
        <v>44700</v>
      </c>
      <c r="Z127" s="137">
        <v>46630</v>
      </c>
      <c r="AA127" s="137">
        <v>46630</v>
      </c>
      <c r="AB127" s="138">
        <f t="shared" si="16"/>
        <v>1931</v>
      </c>
      <c r="AC127" s="139" t="e">
        <f t="shared" si="17"/>
        <v>#REF!</v>
      </c>
      <c r="AD127" s="138" t="e">
        <f>AA127-#REF!</f>
        <v>#REF!</v>
      </c>
      <c r="AE127" s="140" t="e">
        <f t="shared" si="19"/>
        <v>#REF!</v>
      </c>
      <c r="AF127" s="184"/>
      <c r="AG127" s="186" t="s">
        <v>1</v>
      </c>
      <c r="AH127" s="186" t="s">
        <v>1</v>
      </c>
      <c r="AI127" s="187" t="s">
        <v>804</v>
      </c>
      <c r="AJ127" s="143" t="e">
        <f t="shared" si="20"/>
        <v>#REF!</v>
      </c>
      <c r="AK127" s="164" t="s">
        <v>271</v>
      </c>
      <c r="AL127" s="188" t="s">
        <v>789</v>
      </c>
      <c r="AO127" s="197" t="str">
        <f>Table12129[[#This Row],[Risk Location ]]</f>
        <v>India</v>
      </c>
      <c r="AP127" s="198" t="str">
        <f>Table12129[[#This Row],[Sector (GICS Industry Group)]]</f>
        <v>Materials</v>
      </c>
      <c r="AS127" s="212" t="e">
        <v>#REF!</v>
      </c>
      <c r="AT127" s="212" t="e">
        <v>#REF!</v>
      </c>
      <c r="AU127" s="212" t="e">
        <v>#REF!</v>
      </c>
      <c r="AV127" s="212"/>
      <c r="AW127" s="212" t="e">
        <v>#REF!</v>
      </c>
      <c r="AX127" s="212">
        <f t="shared" si="10"/>
        <v>0</v>
      </c>
      <c r="BB127" s="212">
        <v>0</v>
      </c>
      <c r="BC127" s="212">
        <v>0</v>
      </c>
      <c r="BD127" s="212">
        <v>0</v>
      </c>
      <c r="BE127" s="212">
        <v>0</v>
      </c>
      <c r="BF127" s="212">
        <v>0</v>
      </c>
      <c r="BG127" s="226"/>
      <c r="BJ127" s="138" t="s">
        <v>1048</v>
      </c>
      <c r="BK127" s="112"/>
      <c r="BL127" s="58"/>
    </row>
    <row r="128" spans="1:65" ht="39.950000000000003" customHeight="1" x14ac:dyDescent="0.2">
      <c r="A128" s="131" t="s">
        <v>794</v>
      </c>
      <c r="B128" s="132" t="s">
        <v>67</v>
      </c>
      <c r="C128" s="133" t="s">
        <v>34</v>
      </c>
      <c r="D128" s="14" t="s">
        <v>34</v>
      </c>
      <c r="E128" s="133" t="s">
        <v>34</v>
      </c>
      <c r="F128" s="14" t="s">
        <v>102</v>
      </c>
      <c r="G128" s="14" t="s">
        <v>102</v>
      </c>
      <c r="H128" s="14" t="s">
        <v>474</v>
      </c>
      <c r="I128" s="133" t="s">
        <v>70</v>
      </c>
      <c r="J128" s="192" t="s">
        <v>218</v>
      </c>
      <c r="K128" s="168" t="s">
        <v>101</v>
      </c>
      <c r="L128" s="194" t="s">
        <v>191</v>
      </c>
      <c r="M128" s="134" t="s">
        <v>323</v>
      </c>
      <c r="N128" s="167" t="s">
        <v>43</v>
      </c>
      <c r="O128" s="167" t="s">
        <v>531</v>
      </c>
      <c r="P128" s="65" t="s">
        <v>534</v>
      </c>
      <c r="Q128" s="135" t="s">
        <v>8</v>
      </c>
      <c r="R128" s="136">
        <v>16000</v>
      </c>
      <c r="S128" s="62">
        <f>16000+14000</f>
        <v>30000</v>
      </c>
      <c r="T128" s="136">
        <f>Table12129[[#This Row],[Amortised Limit in Original Currency]]</f>
        <v>30000</v>
      </c>
      <c r="U128" s="136">
        <v>120000</v>
      </c>
      <c r="V128" s="136">
        <f>599952.06+484650.41</f>
        <v>1084602.47</v>
      </c>
      <c r="W128" s="147" t="s">
        <v>11</v>
      </c>
      <c r="X128" s="185">
        <v>0.02</v>
      </c>
      <c r="Y128" s="137">
        <v>44698</v>
      </c>
      <c r="Z128" s="137">
        <v>46338</v>
      </c>
      <c r="AA128" s="137">
        <v>46352</v>
      </c>
      <c r="AB128" s="138">
        <f t="shared" si="16"/>
        <v>1655</v>
      </c>
      <c r="AC128" s="139" t="e">
        <f t="shared" si="17"/>
        <v>#REF!</v>
      </c>
      <c r="AD128" s="138" t="e">
        <f>AA128-#REF!</f>
        <v>#REF!</v>
      </c>
      <c r="AE128" s="140" t="e">
        <f t="shared" si="19"/>
        <v>#REF!</v>
      </c>
      <c r="AF128" s="184" t="s">
        <v>436</v>
      </c>
      <c r="AG128" s="186" t="s">
        <v>1</v>
      </c>
      <c r="AH128" s="186" t="s">
        <v>1</v>
      </c>
      <c r="AI128" s="187" t="s">
        <v>0</v>
      </c>
      <c r="AJ128" s="143" t="e">
        <f t="shared" si="20"/>
        <v>#REF!</v>
      </c>
      <c r="AK128" s="164" t="s">
        <v>563</v>
      </c>
      <c r="AL128" s="188" t="s">
        <v>790</v>
      </c>
      <c r="AO128" s="197" t="str">
        <f>Table12129[[#This Row],[Risk Location ]]</f>
        <v>Australia</v>
      </c>
      <c r="AP128" s="198" t="str">
        <f>Table12129[[#This Row],[Sector (GICS Industry Group)]]</f>
        <v>Real Estate Investment</v>
      </c>
      <c r="AS128" s="212" t="e">
        <v>#REF!</v>
      </c>
      <c r="AT128" s="212" t="e">
        <v>#REF!</v>
      </c>
      <c r="AU128" s="212" t="e">
        <v>#REF!</v>
      </c>
      <c r="AV128" s="212"/>
      <c r="AW128" s="212" t="e">
        <v>#REF!</v>
      </c>
      <c r="AX128" s="212">
        <f t="shared" si="10"/>
        <v>0</v>
      </c>
      <c r="BB128" s="212">
        <v>0</v>
      </c>
      <c r="BC128" s="212">
        <v>0</v>
      </c>
      <c r="BD128" s="212">
        <v>0</v>
      </c>
      <c r="BE128" s="212">
        <v>0</v>
      </c>
      <c r="BF128" s="212">
        <v>0</v>
      </c>
      <c r="BG128" s="226"/>
      <c r="BJ128" s="138" t="s">
        <v>1049</v>
      </c>
      <c r="BK128" s="112"/>
      <c r="BL128" s="58"/>
    </row>
    <row r="129" spans="1:64" ht="39.950000000000003" customHeight="1" x14ac:dyDescent="0.2">
      <c r="A129" s="131" t="s">
        <v>807</v>
      </c>
      <c r="B129" s="132" t="s">
        <v>24</v>
      </c>
      <c r="C129" s="133" t="s">
        <v>38</v>
      </c>
      <c r="D129" s="131" t="s">
        <v>540</v>
      </c>
      <c r="E129" s="133" t="s">
        <v>35</v>
      </c>
      <c r="F129" s="131" t="s">
        <v>104</v>
      </c>
      <c r="G129" s="66" t="s">
        <v>105</v>
      </c>
      <c r="H129" s="131" t="s">
        <v>799</v>
      </c>
      <c r="I129" s="133" t="s">
        <v>142</v>
      </c>
      <c r="J129" s="192" t="s">
        <v>218</v>
      </c>
      <c r="K129" s="168" t="s">
        <v>209</v>
      </c>
      <c r="L129" s="194" t="s">
        <v>191</v>
      </c>
      <c r="M129" s="134" t="s">
        <v>323</v>
      </c>
      <c r="N129" s="167" t="s">
        <v>43</v>
      </c>
      <c r="O129" s="167" t="s">
        <v>538</v>
      </c>
      <c r="P129" s="65" t="s">
        <v>534</v>
      </c>
      <c r="Q129" s="135" t="s">
        <v>9</v>
      </c>
      <c r="R129" s="136" t="e">
        <f>5000/USD</f>
        <v>#REF!</v>
      </c>
      <c r="S129" s="62">
        <v>5000</v>
      </c>
      <c r="T129" s="136" t="e">
        <f>Table12129[[#This Row],[Amortised Limit in Original Currency]]/USD</f>
        <v>#REF!</v>
      </c>
      <c r="U129" s="136" t="e">
        <f>Table12129[[#This Row],[Amortised Limit A$ Balance]]/USD</f>
        <v>#REF!</v>
      </c>
      <c r="V129" s="136" t="e">
        <f>538769.36/USD</f>
        <v>#REF!</v>
      </c>
      <c r="W129" s="147" t="s">
        <v>11</v>
      </c>
      <c r="X129" s="185">
        <v>0.04</v>
      </c>
      <c r="Y129" s="137">
        <v>44708</v>
      </c>
      <c r="Z129" s="137">
        <v>46531</v>
      </c>
      <c r="AA129" s="137">
        <v>46545</v>
      </c>
      <c r="AB129" s="138">
        <f t="shared" si="16"/>
        <v>1838</v>
      </c>
      <c r="AC129" s="139" t="e">
        <f t="shared" si="17"/>
        <v>#REF!</v>
      </c>
      <c r="AD129" s="138" t="e">
        <f>AA129-#REF!</f>
        <v>#REF!</v>
      </c>
      <c r="AE129" s="140" t="e">
        <f t="shared" si="19"/>
        <v>#REF!</v>
      </c>
      <c r="AF129" s="184"/>
      <c r="AG129" s="186" t="s">
        <v>1</v>
      </c>
      <c r="AH129" s="186" t="s">
        <v>1</v>
      </c>
      <c r="AI129" s="187" t="s">
        <v>800</v>
      </c>
      <c r="AJ129" s="143" t="e">
        <f t="shared" si="20"/>
        <v>#REF!</v>
      </c>
      <c r="AK129" s="164" t="s">
        <v>563</v>
      </c>
      <c r="AL129" s="188" t="s">
        <v>789</v>
      </c>
      <c r="AO129" s="197" t="str">
        <f>Table12129[[#This Row],[Risk Location ]]</f>
        <v>India</v>
      </c>
      <c r="AP129" s="198" t="str">
        <f>Table12129[[#This Row],[Sector (GICS Industry Group)]]</f>
        <v>Materials</v>
      </c>
      <c r="AS129" s="212" t="e">
        <v>#REF!</v>
      </c>
      <c r="AT129" s="212" t="e">
        <v>#REF!</v>
      </c>
      <c r="AU129" s="212" t="e">
        <v>#REF!</v>
      </c>
      <c r="AV129" s="212"/>
      <c r="AW129" s="212" t="e">
        <v>#REF!</v>
      </c>
      <c r="AX129" s="212">
        <f t="shared" si="10"/>
        <v>0</v>
      </c>
      <c r="BB129" s="212">
        <v>0</v>
      </c>
      <c r="BC129" s="212">
        <v>0</v>
      </c>
      <c r="BD129" s="212">
        <v>0</v>
      </c>
      <c r="BE129" s="212">
        <v>0</v>
      </c>
      <c r="BF129" s="212">
        <v>0</v>
      </c>
      <c r="BG129" s="226"/>
      <c r="BJ129" s="138" t="s">
        <v>1047</v>
      </c>
      <c r="BK129" s="112"/>
      <c r="BL129" s="58"/>
    </row>
    <row r="130" spans="1:64" ht="39.950000000000003" customHeight="1" x14ac:dyDescent="0.2">
      <c r="A130" s="131" t="s">
        <v>795</v>
      </c>
      <c r="B130" s="132" t="s">
        <v>24</v>
      </c>
      <c r="C130" s="133" t="s">
        <v>38</v>
      </c>
      <c r="D130" s="131" t="s">
        <v>540</v>
      </c>
      <c r="E130" s="133" t="s">
        <v>35</v>
      </c>
      <c r="F130" s="14" t="s">
        <v>892</v>
      </c>
      <c r="G130" s="66" t="s">
        <v>259</v>
      </c>
      <c r="H130" s="131" t="s">
        <v>459</v>
      </c>
      <c r="I130" s="133" t="s">
        <v>638</v>
      </c>
      <c r="J130" s="192" t="s">
        <v>687</v>
      </c>
      <c r="K130" s="168" t="s">
        <v>209</v>
      </c>
      <c r="L130" s="194" t="s">
        <v>191</v>
      </c>
      <c r="M130" s="134" t="s">
        <v>323</v>
      </c>
      <c r="N130" s="167" t="s">
        <v>43</v>
      </c>
      <c r="O130" s="167" t="s">
        <v>531</v>
      </c>
      <c r="P130" s="65" t="s">
        <v>534</v>
      </c>
      <c r="Q130" s="135" t="s">
        <v>9</v>
      </c>
      <c r="R130" s="136" t="e">
        <f>10000/USD</f>
        <v>#REF!</v>
      </c>
      <c r="S130" s="62">
        <f>10000+5000</f>
        <v>15000</v>
      </c>
      <c r="T130" s="136" t="e">
        <f>Table12129[[#This Row],[Amortised Limit in Original Currency]]/USD</f>
        <v>#REF!</v>
      </c>
      <c r="U130" s="136" t="e">
        <f>20000/USD</f>
        <v>#REF!</v>
      </c>
      <c r="V130" s="136" t="e">
        <f>3042812.49/USD</f>
        <v>#REF!</v>
      </c>
      <c r="W130" s="147" t="s">
        <v>11</v>
      </c>
      <c r="X130" s="185">
        <v>6.5000000000000002E-2</v>
      </c>
      <c r="Y130" s="137">
        <v>44712</v>
      </c>
      <c r="Z130" s="137">
        <v>46879</v>
      </c>
      <c r="AA130" s="137">
        <v>46920</v>
      </c>
      <c r="AB130" s="138">
        <f t="shared" si="16"/>
        <v>2209</v>
      </c>
      <c r="AC130" s="139" t="e">
        <f t="shared" si="17"/>
        <v>#REF!</v>
      </c>
      <c r="AD130" s="138" t="e">
        <f>AA130-#REF!</f>
        <v>#REF!</v>
      </c>
      <c r="AE130" s="140" t="e">
        <f t="shared" si="19"/>
        <v>#REF!</v>
      </c>
      <c r="AF130" s="184"/>
      <c r="AG130" s="186" t="s">
        <v>1</v>
      </c>
      <c r="AH130" s="186" t="s">
        <v>1</v>
      </c>
      <c r="AI130" s="187" t="s">
        <v>0</v>
      </c>
      <c r="AJ130" s="143" t="e">
        <f t="shared" si="20"/>
        <v>#REF!</v>
      </c>
      <c r="AK130" s="164" t="s">
        <v>271</v>
      </c>
      <c r="AL130" s="188" t="s">
        <v>805</v>
      </c>
      <c r="AO130" s="197" t="str">
        <f>Table12129[[#This Row],[Risk Location ]]</f>
        <v>India</v>
      </c>
      <c r="AP130" s="198" t="str">
        <f>Table12129[[#This Row],[Sector (GICS Industry Group)]]</f>
        <v>Information Technology - Software &amp; Services</v>
      </c>
      <c r="AS130" s="212" t="e">
        <v>#REF!</v>
      </c>
      <c r="AT130" s="212" t="e">
        <v>#REF!</v>
      </c>
      <c r="AU130" s="212" t="e">
        <v>#REF!</v>
      </c>
      <c r="AV130" s="212"/>
      <c r="AW130" s="212" t="e">
        <v>#REF!</v>
      </c>
      <c r="AX130" s="212">
        <f t="shared" si="10"/>
        <v>0</v>
      </c>
      <c r="BB130" s="212">
        <v>0</v>
      </c>
      <c r="BC130" s="212">
        <v>0</v>
      </c>
      <c r="BD130" s="212">
        <v>0</v>
      </c>
      <c r="BE130" s="212">
        <v>0</v>
      </c>
      <c r="BF130" s="212">
        <v>0</v>
      </c>
      <c r="BG130" s="226"/>
      <c r="BJ130" s="138" t="s">
        <v>1050</v>
      </c>
      <c r="BK130" s="112"/>
      <c r="BL130" s="58"/>
    </row>
    <row r="131" spans="1:64" ht="39.950000000000003" customHeight="1" x14ac:dyDescent="0.2">
      <c r="A131" s="131" t="s">
        <v>796</v>
      </c>
      <c r="B131" s="132" t="s">
        <v>24</v>
      </c>
      <c r="C131" s="133" t="s">
        <v>38</v>
      </c>
      <c r="D131" s="14" t="s">
        <v>540</v>
      </c>
      <c r="E131" s="133" t="s">
        <v>229</v>
      </c>
      <c r="F131" s="14" t="s">
        <v>102</v>
      </c>
      <c r="G131" s="14" t="s">
        <v>102</v>
      </c>
      <c r="H131" s="130" t="s">
        <v>473</v>
      </c>
      <c r="I131" s="133" t="s">
        <v>142</v>
      </c>
      <c r="J131" s="192" t="s">
        <v>218</v>
      </c>
      <c r="K131" s="168" t="s">
        <v>29</v>
      </c>
      <c r="L131" s="194" t="s">
        <v>191</v>
      </c>
      <c r="M131" s="134" t="s">
        <v>323</v>
      </c>
      <c r="N131" s="167" t="s">
        <v>43</v>
      </c>
      <c r="O131" s="167" t="s">
        <v>531</v>
      </c>
      <c r="P131" s="65" t="s">
        <v>534</v>
      </c>
      <c r="Q131" s="135" t="s">
        <v>9</v>
      </c>
      <c r="R131" s="136" t="e">
        <f>17500/USD</f>
        <v>#REF!</v>
      </c>
      <c r="S131" s="62">
        <v>17500</v>
      </c>
      <c r="T131" s="136" t="e">
        <f>Table12129[[#This Row],[Amortised Limit in Original Currency]]/USD</f>
        <v>#REF!</v>
      </c>
      <c r="U131" s="136" t="e">
        <f>25000/USD</f>
        <v>#REF!</v>
      </c>
      <c r="V131" s="136" t="e">
        <f>1654740.53/USD</f>
        <v>#REF!</v>
      </c>
      <c r="W131" s="147" t="s">
        <v>11</v>
      </c>
      <c r="X131" s="185">
        <v>9.3899999999999997E-2</v>
      </c>
      <c r="Y131" s="137">
        <v>44712</v>
      </c>
      <c r="Z131" s="137">
        <v>46517</v>
      </c>
      <c r="AA131" s="137">
        <v>46531</v>
      </c>
      <c r="AB131" s="138">
        <f t="shared" si="16"/>
        <v>1820</v>
      </c>
      <c r="AC131" s="139" t="e">
        <f t="shared" si="17"/>
        <v>#REF!</v>
      </c>
      <c r="AD131" s="138" t="e">
        <f>AA131-#REF!</f>
        <v>#REF!</v>
      </c>
      <c r="AE131" s="140" t="e">
        <f t="shared" si="19"/>
        <v>#REF!</v>
      </c>
      <c r="AF131" s="184" t="s">
        <v>436</v>
      </c>
      <c r="AG131" s="186" t="s">
        <v>1</v>
      </c>
      <c r="AH131" s="186" t="s">
        <v>1</v>
      </c>
      <c r="AI131" s="187" t="s">
        <v>0</v>
      </c>
      <c r="AJ131" s="143" t="e">
        <f t="shared" si="20"/>
        <v>#REF!</v>
      </c>
      <c r="AK131" s="164" t="s">
        <v>563</v>
      </c>
      <c r="AL131" s="188" t="s">
        <v>871</v>
      </c>
      <c r="AO131" s="197" t="str">
        <f>Table12129[[#This Row],[Risk Location ]]</f>
        <v>Vietnam</v>
      </c>
      <c r="AP131" s="198" t="str">
        <f>Table12129[[#This Row],[Sector (GICS Industry Group)]]</f>
        <v>Real Estate Investment</v>
      </c>
      <c r="AQ131" s="229">
        <v>1</v>
      </c>
      <c r="AR131" s="310">
        <v>0.05</v>
      </c>
      <c r="AS131" s="278" t="e">
        <v>#REF!</v>
      </c>
      <c r="AT131" s="278" t="e">
        <v>#REF!</v>
      </c>
      <c r="AU131" s="278" t="e">
        <v>#REF!</v>
      </c>
      <c r="AV131" s="278"/>
      <c r="AW131" s="278" t="e">
        <v>#REF!</v>
      </c>
      <c r="AX131" s="212">
        <f t="shared" ref="AX131:AX177" si="21">+BC131</f>
        <v>0</v>
      </c>
      <c r="AY131" s="11" t="s">
        <v>1130</v>
      </c>
      <c r="BB131" s="212">
        <v>1271.3340016142893</v>
      </c>
      <c r="BC131" s="212">
        <v>0</v>
      </c>
      <c r="BD131" s="212">
        <v>0</v>
      </c>
      <c r="BE131" s="212">
        <v>0</v>
      </c>
      <c r="BF131" s="212">
        <v>0</v>
      </c>
      <c r="BG131" s="226"/>
      <c r="BJ131" s="138" t="s">
        <v>1051</v>
      </c>
      <c r="BK131" s="112"/>
      <c r="BL131" s="58"/>
    </row>
    <row r="132" spans="1:64" ht="39.950000000000003" customHeight="1" x14ac:dyDescent="0.2">
      <c r="A132" s="131" t="s">
        <v>808</v>
      </c>
      <c r="B132" s="132" t="s">
        <v>23</v>
      </c>
      <c r="C132" s="133" t="s">
        <v>149</v>
      </c>
      <c r="D132" s="14" t="s">
        <v>542</v>
      </c>
      <c r="E132" s="133" t="s">
        <v>166</v>
      </c>
      <c r="F132" s="66" t="s">
        <v>106</v>
      </c>
      <c r="G132" s="66" t="s">
        <v>106</v>
      </c>
      <c r="H132" s="66" t="s">
        <v>107</v>
      </c>
      <c r="I132" s="14" t="s">
        <v>148</v>
      </c>
      <c r="J132" s="66" t="s">
        <v>148</v>
      </c>
      <c r="K132" s="168" t="s">
        <v>101</v>
      </c>
      <c r="L132" s="194" t="s">
        <v>191</v>
      </c>
      <c r="M132" s="134" t="s">
        <v>59</v>
      </c>
      <c r="N132" s="167" t="s">
        <v>43</v>
      </c>
      <c r="O132" s="167" t="s">
        <v>531</v>
      </c>
      <c r="P132" s="65" t="s">
        <v>534</v>
      </c>
      <c r="Q132" s="135" t="s">
        <v>59</v>
      </c>
      <c r="R132" s="136" t="e">
        <f>10000/EUR</f>
        <v>#REF!</v>
      </c>
      <c r="S132" s="62">
        <v>10000</v>
      </c>
      <c r="T132" s="136" t="e">
        <f>Table12129[[#This Row],[Amortised Limit in Original Currency]]/EUR</f>
        <v>#REF!</v>
      </c>
      <c r="U132" s="136" t="e">
        <f>50000/EUR</f>
        <v>#REF!</v>
      </c>
      <c r="V132" s="136" t="e">
        <f>519399.11/EUR</f>
        <v>#REF!</v>
      </c>
      <c r="W132" s="147" t="s">
        <v>11</v>
      </c>
      <c r="X132" s="185">
        <v>3.7999999999999999E-2</v>
      </c>
      <c r="Y132" s="137">
        <v>44726</v>
      </c>
      <c r="Z132" s="137">
        <v>45819</v>
      </c>
      <c r="AA132" s="137">
        <v>45819</v>
      </c>
      <c r="AB132" s="138">
        <f t="shared" si="16"/>
        <v>1094</v>
      </c>
      <c r="AC132" s="139" t="e">
        <f t="shared" si="17"/>
        <v>#REF!</v>
      </c>
      <c r="AD132" s="138" t="e">
        <f>AA132-#REF!</f>
        <v>#REF!</v>
      </c>
      <c r="AE132" s="140" t="e">
        <f t="shared" si="19"/>
        <v>#REF!</v>
      </c>
      <c r="AF132" s="184"/>
      <c r="AG132" s="186" t="s">
        <v>1</v>
      </c>
      <c r="AH132" s="186" t="s">
        <v>1</v>
      </c>
      <c r="AI132" s="187" t="s">
        <v>0</v>
      </c>
      <c r="AJ132" s="143" t="e">
        <f t="shared" si="20"/>
        <v>#REF!</v>
      </c>
      <c r="AK132" s="164" t="s">
        <v>563</v>
      </c>
      <c r="AL132" s="188" t="s">
        <v>812</v>
      </c>
      <c r="AO132" s="197" t="str">
        <f>Table12129[[#This Row],[Risk Location ]]</f>
        <v>France</v>
      </c>
      <c r="AP132" s="198" t="str">
        <f>Table12129[[#This Row],[Sector (GICS Industry Group)]]</f>
        <v>Real Estate Management &amp; Development</v>
      </c>
      <c r="AS132" s="212" t="e">
        <v>#REF!</v>
      </c>
      <c r="AT132" s="212" t="e">
        <v>#REF!</v>
      </c>
      <c r="AU132" s="212" t="e">
        <v>#REF!</v>
      </c>
      <c r="AV132" s="212"/>
      <c r="AW132" s="212" t="e">
        <v>#REF!</v>
      </c>
      <c r="AX132" s="212">
        <f t="shared" si="21"/>
        <v>0</v>
      </c>
      <c r="BB132" s="212">
        <v>0</v>
      </c>
      <c r="BC132" s="212">
        <v>0</v>
      </c>
      <c r="BD132" s="212">
        <v>0</v>
      </c>
      <c r="BE132" s="212">
        <v>0</v>
      </c>
      <c r="BF132" s="212">
        <v>0</v>
      </c>
      <c r="BG132" s="226"/>
      <c r="BJ132" s="138" t="s">
        <v>1052</v>
      </c>
      <c r="BK132" s="112"/>
      <c r="BL132" s="58" t="s">
        <v>103</v>
      </c>
    </row>
    <row r="133" spans="1:64" ht="39.950000000000003" customHeight="1" x14ac:dyDescent="0.2">
      <c r="A133" s="131" t="s">
        <v>809</v>
      </c>
      <c r="B133" s="132" t="s">
        <v>23</v>
      </c>
      <c r="C133" s="133" t="s">
        <v>34</v>
      </c>
      <c r="D133" s="131" t="s">
        <v>34</v>
      </c>
      <c r="E133" s="133" t="s">
        <v>34</v>
      </c>
      <c r="F133" s="131" t="s">
        <v>439</v>
      </c>
      <c r="G133" s="66" t="s">
        <v>444</v>
      </c>
      <c r="H133" s="66" t="s">
        <v>444</v>
      </c>
      <c r="I133" s="133" t="s">
        <v>656</v>
      </c>
      <c r="J133" s="192" t="s">
        <v>656</v>
      </c>
      <c r="K133" s="168" t="s">
        <v>209</v>
      </c>
      <c r="L133" s="194" t="s">
        <v>191</v>
      </c>
      <c r="M133" s="134" t="s">
        <v>323</v>
      </c>
      <c r="N133" s="167" t="s">
        <v>43</v>
      </c>
      <c r="O133" s="167" t="s">
        <v>531</v>
      </c>
      <c r="P133" s="65" t="s">
        <v>534</v>
      </c>
      <c r="Q133" s="135" t="s">
        <v>8</v>
      </c>
      <c r="R133" s="136">
        <v>10000</v>
      </c>
      <c r="S133" s="62">
        <v>10000</v>
      </c>
      <c r="T133" s="136">
        <f>Table12129[[#This Row],[Amortised Limit in Original Currency]]</f>
        <v>10000</v>
      </c>
      <c r="U133" s="136">
        <f>51000</f>
        <v>51000</v>
      </c>
      <c r="V133" s="136">
        <v>558704.54</v>
      </c>
      <c r="W133" s="147" t="s">
        <v>11</v>
      </c>
      <c r="X133" s="185">
        <v>0.04</v>
      </c>
      <c r="Y133" s="137">
        <v>44735</v>
      </c>
      <c r="Z133" s="137">
        <v>45900</v>
      </c>
      <c r="AA133" s="137">
        <v>45900</v>
      </c>
      <c r="AB133" s="138">
        <f t="shared" si="16"/>
        <v>1166</v>
      </c>
      <c r="AC133" s="139" t="e">
        <f t="shared" si="17"/>
        <v>#REF!</v>
      </c>
      <c r="AD133" s="138" t="e">
        <f>AA133-#REF!</f>
        <v>#REF!</v>
      </c>
      <c r="AE133" s="140" t="e">
        <f t="shared" si="19"/>
        <v>#REF!</v>
      </c>
      <c r="AF133" s="184"/>
      <c r="AG133" s="186" t="s">
        <v>1</v>
      </c>
      <c r="AH133" s="186" t="s">
        <v>1</v>
      </c>
      <c r="AI133" s="187" t="s">
        <v>0</v>
      </c>
      <c r="AJ133" s="143" t="e">
        <f t="shared" si="20"/>
        <v>#REF!</v>
      </c>
      <c r="AK133" s="164" t="s">
        <v>563</v>
      </c>
      <c r="AL133" s="188" t="s">
        <v>813</v>
      </c>
      <c r="AO133" s="197" t="str">
        <f>Table12129[[#This Row],[Risk Location ]]</f>
        <v>Australia</v>
      </c>
      <c r="AP133" s="198" t="str">
        <f>Table12129[[#This Row],[Sector (GICS Industry Group)]]</f>
        <v>Utilities</v>
      </c>
      <c r="AS133" s="212" t="e">
        <v>#REF!</v>
      </c>
      <c r="AT133" s="212" t="e">
        <v>#REF!</v>
      </c>
      <c r="AU133" s="212" t="e">
        <v>#REF!</v>
      </c>
      <c r="AV133" s="212"/>
      <c r="AW133" s="212" t="e">
        <v>#REF!</v>
      </c>
      <c r="AX133" s="212">
        <f t="shared" si="21"/>
        <v>0</v>
      </c>
      <c r="BB133" s="212">
        <v>0</v>
      </c>
      <c r="BC133" s="212">
        <v>0</v>
      </c>
      <c r="BD133" s="212">
        <v>0</v>
      </c>
      <c r="BE133" s="212">
        <v>0</v>
      </c>
      <c r="BF133" s="212">
        <v>0</v>
      </c>
      <c r="BG133" s="226"/>
      <c r="BJ133" s="138" t="s">
        <v>1053</v>
      </c>
      <c r="BK133" s="112"/>
      <c r="BL133" s="58"/>
    </row>
    <row r="134" spans="1:64" ht="39.950000000000003" customHeight="1" x14ac:dyDescent="0.2">
      <c r="A134" s="131" t="s">
        <v>235</v>
      </c>
      <c r="B134" s="132" t="s">
        <v>23</v>
      </c>
      <c r="C134" s="133" t="s">
        <v>37</v>
      </c>
      <c r="D134" s="131" t="s">
        <v>542</v>
      </c>
      <c r="E134" s="133" t="s">
        <v>91</v>
      </c>
      <c r="F134" s="14" t="s">
        <v>173</v>
      </c>
      <c r="G134" s="66" t="s">
        <v>174</v>
      </c>
      <c r="H134" s="14" t="s">
        <v>172</v>
      </c>
      <c r="I134" s="133" t="s">
        <v>236</v>
      </c>
      <c r="J134" s="192" t="s">
        <v>21</v>
      </c>
      <c r="K134" s="168" t="s">
        <v>139</v>
      </c>
      <c r="L134" s="194" t="s">
        <v>191</v>
      </c>
      <c r="M134" s="134" t="s">
        <v>323</v>
      </c>
      <c r="N134" s="167" t="s">
        <v>43</v>
      </c>
      <c r="O134" s="167" t="s">
        <v>533</v>
      </c>
      <c r="P134" s="65" t="s">
        <v>534</v>
      </c>
      <c r="Q134" s="135" t="s">
        <v>59</v>
      </c>
      <c r="R134" s="136" t="e">
        <f>20000/EUR</f>
        <v>#REF!</v>
      </c>
      <c r="S134" s="62">
        <v>20000</v>
      </c>
      <c r="T134" s="136" t="e">
        <f>Table12129[[#This Row],[Amortised Limit in Original Currency]]/EUR</f>
        <v>#REF!</v>
      </c>
      <c r="U134" s="136" t="e">
        <f>100000/EUR</f>
        <v>#REF!</v>
      </c>
      <c r="V134" s="136" t="e">
        <f>384069.11/EUR</f>
        <v>#REF!</v>
      </c>
      <c r="W134" s="147" t="s">
        <v>11</v>
      </c>
      <c r="X134" s="185">
        <v>1.0999999999999999E-2</v>
      </c>
      <c r="Y134" s="137">
        <v>44742</v>
      </c>
      <c r="Z134" s="137">
        <v>45827</v>
      </c>
      <c r="AA134" s="137">
        <v>45827</v>
      </c>
      <c r="AB134" s="138">
        <f t="shared" si="16"/>
        <v>1086</v>
      </c>
      <c r="AC134" s="139" t="e">
        <f t="shared" si="17"/>
        <v>#REF!</v>
      </c>
      <c r="AD134" s="138" t="e">
        <f>AA134-#REF!</f>
        <v>#REF!</v>
      </c>
      <c r="AE134" s="140" t="e">
        <f t="shared" si="19"/>
        <v>#REF!</v>
      </c>
      <c r="AF134" s="184" t="s">
        <v>436</v>
      </c>
      <c r="AG134" s="186" t="s">
        <v>1</v>
      </c>
      <c r="AH134" s="186" t="s">
        <v>1</v>
      </c>
      <c r="AI134" s="187" t="s">
        <v>0</v>
      </c>
      <c r="AJ134" s="143" t="e">
        <f t="shared" si="20"/>
        <v>#REF!</v>
      </c>
      <c r="AK134" s="164" t="s">
        <v>563</v>
      </c>
      <c r="AL134" s="188" t="s">
        <v>525</v>
      </c>
      <c r="AO134" s="197" t="str">
        <f>Table12129[[#This Row],[Risk Location ]]</f>
        <v>Sweden</v>
      </c>
      <c r="AP134" s="198" t="str">
        <f>Table12129[[#This Row],[Sector (GICS Industry Group)]]</f>
        <v>Automobiles &amp; Components</v>
      </c>
      <c r="AS134" s="212" t="e">
        <v>#REF!</v>
      </c>
      <c r="AT134" s="212" t="e">
        <v>#REF!</v>
      </c>
      <c r="AU134" s="212" t="e">
        <v>#REF!</v>
      </c>
      <c r="AV134" s="212"/>
      <c r="AW134" s="212" t="e">
        <v>#REF!</v>
      </c>
      <c r="AX134" s="212">
        <f t="shared" si="21"/>
        <v>0</v>
      </c>
      <c r="BB134" s="212">
        <v>0</v>
      </c>
      <c r="BC134" s="212">
        <v>0</v>
      </c>
      <c r="BD134" s="212">
        <v>0</v>
      </c>
      <c r="BE134" s="212">
        <v>0</v>
      </c>
      <c r="BF134" s="212">
        <v>0</v>
      </c>
      <c r="BG134" s="226"/>
      <c r="BJ134" s="138" t="s">
        <v>1054</v>
      </c>
      <c r="BK134" s="112"/>
      <c r="BL134" s="58"/>
    </row>
    <row r="135" spans="1:64" ht="39.950000000000003" customHeight="1" x14ac:dyDescent="0.2">
      <c r="A135" s="131" t="s">
        <v>810</v>
      </c>
      <c r="B135" s="132" t="s">
        <v>23</v>
      </c>
      <c r="C135" s="133" t="s">
        <v>149</v>
      </c>
      <c r="D135" s="131" t="s">
        <v>499</v>
      </c>
      <c r="E135" s="161" t="s">
        <v>162</v>
      </c>
      <c r="F135" s="131" t="s">
        <v>92</v>
      </c>
      <c r="G135" s="66" t="s">
        <v>134</v>
      </c>
      <c r="H135" s="131" t="s">
        <v>134</v>
      </c>
      <c r="I135" s="14" t="s">
        <v>148</v>
      </c>
      <c r="J135" s="66" t="s">
        <v>148</v>
      </c>
      <c r="K135" s="168" t="s">
        <v>68</v>
      </c>
      <c r="L135" s="194" t="s">
        <v>191</v>
      </c>
      <c r="M135" s="134" t="s">
        <v>59</v>
      </c>
      <c r="N135" s="167" t="s">
        <v>43</v>
      </c>
      <c r="O135" s="167" t="s">
        <v>531</v>
      </c>
      <c r="P135" s="65" t="s">
        <v>534</v>
      </c>
      <c r="Q135" s="135" t="s">
        <v>9</v>
      </c>
      <c r="R135" s="136" t="e">
        <f>15000/USD</f>
        <v>#REF!</v>
      </c>
      <c r="S135" s="62">
        <v>15000</v>
      </c>
      <c r="T135" s="136" t="e">
        <f>Table12129[[#This Row],[Amortised Limit in Original Currency]]/USD</f>
        <v>#REF!</v>
      </c>
      <c r="U135" s="136" t="e">
        <f>120000/USD</f>
        <v>#REF!</v>
      </c>
      <c r="V135" s="136" t="e">
        <f>435427.89/USD</f>
        <v>#REF!</v>
      </c>
      <c r="W135" s="147" t="s">
        <v>11</v>
      </c>
      <c r="X135" s="185">
        <v>2.4E-2</v>
      </c>
      <c r="Y135" s="137">
        <v>44741</v>
      </c>
      <c r="Z135" s="137">
        <v>46527</v>
      </c>
      <c r="AA135" s="137">
        <v>46527</v>
      </c>
      <c r="AB135" s="138">
        <f t="shared" si="16"/>
        <v>1787</v>
      </c>
      <c r="AC135" s="139" t="e">
        <f t="shared" si="17"/>
        <v>#REF!</v>
      </c>
      <c r="AD135" s="138" t="e">
        <f>AA135-#REF!</f>
        <v>#REF!</v>
      </c>
      <c r="AE135" s="140" t="e">
        <f t="shared" si="19"/>
        <v>#REF!</v>
      </c>
      <c r="AF135" s="184"/>
      <c r="AG135" s="186" t="s">
        <v>1</v>
      </c>
      <c r="AH135" s="186" t="s">
        <v>1</v>
      </c>
      <c r="AI135" s="187" t="s">
        <v>0</v>
      </c>
      <c r="AJ135" s="143" t="e">
        <f t="shared" si="20"/>
        <v>#REF!</v>
      </c>
      <c r="AK135" s="164" t="s">
        <v>563</v>
      </c>
      <c r="AL135" s="188" t="s">
        <v>814</v>
      </c>
      <c r="AO135" s="197" t="str">
        <f>Table12129[[#This Row],[Risk Location ]]</f>
        <v>United States</v>
      </c>
      <c r="AP135" s="198" t="str">
        <f>Table12129[[#This Row],[Sector (GICS Industry Group)]]</f>
        <v>Transportation</v>
      </c>
      <c r="AS135" s="212" t="e">
        <v>#REF!</v>
      </c>
      <c r="AT135" s="212" t="e">
        <v>#REF!</v>
      </c>
      <c r="AU135" s="212" t="e">
        <v>#REF!</v>
      </c>
      <c r="AV135" s="212"/>
      <c r="AW135" s="212" t="e">
        <v>#REF!</v>
      </c>
      <c r="AX135" s="212">
        <f t="shared" si="21"/>
        <v>0</v>
      </c>
      <c r="BB135" s="212">
        <v>0</v>
      </c>
      <c r="BC135" s="212">
        <v>0</v>
      </c>
      <c r="BD135" s="212">
        <v>0</v>
      </c>
      <c r="BE135" s="212">
        <v>0</v>
      </c>
      <c r="BF135" s="212">
        <v>0</v>
      </c>
      <c r="BG135" s="226"/>
      <c r="BJ135" s="138" t="s">
        <v>1055</v>
      </c>
      <c r="BK135" s="112"/>
      <c r="BL135" s="58"/>
    </row>
    <row r="136" spans="1:64" ht="39.950000000000003" customHeight="1" x14ac:dyDescent="0.2">
      <c r="A136" s="131" t="s">
        <v>811</v>
      </c>
      <c r="B136" s="132" t="s">
        <v>243</v>
      </c>
      <c r="C136" s="133" t="s">
        <v>162</v>
      </c>
      <c r="D136" s="14" t="s">
        <v>499</v>
      </c>
      <c r="E136" s="161" t="s">
        <v>162</v>
      </c>
      <c r="F136" s="14" t="s">
        <v>102</v>
      </c>
      <c r="G136" s="14" t="s">
        <v>102</v>
      </c>
      <c r="H136" s="66" t="s">
        <v>110</v>
      </c>
      <c r="I136" s="131" t="s">
        <v>509</v>
      </c>
      <c r="J136" s="133" t="s">
        <v>222</v>
      </c>
      <c r="K136" s="168" t="s">
        <v>101</v>
      </c>
      <c r="L136" s="194" t="s">
        <v>191</v>
      </c>
      <c r="M136" s="134" t="s">
        <v>59</v>
      </c>
      <c r="N136" s="167" t="s">
        <v>43</v>
      </c>
      <c r="O136" s="167" t="s">
        <v>538</v>
      </c>
      <c r="P136" s="65" t="s">
        <v>534</v>
      </c>
      <c r="Q136" s="135" t="s">
        <v>9</v>
      </c>
      <c r="R136" s="136" t="e">
        <f>10000/USD</f>
        <v>#REF!</v>
      </c>
      <c r="S136" s="62">
        <v>10000</v>
      </c>
      <c r="T136" s="136" t="e">
        <f>Table12129[[#This Row],[Amortised Limit in Original Currency]]/USD</f>
        <v>#REF!</v>
      </c>
      <c r="U136" s="136" t="e">
        <f>70500/USD</f>
        <v>#REF!</v>
      </c>
      <c r="V136" s="136" t="e">
        <f>605837.51/USD</f>
        <v>#REF!</v>
      </c>
      <c r="W136" s="147" t="s">
        <v>11</v>
      </c>
      <c r="X136" s="185">
        <v>2.75E-2</v>
      </c>
      <c r="Y136" s="137">
        <v>44735</v>
      </c>
      <c r="Z136" s="137">
        <v>46420</v>
      </c>
      <c r="AA136" s="137">
        <v>46420</v>
      </c>
      <c r="AB136" s="138">
        <f t="shared" si="16"/>
        <v>1686</v>
      </c>
      <c r="AC136" s="139" t="e">
        <f t="shared" si="17"/>
        <v>#REF!</v>
      </c>
      <c r="AD136" s="138" t="e">
        <f>AA136-#REF!</f>
        <v>#REF!</v>
      </c>
      <c r="AE136" s="140" t="e">
        <f t="shared" si="19"/>
        <v>#REF!</v>
      </c>
      <c r="AF136" s="184"/>
      <c r="AG136" s="186" t="s">
        <v>1</v>
      </c>
      <c r="AH136" s="186" t="s">
        <v>1</v>
      </c>
      <c r="AI136" s="187" t="s">
        <v>0</v>
      </c>
      <c r="AJ136" s="143" t="e">
        <f t="shared" si="20"/>
        <v>#REF!</v>
      </c>
      <c r="AK136" s="164" t="s">
        <v>563</v>
      </c>
      <c r="AL136" s="188" t="s">
        <v>815</v>
      </c>
      <c r="AO136" s="197" t="str">
        <f>Table12129[[#This Row],[Risk Location ]]</f>
        <v>United States</v>
      </c>
      <c r="AP136" s="198" t="str">
        <f>Table12129[[#This Row],[Sector (GICS Industry Group)]]</f>
        <v>Real Estate Investment</v>
      </c>
      <c r="AS136" s="212" t="e">
        <v>#REF!</v>
      </c>
      <c r="AT136" s="212" t="e">
        <v>#REF!</v>
      </c>
      <c r="AU136" s="212" t="e">
        <v>#REF!</v>
      </c>
      <c r="AV136" s="212"/>
      <c r="AW136" s="212" t="e">
        <v>#REF!</v>
      </c>
      <c r="AX136" s="212">
        <f t="shared" si="21"/>
        <v>0</v>
      </c>
      <c r="BB136" s="212">
        <v>0</v>
      </c>
      <c r="BC136" s="212">
        <v>0</v>
      </c>
      <c r="BD136" s="212">
        <v>0</v>
      </c>
      <c r="BE136" s="212">
        <v>0</v>
      </c>
      <c r="BF136" s="212">
        <v>0</v>
      </c>
      <c r="BG136" s="226"/>
      <c r="BJ136" s="138" t="s">
        <v>1056</v>
      </c>
      <c r="BK136" s="112"/>
      <c r="BL136" s="58"/>
    </row>
    <row r="137" spans="1:64" ht="39.950000000000003" customHeight="1" x14ac:dyDescent="0.2">
      <c r="A137" s="131" t="s">
        <v>835</v>
      </c>
      <c r="B137" s="132" t="s">
        <v>67</v>
      </c>
      <c r="C137" s="133" t="s">
        <v>684</v>
      </c>
      <c r="D137" s="131" t="s">
        <v>542</v>
      </c>
      <c r="E137" s="161" t="s">
        <v>193</v>
      </c>
      <c r="F137" s="14" t="s">
        <v>891</v>
      </c>
      <c r="G137" s="66" t="s">
        <v>167</v>
      </c>
      <c r="H137" s="131" t="s">
        <v>167</v>
      </c>
      <c r="I137" s="14" t="s">
        <v>826</v>
      </c>
      <c r="J137" s="66" t="s">
        <v>218</v>
      </c>
      <c r="K137" s="168" t="s">
        <v>209</v>
      </c>
      <c r="L137" s="194" t="s">
        <v>191</v>
      </c>
      <c r="M137" s="134" t="s">
        <v>59</v>
      </c>
      <c r="N137" s="167" t="s">
        <v>43</v>
      </c>
      <c r="O137" s="167" t="s">
        <v>531</v>
      </c>
      <c r="P137" s="65" t="s">
        <v>534</v>
      </c>
      <c r="Q137" s="135" t="s">
        <v>823</v>
      </c>
      <c r="R137" s="136" t="e">
        <f>7000/CHF</f>
        <v>#REF!</v>
      </c>
      <c r="S137" s="62">
        <v>7000</v>
      </c>
      <c r="T137" s="136" t="e" cm="1">
        <f t="array" ref="T137">Table12129[[#This Row],[Amortised Limit in Original Currency]]/CHF</f>
        <v>#REF!</v>
      </c>
      <c r="U137" s="136">
        <v>14000</v>
      </c>
      <c r="V137" s="136" t="e">
        <f>535139.76/CHF</f>
        <v>#REF!</v>
      </c>
      <c r="W137" s="147" t="s">
        <v>11</v>
      </c>
      <c r="X137" s="185">
        <v>0.03</v>
      </c>
      <c r="Y137" s="137">
        <v>44743</v>
      </c>
      <c r="Z137" s="137">
        <v>46569</v>
      </c>
      <c r="AA137" s="137">
        <v>46569</v>
      </c>
      <c r="AB137" s="138">
        <f t="shared" si="16"/>
        <v>1827</v>
      </c>
      <c r="AC137" s="139" t="e">
        <f t="shared" si="17"/>
        <v>#REF!</v>
      </c>
      <c r="AD137" s="138" t="e">
        <f>AA137-#REF!</f>
        <v>#REF!</v>
      </c>
      <c r="AE137" s="140" t="e">
        <f t="shared" si="19"/>
        <v>#REF!</v>
      </c>
      <c r="AF137" s="184" t="s">
        <v>436</v>
      </c>
      <c r="AG137" s="186" t="s">
        <v>1</v>
      </c>
      <c r="AH137" s="186" t="s">
        <v>1</v>
      </c>
      <c r="AI137" s="187" t="s">
        <v>0</v>
      </c>
      <c r="AJ137" s="143" t="e">
        <f t="shared" si="20"/>
        <v>#REF!</v>
      </c>
      <c r="AK137" s="164" t="s">
        <v>271</v>
      </c>
      <c r="AL137" s="188" t="s">
        <v>831</v>
      </c>
      <c r="AO137" s="197" t="str">
        <f>Table12129[[#This Row],[Risk Location ]]</f>
        <v>Switzerland</v>
      </c>
      <c r="AP137" s="198" t="str">
        <f>Table12129[[#This Row],[Sector (GICS Industry Group)]]</f>
        <v>Information Technology - Hardware &amp; Equipment</v>
      </c>
      <c r="AS137" s="212" t="e">
        <v>#REF!</v>
      </c>
      <c r="AT137" s="212" t="e">
        <v>#REF!</v>
      </c>
      <c r="AU137" s="212" t="e">
        <v>#REF!</v>
      </c>
      <c r="AV137" s="212"/>
      <c r="AW137" s="212" t="e">
        <v>#REF!</v>
      </c>
      <c r="AX137" s="212">
        <f t="shared" si="21"/>
        <v>0</v>
      </c>
      <c r="BB137" s="212">
        <v>0</v>
      </c>
      <c r="BC137" s="212">
        <v>0</v>
      </c>
      <c r="BD137" s="212">
        <v>0</v>
      </c>
      <c r="BE137" s="212">
        <v>0</v>
      </c>
      <c r="BF137" s="212">
        <v>0</v>
      </c>
      <c r="BG137" s="226"/>
      <c r="BJ137" s="138" t="s">
        <v>1057</v>
      </c>
      <c r="BK137" s="112"/>
      <c r="BL137" s="58"/>
    </row>
    <row r="138" spans="1:64" ht="39.950000000000003" customHeight="1" x14ac:dyDescent="0.2">
      <c r="A138" s="131" t="s">
        <v>834</v>
      </c>
      <c r="B138" s="132" t="s">
        <v>67</v>
      </c>
      <c r="C138" s="133" t="s">
        <v>684</v>
      </c>
      <c r="D138" s="131" t="s">
        <v>542</v>
      </c>
      <c r="E138" s="161" t="s">
        <v>193</v>
      </c>
      <c r="F138" s="14" t="s">
        <v>891</v>
      </c>
      <c r="G138" s="66" t="s">
        <v>167</v>
      </c>
      <c r="H138" s="131" t="s">
        <v>167</v>
      </c>
      <c r="I138" s="14" t="s">
        <v>826</v>
      </c>
      <c r="J138" s="66" t="s">
        <v>218</v>
      </c>
      <c r="K138" s="168" t="s">
        <v>209</v>
      </c>
      <c r="L138" s="194" t="s">
        <v>191</v>
      </c>
      <c r="M138" s="134" t="s">
        <v>59</v>
      </c>
      <c r="N138" s="167" t="s">
        <v>43</v>
      </c>
      <c r="O138" s="167" t="s">
        <v>531</v>
      </c>
      <c r="P138" s="65" t="s">
        <v>534</v>
      </c>
      <c r="Q138" s="135" t="s">
        <v>823</v>
      </c>
      <c r="R138" s="136" t="e">
        <f>7000/CHF</f>
        <v>#REF!</v>
      </c>
      <c r="S138" s="62">
        <v>7000</v>
      </c>
      <c r="T138" s="136" t="e">
        <f>Table12129[[#This Row],[Amortised Limit in Original Currency]]/CHF</f>
        <v>#REF!</v>
      </c>
      <c r="U138" s="136">
        <v>14000</v>
      </c>
      <c r="V138" s="136" t="e">
        <f>1451549.49/CHF</f>
        <v>#REF!</v>
      </c>
      <c r="W138" s="147" t="s">
        <v>11</v>
      </c>
      <c r="X138" s="185">
        <v>7.2900000000000006E-2</v>
      </c>
      <c r="Y138" s="137">
        <v>44743</v>
      </c>
      <c r="Z138" s="137">
        <v>46569</v>
      </c>
      <c r="AA138" s="137">
        <v>46569</v>
      </c>
      <c r="AB138" s="138">
        <f t="shared" si="16"/>
        <v>1827</v>
      </c>
      <c r="AC138" s="139" t="e">
        <f t="shared" si="17"/>
        <v>#REF!</v>
      </c>
      <c r="AD138" s="138" t="e">
        <f>AA138-#REF!</f>
        <v>#REF!</v>
      </c>
      <c r="AE138" s="140" t="e">
        <f t="shared" si="19"/>
        <v>#REF!</v>
      </c>
      <c r="AF138" s="184" t="s">
        <v>436</v>
      </c>
      <c r="AG138" s="186" t="s">
        <v>1</v>
      </c>
      <c r="AH138" s="186" t="s">
        <v>1</v>
      </c>
      <c r="AI138" s="187" t="s">
        <v>0</v>
      </c>
      <c r="AJ138" s="143" t="e">
        <f t="shared" si="20"/>
        <v>#REF!</v>
      </c>
      <c r="AK138" s="164" t="s">
        <v>271</v>
      </c>
      <c r="AL138" s="188" t="s">
        <v>832</v>
      </c>
      <c r="AO138" s="197" t="str">
        <f>Table12129[[#This Row],[Risk Location ]]</f>
        <v>Switzerland</v>
      </c>
      <c r="AP138" s="198" t="str">
        <f>Table12129[[#This Row],[Sector (GICS Industry Group)]]</f>
        <v>Information Technology - Hardware &amp; Equipment</v>
      </c>
      <c r="AS138" s="212" t="e">
        <v>#REF!</v>
      </c>
      <c r="AT138" s="212" t="e">
        <v>#REF!</v>
      </c>
      <c r="AU138" s="212" t="e">
        <v>#REF!</v>
      </c>
      <c r="AV138" s="212"/>
      <c r="AW138" s="212" t="e">
        <v>#REF!</v>
      </c>
      <c r="AX138" s="212">
        <f t="shared" si="21"/>
        <v>0</v>
      </c>
      <c r="BB138" s="212">
        <v>0</v>
      </c>
      <c r="BC138" s="212">
        <v>0</v>
      </c>
      <c r="BD138" s="212">
        <v>0</v>
      </c>
      <c r="BE138" s="212">
        <v>0</v>
      </c>
      <c r="BF138" s="212">
        <v>0</v>
      </c>
      <c r="BG138" s="226"/>
      <c r="BJ138" s="138" t="s">
        <v>1058</v>
      </c>
      <c r="BK138" s="112"/>
      <c r="BL138" s="58"/>
    </row>
    <row r="139" spans="1:64" ht="39.950000000000003" customHeight="1" x14ac:dyDescent="0.2">
      <c r="A139" s="131" t="s">
        <v>836</v>
      </c>
      <c r="B139" s="132" t="s">
        <v>67</v>
      </c>
      <c r="C139" s="133" t="s">
        <v>588</v>
      </c>
      <c r="D139" s="131" t="s">
        <v>542</v>
      </c>
      <c r="E139" s="161" t="s">
        <v>162</v>
      </c>
      <c r="F139" s="131" t="s">
        <v>233</v>
      </c>
      <c r="G139" s="66" t="s">
        <v>443</v>
      </c>
      <c r="H139" s="131" t="s">
        <v>234</v>
      </c>
      <c r="I139" s="14" t="s">
        <v>826</v>
      </c>
      <c r="J139" s="66" t="s">
        <v>218</v>
      </c>
      <c r="K139" s="168" t="s">
        <v>209</v>
      </c>
      <c r="L139" s="194" t="s">
        <v>191</v>
      </c>
      <c r="M139" s="134" t="s">
        <v>59</v>
      </c>
      <c r="N139" s="167" t="s">
        <v>43</v>
      </c>
      <c r="O139" s="167" t="s">
        <v>531</v>
      </c>
      <c r="P139" s="65" t="s">
        <v>534</v>
      </c>
      <c r="Q139" s="135" t="s">
        <v>9</v>
      </c>
      <c r="R139" s="136" t="e">
        <f>11500/USD</f>
        <v>#REF!</v>
      </c>
      <c r="S139" s="62">
        <v>11500</v>
      </c>
      <c r="T139" s="136" t="e">
        <f>Table12129[[#This Row],[Amortised Limit in Original Currency]]/USD</f>
        <v>#REF!</v>
      </c>
      <c r="U139" s="136">
        <v>34500</v>
      </c>
      <c r="V139" s="136" t="e">
        <f>2154949.47/USD</f>
        <v>#REF!</v>
      </c>
      <c r="W139" s="147" t="s">
        <v>11</v>
      </c>
      <c r="X139" s="185">
        <v>7.3999999999999996E-2</v>
      </c>
      <c r="Y139" s="137">
        <v>44760</v>
      </c>
      <c r="Z139" s="137">
        <v>46674</v>
      </c>
      <c r="AA139" s="137">
        <v>46674</v>
      </c>
      <c r="AB139" s="138">
        <f t="shared" si="16"/>
        <v>1915</v>
      </c>
      <c r="AC139" s="139" t="e">
        <f t="shared" si="17"/>
        <v>#REF!</v>
      </c>
      <c r="AD139" s="138" t="e">
        <f>AA139-#REF!</f>
        <v>#REF!</v>
      </c>
      <c r="AE139" s="140" t="e">
        <f t="shared" si="19"/>
        <v>#REF!</v>
      </c>
      <c r="AF139" s="184"/>
      <c r="AG139" s="186" t="s">
        <v>1</v>
      </c>
      <c r="AH139" s="186" t="s">
        <v>1</v>
      </c>
      <c r="AI139" s="187" t="s">
        <v>0</v>
      </c>
      <c r="AJ139" s="143" t="e">
        <f t="shared" si="20"/>
        <v>#REF!</v>
      </c>
      <c r="AK139" s="164" t="s">
        <v>271</v>
      </c>
      <c r="AL139" s="188" t="s">
        <v>829</v>
      </c>
      <c r="AO139" s="197" t="str">
        <f>Table12129[[#This Row],[Risk Location ]]</f>
        <v>United States</v>
      </c>
      <c r="AP139" s="198" t="str">
        <f>Table12129[[#This Row],[Sector (GICS Industry Group)]]</f>
        <v>Telecommunication Services</v>
      </c>
      <c r="AS139" s="212" t="e">
        <v>#REF!</v>
      </c>
      <c r="AT139" s="212" t="e">
        <v>#REF!</v>
      </c>
      <c r="AU139" s="212" t="e">
        <v>#REF!</v>
      </c>
      <c r="AV139" s="212"/>
      <c r="AW139" s="212" t="e">
        <v>#REF!</v>
      </c>
      <c r="AX139" s="212">
        <f t="shared" si="21"/>
        <v>0</v>
      </c>
      <c r="BB139" s="212">
        <v>0</v>
      </c>
      <c r="BC139" s="212">
        <v>0</v>
      </c>
      <c r="BD139" s="212">
        <v>0</v>
      </c>
      <c r="BE139" s="212">
        <v>0</v>
      </c>
      <c r="BF139" s="212">
        <v>0</v>
      </c>
      <c r="BG139" s="226"/>
      <c r="BJ139" s="138" t="s">
        <v>1059</v>
      </c>
      <c r="BK139" s="112"/>
      <c r="BL139" s="58"/>
    </row>
    <row r="140" spans="1:64" ht="39.950000000000003" customHeight="1" x14ac:dyDescent="0.2">
      <c r="A140" s="131" t="s">
        <v>833</v>
      </c>
      <c r="B140" s="132" t="s">
        <v>67</v>
      </c>
      <c r="C140" s="133" t="s">
        <v>824</v>
      </c>
      <c r="D140" s="131" t="s">
        <v>542</v>
      </c>
      <c r="E140" s="161" t="s">
        <v>89</v>
      </c>
      <c r="F140" s="131" t="s">
        <v>233</v>
      </c>
      <c r="G140" s="131" t="s">
        <v>443</v>
      </c>
      <c r="H140" s="131" t="s">
        <v>234</v>
      </c>
      <c r="I140" s="66" t="s">
        <v>145</v>
      </c>
      <c r="J140" s="192" t="s">
        <v>221</v>
      </c>
      <c r="K140" s="168" t="s">
        <v>139</v>
      </c>
      <c r="L140" s="194" t="s">
        <v>191</v>
      </c>
      <c r="M140" s="134" t="s">
        <v>59</v>
      </c>
      <c r="N140" s="167" t="s">
        <v>43</v>
      </c>
      <c r="O140" s="167" t="s">
        <v>538</v>
      </c>
      <c r="P140" s="65" t="s">
        <v>534</v>
      </c>
      <c r="Q140" s="135" t="s">
        <v>59</v>
      </c>
      <c r="R140" s="136" t="e">
        <f>10000/EUR</f>
        <v>#REF!</v>
      </c>
      <c r="S140" s="62">
        <v>10000</v>
      </c>
      <c r="T140" s="136" t="e">
        <f>Table12129[[#This Row],[Amortised Limit in Original Currency]]/EUR</f>
        <v>#REF!</v>
      </c>
      <c r="U140" s="136">
        <v>137500</v>
      </c>
      <c r="V140" s="136" t="e">
        <f>799986.09/EUR</f>
        <v>#REF!</v>
      </c>
      <c r="W140" s="147" t="s">
        <v>11</v>
      </c>
      <c r="X140" s="185">
        <v>2.4299999999999999E-2</v>
      </c>
      <c r="Y140" s="137">
        <v>44762</v>
      </c>
      <c r="Z140" s="137">
        <v>47299</v>
      </c>
      <c r="AA140" s="137">
        <v>47330</v>
      </c>
      <c r="AB140" s="138">
        <f t="shared" si="16"/>
        <v>2569</v>
      </c>
      <c r="AC140" s="139" t="e">
        <f t="shared" si="17"/>
        <v>#REF!</v>
      </c>
      <c r="AD140" s="138" t="e">
        <f>AA140-#REF!</f>
        <v>#REF!</v>
      </c>
      <c r="AE140" s="140" t="e">
        <f t="shared" si="19"/>
        <v>#REF!</v>
      </c>
      <c r="AF140" s="184"/>
      <c r="AG140" s="186" t="s">
        <v>1</v>
      </c>
      <c r="AH140" s="186" t="s">
        <v>1</v>
      </c>
      <c r="AI140" s="187" t="s">
        <v>0</v>
      </c>
      <c r="AJ140" s="143" t="e">
        <f t="shared" si="20"/>
        <v>#REF!</v>
      </c>
      <c r="AK140" s="164" t="s">
        <v>271</v>
      </c>
      <c r="AL140" s="188" t="s">
        <v>828</v>
      </c>
      <c r="AO140" s="197" t="str">
        <f>Table12129[[#This Row],[Risk Location ]]</f>
        <v>Netherlands</v>
      </c>
      <c r="AP140" s="198" t="str">
        <f>Table12129[[#This Row],[Sector (GICS Industry Group)]]</f>
        <v>Telecommunication Services</v>
      </c>
      <c r="AS140" s="212" t="e">
        <v>#REF!</v>
      </c>
      <c r="AT140" s="212" t="e">
        <v>#REF!</v>
      </c>
      <c r="AU140" s="212" t="e">
        <v>#REF!</v>
      </c>
      <c r="AV140" s="212"/>
      <c r="AW140" s="212" t="e">
        <v>#REF!</v>
      </c>
      <c r="AX140" s="212">
        <f t="shared" si="21"/>
        <v>0</v>
      </c>
      <c r="BB140" s="212">
        <v>0</v>
      </c>
      <c r="BC140" s="212">
        <v>0</v>
      </c>
      <c r="BD140" s="212">
        <v>0</v>
      </c>
      <c r="BE140" s="212">
        <v>0</v>
      </c>
      <c r="BF140" s="212">
        <v>0</v>
      </c>
      <c r="BG140" s="226"/>
      <c r="BJ140" s="138" t="s">
        <v>1060</v>
      </c>
      <c r="BK140" s="112"/>
      <c r="BL140" s="58"/>
    </row>
    <row r="141" spans="1:64" ht="39.950000000000003" customHeight="1" x14ac:dyDescent="0.2">
      <c r="A141" s="131" t="s">
        <v>825</v>
      </c>
      <c r="B141" s="132" t="s">
        <v>23</v>
      </c>
      <c r="C141" s="133" t="s">
        <v>34</v>
      </c>
      <c r="D141" s="131" t="s">
        <v>34</v>
      </c>
      <c r="E141" s="161" t="s">
        <v>34</v>
      </c>
      <c r="F141" s="131" t="s">
        <v>475</v>
      </c>
      <c r="G141" s="66" t="s">
        <v>227</v>
      </c>
      <c r="H141" s="131" t="s">
        <v>827</v>
      </c>
      <c r="I141" s="14" t="s">
        <v>656</v>
      </c>
      <c r="J141" s="14" t="s">
        <v>656</v>
      </c>
      <c r="K141" s="168" t="s">
        <v>209</v>
      </c>
      <c r="L141" s="194" t="s">
        <v>191</v>
      </c>
      <c r="M141" s="134" t="s">
        <v>323</v>
      </c>
      <c r="N141" s="167" t="s">
        <v>43</v>
      </c>
      <c r="O141" s="167" t="s">
        <v>531</v>
      </c>
      <c r="P141" s="65" t="s">
        <v>534</v>
      </c>
      <c r="Q141" s="135" t="s">
        <v>8</v>
      </c>
      <c r="R141" s="136">
        <v>15000</v>
      </c>
      <c r="S141" s="62">
        <v>15000</v>
      </c>
      <c r="T141" s="136">
        <f>Table12129[[#This Row],[Amortised Limit in Original Currency]]</f>
        <v>15000</v>
      </c>
      <c r="U141" s="136">
        <v>58500</v>
      </c>
      <c r="V141" s="136">
        <v>736036.69</v>
      </c>
      <c r="W141" s="147" t="s">
        <v>11</v>
      </c>
      <c r="X141" s="185">
        <f>(3.75%*3.5+11.5*4%)/15</f>
        <v>3.9416666666666669E-2</v>
      </c>
      <c r="Y141" s="137">
        <v>44771</v>
      </c>
      <c r="Z141" s="137">
        <v>46013</v>
      </c>
      <c r="AA141" s="137">
        <v>46013</v>
      </c>
      <c r="AB141" s="138">
        <f t="shared" si="16"/>
        <v>1243</v>
      </c>
      <c r="AC141" s="139" t="e">
        <f t="shared" si="17"/>
        <v>#REF!</v>
      </c>
      <c r="AD141" s="138" t="e">
        <f>AA141-#REF!</f>
        <v>#REF!</v>
      </c>
      <c r="AE141" s="140" t="e">
        <f t="shared" si="19"/>
        <v>#REF!</v>
      </c>
      <c r="AF141" s="184"/>
      <c r="AG141" s="186" t="s">
        <v>1</v>
      </c>
      <c r="AH141" s="186" t="s">
        <v>1</v>
      </c>
      <c r="AI141" s="187" t="s">
        <v>0</v>
      </c>
      <c r="AJ141" s="143" t="e">
        <f t="shared" si="20"/>
        <v>#REF!</v>
      </c>
      <c r="AK141" s="164" t="s">
        <v>563</v>
      </c>
      <c r="AL141" s="188" t="s">
        <v>830</v>
      </c>
      <c r="AO141" s="197" t="str">
        <f>Table12129[[#This Row],[Risk Location ]]</f>
        <v>Australia</v>
      </c>
      <c r="AP141" s="198" t="str">
        <f>Table12129[[#This Row],[Sector (GICS Industry Group)]]</f>
        <v>Health Care</v>
      </c>
      <c r="AS141" s="212" t="e">
        <v>#REF!</v>
      </c>
      <c r="AT141" s="212" t="e">
        <v>#REF!</v>
      </c>
      <c r="AU141" s="212" t="e">
        <v>#REF!</v>
      </c>
      <c r="AV141" s="212"/>
      <c r="AW141" s="212" t="e">
        <v>#REF!</v>
      </c>
      <c r="AX141" s="212">
        <f t="shared" si="21"/>
        <v>0</v>
      </c>
      <c r="BB141" s="212">
        <v>0</v>
      </c>
      <c r="BC141" s="212">
        <v>0</v>
      </c>
      <c r="BD141" s="212">
        <v>0</v>
      </c>
      <c r="BE141" s="212">
        <v>0</v>
      </c>
      <c r="BF141" s="212">
        <v>0</v>
      </c>
      <c r="BG141" s="226"/>
      <c r="BJ141" s="138" t="s">
        <v>1061</v>
      </c>
      <c r="BK141" s="112"/>
      <c r="BL141" s="58"/>
    </row>
    <row r="142" spans="1:64" ht="39.950000000000003" customHeight="1" x14ac:dyDescent="0.2">
      <c r="A142" s="131" t="s">
        <v>841</v>
      </c>
      <c r="B142" s="132" t="s">
        <v>51</v>
      </c>
      <c r="C142" s="133" t="s">
        <v>588</v>
      </c>
      <c r="D142" s="14" t="s">
        <v>542</v>
      </c>
      <c r="E142" s="133" t="s">
        <v>87</v>
      </c>
      <c r="F142" s="14" t="s">
        <v>102</v>
      </c>
      <c r="G142" s="14" t="s">
        <v>102</v>
      </c>
      <c r="H142" s="66" t="s">
        <v>122</v>
      </c>
      <c r="I142" s="133" t="s">
        <v>705</v>
      </c>
      <c r="J142" s="133" t="s">
        <v>220</v>
      </c>
      <c r="K142" s="168" t="s">
        <v>101</v>
      </c>
      <c r="L142" s="194" t="s">
        <v>191</v>
      </c>
      <c r="M142" s="134" t="s">
        <v>59</v>
      </c>
      <c r="N142" s="167" t="s">
        <v>43</v>
      </c>
      <c r="O142" s="167" t="s">
        <v>533</v>
      </c>
      <c r="P142" s="65" t="s">
        <v>534</v>
      </c>
      <c r="Q142" s="135" t="s">
        <v>156</v>
      </c>
      <c r="R142" s="136" t="e">
        <f>15000/GBP</f>
        <v>#REF!</v>
      </c>
      <c r="S142" s="62">
        <v>15000</v>
      </c>
      <c r="T142" s="136" t="e">
        <f>Table12129[[#This Row],[Amortised Limit in Original Currency]]/GBP</f>
        <v>#REF!</v>
      </c>
      <c r="U142" s="136" t="e">
        <f>237500/GBP</f>
        <v>#REF!</v>
      </c>
      <c r="V142" s="136" t="e">
        <f>601944.86/GBP</f>
        <v>#REF!</v>
      </c>
      <c r="W142" s="147" t="s">
        <v>11</v>
      </c>
      <c r="X142" s="185">
        <v>1.4500000000000001E-2</v>
      </c>
      <c r="Y142" s="137">
        <v>44789</v>
      </c>
      <c r="Z142" s="137">
        <v>46497</v>
      </c>
      <c r="AA142" s="137">
        <v>46680</v>
      </c>
      <c r="AB142" s="138">
        <f t="shared" si="16"/>
        <v>1892</v>
      </c>
      <c r="AC142" s="139" t="e">
        <f t="shared" si="17"/>
        <v>#REF!</v>
      </c>
      <c r="AD142" s="138" t="e">
        <f>AA142-#REF!</f>
        <v>#REF!</v>
      </c>
      <c r="AE142" s="140" t="e">
        <f t="shared" si="19"/>
        <v>#REF!</v>
      </c>
      <c r="AF142" s="184" t="s">
        <v>436</v>
      </c>
      <c r="AG142" s="186" t="s">
        <v>1</v>
      </c>
      <c r="AH142" s="186" t="s">
        <v>1</v>
      </c>
      <c r="AI142" s="187" t="s">
        <v>0</v>
      </c>
      <c r="AJ142" s="143" t="e">
        <f t="shared" si="20"/>
        <v>#REF!</v>
      </c>
      <c r="AK142" s="164" t="s">
        <v>271</v>
      </c>
      <c r="AL142" s="188" t="s">
        <v>848</v>
      </c>
      <c r="AO142" s="197" t="str">
        <f>Table12129[[#This Row],[Risk Location ]]</f>
        <v>United Kingdom</v>
      </c>
      <c r="AP142" s="198" t="str">
        <f>Table12129[[#This Row],[Sector (GICS Industry Group)]]</f>
        <v>Real Estate Investment</v>
      </c>
      <c r="AS142" s="212" t="e">
        <v>#REF!</v>
      </c>
      <c r="AT142" s="212" t="e">
        <v>#REF!</v>
      </c>
      <c r="AU142" s="212" t="e">
        <v>#REF!</v>
      </c>
      <c r="AV142" s="212"/>
      <c r="AW142" s="212" t="e">
        <v>#REF!</v>
      </c>
      <c r="AX142" s="212">
        <f t="shared" si="21"/>
        <v>0</v>
      </c>
      <c r="BB142" s="212">
        <v>0</v>
      </c>
      <c r="BC142" s="212">
        <v>0</v>
      </c>
      <c r="BD142" s="212">
        <v>0</v>
      </c>
      <c r="BE142" s="212">
        <v>0</v>
      </c>
      <c r="BF142" s="212">
        <v>0</v>
      </c>
      <c r="BG142" s="226"/>
      <c r="BJ142" s="138" t="s">
        <v>1062</v>
      </c>
      <c r="BK142" s="112"/>
      <c r="BL142" s="58"/>
    </row>
    <row r="143" spans="1:64" ht="39.950000000000003" customHeight="1" x14ac:dyDescent="0.2">
      <c r="A143" s="131" t="s">
        <v>838</v>
      </c>
      <c r="B143" s="132" t="s">
        <v>51</v>
      </c>
      <c r="C143" s="133" t="s">
        <v>211</v>
      </c>
      <c r="D143" s="14" t="s">
        <v>542</v>
      </c>
      <c r="E143" s="161" t="s">
        <v>211</v>
      </c>
      <c r="F143" s="14" t="s">
        <v>102</v>
      </c>
      <c r="G143" s="14" t="s">
        <v>102</v>
      </c>
      <c r="H143" s="131" t="s">
        <v>475</v>
      </c>
      <c r="I143" s="14" t="s">
        <v>844</v>
      </c>
      <c r="J143" s="192" t="s">
        <v>221</v>
      </c>
      <c r="K143" s="168" t="s">
        <v>101</v>
      </c>
      <c r="L143" s="194" t="s">
        <v>191</v>
      </c>
      <c r="M143" s="134" t="s">
        <v>59</v>
      </c>
      <c r="N143" s="167" t="s">
        <v>43</v>
      </c>
      <c r="O143" s="167" t="s">
        <v>538</v>
      </c>
      <c r="P143" s="65" t="s">
        <v>534</v>
      </c>
      <c r="Q143" s="135" t="s">
        <v>59</v>
      </c>
      <c r="R143" s="136" t="e">
        <f>20000/EUR</f>
        <v>#REF!</v>
      </c>
      <c r="S143" s="62">
        <f>20000</f>
        <v>20000</v>
      </c>
      <c r="T143" s="136" t="e">
        <f>Table12129[[#This Row],[Amortised Limit in Original Currency]]/EUR</f>
        <v>#REF!</v>
      </c>
      <c r="U143" s="136">
        <v>53500</v>
      </c>
      <c r="V143" s="136" t="e">
        <f>1134750.01/EUR</f>
        <v>#REF!</v>
      </c>
      <c r="W143" s="147" t="s">
        <v>11</v>
      </c>
      <c r="X143" s="185">
        <v>0.02</v>
      </c>
      <c r="Y143" s="137">
        <v>44798</v>
      </c>
      <c r="Z143" s="137">
        <v>46614</v>
      </c>
      <c r="AA143" s="137">
        <v>46614</v>
      </c>
      <c r="AB143" s="138">
        <f t="shared" si="16"/>
        <v>1817</v>
      </c>
      <c r="AC143" s="139" t="e">
        <f t="shared" si="17"/>
        <v>#REF!</v>
      </c>
      <c r="AD143" s="138" t="e">
        <f>AA143-#REF!</f>
        <v>#REF!</v>
      </c>
      <c r="AE143" s="140" t="e">
        <f t="shared" si="19"/>
        <v>#REF!</v>
      </c>
      <c r="AF143" s="184" t="s">
        <v>436</v>
      </c>
      <c r="AG143" s="186" t="s">
        <v>1</v>
      </c>
      <c r="AH143" s="186" t="s">
        <v>1</v>
      </c>
      <c r="AI143" s="187" t="s">
        <v>0</v>
      </c>
      <c r="AJ143" s="143" t="e">
        <f t="shared" si="20"/>
        <v>#REF!</v>
      </c>
      <c r="AK143" s="164" t="s">
        <v>563</v>
      </c>
      <c r="AL143" s="188" t="s">
        <v>849</v>
      </c>
      <c r="AO143" s="197" t="str">
        <f>Table12129[[#This Row],[Risk Location ]]</f>
        <v>Spain</v>
      </c>
      <c r="AP143" s="198" t="str">
        <f>Table12129[[#This Row],[Sector (GICS Industry Group)]]</f>
        <v>Real Estate Investment</v>
      </c>
      <c r="AS143" s="212" t="e">
        <v>#REF!</v>
      </c>
      <c r="AT143" s="212" t="e">
        <v>#REF!</v>
      </c>
      <c r="AU143" s="212" t="e">
        <v>#REF!</v>
      </c>
      <c r="AV143" s="212"/>
      <c r="AW143" s="212" t="e">
        <v>#REF!</v>
      </c>
      <c r="AX143" s="212">
        <f t="shared" si="21"/>
        <v>0</v>
      </c>
      <c r="BB143" s="212">
        <v>0</v>
      </c>
      <c r="BC143" s="212">
        <v>0</v>
      </c>
      <c r="BD143" s="212">
        <v>0</v>
      </c>
      <c r="BE143" s="212">
        <v>0</v>
      </c>
      <c r="BF143" s="212">
        <v>0</v>
      </c>
      <c r="BG143" s="226"/>
      <c r="BJ143" s="138" t="s">
        <v>1063</v>
      </c>
      <c r="BK143" s="112"/>
      <c r="BL143" s="58"/>
    </row>
    <row r="144" spans="1:64" ht="39.950000000000003" customHeight="1" x14ac:dyDescent="0.2">
      <c r="A144" s="131" t="s">
        <v>843</v>
      </c>
      <c r="B144" s="132" t="s">
        <v>51</v>
      </c>
      <c r="C144" s="133" t="s">
        <v>34</v>
      </c>
      <c r="D144" s="131" t="s">
        <v>34</v>
      </c>
      <c r="E144" s="133" t="s">
        <v>34</v>
      </c>
      <c r="F144" s="131" t="s">
        <v>475</v>
      </c>
      <c r="G144" s="131" t="s">
        <v>440</v>
      </c>
      <c r="H144" s="131" t="s">
        <v>458</v>
      </c>
      <c r="I144" s="66" t="s">
        <v>232</v>
      </c>
      <c r="J144" s="192" t="s">
        <v>21</v>
      </c>
      <c r="K144" s="168" t="s">
        <v>209</v>
      </c>
      <c r="L144" s="194" t="s">
        <v>191</v>
      </c>
      <c r="M144" s="134" t="s">
        <v>323</v>
      </c>
      <c r="N144" s="167" t="s">
        <v>43</v>
      </c>
      <c r="O144" s="167" t="s">
        <v>538</v>
      </c>
      <c r="P144" s="65" t="s">
        <v>534</v>
      </c>
      <c r="Q144" s="135" t="s">
        <v>8</v>
      </c>
      <c r="R144" s="136">
        <v>7550</v>
      </c>
      <c r="S144" s="62">
        <v>7550</v>
      </c>
      <c r="T144" s="136">
        <f>Table12129[[#This Row],[Amortised Limit in Original Currency]]</f>
        <v>7550</v>
      </c>
      <c r="U144" s="136">
        <f>73300</f>
        <v>73300</v>
      </c>
      <c r="V144" s="136">
        <v>806324.17</v>
      </c>
      <c r="W144" s="147" t="s">
        <v>11</v>
      </c>
      <c r="X144" s="185">
        <v>3.7499999999999999E-2</v>
      </c>
      <c r="Y144" s="137">
        <v>44796</v>
      </c>
      <c r="Z144" s="137">
        <v>46416</v>
      </c>
      <c r="AA144" s="137">
        <v>46446</v>
      </c>
      <c r="AB144" s="138">
        <f t="shared" si="16"/>
        <v>1651</v>
      </c>
      <c r="AC144" s="139" t="e">
        <f t="shared" si="17"/>
        <v>#REF!</v>
      </c>
      <c r="AD144" s="138" t="e">
        <f>AA144-#REF!</f>
        <v>#REF!</v>
      </c>
      <c r="AE144" s="140" t="e">
        <f t="shared" si="19"/>
        <v>#REF!</v>
      </c>
      <c r="AF144" s="184"/>
      <c r="AG144" s="186" t="s">
        <v>1</v>
      </c>
      <c r="AH144" s="186" t="s">
        <v>1</v>
      </c>
      <c r="AI144" s="187" t="s">
        <v>0</v>
      </c>
      <c r="AJ144" s="143" t="e">
        <f t="shared" si="20"/>
        <v>#REF!</v>
      </c>
      <c r="AK144" s="164" t="s">
        <v>271</v>
      </c>
      <c r="AL144" s="188" t="s">
        <v>845</v>
      </c>
      <c r="AO144" s="197" t="str">
        <f>Table12129[[#This Row],[Risk Location ]]</f>
        <v>Australia</v>
      </c>
      <c r="AP144" s="198" t="str">
        <f>Table12129[[#This Row],[Sector (GICS Industry Group)]]</f>
        <v>Health Care</v>
      </c>
      <c r="AS144" s="212" t="e">
        <v>#REF!</v>
      </c>
      <c r="AT144" s="212" t="e">
        <v>#REF!</v>
      </c>
      <c r="AU144" s="212" t="e">
        <v>#REF!</v>
      </c>
      <c r="AV144" s="212"/>
      <c r="AW144" s="212" t="e">
        <v>#REF!</v>
      </c>
      <c r="AX144" s="212">
        <f t="shared" si="21"/>
        <v>0</v>
      </c>
      <c r="BB144" s="212">
        <v>0</v>
      </c>
      <c r="BC144" s="212">
        <v>0</v>
      </c>
      <c r="BD144" s="212">
        <v>0</v>
      </c>
      <c r="BE144" s="212">
        <v>0</v>
      </c>
      <c r="BF144" s="212">
        <v>0</v>
      </c>
      <c r="BG144" s="226"/>
      <c r="BJ144" s="138" t="s">
        <v>1064</v>
      </c>
      <c r="BK144" s="112"/>
      <c r="BL144" s="58"/>
    </row>
    <row r="145" spans="1:64" ht="39.950000000000003" customHeight="1" x14ac:dyDescent="0.2">
      <c r="A145" s="131" t="s">
        <v>842</v>
      </c>
      <c r="B145" s="132" t="s">
        <v>51</v>
      </c>
      <c r="C145" s="133" t="s">
        <v>162</v>
      </c>
      <c r="D145" s="131" t="s">
        <v>499</v>
      </c>
      <c r="E145" s="161" t="s">
        <v>162</v>
      </c>
      <c r="F145" s="131" t="s">
        <v>547</v>
      </c>
      <c r="G145" s="131" t="s">
        <v>265</v>
      </c>
      <c r="H145" s="131" t="s">
        <v>266</v>
      </c>
      <c r="I145" s="66" t="s">
        <v>561</v>
      </c>
      <c r="J145" s="133" t="s">
        <v>220</v>
      </c>
      <c r="K145" s="168" t="s">
        <v>29</v>
      </c>
      <c r="L145" s="194" t="s">
        <v>191</v>
      </c>
      <c r="M145" s="134" t="s">
        <v>59</v>
      </c>
      <c r="N145" s="167" t="s">
        <v>43</v>
      </c>
      <c r="O145" s="167" t="s">
        <v>538</v>
      </c>
      <c r="P145" s="65" t="s">
        <v>534</v>
      </c>
      <c r="Q145" s="135" t="s">
        <v>9</v>
      </c>
      <c r="R145" s="136" t="e">
        <f>30000/USD</f>
        <v>#REF!</v>
      </c>
      <c r="S145" s="62">
        <f>30000</f>
        <v>30000</v>
      </c>
      <c r="T145" s="136" t="e">
        <f>Table12129[[#This Row],[Amortised Limit in Original Currency]]/USD</f>
        <v>#REF!</v>
      </c>
      <c r="U145" s="136" t="e">
        <f>200000/USD</f>
        <v>#REF!</v>
      </c>
      <c r="V145" s="136" t="e">
        <f>1399175.01/USD</f>
        <v>#REF!</v>
      </c>
      <c r="W145" s="147" t="s">
        <v>11</v>
      </c>
      <c r="X145" s="185">
        <v>0.02</v>
      </c>
      <c r="Y145" s="137">
        <v>44796</v>
      </c>
      <c r="Z145" s="137">
        <v>41105</v>
      </c>
      <c r="AA145" s="137">
        <v>46583</v>
      </c>
      <c r="AB145" s="138">
        <f>AA145-Y145+1</f>
        <v>1788</v>
      </c>
      <c r="AC145" s="139" t="e">
        <f>IF(AA145-$A$1&gt;60,"No","Yes")</f>
        <v>#REF!</v>
      </c>
      <c r="AD145" s="138" t="e">
        <f>AA145-#REF!</f>
        <v>#REF!</v>
      </c>
      <c r="AE145" s="140" t="e">
        <f t="shared" si="19"/>
        <v>#REF!</v>
      </c>
      <c r="AF145" s="184" t="s">
        <v>436</v>
      </c>
      <c r="AG145" s="186" t="s">
        <v>1</v>
      </c>
      <c r="AH145" s="186" t="s">
        <v>1</v>
      </c>
      <c r="AI145" s="187" t="s">
        <v>0</v>
      </c>
      <c r="AJ145" s="143" t="e">
        <f t="shared" si="20"/>
        <v>#REF!</v>
      </c>
      <c r="AK145" s="164" t="s">
        <v>271</v>
      </c>
      <c r="AL145" s="188" t="s">
        <v>384</v>
      </c>
      <c r="AO145" s="197" t="str">
        <f>Table12129[[#This Row],[Risk Location ]]</f>
        <v>United States</v>
      </c>
      <c r="AP145" s="198" t="str">
        <f>Table12129[[#This Row],[Sector (GICS Industry Group)]]</f>
        <v>Consumer Staples</v>
      </c>
      <c r="AS145" s="212" t="e">
        <v>#REF!</v>
      </c>
      <c r="AT145" s="212" t="e">
        <v>#REF!</v>
      </c>
      <c r="AU145" s="212" t="e">
        <v>#REF!</v>
      </c>
      <c r="AV145" s="212"/>
      <c r="AW145" s="212" t="e">
        <v>#REF!</v>
      </c>
      <c r="AX145" s="212">
        <f t="shared" si="21"/>
        <v>0</v>
      </c>
      <c r="BB145" s="212">
        <v>0</v>
      </c>
      <c r="BC145" s="212">
        <v>0</v>
      </c>
      <c r="BD145" s="212">
        <v>0</v>
      </c>
      <c r="BE145" s="212">
        <v>0</v>
      </c>
      <c r="BF145" s="212">
        <v>0</v>
      </c>
      <c r="BG145" s="226"/>
      <c r="BJ145" s="138" t="s">
        <v>1065</v>
      </c>
      <c r="BK145" s="112"/>
      <c r="BL145" s="58"/>
    </row>
    <row r="146" spans="1:64" ht="39.950000000000003" customHeight="1" x14ac:dyDescent="0.2">
      <c r="A146" s="131" t="s">
        <v>840</v>
      </c>
      <c r="B146" s="132" t="s">
        <v>51</v>
      </c>
      <c r="C146" s="133" t="s">
        <v>119</v>
      </c>
      <c r="D146" s="14" t="s">
        <v>542</v>
      </c>
      <c r="E146" s="161" t="s">
        <v>119</v>
      </c>
      <c r="F146" s="14" t="s">
        <v>102</v>
      </c>
      <c r="G146" s="14" t="s">
        <v>102</v>
      </c>
      <c r="H146" s="14" t="s">
        <v>474</v>
      </c>
      <c r="I146" s="14" t="s">
        <v>264</v>
      </c>
      <c r="J146" s="192" t="s">
        <v>221</v>
      </c>
      <c r="K146" s="168" t="s">
        <v>101</v>
      </c>
      <c r="L146" s="194" t="s">
        <v>191</v>
      </c>
      <c r="M146" s="134" t="s">
        <v>59</v>
      </c>
      <c r="N146" s="167" t="s">
        <v>43</v>
      </c>
      <c r="O146" s="167" t="s">
        <v>538</v>
      </c>
      <c r="P146" s="65" t="s">
        <v>534</v>
      </c>
      <c r="Q146" s="135" t="s">
        <v>59</v>
      </c>
      <c r="R146" s="136" t="e">
        <f>13000/EUR</f>
        <v>#REF!</v>
      </c>
      <c r="S146" s="62">
        <v>13000</v>
      </c>
      <c r="T146" s="136" t="e">
        <f>Table12129[[#This Row],[Amortised Limit in Original Currency]]/EUR</f>
        <v>#REF!</v>
      </c>
      <c r="U146" s="136" t="e">
        <f>100170/EUR</f>
        <v>#REF!</v>
      </c>
      <c r="V146" s="136" t="e">
        <f>771779.72*(1-0.102902)/EUR</f>
        <v>#REF!</v>
      </c>
      <c r="W146" s="147" t="s">
        <v>11</v>
      </c>
      <c r="X146" s="185">
        <v>2.3E-2</v>
      </c>
      <c r="Y146" s="137">
        <v>44798</v>
      </c>
      <c r="Z146" s="137">
        <v>46385</v>
      </c>
      <c r="AA146" s="137">
        <v>46399</v>
      </c>
      <c r="AB146" s="138">
        <f t="shared" si="16"/>
        <v>1602</v>
      </c>
      <c r="AC146" s="139" t="e">
        <f t="shared" si="17"/>
        <v>#REF!</v>
      </c>
      <c r="AD146" s="138" t="e">
        <f>AA146-#REF!</f>
        <v>#REF!</v>
      </c>
      <c r="AE146" s="140" t="e">
        <f t="shared" si="19"/>
        <v>#REF!</v>
      </c>
      <c r="AF146" s="184"/>
      <c r="AG146" s="186" t="s">
        <v>1</v>
      </c>
      <c r="AH146" s="186" t="s">
        <v>1</v>
      </c>
      <c r="AI146" s="187" t="s">
        <v>0</v>
      </c>
      <c r="AJ146" s="143" t="e">
        <f t="shared" si="20"/>
        <v>#REF!</v>
      </c>
      <c r="AK146" s="164" t="s">
        <v>271</v>
      </c>
      <c r="AL146" s="188" t="s">
        <v>847</v>
      </c>
      <c r="AO146" s="197" t="str">
        <f>Table12129[[#This Row],[Risk Location ]]</f>
        <v>Italy</v>
      </c>
      <c r="AP146" s="198" t="str">
        <f>Table12129[[#This Row],[Sector (GICS Industry Group)]]</f>
        <v>Real Estate Investment</v>
      </c>
      <c r="AS146" s="212" t="e">
        <v>#REF!</v>
      </c>
      <c r="AT146" s="212" t="e">
        <v>#REF!</v>
      </c>
      <c r="AU146" s="212" t="e">
        <v>#REF!</v>
      </c>
      <c r="AV146" s="212"/>
      <c r="AW146" s="212" t="e">
        <v>#REF!</v>
      </c>
      <c r="AX146" s="212">
        <f t="shared" si="21"/>
        <v>0</v>
      </c>
      <c r="BB146" s="212">
        <v>0</v>
      </c>
      <c r="BC146" s="212">
        <v>0</v>
      </c>
      <c r="BD146" s="212">
        <v>0</v>
      </c>
      <c r="BE146" s="212">
        <v>0</v>
      </c>
      <c r="BF146" s="212">
        <v>0</v>
      </c>
      <c r="BG146" s="226"/>
      <c r="BJ146" s="138" t="s">
        <v>1066</v>
      </c>
      <c r="BK146" s="112"/>
      <c r="BL146" s="58"/>
    </row>
    <row r="147" spans="1:64" ht="39.950000000000003" customHeight="1" x14ac:dyDescent="0.2">
      <c r="A147" s="131" t="s">
        <v>839</v>
      </c>
      <c r="B147" s="132" t="s">
        <v>23</v>
      </c>
      <c r="C147" s="133" t="s">
        <v>684</v>
      </c>
      <c r="D147" s="131" t="s">
        <v>542</v>
      </c>
      <c r="E147" s="161" t="s">
        <v>127</v>
      </c>
      <c r="F147" s="131" t="s">
        <v>173</v>
      </c>
      <c r="G147" s="131" t="s">
        <v>316</v>
      </c>
      <c r="H147" s="131" t="s">
        <v>851</v>
      </c>
      <c r="I147" s="133" t="s">
        <v>165</v>
      </c>
      <c r="J147" s="133" t="s">
        <v>220</v>
      </c>
      <c r="K147" s="168" t="s">
        <v>29</v>
      </c>
      <c r="L147" s="194" t="s">
        <v>191</v>
      </c>
      <c r="M147" s="134" t="s">
        <v>59</v>
      </c>
      <c r="N147" s="167" t="s">
        <v>43</v>
      </c>
      <c r="O147" s="167" t="s">
        <v>538</v>
      </c>
      <c r="P147" s="65" t="s">
        <v>534</v>
      </c>
      <c r="Q147" s="135" t="s">
        <v>59</v>
      </c>
      <c r="R147" s="136" t="e">
        <f>10500/EUR</f>
        <v>#REF!</v>
      </c>
      <c r="S147" s="62">
        <v>10500</v>
      </c>
      <c r="T147" s="136" t="e">
        <f>Table12129[[#This Row],[Amortised Limit in Original Currency]]/EUR</f>
        <v>#REF!</v>
      </c>
      <c r="U147" s="136" t="e">
        <f>20000/EUR</f>
        <v>#REF!</v>
      </c>
      <c r="V147" s="136" t="e">
        <f>890615.96/EUR</f>
        <v>#REF!</v>
      </c>
      <c r="W147" s="147" t="s">
        <v>11</v>
      </c>
      <c r="X147" s="185">
        <v>2.2499999999999999E-2</v>
      </c>
      <c r="Y147" s="137">
        <v>44798</v>
      </c>
      <c r="Z147" s="137">
        <v>47050</v>
      </c>
      <c r="AA147" s="137">
        <v>47050</v>
      </c>
      <c r="AB147" s="138">
        <f t="shared" si="16"/>
        <v>2253</v>
      </c>
      <c r="AC147" s="139" t="e">
        <f t="shared" si="17"/>
        <v>#REF!</v>
      </c>
      <c r="AD147" s="138" t="e">
        <f>AA147-#REF!</f>
        <v>#REF!</v>
      </c>
      <c r="AE147" s="140" t="e">
        <f t="shared" si="19"/>
        <v>#REF!</v>
      </c>
      <c r="AF147" s="184"/>
      <c r="AG147" s="186" t="s">
        <v>1</v>
      </c>
      <c r="AH147" s="186" t="s">
        <v>1</v>
      </c>
      <c r="AI147" s="187" t="s">
        <v>0</v>
      </c>
      <c r="AJ147" s="143" t="e">
        <f t="shared" si="20"/>
        <v>#REF!</v>
      </c>
      <c r="AK147" s="164" t="s">
        <v>563</v>
      </c>
      <c r="AL147" s="188" t="s">
        <v>846</v>
      </c>
      <c r="AO147" s="197" t="str">
        <f>Table12129[[#This Row],[Risk Location ]]</f>
        <v>Germany</v>
      </c>
      <c r="AP147" s="198" t="str">
        <f>Table12129[[#This Row],[Sector (GICS Industry Group)]]</f>
        <v>Automobiles &amp; Components</v>
      </c>
      <c r="AS147" s="212" t="e">
        <v>#REF!</v>
      </c>
      <c r="AT147" s="212" t="e">
        <v>#REF!</v>
      </c>
      <c r="AU147" s="212" t="e">
        <v>#REF!</v>
      </c>
      <c r="AV147" s="212"/>
      <c r="AW147" s="212" t="e">
        <v>#REF!</v>
      </c>
      <c r="AX147" s="212">
        <f t="shared" si="21"/>
        <v>0</v>
      </c>
      <c r="BB147" s="212">
        <v>0</v>
      </c>
      <c r="BC147" s="212">
        <v>0</v>
      </c>
      <c r="BD147" s="212">
        <v>0</v>
      </c>
      <c r="BE147" s="212">
        <v>0</v>
      </c>
      <c r="BF147" s="212">
        <v>0</v>
      </c>
      <c r="BG147" s="226"/>
      <c r="BJ147" s="138" t="s">
        <v>1067</v>
      </c>
      <c r="BK147" s="112"/>
      <c r="BL147" s="58"/>
    </row>
    <row r="148" spans="1:64" ht="39.950000000000003" customHeight="1" x14ac:dyDescent="0.2">
      <c r="A148" s="131" t="s">
        <v>837</v>
      </c>
      <c r="B148" s="132" t="s">
        <v>23</v>
      </c>
      <c r="C148" s="133" t="s">
        <v>119</v>
      </c>
      <c r="D148" s="131" t="s">
        <v>542</v>
      </c>
      <c r="E148" s="161" t="s">
        <v>119</v>
      </c>
      <c r="F148" s="131" t="s">
        <v>233</v>
      </c>
      <c r="G148" s="66" t="s">
        <v>443</v>
      </c>
      <c r="H148" s="131" t="s">
        <v>234</v>
      </c>
      <c r="I148" s="133" t="s">
        <v>745</v>
      </c>
      <c r="J148" s="133" t="s">
        <v>220</v>
      </c>
      <c r="K148" s="168" t="s">
        <v>29</v>
      </c>
      <c r="L148" s="194" t="s">
        <v>191</v>
      </c>
      <c r="M148" s="134" t="s">
        <v>59</v>
      </c>
      <c r="N148" s="167" t="s">
        <v>43</v>
      </c>
      <c r="O148" s="167" t="s">
        <v>538</v>
      </c>
      <c r="P148" s="65" t="s">
        <v>534</v>
      </c>
      <c r="Q148" s="135" t="s">
        <v>59</v>
      </c>
      <c r="R148" s="136" t="e">
        <f>10000/EUR</f>
        <v>#REF!</v>
      </c>
      <c r="S148" s="62">
        <v>10000</v>
      </c>
      <c r="T148" s="136" t="e">
        <f>Table12129[[#This Row],[Amortised Limit in Original Currency]]/EUR</f>
        <v>#REF!</v>
      </c>
      <c r="U148" s="136" t="e">
        <f>710000/EUR</f>
        <v>#REF!</v>
      </c>
      <c r="V148" s="136" t="e">
        <f>1074885.24/EUR</f>
        <v>#REF!</v>
      </c>
      <c r="W148" s="147" t="s">
        <v>11</v>
      </c>
      <c r="X148" s="185">
        <v>2.2499999999999999E-2</v>
      </c>
      <c r="Y148" s="137">
        <v>44788</v>
      </c>
      <c r="Z148" s="137">
        <v>47163</v>
      </c>
      <c r="AA148" s="137">
        <v>47191</v>
      </c>
      <c r="AB148" s="138">
        <f t="shared" si="16"/>
        <v>2404</v>
      </c>
      <c r="AC148" s="139" t="e">
        <f t="shared" si="17"/>
        <v>#REF!</v>
      </c>
      <c r="AD148" s="138" t="e">
        <f>AA148-#REF!</f>
        <v>#REF!</v>
      </c>
      <c r="AE148" s="140" t="e">
        <f t="shared" si="19"/>
        <v>#REF!</v>
      </c>
      <c r="AF148" s="184"/>
      <c r="AG148" s="186" t="s">
        <v>1</v>
      </c>
      <c r="AH148" s="186" t="s">
        <v>1</v>
      </c>
      <c r="AI148" s="187" t="s">
        <v>0</v>
      </c>
      <c r="AJ148" s="143" t="e">
        <f t="shared" si="20"/>
        <v>#REF!</v>
      </c>
      <c r="AK148" s="164" t="s">
        <v>563</v>
      </c>
      <c r="AL148" s="188" t="s">
        <v>850</v>
      </c>
      <c r="AO148" s="197" t="str">
        <f>Table12129[[#This Row],[Risk Location ]]</f>
        <v>Italy</v>
      </c>
      <c r="AP148" s="198" t="str">
        <f>Table12129[[#This Row],[Sector (GICS Industry Group)]]</f>
        <v>Telecommunication Services</v>
      </c>
      <c r="AS148" s="212" t="e">
        <v>#REF!</v>
      </c>
      <c r="AT148" s="212" t="e">
        <v>#REF!</v>
      </c>
      <c r="AU148" s="212" t="e">
        <v>#REF!</v>
      </c>
      <c r="AV148" s="212"/>
      <c r="AW148" s="212" t="e">
        <v>#REF!</v>
      </c>
      <c r="AX148" s="212">
        <f t="shared" si="21"/>
        <v>0</v>
      </c>
      <c r="BB148" s="212">
        <v>0</v>
      </c>
      <c r="BC148" s="212">
        <v>0</v>
      </c>
      <c r="BD148" s="212">
        <v>0</v>
      </c>
      <c r="BE148" s="212">
        <v>0</v>
      </c>
      <c r="BF148" s="212">
        <v>0</v>
      </c>
      <c r="BG148" s="226"/>
      <c r="BJ148" s="138" t="s">
        <v>1068</v>
      </c>
      <c r="BK148" s="112"/>
      <c r="BL148" s="58"/>
    </row>
    <row r="149" spans="1:64" ht="39.950000000000003" customHeight="1" x14ac:dyDescent="0.2">
      <c r="A149" s="131" t="s">
        <v>854</v>
      </c>
      <c r="B149" s="132" t="s">
        <v>67</v>
      </c>
      <c r="C149" s="133" t="s">
        <v>588</v>
      </c>
      <c r="D149" s="131" t="s">
        <v>499</v>
      </c>
      <c r="E149" s="161" t="s">
        <v>162</v>
      </c>
      <c r="F149" s="14" t="s">
        <v>891</v>
      </c>
      <c r="G149" s="131" t="s">
        <v>115</v>
      </c>
      <c r="H149" s="131" t="s">
        <v>115</v>
      </c>
      <c r="I149" s="14" t="s">
        <v>826</v>
      </c>
      <c r="J149" s="66" t="s">
        <v>218</v>
      </c>
      <c r="K149" s="168" t="s">
        <v>209</v>
      </c>
      <c r="L149" s="194" t="s">
        <v>191</v>
      </c>
      <c r="M149" s="134" t="s">
        <v>59</v>
      </c>
      <c r="N149" s="167" t="s">
        <v>43</v>
      </c>
      <c r="O149" s="167" t="s">
        <v>538</v>
      </c>
      <c r="P149" s="65" t="s">
        <v>534</v>
      </c>
      <c r="Q149" s="135" t="s">
        <v>9</v>
      </c>
      <c r="R149" s="136" t="e">
        <f>15000/USD</f>
        <v>#REF!</v>
      </c>
      <c r="S149" s="62">
        <v>14923.86</v>
      </c>
      <c r="T149" s="136" t="e">
        <f>Table12129[[#This Row],[Amortised Limit in Original Currency]]/USD</f>
        <v>#REF!</v>
      </c>
      <c r="U149" s="136" t="e">
        <f>30000/USD</f>
        <v>#REF!</v>
      </c>
      <c r="V149" s="136" t="e">
        <f>798435.78/USD</f>
        <v>#REF!</v>
      </c>
      <c r="W149" s="147" t="s">
        <v>11</v>
      </c>
      <c r="X149" s="185">
        <v>0.05</v>
      </c>
      <c r="Y149" s="137">
        <v>44806</v>
      </c>
      <c r="Z149" s="137">
        <v>46338</v>
      </c>
      <c r="AA149" s="137">
        <v>46355</v>
      </c>
      <c r="AB149" s="138">
        <f t="shared" si="16"/>
        <v>1550</v>
      </c>
      <c r="AC149" s="139" t="e">
        <f t="shared" si="17"/>
        <v>#REF!</v>
      </c>
      <c r="AD149" s="138" t="e">
        <f>AA149-#REF!</f>
        <v>#REF!</v>
      </c>
      <c r="AE149" s="140" t="e">
        <f t="shared" si="19"/>
        <v>#REF!</v>
      </c>
      <c r="AF149" s="184"/>
      <c r="AG149" s="186" t="s">
        <v>1</v>
      </c>
      <c r="AH149" s="186" t="s">
        <v>1</v>
      </c>
      <c r="AI149" s="187" t="s">
        <v>852</v>
      </c>
      <c r="AJ149" s="143" t="e">
        <f t="shared" si="20"/>
        <v>#REF!</v>
      </c>
      <c r="AK149" s="164" t="s">
        <v>271</v>
      </c>
      <c r="AL149" s="188" t="s">
        <v>853</v>
      </c>
      <c r="AM149" s="260"/>
      <c r="AN149" s="260"/>
      <c r="AO149" s="197" t="str">
        <f>Table12129[[#This Row],[Risk Location ]]</f>
        <v>United States</v>
      </c>
      <c r="AP149" s="198" t="str">
        <f>Table12129[[#This Row],[Sector (GICS Industry Group)]]</f>
        <v>Information Technology - Hardware &amp; Equipment</v>
      </c>
      <c r="AQ149" s="260"/>
      <c r="AR149" s="260"/>
      <c r="AS149" s="212" t="e">
        <v>#REF!</v>
      </c>
      <c r="AT149" s="212" t="e">
        <v>#REF!</v>
      </c>
      <c r="AU149" s="212" t="e">
        <v>#REF!</v>
      </c>
      <c r="AV149" s="261"/>
      <c r="AW149" s="212" t="e">
        <v>#REF!</v>
      </c>
      <c r="AX149" s="212">
        <f t="shared" si="21"/>
        <v>0</v>
      </c>
      <c r="AY149" s="260"/>
      <c r="BB149" s="212">
        <v>0</v>
      </c>
      <c r="BC149" s="212">
        <v>0</v>
      </c>
      <c r="BD149" s="212">
        <v>0</v>
      </c>
      <c r="BE149" s="212">
        <v>0</v>
      </c>
      <c r="BF149" s="212">
        <v>0</v>
      </c>
      <c r="BG149" s="226"/>
      <c r="BJ149" s="138" t="s">
        <v>922</v>
      </c>
      <c r="BK149" s="112"/>
      <c r="BL149" s="58"/>
    </row>
    <row r="150" spans="1:64" ht="39.950000000000003" customHeight="1" x14ac:dyDescent="0.2">
      <c r="A150" s="131" t="s">
        <v>857</v>
      </c>
      <c r="B150" s="132" t="s">
        <v>23</v>
      </c>
      <c r="C150" s="133" t="s">
        <v>34</v>
      </c>
      <c r="D150" s="131" t="s">
        <v>34</v>
      </c>
      <c r="E150" s="161" t="s">
        <v>34</v>
      </c>
      <c r="F150" s="14" t="s">
        <v>544</v>
      </c>
      <c r="G150" s="14" t="s">
        <v>178</v>
      </c>
      <c r="H150" s="14" t="s">
        <v>177</v>
      </c>
      <c r="I150" s="133" t="s">
        <v>70</v>
      </c>
      <c r="J150" s="66" t="s">
        <v>218</v>
      </c>
      <c r="K150" s="168" t="s">
        <v>209</v>
      </c>
      <c r="L150" s="194" t="s">
        <v>191</v>
      </c>
      <c r="M150" s="134" t="s">
        <v>323</v>
      </c>
      <c r="N150" s="167" t="s">
        <v>43</v>
      </c>
      <c r="O150" s="167" t="s">
        <v>531</v>
      </c>
      <c r="P150" s="65" t="s">
        <v>534</v>
      </c>
      <c r="Q150" s="135" t="s">
        <v>8</v>
      </c>
      <c r="R150" s="136">
        <v>20000</v>
      </c>
      <c r="S150" s="62">
        <v>20000</v>
      </c>
      <c r="T150" s="136">
        <f>Table12129[[#This Row],[Amortised Limit in Original Currency]]</f>
        <v>20000</v>
      </c>
      <c r="U150" s="136">
        <v>100000</v>
      </c>
      <c r="V150" s="136">
        <v>2846047.51</v>
      </c>
      <c r="W150" s="147" t="s">
        <v>11</v>
      </c>
      <c r="X150" s="185">
        <v>6.5000000000000002E-2</v>
      </c>
      <c r="Y150" s="137">
        <v>44810</v>
      </c>
      <c r="Z150" s="137">
        <v>46476</v>
      </c>
      <c r="AA150" s="137">
        <v>46498</v>
      </c>
      <c r="AB150" s="138">
        <f t="shared" si="16"/>
        <v>1689</v>
      </c>
      <c r="AC150" s="139" t="e">
        <f t="shared" si="17"/>
        <v>#REF!</v>
      </c>
      <c r="AD150" s="138" t="e">
        <f>AA150-#REF!</f>
        <v>#REF!</v>
      </c>
      <c r="AE150" s="140" t="e">
        <f t="shared" si="19"/>
        <v>#REF!</v>
      </c>
      <c r="AF150" s="184"/>
      <c r="AG150" s="186" t="s">
        <v>1</v>
      </c>
      <c r="AH150" s="186" t="s">
        <v>1</v>
      </c>
      <c r="AI150" s="187" t="s">
        <v>0</v>
      </c>
      <c r="AJ150" s="143" t="e">
        <f t="shared" si="20"/>
        <v>#REF!</v>
      </c>
      <c r="AK150" s="164" t="s">
        <v>563</v>
      </c>
      <c r="AL150" s="188" t="s">
        <v>855</v>
      </c>
      <c r="AM150" s="260"/>
      <c r="AN150" s="260"/>
      <c r="AO150" s="197" t="str">
        <f>Table12129[[#This Row],[Risk Location ]]</f>
        <v>Australia</v>
      </c>
      <c r="AP150" s="198" t="str">
        <f>Table12129[[#This Row],[Sector (GICS Industry Group)]]</f>
        <v>Consumer Discretionary</v>
      </c>
      <c r="AQ150" s="260"/>
      <c r="AR150" s="260"/>
      <c r="AS150" s="212" t="e">
        <v>#REF!</v>
      </c>
      <c r="AT150" s="212" t="e">
        <v>#REF!</v>
      </c>
      <c r="AU150" s="212" t="e">
        <v>#REF!</v>
      </c>
      <c r="AV150" s="261"/>
      <c r="AW150" s="212" t="e">
        <v>#REF!</v>
      </c>
      <c r="AX150" s="212">
        <f t="shared" si="21"/>
        <v>0</v>
      </c>
      <c r="AY150" s="260"/>
      <c r="BB150" s="212">
        <v>0</v>
      </c>
      <c r="BC150" s="212">
        <v>0</v>
      </c>
      <c r="BD150" s="212">
        <v>0</v>
      </c>
      <c r="BE150" s="212">
        <v>0</v>
      </c>
      <c r="BF150" s="212">
        <v>0</v>
      </c>
      <c r="BG150" s="226"/>
      <c r="BJ150" s="138" t="s">
        <v>921</v>
      </c>
      <c r="BK150" s="112"/>
      <c r="BL150" s="58"/>
    </row>
    <row r="151" spans="1:64" ht="39.950000000000003" customHeight="1" x14ac:dyDescent="0.2">
      <c r="A151" s="131" t="s">
        <v>858</v>
      </c>
      <c r="B151" s="132" t="s">
        <v>243</v>
      </c>
      <c r="C151" s="133" t="s">
        <v>34</v>
      </c>
      <c r="D151" s="131" t="s">
        <v>34</v>
      </c>
      <c r="E151" s="161" t="s">
        <v>295</v>
      </c>
      <c r="F151" s="131" t="s">
        <v>92</v>
      </c>
      <c r="G151" s="131" t="s">
        <v>108</v>
      </c>
      <c r="H151" s="131" t="s">
        <v>109</v>
      </c>
      <c r="I151" s="133" t="s">
        <v>70</v>
      </c>
      <c r="J151" s="66" t="s">
        <v>218</v>
      </c>
      <c r="K151" s="168" t="s">
        <v>209</v>
      </c>
      <c r="L151" s="194" t="s">
        <v>191</v>
      </c>
      <c r="M151" s="134" t="s">
        <v>323</v>
      </c>
      <c r="N151" s="167" t="s">
        <v>43</v>
      </c>
      <c r="O151" s="167" t="s">
        <v>538</v>
      </c>
      <c r="P151" s="65" t="s">
        <v>534</v>
      </c>
      <c r="Q151" s="135" t="s">
        <v>297</v>
      </c>
      <c r="R151" s="136" t="e">
        <f>18750/NZD</f>
        <v>#REF!</v>
      </c>
      <c r="S151" s="62">
        <v>18750</v>
      </c>
      <c r="T151" s="136" t="e">
        <f>Table12129[[#This Row],[Amortised Limit in Original Currency]]/NZD</f>
        <v>#REF!</v>
      </c>
      <c r="U151" s="136" t="e">
        <f>107500/NZD</f>
        <v>#REF!</v>
      </c>
      <c r="V151" s="136" t="e">
        <f>1956896.15/NZD</f>
        <v>#REF!</v>
      </c>
      <c r="W151" s="147" t="s">
        <v>11</v>
      </c>
      <c r="X151" s="185">
        <v>3.7499999999999999E-2</v>
      </c>
      <c r="Y151" s="137">
        <v>44820</v>
      </c>
      <c r="Z151" s="137">
        <v>47247</v>
      </c>
      <c r="AA151" s="137">
        <v>47269</v>
      </c>
      <c r="AB151" s="138">
        <f t="shared" ref="AB151" si="22">AA151-Y151+1</f>
        <v>2450</v>
      </c>
      <c r="AC151" s="139" t="e">
        <f t="shared" ref="AC151" si="23">IF(AA151-$A$1&gt;60,"No","Yes")</f>
        <v>#REF!</v>
      </c>
      <c r="AD151" s="138" t="e">
        <f>AA151-#REF!</f>
        <v>#REF!</v>
      </c>
      <c r="AE151" s="140" t="e">
        <f t="shared" si="19"/>
        <v>#REF!</v>
      </c>
      <c r="AF151" s="184"/>
      <c r="AG151" s="186" t="s">
        <v>1</v>
      </c>
      <c r="AH151" s="186" t="s">
        <v>1</v>
      </c>
      <c r="AI151" s="187" t="s">
        <v>0</v>
      </c>
      <c r="AJ151" s="143" t="e">
        <f t="shared" si="20"/>
        <v>#REF!</v>
      </c>
      <c r="AK151" s="164" t="s">
        <v>563</v>
      </c>
      <c r="AL151" s="188" t="s">
        <v>856</v>
      </c>
      <c r="AM151" s="260"/>
      <c r="AN151" s="260"/>
      <c r="AO151" s="197" t="str">
        <f>Table12129[[#This Row],[Risk Location ]]</f>
        <v>New Zealand</v>
      </c>
      <c r="AP151" s="198" t="str">
        <f>Table12129[[#This Row],[Sector (GICS Industry Group)]]</f>
        <v>Transportation</v>
      </c>
      <c r="AQ151" s="260"/>
      <c r="AR151" s="260"/>
      <c r="AS151" s="212" t="e">
        <v>#REF!</v>
      </c>
      <c r="AT151" s="212" t="e">
        <v>#REF!</v>
      </c>
      <c r="AU151" s="212" t="e">
        <v>#REF!</v>
      </c>
      <c r="AV151" s="261"/>
      <c r="AW151" s="212" t="e">
        <v>#REF!</v>
      </c>
      <c r="AX151" s="212">
        <f t="shared" si="21"/>
        <v>0</v>
      </c>
      <c r="AY151" s="260"/>
      <c r="BB151" s="212">
        <v>0</v>
      </c>
      <c r="BC151" s="212">
        <v>0</v>
      </c>
      <c r="BD151" s="212">
        <v>0</v>
      </c>
      <c r="BE151" s="212">
        <v>0</v>
      </c>
      <c r="BF151" s="212">
        <v>0</v>
      </c>
      <c r="BG151" s="226"/>
      <c r="BJ151" s="138" t="s">
        <v>920</v>
      </c>
      <c r="BK151" s="112"/>
      <c r="BL151" s="58"/>
    </row>
    <row r="152" spans="1:64" ht="39.950000000000003" customHeight="1" x14ac:dyDescent="0.2">
      <c r="A152" s="131" t="s">
        <v>859</v>
      </c>
      <c r="B152" s="132" t="s">
        <v>67</v>
      </c>
      <c r="C152" s="133" t="s">
        <v>34</v>
      </c>
      <c r="D152" s="131" t="s">
        <v>34</v>
      </c>
      <c r="E152" s="161" t="s">
        <v>295</v>
      </c>
      <c r="F152" s="131" t="s">
        <v>475</v>
      </c>
      <c r="G152" s="131" t="s">
        <v>227</v>
      </c>
      <c r="H152" s="131" t="s">
        <v>228</v>
      </c>
      <c r="I152" s="133" t="s">
        <v>860</v>
      </c>
      <c r="J152" s="133" t="s">
        <v>220</v>
      </c>
      <c r="K152" s="168" t="s">
        <v>209</v>
      </c>
      <c r="L152" s="194" t="s">
        <v>191</v>
      </c>
      <c r="M152" s="134" t="s">
        <v>323</v>
      </c>
      <c r="N152" s="167" t="s">
        <v>43</v>
      </c>
      <c r="O152" s="167" t="s">
        <v>531</v>
      </c>
      <c r="P152" s="65" t="s">
        <v>534</v>
      </c>
      <c r="Q152" s="135" t="s">
        <v>297</v>
      </c>
      <c r="R152" s="136" t="e">
        <f>10000/NZD</f>
        <v>#REF!</v>
      </c>
      <c r="S152" s="62">
        <v>10000</v>
      </c>
      <c r="T152" s="136" t="e">
        <f>Table12129[[#This Row],[Amortised Limit in Original Currency]]/NZD</f>
        <v>#REF!</v>
      </c>
      <c r="U152" s="136" t="e">
        <f>50000/NZD</f>
        <v>#REF!</v>
      </c>
      <c r="V152" s="136" t="e">
        <f>751172.18/NZD</f>
        <v>#REF!</v>
      </c>
      <c r="W152" s="147" t="s">
        <v>11</v>
      </c>
      <c r="X152" s="185">
        <v>3.2500000000000001E-2</v>
      </c>
      <c r="Y152" s="137">
        <v>44834</v>
      </c>
      <c r="Z152" s="137">
        <v>46555</v>
      </c>
      <c r="AA152" s="137">
        <v>46598</v>
      </c>
      <c r="AB152" s="138">
        <f>AA152-Y152+1</f>
        <v>1765</v>
      </c>
      <c r="AC152" s="139" t="e">
        <f>IF(AA152-$A$1&gt;60,"No","Yes")</f>
        <v>#REF!</v>
      </c>
      <c r="AD152" s="138" t="e">
        <f>AA152-#REF!</f>
        <v>#REF!</v>
      </c>
      <c r="AE152" s="140" t="e">
        <f t="shared" si="19"/>
        <v>#REF!</v>
      </c>
      <c r="AF152" s="184"/>
      <c r="AG152" s="186" t="s">
        <v>1</v>
      </c>
      <c r="AH152" s="186" t="s">
        <v>1</v>
      </c>
      <c r="AI152" s="187" t="s">
        <v>0</v>
      </c>
      <c r="AJ152" s="143" t="e">
        <f t="shared" si="20"/>
        <v>#REF!</v>
      </c>
      <c r="AK152" s="164" t="s">
        <v>271</v>
      </c>
      <c r="AL152" s="188" t="s">
        <v>861</v>
      </c>
      <c r="AM152" s="260"/>
      <c r="AN152" s="260"/>
      <c r="AO152" s="197" t="str">
        <f>Table12129[[#This Row],[Risk Location ]]</f>
        <v>New Zealand</v>
      </c>
      <c r="AP152" s="198" t="str">
        <f>Table12129[[#This Row],[Sector (GICS Industry Group)]]</f>
        <v>Health Care</v>
      </c>
      <c r="AQ152" s="260"/>
      <c r="AR152" s="260"/>
      <c r="AS152" s="212" t="e">
        <v>#REF!</v>
      </c>
      <c r="AT152" s="212" t="e">
        <v>#REF!</v>
      </c>
      <c r="AU152" s="212" t="e">
        <v>#REF!</v>
      </c>
      <c r="AV152" s="261"/>
      <c r="AW152" s="212" t="e">
        <v>#REF!</v>
      </c>
      <c r="AX152" s="212">
        <f t="shared" si="21"/>
        <v>0</v>
      </c>
      <c r="AY152" s="260"/>
      <c r="BB152" s="212">
        <v>0</v>
      </c>
      <c r="BC152" s="212">
        <v>0</v>
      </c>
      <c r="BD152" s="212">
        <v>0</v>
      </c>
      <c r="BE152" s="212">
        <v>0</v>
      </c>
      <c r="BF152" s="212">
        <v>0</v>
      </c>
      <c r="BG152" s="226"/>
      <c r="BJ152" s="138" t="s">
        <v>919</v>
      </c>
      <c r="BK152" s="112"/>
      <c r="BL152" s="58"/>
    </row>
    <row r="153" spans="1:64" ht="39.950000000000003" customHeight="1" x14ac:dyDescent="0.2">
      <c r="A153" s="131" t="s">
        <v>862</v>
      </c>
      <c r="B153" s="132" t="s">
        <v>23</v>
      </c>
      <c r="C153" s="133" t="s">
        <v>38</v>
      </c>
      <c r="D153" s="131" t="s">
        <v>541</v>
      </c>
      <c r="E153" s="133" t="s">
        <v>38</v>
      </c>
      <c r="F153" s="14" t="s">
        <v>48</v>
      </c>
      <c r="G153" s="131" t="s">
        <v>95</v>
      </c>
      <c r="H153" s="130" t="s">
        <v>447</v>
      </c>
      <c r="I153" s="133" t="s">
        <v>32</v>
      </c>
      <c r="J153" s="133" t="s">
        <v>33</v>
      </c>
      <c r="K153" s="14" t="s">
        <v>140</v>
      </c>
      <c r="L153" s="194" t="s">
        <v>191</v>
      </c>
      <c r="M153" s="134" t="s">
        <v>323</v>
      </c>
      <c r="N153" s="167" t="s">
        <v>43</v>
      </c>
      <c r="O153" s="167" t="s">
        <v>531</v>
      </c>
      <c r="P153" s="65" t="s">
        <v>534</v>
      </c>
      <c r="Q153" s="135" t="s">
        <v>9</v>
      </c>
      <c r="R153" s="136" t="e">
        <f>10000/USD</f>
        <v>#REF!</v>
      </c>
      <c r="S153" s="62">
        <v>10000</v>
      </c>
      <c r="T153" s="136" t="e">
        <f>Table12129[[#This Row],[Amortised Limit in Original Currency]]/USD</f>
        <v>#REF!</v>
      </c>
      <c r="U153" s="136" t="e">
        <f>20000/USD</f>
        <v>#REF!</v>
      </c>
      <c r="V153" s="136" t="e">
        <f>1135725.91/USD</f>
        <v>#REF!</v>
      </c>
      <c r="W153" s="147" t="s">
        <v>11</v>
      </c>
      <c r="X153" s="185">
        <v>5.5E-2</v>
      </c>
      <c r="Y153" s="137">
        <v>44820</v>
      </c>
      <c r="Z153" s="137">
        <v>46973</v>
      </c>
      <c r="AA153" s="137">
        <v>47004</v>
      </c>
      <c r="AB153" s="138">
        <f>AA153-Y153+1</f>
        <v>2185</v>
      </c>
      <c r="AC153" s="139" t="e">
        <f>IF(AA153-$A$1&gt;60,"No","Yes")</f>
        <v>#REF!</v>
      </c>
      <c r="AD153" s="138" t="e">
        <f>AA153-#REF!</f>
        <v>#REF!</v>
      </c>
      <c r="AE153" s="140" t="e">
        <f t="shared" si="19"/>
        <v>#REF!</v>
      </c>
      <c r="AF153" s="184"/>
      <c r="AG153" s="186" t="s">
        <v>1</v>
      </c>
      <c r="AH153" s="186" t="s">
        <v>1</v>
      </c>
      <c r="AI153" s="187" t="s">
        <v>0</v>
      </c>
      <c r="AJ153" s="143" t="e">
        <f t="shared" si="20"/>
        <v>#REF!</v>
      </c>
      <c r="AK153" s="164" t="s">
        <v>271</v>
      </c>
      <c r="AL153" s="188" t="s">
        <v>863</v>
      </c>
      <c r="AM153" s="260"/>
      <c r="AN153" s="260"/>
      <c r="AO153" s="197" t="str">
        <f>Table12129[[#This Row],[Risk Location ]]</f>
        <v>Singapore</v>
      </c>
      <c r="AP153" s="198" t="str">
        <f>Table12129[[#This Row],[Sector (GICS Industry Group)]]</f>
        <v>Energy</v>
      </c>
      <c r="AQ153" s="260"/>
      <c r="AR153" s="260"/>
      <c r="AS153" s="212" t="e">
        <v>#REF!</v>
      </c>
      <c r="AT153" s="212" t="e">
        <v>#REF!</v>
      </c>
      <c r="AU153" s="212" t="e">
        <v>#REF!</v>
      </c>
      <c r="AV153" s="261"/>
      <c r="AW153" s="212" t="e">
        <v>#REF!</v>
      </c>
      <c r="AX153" s="212">
        <f t="shared" si="21"/>
        <v>0</v>
      </c>
      <c r="AY153" s="260"/>
      <c r="BB153" s="212">
        <v>0</v>
      </c>
      <c r="BC153" s="212">
        <v>0</v>
      </c>
      <c r="BD153" s="212">
        <v>0</v>
      </c>
      <c r="BE153" s="212">
        <v>0</v>
      </c>
      <c r="BF153" s="212">
        <v>0</v>
      </c>
      <c r="BG153" s="226"/>
      <c r="BJ153" s="138" t="s">
        <v>918</v>
      </c>
      <c r="BK153" s="112"/>
      <c r="BL153" s="58"/>
    </row>
    <row r="154" spans="1:64" ht="39.950000000000003" customHeight="1" x14ac:dyDescent="0.2">
      <c r="A154" s="131" t="s">
        <v>864</v>
      </c>
      <c r="B154" s="132" t="s">
        <v>23</v>
      </c>
      <c r="C154" s="133" t="s">
        <v>149</v>
      </c>
      <c r="D154" s="14" t="s">
        <v>542</v>
      </c>
      <c r="E154" s="133" t="s">
        <v>127</v>
      </c>
      <c r="F154" s="14" t="s">
        <v>102</v>
      </c>
      <c r="G154" s="14" t="s">
        <v>102</v>
      </c>
      <c r="H154" s="66" t="s">
        <v>122</v>
      </c>
      <c r="I154" s="14" t="s">
        <v>148</v>
      </c>
      <c r="J154" s="133" t="s">
        <v>148</v>
      </c>
      <c r="K154" s="14" t="s">
        <v>101</v>
      </c>
      <c r="L154" s="194" t="s">
        <v>191</v>
      </c>
      <c r="M154" s="134" t="s">
        <v>59</v>
      </c>
      <c r="N154" s="167" t="s">
        <v>43</v>
      </c>
      <c r="O154" s="167" t="s">
        <v>531</v>
      </c>
      <c r="P154" s="65" t="s">
        <v>534</v>
      </c>
      <c r="Q154" s="135" t="s">
        <v>59</v>
      </c>
      <c r="R154" s="136" t="e">
        <f>13000/EUR</f>
        <v>#REF!</v>
      </c>
      <c r="S154" s="62">
        <v>13000</v>
      </c>
      <c r="T154" s="136" t="e">
        <f>Table12129[[#This Row],[Amortised Limit in Original Currency]]/EUR</f>
        <v>#REF!</v>
      </c>
      <c r="U154" s="136" t="e">
        <f>115000/EUR</f>
        <v>#REF!</v>
      </c>
      <c r="V154" s="136" t="e">
        <f>513600/EUR</f>
        <v>#REF!</v>
      </c>
      <c r="W154" s="147" t="s">
        <v>11</v>
      </c>
      <c r="X154" s="185">
        <v>1.7999999999999999E-2</v>
      </c>
      <c r="Y154" s="137">
        <v>44832</v>
      </c>
      <c r="Z154" s="137">
        <v>46505</v>
      </c>
      <c r="AA154" s="137">
        <v>46505</v>
      </c>
      <c r="AB154" s="138">
        <f>AA154-Y154+1</f>
        <v>1674</v>
      </c>
      <c r="AC154" s="139" t="e">
        <f>IF(AA154-$A$1&gt;60,"No","Yes")</f>
        <v>#REF!</v>
      </c>
      <c r="AD154" s="138" t="e">
        <f>AA154-#REF!</f>
        <v>#REF!</v>
      </c>
      <c r="AE154" s="140" t="e">
        <f t="shared" si="19"/>
        <v>#REF!</v>
      </c>
      <c r="AF154" s="184"/>
      <c r="AG154" s="186" t="s">
        <v>1</v>
      </c>
      <c r="AH154" s="186" t="s">
        <v>1</v>
      </c>
      <c r="AI154" s="187" t="s">
        <v>0</v>
      </c>
      <c r="AJ154" s="143" t="e">
        <f t="shared" si="20"/>
        <v>#REF!</v>
      </c>
      <c r="AK154" s="164" t="s">
        <v>563</v>
      </c>
      <c r="AL154" s="188" t="s">
        <v>865</v>
      </c>
      <c r="AM154" s="260"/>
      <c r="AN154" s="260"/>
      <c r="AO154" s="197" t="str">
        <f>Table12129[[#This Row],[Risk Location ]]</f>
        <v>Germany</v>
      </c>
      <c r="AP154" s="198" t="str">
        <f>Table12129[[#This Row],[Sector (GICS Industry Group)]]</f>
        <v>Real Estate Investment</v>
      </c>
      <c r="AQ154" s="260"/>
      <c r="AR154" s="260"/>
      <c r="AS154" s="212" t="e">
        <v>#REF!</v>
      </c>
      <c r="AT154" s="212" t="e">
        <v>#REF!</v>
      </c>
      <c r="AU154" s="212" t="e">
        <v>#REF!</v>
      </c>
      <c r="AV154" s="261"/>
      <c r="AW154" s="212" t="e">
        <v>#REF!</v>
      </c>
      <c r="AX154" s="212">
        <f t="shared" si="21"/>
        <v>0</v>
      </c>
      <c r="AY154" s="260"/>
      <c r="BB154" s="212">
        <v>0</v>
      </c>
      <c r="BC154" s="212">
        <v>0</v>
      </c>
      <c r="BD154" s="212">
        <v>0</v>
      </c>
      <c r="BE154" s="212">
        <v>0</v>
      </c>
      <c r="BF154" s="212">
        <v>0</v>
      </c>
      <c r="BG154" s="226"/>
      <c r="BJ154" s="138" t="s">
        <v>923</v>
      </c>
      <c r="BK154" s="112"/>
      <c r="BL154" s="58"/>
    </row>
    <row r="155" spans="1:64" ht="39.950000000000003" customHeight="1" x14ac:dyDescent="0.2">
      <c r="A155" s="131" t="s">
        <v>943</v>
      </c>
      <c r="B155" s="132" t="s">
        <v>67</v>
      </c>
      <c r="C155" s="133" t="s">
        <v>34</v>
      </c>
      <c r="D155" s="131" t="s">
        <v>34</v>
      </c>
      <c r="E155" s="133" t="s">
        <v>34</v>
      </c>
      <c r="F155" s="131" t="s">
        <v>104</v>
      </c>
      <c r="G155" s="14" t="s">
        <v>111</v>
      </c>
      <c r="H155" s="131" t="s">
        <v>112</v>
      </c>
      <c r="I155" s="66" t="s">
        <v>70</v>
      </c>
      <c r="J155" s="192" t="s">
        <v>218</v>
      </c>
      <c r="K155" s="168" t="s">
        <v>29</v>
      </c>
      <c r="L155" s="194" t="s">
        <v>191</v>
      </c>
      <c r="M155" s="134" t="s">
        <v>323</v>
      </c>
      <c r="N155" s="167" t="s">
        <v>43</v>
      </c>
      <c r="O155" s="167" t="s">
        <v>538</v>
      </c>
      <c r="P155" s="65" t="s">
        <v>534</v>
      </c>
      <c r="Q155" s="135" t="s">
        <v>8</v>
      </c>
      <c r="R155" s="136">
        <v>4990</v>
      </c>
      <c r="S155" s="62">
        <v>4990</v>
      </c>
      <c r="T155" s="136">
        <f>Table12129[[#This Row],[Amortised Limit in Original Currency]]</f>
        <v>4990</v>
      </c>
      <c r="U155" s="136">
        <v>45000</v>
      </c>
      <c r="V155" s="136">
        <v>586672</v>
      </c>
      <c r="W155" s="147" t="s">
        <v>11</v>
      </c>
      <c r="X155" s="185">
        <v>0.10249999999999999</v>
      </c>
      <c r="Y155" s="137">
        <v>44827</v>
      </c>
      <c r="Z155" s="137">
        <v>45858</v>
      </c>
      <c r="AA155" s="137">
        <v>45877</v>
      </c>
      <c r="AB155" s="138">
        <f t="shared" ref="AB155:AB177" si="24">AA155-Y155+1</f>
        <v>1051</v>
      </c>
      <c r="AC155" s="139" t="e">
        <f t="shared" ref="AC155:AC177" si="25">IF(AA155-$A$1&gt;60,"No","Yes")</f>
        <v>#REF!</v>
      </c>
      <c r="AD155" s="138" t="e">
        <f>AA155-#REF!</f>
        <v>#REF!</v>
      </c>
      <c r="AE155" s="140" t="e">
        <f t="shared" si="19"/>
        <v>#REF!</v>
      </c>
      <c r="AF155" s="184"/>
      <c r="AG155" s="186" t="s">
        <v>1</v>
      </c>
      <c r="AH155" s="186" t="s">
        <v>1</v>
      </c>
      <c r="AI155" s="187" t="s">
        <v>878</v>
      </c>
      <c r="AJ155" s="143" t="e">
        <f t="shared" si="20"/>
        <v>#REF!</v>
      </c>
      <c r="AK155" s="164" t="s">
        <v>271</v>
      </c>
      <c r="AL155" s="188" t="s">
        <v>866</v>
      </c>
      <c r="AO155" s="197" t="str">
        <f>Table12129[[#This Row],[Risk Location ]]</f>
        <v>Australia</v>
      </c>
      <c r="AP155" s="198" t="str">
        <f>Table12129[[#This Row],[Sector (GICS Industry Group)]]</f>
        <v>Materials</v>
      </c>
      <c r="AS155" s="212" t="e">
        <v>#REF!</v>
      </c>
      <c r="AT155" s="212" t="e">
        <v>#REF!</v>
      </c>
      <c r="AU155" s="212" t="e">
        <v>#REF!</v>
      </c>
      <c r="AV155" s="212"/>
      <c r="AW155" s="212" t="e">
        <v>#REF!</v>
      </c>
      <c r="AX155" s="212">
        <f t="shared" si="21"/>
        <v>0</v>
      </c>
      <c r="BB155" s="212">
        <v>0</v>
      </c>
      <c r="BC155" s="212">
        <v>0</v>
      </c>
      <c r="BD155" s="212">
        <v>0</v>
      </c>
      <c r="BE155" s="212">
        <v>0</v>
      </c>
      <c r="BF155" s="212">
        <v>0</v>
      </c>
      <c r="BG155" s="226"/>
      <c r="BJ155" s="138" t="s">
        <v>914</v>
      </c>
      <c r="BK155" s="112"/>
      <c r="BL155" s="58"/>
    </row>
    <row r="156" spans="1:64" ht="39.950000000000003" customHeight="1" x14ac:dyDescent="0.2">
      <c r="A156" s="131" t="s">
        <v>867</v>
      </c>
      <c r="B156" s="132" t="s">
        <v>67</v>
      </c>
      <c r="C156" s="133" t="s">
        <v>684</v>
      </c>
      <c r="D156" s="131" t="s">
        <v>542</v>
      </c>
      <c r="E156" s="133" t="s">
        <v>127</v>
      </c>
      <c r="F156" s="131" t="s">
        <v>891</v>
      </c>
      <c r="G156" s="131" t="s">
        <v>167</v>
      </c>
      <c r="H156" s="131" t="s">
        <v>167</v>
      </c>
      <c r="I156" s="66" t="s">
        <v>677</v>
      </c>
      <c r="J156" s="192" t="s">
        <v>218</v>
      </c>
      <c r="K156" s="168" t="s">
        <v>140</v>
      </c>
      <c r="L156" s="194" t="s">
        <v>191</v>
      </c>
      <c r="M156" s="134" t="s">
        <v>59</v>
      </c>
      <c r="N156" s="167" t="s">
        <v>43</v>
      </c>
      <c r="O156" s="167" t="s">
        <v>538</v>
      </c>
      <c r="P156" s="65" t="s">
        <v>534</v>
      </c>
      <c r="Q156" s="135" t="s">
        <v>59</v>
      </c>
      <c r="R156" s="136" t="e">
        <f>7500/EUR</f>
        <v>#REF!</v>
      </c>
      <c r="S156" s="62">
        <v>7500</v>
      </c>
      <c r="T156" s="136" t="e">
        <f>Table12129[[#This Row],[Amortised Limit in Original Currency]]/EUR</f>
        <v>#REF!</v>
      </c>
      <c r="U156" s="136" t="e">
        <f>100000/EUR</f>
        <v>#REF!</v>
      </c>
      <c r="V156" s="136" t="e">
        <f>1346965.92/EUR</f>
        <v>#REF!</v>
      </c>
      <c r="W156" s="147" t="s">
        <v>11</v>
      </c>
      <c r="X156" s="185">
        <v>7.4999999999999997E-2</v>
      </c>
      <c r="Y156" s="137">
        <v>44832</v>
      </c>
      <c r="Z156" s="137">
        <v>46629</v>
      </c>
      <c r="AA156" s="137">
        <v>46629</v>
      </c>
      <c r="AB156" s="138">
        <f>AA156-Y156+1</f>
        <v>1798</v>
      </c>
      <c r="AC156" s="139" t="e">
        <f>IF(AA156-$A$1&gt;60,"No","Yes")</f>
        <v>#REF!</v>
      </c>
      <c r="AD156" s="138" t="e">
        <f>AA156-#REF!</f>
        <v>#REF!</v>
      </c>
      <c r="AE156" s="140" t="e">
        <f>AD156/365</f>
        <v>#REF!</v>
      </c>
      <c r="AF156" s="184"/>
      <c r="AG156" s="186" t="s">
        <v>1</v>
      </c>
      <c r="AH156" s="186" t="s">
        <v>1</v>
      </c>
      <c r="AI156" s="187" t="s">
        <v>0</v>
      </c>
      <c r="AJ156" s="143" t="e">
        <f>+IF(AA156-60&lt;$A$1, "SEND NOTICE", "N/A")</f>
        <v>#REF!</v>
      </c>
      <c r="AK156" s="164" t="s">
        <v>563</v>
      </c>
      <c r="AL156" s="188" t="s">
        <v>869</v>
      </c>
      <c r="AO156" s="197" t="str">
        <f>Table12129[[#This Row],[Risk Location ]]</f>
        <v>Germany</v>
      </c>
      <c r="AP156" s="198" t="str">
        <f>Table12129[[#This Row],[Sector (GICS Industry Group)]]</f>
        <v>Information Technology - Hardware &amp; Equipment</v>
      </c>
      <c r="AS156" s="212" t="e">
        <v>#REF!</v>
      </c>
      <c r="AT156" s="212" t="e">
        <v>#REF!</v>
      </c>
      <c r="AU156" s="212" t="e">
        <v>#REF!</v>
      </c>
      <c r="AV156" s="212"/>
      <c r="AW156" s="212" t="e">
        <v>#REF!</v>
      </c>
      <c r="AX156" s="212">
        <f t="shared" si="21"/>
        <v>0</v>
      </c>
      <c r="BB156" s="212">
        <v>0</v>
      </c>
      <c r="BC156" s="212"/>
      <c r="BD156" s="212"/>
      <c r="BE156" s="212"/>
      <c r="BF156" s="212"/>
      <c r="BG156" s="226"/>
      <c r="BJ156" s="138" t="s">
        <v>924</v>
      </c>
      <c r="BK156" s="112"/>
      <c r="BL156" s="58"/>
    </row>
    <row r="157" spans="1:64" s="293" customFormat="1" ht="39.950000000000003" customHeight="1" x14ac:dyDescent="0.2">
      <c r="A157" s="131" t="s">
        <v>868</v>
      </c>
      <c r="B157" s="132" t="s">
        <v>67</v>
      </c>
      <c r="C157" s="133" t="s">
        <v>684</v>
      </c>
      <c r="D157" s="131" t="s">
        <v>542</v>
      </c>
      <c r="E157" s="133" t="s">
        <v>127</v>
      </c>
      <c r="F157" s="131" t="s">
        <v>891</v>
      </c>
      <c r="G157" s="131" t="s">
        <v>167</v>
      </c>
      <c r="H157" s="131" t="s">
        <v>167</v>
      </c>
      <c r="I157" s="133" t="s">
        <v>677</v>
      </c>
      <c r="J157" s="192" t="s">
        <v>218</v>
      </c>
      <c r="K157" s="168" t="s">
        <v>140</v>
      </c>
      <c r="L157" s="194" t="s">
        <v>191</v>
      </c>
      <c r="M157" s="134" t="s">
        <v>59</v>
      </c>
      <c r="N157" s="167" t="s">
        <v>43</v>
      </c>
      <c r="O157" s="167" t="s">
        <v>538</v>
      </c>
      <c r="P157" s="270" t="s">
        <v>534</v>
      </c>
      <c r="Q157" s="135" t="s">
        <v>59</v>
      </c>
      <c r="R157" s="136" t="e">
        <f>(7500+10000)/EUR</f>
        <v>#REF!</v>
      </c>
      <c r="S157" s="62">
        <f>7500+10000</f>
        <v>17500</v>
      </c>
      <c r="T157" s="136" t="e">
        <f>Table12129[[#This Row],[Amortised Limit in Original Currency]]/EUR</f>
        <v>#REF!</v>
      </c>
      <c r="U157" s="136" t="e">
        <f>100000/EUR</f>
        <v>#REF!</v>
      </c>
      <c r="V157" s="136" t="e">
        <f>1073653.46/EUR</f>
        <v>#REF!</v>
      </c>
      <c r="W157" s="147" t="s">
        <v>11</v>
      </c>
      <c r="X157" s="185">
        <v>2.75E-2</v>
      </c>
      <c r="Y157" s="137">
        <v>44832</v>
      </c>
      <c r="Z157" s="137">
        <v>46629</v>
      </c>
      <c r="AA157" s="137">
        <v>46629</v>
      </c>
      <c r="AB157" s="138">
        <f>AA157-Y157+1</f>
        <v>1798</v>
      </c>
      <c r="AC157" s="139" t="e">
        <f>IF(AA157-$A$1&gt;60,"No","Yes")</f>
        <v>#REF!</v>
      </c>
      <c r="AD157" s="138" t="e">
        <f>AA157-#REF!</f>
        <v>#REF!</v>
      </c>
      <c r="AE157" s="140" t="e">
        <f>AD157/365</f>
        <v>#REF!</v>
      </c>
      <c r="AF157" s="184"/>
      <c r="AG157" s="186" t="s">
        <v>1</v>
      </c>
      <c r="AH157" s="186" t="s">
        <v>1</v>
      </c>
      <c r="AI157" s="187" t="s">
        <v>0</v>
      </c>
      <c r="AJ157" s="164" t="e">
        <f>+IF(AA157-60&lt;$A$1, "SEND NOTICE", "N/A")</f>
        <v>#REF!</v>
      </c>
      <c r="AK157" s="164" t="s">
        <v>563</v>
      </c>
      <c r="AL157" s="188" t="s">
        <v>870</v>
      </c>
      <c r="AM157" s="229"/>
      <c r="AN157" s="229"/>
      <c r="AO157" s="197" t="str">
        <f>Table12129[[#This Row],[Risk Location ]]</f>
        <v>Germany</v>
      </c>
      <c r="AP157" s="198" t="str">
        <f>Table12129[[#This Row],[Sector (GICS Industry Group)]]</f>
        <v>Information Technology - Hardware &amp; Equipment</v>
      </c>
      <c r="AQ157" s="229"/>
      <c r="AR157" s="229"/>
      <c r="AS157" s="212" t="e">
        <v>#REF!</v>
      </c>
      <c r="AT157" s="212" t="e">
        <v>#REF!</v>
      </c>
      <c r="AU157" s="212" t="e">
        <v>#REF!</v>
      </c>
      <c r="AV157" s="278"/>
      <c r="AW157" s="212" t="e">
        <v>#REF!</v>
      </c>
      <c r="AX157" s="212">
        <f t="shared" si="21"/>
        <v>0</v>
      </c>
      <c r="AY157" s="229"/>
      <c r="AZ157" s="229"/>
      <c r="BA157" s="229"/>
      <c r="BB157" s="278">
        <v>0</v>
      </c>
      <c r="BC157" s="278"/>
      <c r="BD157" s="278"/>
      <c r="BE157" s="278"/>
      <c r="BF157" s="278"/>
      <c r="BG157" s="226"/>
      <c r="BH157" s="229"/>
      <c r="BI157" s="229"/>
      <c r="BJ157" s="138" t="s">
        <v>925</v>
      </c>
      <c r="BK157" s="294"/>
      <c r="BL157" s="295"/>
    </row>
    <row r="158" spans="1:64" ht="39.950000000000003" customHeight="1" x14ac:dyDescent="0.2">
      <c r="A158" s="131" t="s">
        <v>942</v>
      </c>
      <c r="B158" s="132" t="s">
        <v>67</v>
      </c>
      <c r="C158" s="133" t="s">
        <v>588</v>
      </c>
      <c r="D158" s="131" t="s">
        <v>499</v>
      </c>
      <c r="E158" s="133" t="s">
        <v>162</v>
      </c>
      <c r="F158" s="131" t="s">
        <v>233</v>
      </c>
      <c r="G158" s="131" t="s">
        <v>443</v>
      </c>
      <c r="H158" s="131" t="s">
        <v>234</v>
      </c>
      <c r="I158" s="66" t="s">
        <v>826</v>
      </c>
      <c r="J158" s="192" t="s">
        <v>218</v>
      </c>
      <c r="K158" s="168" t="s">
        <v>140</v>
      </c>
      <c r="L158" s="194" t="s">
        <v>191</v>
      </c>
      <c r="M158" s="134" t="s">
        <v>59</v>
      </c>
      <c r="N158" s="167" t="s">
        <v>43</v>
      </c>
      <c r="O158" s="167" t="s">
        <v>538</v>
      </c>
      <c r="P158" s="65" t="s">
        <v>534</v>
      </c>
      <c r="Q158" s="135" t="s">
        <v>9</v>
      </c>
      <c r="R158" s="136" t="e">
        <f>15000/USD</f>
        <v>#REF!</v>
      </c>
      <c r="S158" s="62">
        <v>15000</v>
      </c>
      <c r="T158" s="136" t="e">
        <f>Table12129[[#This Row],[Amortised Limit in Original Currency]]/USD</f>
        <v>#REF!</v>
      </c>
      <c r="U158" s="136" t="e">
        <f>30000/USD</f>
        <v>#REF!</v>
      </c>
      <c r="V158" s="136" t="e">
        <f>1642542.42/USD</f>
        <v>#REF!</v>
      </c>
      <c r="W158" s="147" t="s">
        <v>11</v>
      </c>
      <c r="X158" s="185">
        <v>2.75E-2</v>
      </c>
      <c r="Y158" s="137">
        <v>44851</v>
      </c>
      <c r="Z158" s="137">
        <v>47320</v>
      </c>
      <c r="AA158" s="137">
        <v>47322</v>
      </c>
      <c r="AB158" s="138">
        <f t="shared" si="24"/>
        <v>2472</v>
      </c>
      <c r="AC158" s="139" t="e">
        <f t="shared" si="25"/>
        <v>#REF!</v>
      </c>
      <c r="AD158" s="138" t="e">
        <f>AA158-#REF!</f>
        <v>#REF!</v>
      </c>
      <c r="AE158" s="140" t="e">
        <f t="shared" si="19"/>
        <v>#REF!</v>
      </c>
      <c r="AF158" s="184"/>
      <c r="AG158" s="186" t="s">
        <v>1</v>
      </c>
      <c r="AH158" s="186" t="s">
        <v>1</v>
      </c>
      <c r="AI158" s="187" t="s">
        <v>0</v>
      </c>
      <c r="AJ158" s="143" t="e">
        <f t="shared" si="20"/>
        <v>#REF!</v>
      </c>
      <c r="AK158" s="164" t="s">
        <v>271</v>
      </c>
      <c r="AL158" s="188" t="s">
        <v>899</v>
      </c>
      <c r="AO158" s="197" t="str">
        <f>Table12129[[#This Row],[Risk Location ]]</f>
        <v>United States</v>
      </c>
      <c r="AP158" s="198" t="str">
        <f>Table12129[[#This Row],[Sector (GICS Industry Group)]]</f>
        <v>Telecommunication Services</v>
      </c>
      <c r="AS158" s="212" t="e">
        <v>#REF!</v>
      </c>
      <c r="AT158" s="212" t="e">
        <v>#REF!</v>
      </c>
      <c r="AU158" s="212" t="e">
        <v>#REF!</v>
      </c>
      <c r="AV158" s="212"/>
      <c r="AW158" s="212" t="e">
        <v>#REF!</v>
      </c>
      <c r="AX158" s="212">
        <f t="shared" si="21"/>
        <v>0</v>
      </c>
      <c r="BB158" s="212">
        <v>0</v>
      </c>
      <c r="BC158" s="212">
        <v>0</v>
      </c>
      <c r="BD158" s="212">
        <v>0</v>
      </c>
      <c r="BE158" s="212">
        <v>0</v>
      </c>
      <c r="BF158" s="212">
        <v>0</v>
      </c>
      <c r="BG158" s="226"/>
      <c r="BJ158" s="138" t="s">
        <v>900</v>
      </c>
      <c r="BK158" s="112"/>
      <c r="BL158" s="58"/>
    </row>
    <row r="159" spans="1:64" s="229" customFormat="1" ht="39.950000000000003" customHeight="1" x14ac:dyDescent="0.2">
      <c r="A159" s="132" t="s">
        <v>915</v>
      </c>
      <c r="B159" s="132" t="s">
        <v>51</v>
      </c>
      <c r="C159" s="133" t="s">
        <v>88</v>
      </c>
      <c r="D159" s="131" t="s">
        <v>542</v>
      </c>
      <c r="E159" s="145" t="s">
        <v>88</v>
      </c>
      <c r="F159" s="133" t="s">
        <v>106</v>
      </c>
      <c r="G159" s="133" t="s">
        <v>106</v>
      </c>
      <c r="H159" s="133" t="s">
        <v>107</v>
      </c>
      <c r="I159" s="133" t="s">
        <v>61</v>
      </c>
      <c r="J159" s="133" t="s">
        <v>220</v>
      </c>
      <c r="K159" s="131" t="s">
        <v>101</v>
      </c>
      <c r="L159" s="134" t="s">
        <v>191</v>
      </c>
      <c r="M159" s="134" t="s">
        <v>59</v>
      </c>
      <c r="N159" s="132" t="s">
        <v>43</v>
      </c>
      <c r="O159" s="132" t="s">
        <v>533</v>
      </c>
      <c r="P159" s="269" t="s">
        <v>548</v>
      </c>
      <c r="Q159" s="135" t="s">
        <v>59</v>
      </c>
      <c r="R159" s="136" t="e">
        <f>12000/EUR</f>
        <v>#REF!</v>
      </c>
      <c r="S159" s="62">
        <v>12000</v>
      </c>
      <c r="T159" s="136" t="e">
        <f>Table12129[[#This Row],[Amortised Limit in Original Currency]]/EUR</f>
        <v>#REF!</v>
      </c>
      <c r="U159" s="136" t="e">
        <f>30000/EUR</f>
        <v>#REF!</v>
      </c>
      <c r="V159" s="136" t="e">
        <f>478771.6/EUR</f>
        <v>#REF!</v>
      </c>
      <c r="W159" s="61" t="s">
        <v>11</v>
      </c>
      <c r="X159" s="181">
        <v>1.35E-2</v>
      </c>
      <c r="Y159" s="137">
        <v>44851</v>
      </c>
      <c r="Z159" s="137">
        <v>46568</v>
      </c>
      <c r="AA159" s="137">
        <v>46598</v>
      </c>
      <c r="AB159" s="138">
        <f t="shared" si="24"/>
        <v>1748</v>
      </c>
      <c r="AC159" s="139" t="e">
        <f>IF(AA159-$A$1&gt;60,"No","Yes")</f>
        <v>#REF!</v>
      </c>
      <c r="AD159" s="138" t="e">
        <f>AA159-#REF!</f>
        <v>#REF!</v>
      </c>
      <c r="AE159" s="140" t="e">
        <f t="shared" si="19"/>
        <v>#REF!</v>
      </c>
      <c r="AF159" s="274"/>
      <c r="AG159" s="141" t="s">
        <v>1</v>
      </c>
      <c r="AH159" s="141" t="s">
        <v>1</v>
      </c>
      <c r="AI159" s="187" t="s">
        <v>0</v>
      </c>
      <c r="AJ159" s="229" t="e">
        <f t="shared" si="20"/>
        <v>#REF!</v>
      </c>
      <c r="AK159" s="144" t="s">
        <v>271</v>
      </c>
      <c r="AL159" s="132" t="s">
        <v>916</v>
      </c>
      <c r="AM159" s="291"/>
      <c r="AN159" s="291"/>
      <c r="AO159" s="197" t="str">
        <f>Table12129[[#This Row],[Risk Location ]]</f>
        <v>Belgium</v>
      </c>
      <c r="AP159" s="198" t="str">
        <f>Table12129[[#This Row],[Sector (GICS Industry Group)]]</f>
        <v>Real Estate Management &amp; Development</v>
      </c>
      <c r="AQ159" s="291"/>
      <c r="AR159" s="291"/>
      <c r="AS159" s="212" t="e">
        <v>#REF!</v>
      </c>
      <c r="AT159" s="212" t="e">
        <v>#REF!</v>
      </c>
      <c r="AU159" s="212" t="e">
        <v>#REF!</v>
      </c>
      <c r="AV159" s="292"/>
      <c r="AW159" s="212" t="e">
        <v>#REF!</v>
      </c>
      <c r="AX159" s="212">
        <f t="shared" si="21"/>
        <v>0</v>
      </c>
      <c r="AY159" s="291"/>
      <c r="BB159" s="278">
        <v>0</v>
      </c>
      <c r="BC159" s="278"/>
      <c r="BD159" s="278"/>
      <c r="BE159" s="278"/>
      <c r="BF159" s="278"/>
      <c r="BG159" s="226"/>
      <c r="BJ159" s="138" t="s">
        <v>917</v>
      </c>
      <c r="BK159" s="276"/>
      <c r="BL159" s="58" t="s">
        <v>103</v>
      </c>
    </row>
    <row r="160" spans="1:64" ht="39.950000000000003" customHeight="1" x14ac:dyDescent="0.2">
      <c r="A160" s="132" t="s">
        <v>901</v>
      </c>
      <c r="B160" s="132" t="s">
        <v>23</v>
      </c>
      <c r="C160" s="133" t="s">
        <v>34</v>
      </c>
      <c r="D160" s="14" t="s">
        <v>34</v>
      </c>
      <c r="E160" s="145" t="s">
        <v>34</v>
      </c>
      <c r="F160" s="66" t="s">
        <v>544</v>
      </c>
      <c r="G160" s="66" t="s">
        <v>195</v>
      </c>
      <c r="H160" s="66" t="s">
        <v>455</v>
      </c>
      <c r="I160" s="133" t="s">
        <v>656</v>
      </c>
      <c r="J160" s="133" t="s">
        <v>656</v>
      </c>
      <c r="K160" s="14" t="s">
        <v>209</v>
      </c>
      <c r="L160" s="134" t="s">
        <v>191</v>
      </c>
      <c r="M160" s="134" t="s">
        <v>323</v>
      </c>
      <c r="N160" s="132" t="s">
        <v>43</v>
      </c>
      <c r="O160" s="132" t="s">
        <v>531</v>
      </c>
      <c r="P160" s="13" t="s">
        <v>534</v>
      </c>
      <c r="Q160" s="135" t="s">
        <v>8</v>
      </c>
      <c r="R160" s="136">
        <v>12500</v>
      </c>
      <c r="S160" s="62">
        <v>12500</v>
      </c>
      <c r="T160" s="136">
        <f>Table12129[[#This Row],[Amortised Limit in Original Currency]]</f>
        <v>12500</v>
      </c>
      <c r="U160" s="136">
        <v>71000</v>
      </c>
      <c r="V160" s="136">
        <v>1143776.72</v>
      </c>
      <c r="W160" s="61" t="s">
        <v>11</v>
      </c>
      <c r="X160" s="181">
        <v>5.5E-2</v>
      </c>
      <c r="Y160" s="137">
        <v>44848</v>
      </c>
      <c r="Z160" s="137">
        <v>46000</v>
      </c>
      <c r="AA160" s="137">
        <v>46004</v>
      </c>
      <c r="AB160" s="138">
        <f t="shared" si="24"/>
        <v>1157</v>
      </c>
      <c r="AC160" s="139" t="e">
        <f t="shared" si="25"/>
        <v>#REF!</v>
      </c>
      <c r="AD160" s="138" t="e">
        <f>AA160-#REF!</f>
        <v>#REF!</v>
      </c>
      <c r="AE160" s="140" t="e">
        <f t="shared" si="19"/>
        <v>#REF!</v>
      </c>
      <c r="AF160" s="56"/>
      <c r="AG160" s="186" t="s">
        <v>1</v>
      </c>
      <c r="AH160" s="186" t="s">
        <v>1</v>
      </c>
      <c r="AI160" s="187" t="s">
        <v>0</v>
      </c>
      <c r="AJ160" s="143" t="e">
        <f t="shared" si="20"/>
        <v>#REF!</v>
      </c>
      <c r="AK160" s="164" t="s">
        <v>563</v>
      </c>
      <c r="AL160" s="188" t="s">
        <v>908</v>
      </c>
      <c r="AO160" s="197" t="str">
        <f>Table12129[[#This Row],[Risk Location ]]</f>
        <v>Australia</v>
      </c>
      <c r="AP160" s="198" t="str">
        <f>Table12129[[#This Row],[Sector (GICS Industry Group)]]</f>
        <v>Consumer Discretionary</v>
      </c>
      <c r="AS160" s="212" t="e">
        <v>#REF!</v>
      </c>
      <c r="AT160" s="212" t="e">
        <v>#REF!</v>
      </c>
      <c r="AU160" s="212" t="e">
        <v>#REF!</v>
      </c>
      <c r="AV160" s="212"/>
      <c r="AW160" s="212" t="e">
        <v>#REF!</v>
      </c>
      <c r="AX160" s="212">
        <f t="shared" si="21"/>
        <v>0</v>
      </c>
      <c r="BB160" s="212">
        <v>0</v>
      </c>
      <c r="BC160" s="212">
        <v>0</v>
      </c>
      <c r="BD160" s="212">
        <v>0</v>
      </c>
      <c r="BE160" s="212">
        <v>0</v>
      </c>
      <c r="BF160" s="212">
        <v>0</v>
      </c>
      <c r="BG160" s="226"/>
      <c r="BJ160" s="138" t="s">
        <v>902</v>
      </c>
      <c r="BK160" s="112"/>
      <c r="BL160" s="58"/>
    </row>
    <row r="161" spans="1:64" ht="39.950000000000003" customHeight="1" x14ac:dyDescent="0.2">
      <c r="A161" s="132" t="s">
        <v>903</v>
      </c>
      <c r="B161" s="132" t="s">
        <v>23</v>
      </c>
      <c r="C161" s="133" t="s">
        <v>34</v>
      </c>
      <c r="D161" s="14" t="s">
        <v>34</v>
      </c>
      <c r="E161" s="145" t="s">
        <v>34</v>
      </c>
      <c r="F161" s="66" t="s">
        <v>544</v>
      </c>
      <c r="G161" s="66" t="s">
        <v>195</v>
      </c>
      <c r="H161" s="66" t="s">
        <v>455</v>
      </c>
      <c r="I161" s="133" t="s">
        <v>656</v>
      </c>
      <c r="J161" s="133" t="s">
        <v>656</v>
      </c>
      <c r="K161" s="14" t="s">
        <v>209</v>
      </c>
      <c r="L161" s="134" t="s">
        <v>191</v>
      </c>
      <c r="M161" s="134" t="s">
        <v>323</v>
      </c>
      <c r="N161" s="132" t="s">
        <v>43</v>
      </c>
      <c r="O161" s="132" t="s">
        <v>531</v>
      </c>
      <c r="P161" s="13" t="s">
        <v>534</v>
      </c>
      <c r="Q161" s="135" t="s">
        <v>8</v>
      </c>
      <c r="R161" s="136">
        <v>7500</v>
      </c>
      <c r="S161" s="62">
        <v>7500</v>
      </c>
      <c r="T161" s="136">
        <f>Table12129[[#This Row],[Amortised Limit in Original Currency]]</f>
        <v>7500</v>
      </c>
      <c r="U161" s="136">
        <v>71000</v>
      </c>
      <c r="V161" s="136">
        <v>807284.94</v>
      </c>
      <c r="W161" s="61" t="s">
        <v>11</v>
      </c>
      <c r="X161" s="181">
        <v>5.5E-2</v>
      </c>
      <c r="Y161" s="137">
        <v>44852</v>
      </c>
      <c r="Z161" s="137">
        <v>46000</v>
      </c>
      <c r="AA161" s="137">
        <v>46004</v>
      </c>
      <c r="AB161" s="138">
        <f t="shared" si="24"/>
        <v>1153</v>
      </c>
      <c r="AC161" s="139" t="e">
        <f t="shared" si="25"/>
        <v>#REF!</v>
      </c>
      <c r="AD161" s="138" t="e">
        <f>AA161-#REF!</f>
        <v>#REF!</v>
      </c>
      <c r="AE161" s="140" t="e">
        <f t="shared" si="19"/>
        <v>#REF!</v>
      </c>
      <c r="AF161" s="56"/>
      <c r="AG161" s="186" t="s">
        <v>1</v>
      </c>
      <c r="AH161" s="186" t="s">
        <v>1</v>
      </c>
      <c r="AI161" s="187" t="s">
        <v>0</v>
      </c>
      <c r="AJ161" s="143" t="e">
        <f t="shared" si="20"/>
        <v>#REF!</v>
      </c>
      <c r="AK161" s="164" t="s">
        <v>563</v>
      </c>
      <c r="AL161" s="188" t="s">
        <v>909</v>
      </c>
      <c r="AO161" s="197" t="str">
        <f>Table12129[[#This Row],[Risk Location ]]</f>
        <v>Australia</v>
      </c>
      <c r="AP161" s="198" t="str">
        <f>Table12129[[#This Row],[Sector (GICS Industry Group)]]</f>
        <v>Consumer Discretionary</v>
      </c>
      <c r="AS161" s="212" t="e">
        <v>#REF!</v>
      </c>
      <c r="AT161" s="212" t="e">
        <v>#REF!</v>
      </c>
      <c r="AU161" s="212" t="e">
        <v>#REF!</v>
      </c>
      <c r="AV161" s="212"/>
      <c r="AW161" s="212" t="e">
        <v>#REF!</v>
      </c>
      <c r="AX161" s="212">
        <f t="shared" si="21"/>
        <v>0</v>
      </c>
      <c r="BB161" s="212">
        <v>0</v>
      </c>
      <c r="BC161" s="212"/>
      <c r="BD161" s="212"/>
      <c r="BE161" s="212"/>
      <c r="BF161" s="212"/>
      <c r="BG161" s="226"/>
      <c r="BJ161" s="138" t="s">
        <v>904</v>
      </c>
      <c r="BK161" s="112"/>
      <c r="BL161" s="58"/>
    </row>
    <row r="162" spans="1:64" ht="39.950000000000003" customHeight="1" x14ac:dyDescent="0.2">
      <c r="A162" s="132" t="s">
        <v>905</v>
      </c>
      <c r="B162" s="132" t="s">
        <v>67</v>
      </c>
      <c r="C162" s="133" t="s">
        <v>149</v>
      </c>
      <c r="D162" s="14" t="s">
        <v>499</v>
      </c>
      <c r="E162" s="145" t="s">
        <v>162</v>
      </c>
      <c r="F162" s="66" t="s">
        <v>233</v>
      </c>
      <c r="G162" s="66" t="s">
        <v>906</v>
      </c>
      <c r="H162" s="66" t="s">
        <v>906</v>
      </c>
      <c r="I162" s="133" t="s">
        <v>148</v>
      </c>
      <c r="J162" s="133" t="s">
        <v>148</v>
      </c>
      <c r="K162" s="168" t="s">
        <v>209</v>
      </c>
      <c r="L162" s="194" t="s">
        <v>191</v>
      </c>
      <c r="M162" s="134" t="s">
        <v>59</v>
      </c>
      <c r="N162" s="167" t="s">
        <v>43</v>
      </c>
      <c r="O162" s="167" t="s">
        <v>538</v>
      </c>
      <c r="P162" s="65" t="s">
        <v>534</v>
      </c>
      <c r="Q162" s="135" t="s">
        <v>9</v>
      </c>
      <c r="R162" s="136" t="e">
        <f>15000/USD</f>
        <v>#REF!</v>
      </c>
      <c r="S162" s="62">
        <v>15000</v>
      </c>
      <c r="T162" s="136" t="e">
        <f>Table12129[[#This Row],[Amortised Limit in Original Currency]]/USD</f>
        <v>#REF!</v>
      </c>
      <c r="U162" s="136" t="e">
        <f>148000/USD</f>
        <v>#REF!</v>
      </c>
      <c r="V162" s="136" t="e">
        <f>1069425.9/USD</f>
        <v>#REF!</v>
      </c>
      <c r="W162" s="61" t="s">
        <v>11</v>
      </c>
      <c r="X162" s="181">
        <v>0.04</v>
      </c>
      <c r="Y162" s="137">
        <v>44851</v>
      </c>
      <c r="Z162" s="137">
        <v>46609</v>
      </c>
      <c r="AA162" s="137">
        <v>46609</v>
      </c>
      <c r="AB162" s="138">
        <f t="shared" si="24"/>
        <v>1759</v>
      </c>
      <c r="AC162" s="139" t="e">
        <f t="shared" si="25"/>
        <v>#REF!</v>
      </c>
      <c r="AD162" s="138" t="e">
        <f>AA162-#REF!</f>
        <v>#REF!</v>
      </c>
      <c r="AE162" s="140" t="e">
        <f t="shared" si="19"/>
        <v>#REF!</v>
      </c>
      <c r="AF162" s="56"/>
      <c r="AG162" s="186" t="s">
        <v>1</v>
      </c>
      <c r="AH162" s="186" t="s">
        <v>1</v>
      </c>
      <c r="AI162" s="187" t="s">
        <v>0</v>
      </c>
      <c r="AJ162" s="143" t="e">
        <f t="shared" si="20"/>
        <v>#REF!</v>
      </c>
      <c r="AK162" s="164" t="s">
        <v>271</v>
      </c>
      <c r="AL162" s="188" t="s">
        <v>907</v>
      </c>
      <c r="AO162" s="197" t="str">
        <f>Table12129[[#This Row],[Risk Location ]]</f>
        <v>United States</v>
      </c>
      <c r="AP162" s="198" t="str">
        <f>Table12129[[#This Row],[Sector (GICS Industry Group)]]</f>
        <v>Telecommunication Services</v>
      </c>
      <c r="AS162" s="212" t="e">
        <v>#REF!</v>
      </c>
      <c r="AT162" s="212" t="e">
        <v>#REF!</v>
      </c>
      <c r="AU162" s="212" t="e">
        <v>#REF!</v>
      </c>
      <c r="AV162" s="212"/>
      <c r="AW162" s="212" t="e">
        <v>#REF!</v>
      </c>
      <c r="AX162" s="212">
        <f t="shared" si="21"/>
        <v>0</v>
      </c>
      <c r="BB162" s="212">
        <v>0</v>
      </c>
      <c r="BC162" s="212"/>
      <c r="BD162" s="212"/>
      <c r="BE162" s="212"/>
      <c r="BF162" s="212"/>
      <c r="BG162" s="226"/>
      <c r="BJ162" s="138" t="s">
        <v>910</v>
      </c>
      <c r="BK162" s="112"/>
      <c r="BL162" s="58"/>
    </row>
    <row r="163" spans="1:64" ht="39.950000000000003" customHeight="1" x14ac:dyDescent="0.2">
      <c r="A163" s="132" t="s">
        <v>944</v>
      </c>
      <c r="B163" s="132" t="s">
        <v>67</v>
      </c>
      <c r="C163" s="133" t="s">
        <v>588</v>
      </c>
      <c r="D163" s="14" t="s">
        <v>34</v>
      </c>
      <c r="E163" s="145" t="s">
        <v>34</v>
      </c>
      <c r="F163" s="66" t="s">
        <v>104</v>
      </c>
      <c r="G163" s="14" t="s">
        <v>111</v>
      </c>
      <c r="H163" s="66" t="s">
        <v>112</v>
      </c>
      <c r="I163" s="133" t="s">
        <v>826</v>
      </c>
      <c r="J163" s="133" t="s">
        <v>218</v>
      </c>
      <c r="K163" s="168" t="s">
        <v>29</v>
      </c>
      <c r="L163" s="194" t="s">
        <v>191</v>
      </c>
      <c r="M163" s="134" t="s">
        <v>59</v>
      </c>
      <c r="N163" s="167" t="s">
        <v>43</v>
      </c>
      <c r="O163" s="167" t="s">
        <v>538</v>
      </c>
      <c r="P163" s="65" t="s">
        <v>534</v>
      </c>
      <c r="Q163" s="135" t="s">
        <v>8</v>
      </c>
      <c r="R163" s="136">
        <v>7450</v>
      </c>
      <c r="S163" s="62">
        <v>7361.3090000000002</v>
      </c>
      <c r="T163" s="136">
        <f>Table12129[[#This Row],[Amortised Limit in Original Currency]]</f>
        <v>7361.3090000000002</v>
      </c>
      <c r="U163" s="136">
        <v>15000</v>
      </c>
      <c r="V163" s="136">
        <v>1012635.61</v>
      </c>
      <c r="W163" s="61" t="s">
        <v>11</v>
      </c>
      <c r="X163" s="181">
        <v>0.10249999999999999</v>
      </c>
      <c r="Y163" s="137">
        <v>44859</v>
      </c>
      <c r="Z163" s="137">
        <v>45858</v>
      </c>
      <c r="AA163" s="137">
        <v>45877</v>
      </c>
      <c r="AB163" s="138">
        <f t="shared" si="24"/>
        <v>1019</v>
      </c>
      <c r="AC163" s="139" t="e">
        <f t="shared" si="25"/>
        <v>#REF!</v>
      </c>
      <c r="AD163" s="138" t="e">
        <f>AA163-#REF!</f>
        <v>#REF!</v>
      </c>
      <c r="AE163" s="140" t="e">
        <f t="shared" si="19"/>
        <v>#REF!</v>
      </c>
      <c r="AF163" s="56"/>
      <c r="AG163" s="186" t="s">
        <v>1</v>
      </c>
      <c r="AH163" s="186" t="s">
        <v>1</v>
      </c>
      <c r="AI163" s="187" t="s">
        <v>879</v>
      </c>
      <c r="AJ163" s="143" t="e">
        <f t="shared" si="20"/>
        <v>#REF!</v>
      </c>
      <c r="AK163" s="164" t="s">
        <v>563</v>
      </c>
      <c r="AL163" s="188" t="s">
        <v>913</v>
      </c>
      <c r="AO163" s="197" t="str">
        <f>Table12129[[#This Row],[Risk Location ]]</f>
        <v>Australia</v>
      </c>
      <c r="AP163" s="198" t="str">
        <f>Table12129[[#This Row],[Sector (GICS Industry Group)]]</f>
        <v>Materials</v>
      </c>
      <c r="AS163" s="212" t="e">
        <v>#REF!</v>
      </c>
      <c r="AT163" s="212" t="e">
        <v>#REF!</v>
      </c>
      <c r="AU163" s="212" t="e">
        <v>#REF!</v>
      </c>
      <c r="AV163" s="212"/>
      <c r="AW163" s="212" t="e">
        <v>#REF!</v>
      </c>
      <c r="AX163" s="212">
        <f t="shared" si="21"/>
        <v>0</v>
      </c>
      <c r="BB163" s="212">
        <v>0</v>
      </c>
      <c r="BC163" s="212"/>
      <c r="BD163" s="212"/>
      <c r="BE163" s="212"/>
      <c r="BF163" s="212"/>
      <c r="BG163" s="226"/>
      <c r="BJ163" s="138" t="s">
        <v>912</v>
      </c>
      <c r="BK163" s="112"/>
      <c r="BL163" s="58"/>
    </row>
    <row r="164" spans="1:64" ht="39.950000000000003" customHeight="1" x14ac:dyDescent="0.2">
      <c r="A164" s="132" t="s">
        <v>1072</v>
      </c>
      <c r="B164" s="132" t="s">
        <v>51</v>
      </c>
      <c r="C164" s="133" t="s">
        <v>38</v>
      </c>
      <c r="D164" s="14" t="s">
        <v>541</v>
      </c>
      <c r="E164" s="145" t="s">
        <v>37</v>
      </c>
      <c r="F164" s="66" t="s">
        <v>544</v>
      </c>
      <c r="G164" s="131" t="s">
        <v>117</v>
      </c>
      <c r="H164" s="66" t="s">
        <v>1073</v>
      </c>
      <c r="I164" s="133" t="s">
        <v>142</v>
      </c>
      <c r="J164" s="133" t="s">
        <v>218</v>
      </c>
      <c r="K164" s="168" t="s">
        <v>29</v>
      </c>
      <c r="L164" s="194" t="s">
        <v>191</v>
      </c>
      <c r="M164" s="134" t="s">
        <v>323</v>
      </c>
      <c r="N164" s="167" t="s">
        <v>43</v>
      </c>
      <c r="O164" s="132" t="s">
        <v>533</v>
      </c>
      <c r="P164" s="167" t="s">
        <v>534</v>
      </c>
      <c r="Q164" s="135" t="s">
        <v>9</v>
      </c>
      <c r="R164" s="136" t="e">
        <f>7500/USD</f>
        <v>#REF!</v>
      </c>
      <c r="S164" s="73">
        <v>7500</v>
      </c>
      <c r="T164" s="136" t="e">
        <f>Table12129[[#This Row],[Amortised Limit in Original Currency]]/USD</f>
        <v>#REF!</v>
      </c>
      <c r="U164" s="136" t="e">
        <f>15000/USD</f>
        <v>#REF!</v>
      </c>
      <c r="V164" s="136" t="e">
        <f>280292.44/USD</f>
        <v>#REF!</v>
      </c>
      <c r="W164" s="61" t="s">
        <v>11</v>
      </c>
      <c r="X164" s="185">
        <v>5.3499999999999999E-2</v>
      </c>
      <c r="Y164" s="137">
        <v>44866</v>
      </c>
      <c r="Z164" s="137">
        <v>45526</v>
      </c>
      <c r="AA164" s="137">
        <v>45560</v>
      </c>
      <c r="AB164" s="138">
        <f t="shared" si="24"/>
        <v>695</v>
      </c>
      <c r="AC164" s="139" t="e">
        <f t="shared" si="25"/>
        <v>#REF!</v>
      </c>
      <c r="AD164" s="138" t="e">
        <f>AA164-#REF!</f>
        <v>#REF!</v>
      </c>
      <c r="AE164" s="140" t="e">
        <f t="shared" si="19"/>
        <v>#REF!</v>
      </c>
      <c r="AF164" s="56"/>
      <c r="AG164" s="186" t="s">
        <v>1</v>
      </c>
      <c r="AH164" s="186" t="s">
        <v>1</v>
      </c>
      <c r="AI164" s="187" t="s">
        <v>1075</v>
      </c>
      <c r="AJ164" s="143" t="e">
        <f t="shared" si="20"/>
        <v>#REF!</v>
      </c>
      <c r="AK164" s="164" t="s">
        <v>563</v>
      </c>
      <c r="AL164" s="188" t="s">
        <v>1074</v>
      </c>
      <c r="AM164" s="260"/>
      <c r="AN164" s="260"/>
      <c r="AO164" s="197" t="str">
        <f>Table12129[[#This Row],[Risk Location ]]</f>
        <v>Hong Kong</v>
      </c>
      <c r="AP164" s="198" t="str">
        <f>Table12129[[#This Row],[Sector (GICS Industry Group)]]</f>
        <v>Consumer Discretionary</v>
      </c>
      <c r="AQ164" s="260"/>
      <c r="AR164" s="260"/>
      <c r="AS164" s="212" t="e">
        <v>#REF!</v>
      </c>
      <c r="AT164" s="212" t="e">
        <v>#REF!</v>
      </c>
      <c r="AU164" s="212" t="e">
        <v>#REF!</v>
      </c>
      <c r="AV164" s="261"/>
      <c r="AW164" s="212" t="e">
        <v>#REF!</v>
      </c>
      <c r="AX164" s="212">
        <f t="shared" si="21"/>
        <v>0</v>
      </c>
      <c r="AY164" s="260"/>
      <c r="BB164" s="212">
        <v>0</v>
      </c>
      <c r="BC164" s="212"/>
      <c r="BD164" s="212"/>
      <c r="BE164" s="212"/>
      <c r="BF164" s="212"/>
      <c r="BG164" s="226"/>
      <c r="BJ164" s="138" t="s">
        <v>1069</v>
      </c>
      <c r="BK164" s="112"/>
      <c r="BL164" s="58"/>
    </row>
    <row r="165" spans="1:64" ht="39.950000000000003" customHeight="1" x14ac:dyDescent="0.2">
      <c r="A165" s="132" t="s">
        <v>1076</v>
      </c>
      <c r="B165" s="132" t="s">
        <v>24</v>
      </c>
      <c r="C165" s="133" t="s">
        <v>38</v>
      </c>
      <c r="D165" s="14" t="s">
        <v>34</v>
      </c>
      <c r="E165" s="145" t="s">
        <v>34</v>
      </c>
      <c r="F165" s="131" t="s">
        <v>475</v>
      </c>
      <c r="G165" s="131" t="s">
        <v>138</v>
      </c>
      <c r="H165" s="66" t="s">
        <v>138</v>
      </c>
      <c r="I165" s="133" t="s">
        <v>1088</v>
      </c>
      <c r="J165" s="14" t="s">
        <v>687</v>
      </c>
      <c r="K165" s="168" t="s">
        <v>209</v>
      </c>
      <c r="L165" s="194" t="s">
        <v>191</v>
      </c>
      <c r="M165" s="134" t="s">
        <v>323</v>
      </c>
      <c r="N165" s="167" t="s">
        <v>43</v>
      </c>
      <c r="O165" s="167" t="s">
        <v>531</v>
      </c>
      <c r="P165" s="167" t="s">
        <v>534</v>
      </c>
      <c r="Q165" s="135" t="s">
        <v>8</v>
      </c>
      <c r="R165" s="136">
        <v>15000</v>
      </c>
      <c r="S165" s="73">
        <v>15000</v>
      </c>
      <c r="T165" s="136">
        <f>Table12129[[#This Row],[Amortised Limit in Original Currency]]</f>
        <v>15000</v>
      </c>
      <c r="U165" s="136">
        <v>30000</v>
      </c>
      <c r="V165" s="136">
        <v>2935550.58</v>
      </c>
      <c r="W165" s="61" t="s">
        <v>11</v>
      </c>
      <c r="X165" s="185">
        <v>6.5000000000000002E-2</v>
      </c>
      <c r="Y165" s="137">
        <v>44876</v>
      </c>
      <c r="Z165" s="137">
        <v>47054</v>
      </c>
      <c r="AA165" s="137">
        <v>47085</v>
      </c>
      <c r="AB165" s="138">
        <f t="shared" si="24"/>
        <v>2210</v>
      </c>
      <c r="AC165" s="139" t="e">
        <f t="shared" si="25"/>
        <v>#REF!</v>
      </c>
      <c r="AD165" s="138" t="e">
        <f>AA165-#REF!</f>
        <v>#REF!</v>
      </c>
      <c r="AE165" s="140" t="e">
        <f t="shared" si="19"/>
        <v>#REF!</v>
      </c>
      <c r="AF165" s="56"/>
      <c r="AG165" s="186" t="s">
        <v>1</v>
      </c>
      <c r="AH165" s="186" t="s">
        <v>1</v>
      </c>
      <c r="AI165" s="187" t="s">
        <v>0</v>
      </c>
      <c r="AJ165" s="143" t="e">
        <f t="shared" si="20"/>
        <v>#REF!</v>
      </c>
      <c r="AK165" s="164" t="s">
        <v>271</v>
      </c>
      <c r="AL165" s="188" t="s">
        <v>1077</v>
      </c>
      <c r="AM165" s="260"/>
      <c r="AN165" s="260"/>
      <c r="AO165" s="197" t="str">
        <f>Table12129[[#This Row],[Risk Location ]]</f>
        <v>Australia</v>
      </c>
      <c r="AP165" s="198" t="str">
        <f>Table12129[[#This Row],[Sector (GICS Industry Group)]]</f>
        <v>Health Care</v>
      </c>
      <c r="AQ165" s="260"/>
      <c r="AR165" s="260"/>
      <c r="AS165" s="212" t="e">
        <v>#REF!</v>
      </c>
      <c r="AT165" s="212" t="e">
        <v>#REF!</v>
      </c>
      <c r="AU165" s="212" t="e">
        <v>#REF!</v>
      </c>
      <c r="AV165" s="261"/>
      <c r="AW165" s="212" t="e">
        <v>#REF!</v>
      </c>
      <c r="AX165" s="212">
        <f t="shared" si="21"/>
        <v>0</v>
      </c>
      <c r="AY165" s="260"/>
      <c r="BB165" s="212">
        <v>0</v>
      </c>
      <c r="BC165" s="212"/>
      <c r="BD165" s="212"/>
      <c r="BE165" s="212"/>
      <c r="BF165" s="212"/>
      <c r="BG165" s="226"/>
      <c r="BJ165" s="138" t="s">
        <v>1070</v>
      </c>
      <c r="BK165" s="112"/>
      <c r="BL165" s="58"/>
    </row>
    <row r="166" spans="1:64" ht="39.950000000000003" customHeight="1" x14ac:dyDescent="0.2">
      <c r="A166" s="132" t="s">
        <v>1078</v>
      </c>
      <c r="B166" s="132" t="s">
        <v>23</v>
      </c>
      <c r="C166" s="133" t="s">
        <v>588</v>
      </c>
      <c r="D166" s="14" t="s">
        <v>499</v>
      </c>
      <c r="E166" s="145" t="s">
        <v>162</v>
      </c>
      <c r="F166" s="131" t="s">
        <v>891</v>
      </c>
      <c r="G166" s="131" t="s">
        <v>167</v>
      </c>
      <c r="H166" s="131" t="s">
        <v>167</v>
      </c>
      <c r="I166" s="133" t="s">
        <v>1080</v>
      </c>
      <c r="J166" s="133" t="s">
        <v>33</v>
      </c>
      <c r="K166" s="168" t="s">
        <v>209</v>
      </c>
      <c r="L166" s="194" t="s">
        <v>191</v>
      </c>
      <c r="M166" s="134" t="s">
        <v>59</v>
      </c>
      <c r="N166" s="167" t="s">
        <v>43</v>
      </c>
      <c r="O166" s="167" t="s">
        <v>531</v>
      </c>
      <c r="P166" s="167" t="s">
        <v>534</v>
      </c>
      <c r="Q166" s="135" t="s">
        <v>9</v>
      </c>
      <c r="R166" s="136" t="e">
        <f>15000/USD</f>
        <v>#REF!</v>
      </c>
      <c r="S166" s="73">
        <v>15000</v>
      </c>
      <c r="T166" s="136" t="e">
        <f>Table12129[[#This Row],[Amortised Limit in Original Currency]]/USD</f>
        <v>#REF!</v>
      </c>
      <c r="U166" s="136" t="e">
        <f>138999.1364/USD</f>
        <v>#REF!</v>
      </c>
      <c r="V166" s="136" t="e">
        <f>235172.77/USD</f>
        <v>#REF!</v>
      </c>
      <c r="W166" s="61" t="s">
        <v>11</v>
      </c>
      <c r="X166" s="185">
        <v>2.5000000000000001E-2</v>
      </c>
      <c r="Y166" s="137">
        <v>44882</v>
      </c>
      <c r="Z166" s="137">
        <v>45397</v>
      </c>
      <c r="AA166" s="137">
        <v>45427</v>
      </c>
      <c r="AB166" s="138">
        <f t="shared" si="24"/>
        <v>546</v>
      </c>
      <c r="AC166" s="139" t="e">
        <f t="shared" si="25"/>
        <v>#REF!</v>
      </c>
      <c r="AD166" s="138" t="e">
        <f>AA166-#REF!</f>
        <v>#REF!</v>
      </c>
      <c r="AE166" s="140" t="e">
        <f t="shared" si="19"/>
        <v>#REF!</v>
      </c>
      <c r="AF166" s="56"/>
      <c r="AG166" s="186" t="s">
        <v>1</v>
      </c>
      <c r="AH166" s="186" t="s">
        <v>1</v>
      </c>
      <c r="AI166" s="187" t="s">
        <v>0</v>
      </c>
      <c r="AJ166" s="143" t="e">
        <f t="shared" si="20"/>
        <v>#REF!</v>
      </c>
      <c r="AK166" s="164" t="s">
        <v>563</v>
      </c>
      <c r="AL166" s="188" t="s">
        <v>1081</v>
      </c>
      <c r="AM166" s="260"/>
      <c r="AN166" s="260"/>
      <c r="AO166" s="197" t="str">
        <f>Table12129[[#This Row],[Risk Location ]]</f>
        <v>United States</v>
      </c>
      <c r="AP166" s="198" t="str">
        <f>Table12129[[#This Row],[Sector (GICS Industry Group)]]</f>
        <v>Information Technology - Hardware &amp; Equipment</v>
      </c>
      <c r="AQ166" s="260"/>
      <c r="AR166" s="260"/>
      <c r="AS166" s="212" t="e">
        <v>#REF!</v>
      </c>
      <c r="AT166" s="212" t="e">
        <v>#REF!</v>
      </c>
      <c r="AU166" s="212" t="e">
        <v>#REF!</v>
      </c>
      <c r="AV166" s="261"/>
      <c r="AW166" s="212" t="e">
        <v>#REF!</v>
      </c>
      <c r="AX166" s="212">
        <f t="shared" si="21"/>
        <v>0</v>
      </c>
      <c r="AY166" s="260"/>
      <c r="BB166" s="212">
        <v>0</v>
      </c>
      <c r="BC166" s="212"/>
      <c r="BD166" s="212"/>
      <c r="BE166" s="212"/>
      <c r="BF166" s="212"/>
      <c r="BG166" s="226"/>
      <c r="BJ166" s="138" t="s">
        <v>1071</v>
      </c>
      <c r="BK166" s="112"/>
      <c r="BL166" s="58"/>
    </row>
    <row r="167" spans="1:64" ht="39" customHeight="1" x14ac:dyDescent="0.2">
      <c r="A167" s="132" t="s">
        <v>1083</v>
      </c>
      <c r="B167" s="132" t="s">
        <v>51</v>
      </c>
      <c r="C167" s="133" t="s">
        <v>38</v>
      </c>
      <c r="D167" s="131" t="s">
        <v>541</v>
      </c>
      <c r="E167" s="145" t="s">
        <v>38</v>
      </c>
      <c r="F167" s="131" t="s">
        <v>547</v>
      </c>
      <c r="G167" s="131" t="s">
        <v>124</v>
      </c>
      <c r="H167" s="130" t="s">
        <v>123</v>
      </c>
      <c r="I167" s="133" t="s">
        <v>50</v>
      </c>
      <c r="J167" s="192" t="s">
        <v>21</v>
      </c>
      <c r="K167" s="168" t="s">
        <v>29</v>
      </c>
      <c r="L167" s="194" t="s">
        <v>191</v>
      </c>
      <c r="M167" s="134" t="s">
        <v>323</v>
      </c>
      <c r="N167" s="167" t="s">
        <v>43</v>
      </c>
      <c r="O167" s="132" t="s">
        <v>533</v>
      </c>
      <c r="P167" s="269" t="s">
        <v>548</v>
      </c>
      <c r="Q167" s="135" t="s">
        <v>9</v>
      </c>
      <c r="R167" s="136" t="e">
        <f>15000/USD</f>
        <v>#REF!</v>
      </c>
      <c r="S167" s="73">
        <v>15000</v>
      </c>
      <c r="T167" s="136" t="e">
        <f>Table12129[[#This Row],[Amortised Limit in Original Currency]]/USD</f>
        <v>#REF!</v>
      </c>
      <c r="U167" s="136" t="e">
        <f>200000/USD</f>
        <v>#REF!</v>
      </c>
      <c r="V167" s="136" t="e">
        <f>247458.33/USD</f>
        <v>#REF!</v>
      </c>
      <c r="W167" s="61" t="s">
        <v>11</v>
      </c>
      <c r="X167" s="185">
        <v>0.01</v>
      </c>
      <c r="Y167" s="137">
        <v>44889</v>
      </c>
      <c r="Z167" s="137">
        <v>45892</v>
      </c>
      <c r="AA167" s="137">
        <v>45925</v>
      </c>
      <c r="AB167" s="138">
        <f t="shared" si="24"/>
        <v>1037</v>
      </c>
      <c r="AC167" s="139" t="e">
        <f t="shared" si="25"/>
        <v>#REF!</v>
      </c>
      <c r="AD167" s="138" t="e">
        <f>AA167-#REF!</f>
        <v>#REF!</v>
      </c>
      <c r="AE167" s="140" t="e">
        <f t="shared" si="19"/>
        <v>#REF!</v>
      </c>
      <c r="AF167" s="56"/>
      <c r="AG167" s="186" t="s">
        <v>1</v>
      </c>
      <c r="AH167" s="186" t="s">
        <v>1</v>
      </c>
      <c r="AI167" s="187" t="s">
        <v>0</v>
      </c>
      <c r="AJ167" s="143" t="e">
        <f>+IF(AA167-60&lt;$A$1, "SEND NOTICE", "N/A")</f>
        <v>#REF!</v>
      </c>
      <c r="AK167" s="164" t="s">
        <v>271</v>
      </c>
      <c r="AL167" s="188" t="s">
        <v>1084</v>
      </c>
      <c r="AM167" s="260"/>
      <c r="AN167" s="260"/>
      <c r="AO167" s="197" t="str">
        <f>Table12129[[#This Row],[Risk Location ]]</f>
        <v>Singapore</v>
      </c>
      <c r="AP167" s="198" t="str">
        <f>Table12129[[#This Row],[Sector (GICS Industry Group)]]</f>
        <v>Consumer Staples</v>
      </c>
      <c r="AQ167" s="260"/>
      <c r="AR167" s="260"/>
      <c r="AS167" s="212" t="e">
        <v>#REF!</v>
      </c>
      <c r="AT167" s="212" t="e">
        <v>#REF!</v>
      </c>
      <c r="AU167" s="212" t="e">
        <v>#REF!</v>
      </c>
      <c r="AV167" s="261"/>
      <c r="AW167" s="212" t="e">
        <v>#REF!</v>
      </c>
      <c r="AX167" s="212">
        <f t="shared" si="21"/>
        <v>0</v>
      </c>
      <c r="AY167" s="260"/>
      <c r="BB167" s="212">
        <v>0</v>
      </c>
      <c r="BC167" s="212"/>
      <c r="BD167" s="212"/>
      <c r="BE167" s="212"/>
      <c r="BF167" s="212"/>
      <c r="BG167" s="226"/>
      <c r="BJ167" s="138" t="s">
        <v>1089</v>
      </c>
      <c r="BK167" s="112"/>
      <c r="BL167" s="58"/>
    </row>
    <row r="168" spans="1:64" ht="29.25" customHeight="1" x14ac:dyDescent="0.2">
      <c r="A168" s="132" t="s">
        <v>1082</v>
      </c>
      <c r="B168" s="132" t="s">
        <v>67</v>
      </c>
      <c r="C168" s="133" t="s">
        <v>38</v>
      </c>
      <c r="D168" s="131" t="s">
        <v>34</v>
      </c>
      <c r="E168" s="145" t="s">
        <v>295</v>
      </c>
      <c r="F168" s="131" t="s">
        <v>891</v>
      </c>
      <c r="G168" s="131" t="s">
        <v>167</v>
      </c>
      <c r="H168" s="130" t="s">
        <v>167</v>
      </c>
      <c r="I168" s="133" t="s">
        <v>706</v>
      </c>
      <c r="J168" s="133" t="s">
        <v>220</v>
      </c>
      <c r="K168" s="168" t="s">
        <v>209</v>
      </c>
      <c r="L168" s="194" t="s">
        <v>191</v>
      </c>
      <c r="M168" s="134" t="s">
        <v>323</v>
      </c>
      <c r="N168" s="167" t="s">
        <v>43</v>
      </c>
      <c r="O168" s="167" t="s">
        <v>538</v>
      </c>
      <c r="P168" s="167" t="s">
        <v>534</v>
      </c>
      <c r="Q168" s="135" t="s">
        <v>297</v>
      </c>
      <c r="R168" s="136" t="e">
        <f>30000/NZD</f>
        <v>#REF!</v>
      </c>
      <c r="S168" s="62">
        <v>30000</v>
      </c>
      <c r="T168" s="136" t="e">
        <f>Table12129[[#This Row],[Amortised Limit in Original Currency]]/NZD</f>
        <v>#REF!</v>
      </c>
      <c r="U168" s="136" t="e">
        <f>140200/NZD</f>
        <v>#REF!</v>
      </c>
      <c r="V168" s="136" t="e">
        <f>1330385.09/NZD</f>
        <v>#REF!</v>
      </c>
      <c r="W168" s="61" t="s">
        <v>11</v>
      </c>
      <c r="X168" s="185">
        <v>1.7000000000000001E-2</v>
      </c>
      <c r="Y168" s="137">
        <v>44866</v>
      </c>
      <c r="Z168" s="137">
        <v>46687</v>
      </c>
      <c r="AA168" s="137">
        <v>46722</v>
      </c>
      <c r="AB168" s="138">
        <f t="shared" si="24"/>
        <v>1857</v>
      </c>
      <c r="AC168" s="139" t="e">
        <f t="shared" si="25"/>
        <v>#REF!</v>
      </c>
      <c r="AD168" s="138" t="e">
        <f>AA168-#REF!</f>
        <v>#REF!</v>
      </c>
      <c r="AE168" s="140" t="e">
        <f t="shared" si="19"/>
        <v>#REF!</v>
      </c>
      <c r="AF168" s="56" t="s">
        <v>436</v>
      </c>
      <c r="AG168" s="186" t="s">
        <v>1</v>
      </c>
      <c r="AH168" s="186" t="s">
        <v>1</v>
      </c>
      <c r="AI168" s="187" t="s">
        <v>0</v>
      </c>
      <c r="AJ168" s="143" t="e">
        <f t="shared" si="20"/>
        <v>#REF!</v>
      </c>
      <c r="AK168" s="164" t="s">
        <v>271</v>
      </c>
      <c r="AL168" s="188" t="s">
        <v>1079</v>
      </c>
      <c r="AM168" s="260"/>
      <c r="AN168" s="260"/>
      <c r="AO168" s="197" t="str">
        <f>Table12129[[#This Row],[Risk Location ]]</f>
        <v>New Zealand</v>
      </c>
      <c r="AP168" s="198" t="str">
        <f>Table12129[[#This Row],[Sector (GICS Industry Group)]]</f>
        <v>Information Technology - Hardware &amp; Equipment</v>
      </c>
      <c r="AQ168" s="260"/>
      <c r="AR168" s="260"/>
      <c r="AS168" s="212" t="e">
        <v>#REF!</v>
      </c>
      <c r="AT168" s="212" t="e">
        <v>#REF!</v>
      </c>
      <c r="AU168" s="212" t="e">
        <v>#REF!</v>
      </c>
      <c r="AV168" s="261"/>
      <c r="AW168" s="212" t="e">
        <v>#REF!</v>
      </c>
      <c r="AX168" s="212">
        <f t="shared" si="21"/>
        <v>0</v>
      </c>
      <c r="AY168" s="260"/>
      <c r="BB168" s="11">
        <v>0</v>
      </c>
      <c r="BJ168" s="138" t="s">
        <v>1085</v>
      </c>
      <c r="BL168" s="58"/>
    </row>
    <row r="169" spans="1:64" ht="34.5" customHeight="1" x14ac:dyDescent="0.2">
      <c r="A169" s="132" t="s">
        <v>1086</v>
      </c>
      <c r="B169" s="132" t="s">
        <v>23</v>
      </c>
      <c r="C169" s="133" t="s">
        <v>38</v>
      </c>
      <c r="D169" s="131" t="s">
        <v>540</v>
      </c>
      <c r="E169" s="145" t="s">
        <v>35</v>
      </c>
      <c r="F169" s="131" t="s">
        <v>92</v>
      </c>
      <c r="G169" s="131" t="s">
        <v>108</v>
      </c>
      <c r="H169" s="130" t="s">
        <v>452</v>
      </c>
      <c r="I169" s="133" t="s">
        <v>32</v>
      </c>
      <c r="J169" s="133" t="s">
        <v>33</v>
      </c>
      <c r="K169" s="168" t="s">
        <v>29</v>
      </c>
      <c r="L169" s="194" t="s">
        <v>191</v>
      </c>
      <c r="M169" s="134" t="s">
        <v>323</v>
      </c>
      <c r="N169" s="167" t="s">
        <v>43</v>
      </c>
      <c r="O169" s="167" t="s">
        <v>538</v>
      </c>
      <c r="P169" s="167" t="s">
        <v>534</v>
      </c>
      <c r="Q169" s="135" t="s">
        <v>9</v>
      </c>
      <c r="R169" s="136" t="e">
        <f>10000/USD</f>
        <v>#REF!</v>
      </c>
      <c r="S169" s="73">
        <v>10000</v>
      </c>
      <c r="T169" s="136" t="e">
        <f>Table12129[[#This Row],[Amortised Limit in Original Currency]]/USD</f>
        <v>#REF!</v>
      </c>
      <c r="U169" s="136" t="e">
        <f>100000/USD</f>
        <v>#REF!</v>
      </c>
      <c r="V169" s="136" t="e">
        <f>1207595.15/USD</f>
        <v>#REF!</v>
      </c>
      <c r="W169" s="61" t="s">
        <v>11</v>
      </c>
      <c r="X169" s="185">
        <v>2.5000000000000001E-2</v>
      </c>
      <c r="Y169" s="137">
        <v>44895</v>
      </c>
      <c r="Z169" s="137">
        <v>47328</v>
      </c>
      <c r="AA169" s="137">
        <v>47328</v>
      </c>
      <c r="AB169" s="138">
        <f t="shared" si="24"/>
        <v>2434</v>
      </c>
      <c r="AC169" s="139" t="e">
        <f t="shared" si="25"/>
        <v>#REF!</v>
      </c>
      <c r="AD169" s="138" t="e">
        <f>AA169-#REF!</f>
        <v>#REF!</v>
      </c>
      <c r="AE169" s="140" t="e">
        <f t="shared" si="19"/>
        <v>#REF!</v>
      </c>
      <c r="AF169" s="56"/>
      <c r="AG169" s="186" t="s">
        <v>1</v>
      </c>
      <c r="AH169" s="186" t="s">
        <v>1</v>
      </c>
      <c r="AI169" s="187" t="s">
        <v>0</v>
      </c>
      <c r="AJ169" s="143" t="e">
        <f t="shared" si="20"/>
        <v>#REF!</v>
      </c>
      <c r="AK169" s="164" t="s">
        <v>563</v>
      </c>
      <c r="AL169" s="188" t="s">
        <v>1087</v>
      </c>
      <c r="AM169" s="260"/>
      <c r="AN169" s="260"/>
      <c r="AO169" s="197" t="str">
        <f>Table12129[[#This Row],[Risk Location ]]</f>
        <v>India</v>
      </c>
      <c r="AP169" s="198" t="str">
        <f>Table12129[[#This Row],[Sector (GICS Industry Group)]]</f>
        <v>Transportation</v>
      </c>
      <c r="AQ169" s="260"/>
      <c r="AR169" s="260"/>
      <c r="AS169" s="212" t="e">
        <v>#REF!</v>
      </c>
      <c r="AT169" s="212" t="e">
        <v>#REF!</v>
      </c>
      <c r="AU169" s="212" t="e">
        <v>#REF!</v>
      </c>
      <c r="AV169" s="261"/>
      <c r="AW169" s="212" t="e">
        <v>#REF!</v>
      </c>
      <c r="AX169" s="212">
        <f t="shared" si="21"/>
        <v>0</v>
      </c>
      <c r="AY169" s="260"/>
      <c r="BB169" s="11">
        <v>0</v>
      </c>
      <c r="BJ169" s="138" t="s">
        <v>1126</v>
      </c>
      <c r="BL169" s="58"/>
    </row>
    <row r="170" spans="1:64" ht="35.25" customHeight="1" x14ac:dyDescent="0.2">
      <c r="A170" s="132" t="s">
        <v>1091</v>
      </c>
      <c r="B170" s="132" t="s">
        <v>51</v>
      </c>
      <c r="C170" s="133" t="s">
        <v>37</v>
      </c>
      <c r="D170" s="131" t="s">
        <v>34</v>
      </c>
      <c r="E170" s="145" t="s">
        <v>34</v>
      </c>
      <c r="F170" s="131" t="s">
        <v>102</v>
      </c>
      <c r="G170" s="131" t="s">
        <v>102</v>
      </c>
      <c r="H170" s="130" t="s">
        <v>473</v>
      </c>
      <c r="I170" s="66" t="s">
        <v>55</v>
      </c>
      <c r="J170" s="131" t="s">
        <v>218</v>
      </c>
      <c r="K170" s="300" t="s">
        <v>101</v>
      </c>
      <c r="L170" s="194" t="s">
        <v>191</v>
      </c>
      <c r="M170" s="134" t="s">
        <v>323</v>
      </c>
      <c r="N170" s="167" t="s">
        <v>43</v>
      </c>
      <c r="O170" s="167" t="s">
        <v>538</v>
      </c>
      <c r="P170" s="167" t="s">
        <v>534</v>
      </c>
      <c r="Q170" s="135" t="s">
        <v>8</v>
      </c>
      <c r="R170" s="136">
        <v>30000</v>
      </c>
      <c r="S170" s="73">
        <v>30000</v>
      </c>
      <c r="T170" s="136">
        <f>Table12129[[#This Row],[Amortised Limit in Original Currency]]</f>
        <v>30000</v>
      </c>
      <c r="U170" s="136">
        <v>60000</v>
      </c>
      <c r="V170" s="136">
        <v>743691.68</v>
      </c>
      <c r="W170" s="61" t="s">
        <v>11</v>
      </c>
      <c r="X170" s="185">
        <v>2.2499999999999999E-2</v>
      </c>
      <c r="Y170" s="137">
        <v>44909</v>
      </c>
      <c r="Z170" s="137">
        <v>45576</v>
      </c>
      <c r="AA170" s="137">
        <v>45609</v>
      </c>
      <c r="AB170" s="138">
        <f t="shared" si="24"/>
        <v>701</v>
      </c>
      <c r="AC170" s="139" t="e">
        <f t="shared" si="25"/>
        <v>#REF!</v>
      </c>
      <c r="AD170" s="138" t="e">
        <f>AA170-#REF!</f>
        <v>#REF!</v>
      </c>
      <c r="AE170" s="140" t="e">
        <f t="shared" si="19"/>
        <v>#REF!</v>
      </c>
      <c r="AF170" s="56" t="s">
        <v>436</v>
      </c>
      <c r="AG170" s="186" t="s">
        <v>1</v>
      </c>
      <c r="AH170" s="186" t="s">
        <v>1</v>
      </c>
      <c r="AI170" s="187" t="s">
        <v>0</v>
      </c>
      <c r="AJ170" s="143" t="e">
        <f t="shared" si="20"/>
        <v>#REF!</v>
      </c>
      <c r="AK170" s="164" t="s">
        <v>271</v>
      </c>
      <c r="AL170" s="188" t="s">
        <v>1092</v>
      </c>
      <c r="AM170" s="260"/>
      <c r="AN170" s="260"/>
      <c r="AO170" s="197" t="str">
        <f>Table12129[[#This Row],[Risk Location ]]</f>
        <v>Australia</v>
      </c>
      <c r="AP170" s="198" t="str">
        <f>Table12129[[#This Row],[Sector (GICS Industry Group)]]</f>
        <v>Real Estate Investment</v>
      </c>
      <c r="AQ170" s="260"/>
      <c r="AR170" s="260"/>
      <c r="AS170" s="212" t="e">
        <v>#REF!</v>
      </c>
      <c r="AT170" s="212" t="e">
        <v>#REF!</v>
      </c>
      <c r="AU170" s="212" t="e">
        <v>#REF!</v>
      </c>
      <c r="AV170" s="261"/>
      <c r="AW170" s="212" t="e">
        <v>#REF!</v>
      </c>
      <c r="AX170" s="212">
        <f t="shared" si="21"/>
        <v>0</v>
      </c>
      <c r="AY170" s="260"/>
      <c r="BB170" s="11">
        <v>0</v>
      </c>
      <c r="BJ170" s="138" t="s">
        <v>1093</v>
      </c>
      <c r="BL170" s="58"/>
    </row>
    <row r="171" spans="1:64" ht="34.5" customHeight="1" x14ac:dyDescent="0.2">
      <c r="A171" s="132" t="s">
        <v>1094</v>
      </c>
      <c r="B171" s="132" t="s">
        <v>24</v>
      </c>
      <c r="C171" s="133" t="s">
        <v>560</v>
      </c>
      <c r="D171" s="131" t="s">
        <v>499</v>
      </c>
      <c r="E171" s="145" t="s">
        <v>162</v>
      </c>
      <c r="F171" s="131" t="s">
        <v>544</v>
      </c>
      <c r="G171" s="131" t="s">
        <v>117</v>
      </c>
      <c r="H171" s="130" t="s">
        <v>118</v>
      </c>
      <c r="I171" s="145" t="s">
        <v>1095</v>
      </c>
      <c r="J171" s="131" t="s">
        <v>687</v>
      </c>
      <c r="K171" s="301" t="s">
        <v>209</v>
      </c>
      <c r="L171" s="167" t="s">
        <v>191</v>
      </c>
      <c r="M171" s="134" t="s">
        <v>59</v>
      </c>
      <c r="N171" s="167" t="s">
        <v>43</v>
      </c>
      <c r="O171" s="167" t="s">
        <v>538</v>
      </c>
      <c r="P171" s="167" t="s">
        <v>534</v>
      </c>
      <c r="Q171" s="135" t="s">
        <v>9</v>
      </c>
      <c r="R171" s="136" t="e">
        <f>20000/USD</f>
        <v>#REF!</v>
      </c>
      <c r="S171" s="73">
        <v>20000</v>
      </c>
      <c r="T171" s="136" t="e">
        <f>Table12129[[#This Row],[Amortised Limit in Original Currency]]/USD</f>
        <v>#REF!</v>
      </c>
      <c r="U171" s="136">
        <v>199812</v>
      </c>
      <c r="V171" s="136" t="e">
        <f>2908304.53/USD</f>
        <v>#REF!</v>
      </c>
      <c r="W171" s="61" t="s">
        <v>11</v>
      </c>
      <c r="X171" s="185">
        <v>4.7500000000000001E-2</v>
      </c>
      <c r="Y171" s="137">
        <v>44914</v>
      </c>
      <c r="Z171" s="137">
        <v>47037</v>
      </c>
      <c r="AA171" s="137">
        <v>47068</v>
      </c>
      <c r="AB171" s="138">
        <f t="shared" si="24"/>
        <v>2155</v>
      </c>
      <c r="AC171" s="139" t="e">
        <f t="shared" si="25"/>
        <v>#REF!</v>
      </c>
      <c r="AD171" s="138" t="e">
        <f>AA171-#REF!</f>
        <v>#REF!</v>
      </c>
      <c r="AE171" s="140" t="e">
        <f t="shared" si="19"/>
        <v>#REF!</v>
      </c>
      <c r="AF171" s="56" t="s">
        <v>436</v>
      </c>
      <c r="AG171" s="186" t="s">
        <v>1</v>
      </c>
      <c r="AH171" s="186" t="s">
        <v>1</v>
      </c>
      <c r="AI171" s="187" t="s">
        <v>0</v>
      </c>
      <c r="AJ171" s="143" t="e">
        <f t="shared" si="20"/>
        <v>#REF!</v>
      </c>
      <c r="AK171" s="164" t="s">
        <v>271</v>
      </c>
      <c r="AL171" s="188" t="s">
        <v>1097</v>
      </c>
      <c r="AM171" s="260"/>
      <c r="AN171" s="260"/>
      <c r="AO171" s="197" t="str">
        <f>Table12129[[#This Row],[Risk Location ]]</f>
        <v>United States</v>
      </c>
      <c r="AP171" s="198" t="str">
        <f>Table12129[[#This Row],[Sector (GICS Industry Group)]]</f>
        <v>Consumer Discretionary</v>
      </c>
      <c r="AQ171" s="260"/>
      <c r="AR171" s="260"/>
      <c r="AS171" s="212" t="e">
        <v>#REF!</v>
      </c>
      <c r="AT171" s="212" t="e">
        <v>#REF!</v>
      </c>
      <c r="AU171" s="212" t="e">
        <v>#REF!</v>
      </c>
      <c r="AV171" s="261"/>
      <c r="AW171" s="212" t="e">
        <v>#REF!</v>
      </c>
      <c r="AX171" s="212">
        <f t="shared" si="21"/>
        <v>0</v>
      </c>
      <c r="AY171" s="260"/>
      <c r="BB171" s="11">
        <v>0</v>
      </c>
      <c r="BJ171" s="138" t="s">
        <v>1096</v>
      </c>
      <c r="BL171" s="58"/>
    </row>
    <row r="172" spans="1:64" s="229" customFormat="1" ht="34.5" customHeight="1" x14ac:dyDescent="0.2">
      <c r="A172" s="132" t="s">
        <v>1098</v>
      </c>
      <c r="B172" s="132" t="s">
        <v>51</v>
      </c>
      <c r="C172" s="133" t="s">
        <v>588</v>
      </c>
      <c r="D172" s="131" t="s">
        <v>542</v>
      </c>
      <c r="E172" s="145" t="s">
        <v>87</v>
      </c>
      <c r="F172" s="131" t="s">
        <v>547</v>
      </c>
      <c r="G172" s="131" t="s">
        <v>265</v>
      </c>
      <c r="H172" s="130" t="s">
        <v>457</v>
      </c>
      <c r="I172" s="133" t="s">
        <v>705</v>
      </c>
      <c r="J172" s="131" t="s">
        <v>220</v>
      </c>
      <c r="K172" s="301" t="s">
        <v>209</v>
      </c>
      <c r="L172" s="167" t="s">
        <v>191</v>
      </c>
      <c r="M172" s="134" t="s">
        <v>59</v>
      </c>
      <c r="N172" s="167" t="s">
        <v>43</v>
      </c>
      <c r="O172" s="167" t="s">
        <v>538</v>
      </c>
      <c r="P172" s="167" t="s">
        <v>534</v>
      </c>
      <c r="Q172" s="135" t="s">
        <v>1119</v>
      </c>
      <c r="R172" s="136" t="e">
        <f>2000/EUR+8500/GBP</f>
        <v>#REF!</v>
      </c>
      <c r="S172" s="73">
        <f>8500+2000</f>
        <v>10500</v>
      </c>
      <c r="T172" s="136" t="e">
        <f>8500/EUR+2000/GBP</f>
        <v>#REF!</v>
      </c>
      <c r="U172" s="136" t="e">
        <f>23214.51/EUR + 10300.85/GBP</f>
        <v>#REF!</v>
      </c>
      <c r="V172" s="136" t="e">
        <f>1252506.5/EUR+342295.89/GBP</f>
        <v>#REF!</v>
      </c>
      <c r="W172" s="147" t="s">
        <v>11</v>
      </c>
      <c r="X172" s="185">
        <f>(4.75%+5.5%)/2</f>
        <v>5.1250000000000004E-2</v>
      </c>
      <c r="Y172" s="137">
        <v>44916</v>
      </c>
      <c r="Z172" s="137">
        <v>46694</v>
      </c>
      <c r="AA172" s="137">
        <v>46726</v>
      </c>
      <c r="AB172" s="138">
        <f t="shared" si="24"/>
        <v>1811</v>
      </c>
      <c r="AC172" s="139" t="e">
        <f t="shared" si="25"/>
        <v>#REF!</v>
      </c>
      <c r="AD172" s="138" t="e">
        <f>AA172-#REF!</f>
        <v>#REF!</v>
      </c>
      <c r="AE172" s="140" t="e">
        <f t="shared" si="19"/>
        <v>#REF!</v>
      </c>
      <c r="AF172" s="274"/>
      <c r="AG172" s="186" t="s">
        <v>1</v>
      </c>
      <c r="AH172" s="186" t="s">
        <v>1</v>
      </c>
      <c r="AI172" s="187" t="s">
        <v>0</v>
      </c>
      <c r="AJ172" s="164" t="e">
        <f t="shared" si="20"/>
        <v>#REF!</v>
      </c>
      <c r="AK172" s="164" t="s">
        <v>271</v>
      </c>
      <c r="AL172" s="188" t="s">
        <v>1101</v>
      </c>
      <c r="AM172" s="291"/>
      <c r="AN172" s="291"/>
      <c r="AO172" s="197" t="str">
        <f>Table12129[[#This Row],[Risk Location ]]</f>
        <v>United Kingdom</v>
      </c>
      <c r="AP172" s="198" t="str">
        <f>Table12129[[#This Row],[Sector (GICS Industry Group)]]</f>
        <v>Consumer Staples</v>
      </c>
      <c r="AQ172" s="291"/>
      <c r="AR172" s="291"/>
      <c r="AS172" s="212" t="e">
        <v>#REF!</v>
      </c>
      <c r="AT172" s="212" t="e">
        <v>#REF!</v>
      </c>
      <c r="AU172" s="212" t="e">
        <v>#REF!</v>
      </c>
      <c r="AV172" s="292"/>
      <c r="AW172" s="212" t="e">
        <v>#REF!</v>
      </c>
      <c r="AX172" s="212">
        <f t="shared" si="21"/>
        <v>0</v>
      </c>
      <c r="AY172" s="291"/>
      <c r="BB172" s="229">
        <v>0</v>
      </c>
      <c r="BJ172" s="138" t="s">
        <v>1120</v>
      </c>
      <c r="BL172" s="58"/>
    </row>
    <row r="173" spans="1:64" ht="33" customHeight="1" x14ac:dyDescent="0.2">
      <c r="A173" s="132" t="s">
        <v>1099</v>
      </c>
      <c r="B173" s="132" t="s">
        <v>51</v>
      </c>
      <c r="C173" s="133" t="s">
        <v>166</v>
      </c>
      <c r="D173" s="131" t="s">
        <v>542</v>
      </c>
      <c r="E173" s="145" t="s">
        <v>166</v>
      </c>
      <c r="F173" s="131" t="s">
        <v>104</v>
      </c>
      <c r="G173" s="131" t="s">
        <v>105</v>
      </c>
      <c r="H173" s="130" t="s">
        <v>285</v>
      </c>
      <c r="I173" s="133" t="s">
        <v>1100</v>
      </c>
      <c r="J173" s="131" t="s">
        <v>220</v>
      </c>
      <c r="K173" s="301" t="s">
        <v>29</v>
      </c>
      <c r="L173" s="167" t="s">
        <v>191</v>
      </c>
      <c r="M173" s="134" t="s">
        <v>59</v>
      </c>
      <c r="N173" s="167" t="s">
        <v>43</v>
      </c>
      <c r="O173" s="167" t="s">
        <v>538</v>
      </c>
      <c r="P173" s="167" t="s">
        <v>534</v>
      </c>
      <c r="Q173" s="135" t="s">
        <v>59</v>
      </c>
      <c r="R173" s="136" t="e">
        <f>7000/EUR</f>
        <v>#REF!</v>
      </c>
      <c r="S173" s="73">
        <v>7000</v>
      </c>
      <c r="T173" s="136" t="e">
        <f>Table12129[[#This Row],[Amortised Limit in Original Currency]]/EUR</f>
        <v>#REF!</v>
      </c>
      <c r="U173" s="136" t="e">
        <f>151350/EUR</f>
        <v>#REF!</v>
      </c>
      <c r="V173" s="136" t="e">
        <f>1278907.53/EUR</f>
        <v>#REF!</v>
      </c>
      <c r="W173" s="147" t="s">
        <v>11</v>
      </c>
      <c r="X173" s="185">
        <v>4.4999999999999998E-2</v>
      </c>
      <c r="Y173" s="137">
        <v>44914</v>
      </c>
      <c r="Z173" s="137">
        <v>47292</v>
      </c>
      <c r="AA173" s="137">
        <v>47323</v>
      </c>
      <c r="AB173" s="138">
        <f t="shared" si="24"/>
        <v>2410</v>
      </c>
      <c r="AC173" s="139" t="e">
        <f t="shared" si="25"/>
        <v>#REF!</v>
      </c>
      <c r="AD173" s="138" t="e">
        <f>AA173-#REF!</f>
        <v>#REF!</v>
      </c>
      <c r="AE173" s="140" t="e">
        <f t="shared" si="19"/>
        <v>#REF!</v>
      </c>
      <c r="AF173" s="56"/>
      <c r="AG173" s="186" t="s">
        <v>1</v>
      </c>
      <c r="AH173" s="186" t="s">
        <v>1</v>
      </c>
      <c r="AI173" s="187" t="s">
        <v>0</v>
      </c>
      <c r="AJ173" s="143" t="e">
        <f t="shared" si="20"/>
        <v>#REF!</v>
      </c>
      <c r="AK173" s="164" t="s">
        <v>271</v>
      </c>
      <c r="AL173" s="188" t="s">
        <v>1103</v>
      </c>
      <c r="AM173" s="260"/>
      <c r="AN173" s="260"/>
      <c r="AO173" s="197" t="str">
        <f>Table12129[[#This Row],[Risk Location ]]</f>
        <v>France</v>
      </c>
      <c r="AP173" s="198" t="str">
        <f>Table12129[[#This Row],[Sector (GICS Industry Group)]]</f>
        <v>Materials</v>
      </c>
      <c r="AQ173" s="260"/>
      <c r="AR173" s="260"/>
      <c r="AS173" s="212" t="e">
        <v>#REF!</v>
      </c>
      <c r="AT173" s="212" t="e">
        <v>#REF!</v>
      </c>
      <c r="AU173" s="212" t="e">
        <v>#REF!</v>
      </c>
      <c r="AV173" s="261"/>
      <c r="AW173" s="212" t="e">
        <v>#REF!</v>
      </c>
      <c r="AX173" s="212">
        <f t="shared" si="21"/>
        <v>0</v>
      </c>
      <c r="AY173" s="260"/>
      <c r="BB173" s="11">
        <v>0</v>
      </c>
      <c r="BJ173" s="138" t="s">
        <v>1102</v>
      </c>
      <c r="BL173" s="58"/>
    </row>
    <row r="174" spans="1:64" ht="36.75" customHeight="1" x14ac:dyDescent="0.2">
      <c r="A174" s="132" t="s">
        <v>1105</v>
      </c>
      <c r="B174" s="132" t="s">
        <v>243</v>
      </c>
      <c r="C174" s="133" t="s">
        <v>560</v>
      </c>
      <c r="D174" s="131" t="s">
        <v>499</v>
      </c>
      <c r="E174" s="145" t="s">
        <v>162</v>
      </c>
      <c r="F174" s="131" t="s">
        <v>891</v>
      </c>
      <c r="G174" s="131" t="s">
        <v>167</v>
      </c>
      <c r="H174" s="130" t="s">
        <v>167</v>
      </c>
      <c r="I174" s="133" t="s">
        <v>1106</v>
      </c>
      <c r="J174" s="131" t="s">
        <v>680</v>
      </c>
      <c r="K174" s="300" t="s">
        <v>209</v>
      </c>
      <c r="L174" s="194" t="s">
        <v>191</v>
      </c>
      <c r="M174" s="134" t="s">
        <v>59</v>
      </c>
      <c r="N174" s="167" t="s">
        <v>43</v>
      </c>
      <c r="O174" s="167" t="s">
        <v>531</v>
      </c>
      <c r="P174" s="167" t="s">
        <v>534</v>
      </c>
      <c r="Q174" s="135" t="s">
        <v>9</v>
      </c>
      <c r="R174" s="136" t="e">
        <f>15000/USD</f>
        <v>#REF!</v>
      </c>
      <c r="S174" s="73">
        <v>15000</v>
      </c>
      <c r="T174" s="136" t="e">
        <f>Table12129[[#This Row],[Amortised Limit in Original Currency]]/USD</f>
        <v>#REF!</v>
      </c>
      <c r="U174" s="136" t="e">
        <f>510046/USD</f>
        <v>#REF!</v>
      </c>
      <c r="V174" s="136" t="e">
        <f>1108718.75/USD</f>
        <v>#REF!</v>
      </c>
      <c r="W174" s="147" t="s">
        <v>11</v>
      </c>
      <c r="X174" s="185">
        <v>0.03</v>
      </c>
      <c r="Y174" s="137">
        <v>44901</v>
      </c>
      <c r="Z174" s="137">
        <v>46736</v>
      </c>
      <c r="AA174" s="137">
        <v>46736</v>
      </c>
      <c r="AB174" s="138">
        <f t="shared" si="24"/>
        <v>1836</v>
      </c>
      <c r="AC174" s="139" t="e">
        <f t="shared" si="25"/>
        <v>#REF!</v>
      </c>
      <c r="AD174" s="138" t="e">
        <f>AA174-#REF!</f>
        <v>#REF!</v>
      </c>
      <c r="AE174" s="140" t="e">
        <f t="shared" si="19"/>
        <v>#REF!</v>
      </c>
      <c r="AF174" s="56"/>
      <c r="AG174" s="186" t="s">
        <v>1</v>
      </c>
      <c r="AH174" s="186" t="s">
        <v>1</v>
      </c>
      <c r="AI174" s="187" t="s">
        <v>0</v>
      </c>
      <c r="AJ174" s="143" t="e">
        <f t="shared" si="20"/>
        <v>#REF!</v>
      </c>
      <c r="AK174" s="164" t="s">
        <v>271</v>
      </c>
      <c r="AL174" s="188" t="s">
        <v>1121</v>
      </c>
      <c r="AM174" s="260"/>
      <c r="AN174" s="260"/>
      <c r="AO174" s="197" t="str">
        <f>Table12129[[#This Row],[Risk Location ]]</f>
        <v>United States</v>
      </c>
      <c r="AP174" s="198" t="str">
        <f>Table12129[[#This Row],[Sector (GICS Industry Group)]]</f>
        <v>Information Technology - Hardware &amp; Equipment</v>
      </c>
      <c r="AQ174" s="260"/>
      <c r="AR174" s="260"/>
      <c r="AS174" s="212" t="e">
        <v>#REF!</v>
      </c>
      <c r="AT174" s="212" t="e">
        <v>#REF!</v>
      </c>
      <c r="AU174" s="212" t="e">
        <v>#REF!</v>
      </c>
      <c r="AV174" s="261"/>
      <c r="AW174" s="212" t="e">
        <v>#REF!</v>
      </c>
      <c r="AX174" s="212">
        <f t="shared" si="21"/>
        <v>0</v>
      </c>
      <c r="AY174" s="260"/>
      <c r="BB174" s="11">
        <v>0</v>
      </c>
      <c r="BJ174" s="138" t="s">
        <v>1104</v>
      </c>
      <c r="BL174" s="58"/>
    </row>
    <row r="175" spans="1:64" ht="33" customHeight="1" x14ac:dyDescent="0.2">
      <c r="A175" s="132" t="s">
        <v>1122</v>
      </c>
      <c r="B175" s="132" t="s">
        <v>67</v>
      </c>
      <c r="C175" s="133" t="s">
        <v>588</v>
      </c>
      <c r="D175" s="131" t="s">
        <v>499</v>
      </c>
      <c r="E175" s="145" t="s">
        <v>162</v>
      </c>
      <c r="F175" s="131" t="s">
        <v>891</v>
      </c>
      <c r="G175" s="131" t="s">
        <v>167</v>
      </c>
      <c r="H175" s="130" t="s">
        <v>167</v>
      </c>
      <c r="I175" s="133" t="s">
        <v>589</v>
      </c>
      <c r="J175" s="131" t="s">
        <v>218</v>
      </c>
      <c r="K175" s="300" t="s">
        <v>140</v>
      </c>
      <c r="L175" s="194" t="s">
        <v>191</v>
      </c>
      <c r="M175" s="134" t="s">
        <v>59</v>
      </c>
      <c r="N175" s="167" t="s">
        <v>43</v>
      </c>
      <c r="O175" s="167" t="s">
        <v>538</v>
      </c>
      <c r="P175" s="167" t="s">
        <v>534</v>
      </c>
      <c r="Q175" s="135" t="s">
        <v>9</v>
      </c>
      <c r="R175" s="136" t="e">
        <f>15000/USD</f>
        <v>#REF!</v>
      </c>
      <c r="S175" s="73">
        <v>15000</v>
      </c>
      <c r="T175" s="136" t="e">
        <f>Table12129[[#This Row],[Amortised Limit in Original Currency]]/USD</f>
        <v>#REF!</v>
      </c>
      <c r="U175" s="136" t="e">
        <f>30000/USD</f>
        <v>#REF!</v>
      </c>
      <c r="V175" s="136" t="e">
        <f>541448.17/USD</f>
        <v>#REF!</v>
      </c>
      <c r="W175" s="147" t="s">
        <v>11</v>
      </c>
      <c r="X175" s="185">
        <v>2.7E-2</v>
      </c>
      <c r="Y175" s="137">
        <v>44916</v>
      </c>
      <c r="Z175" s="137">
        <v>45949</v>
      </c>
      <c r="AA175" s="137">
        <v>45950</v>
      </c>
      <c r="AB175" s="138">
        <f t="shared" si="24"/>
        <v>1035</v>
      </c>
      <c r="AC175" s="139" t="e">
        <f t="shared" si="25"/>
        <v>#REF!</v>
      </c>
      <c r="AD175" s="138" t="e">
        <f>AA175-#REF!</f>
        <v>#REF!</v>
      </c>
      <c r="AE175" s="140" t="e">
        <f t="shared" si="19"/>
        <v>#REF!</v>
      </c>
      <c r="AF175" s="56"/>
      <c r="AG175" s="186" t="s">
        <v>1</v>
      </c>
      <c r="AH175" s="186" t="s">
        <v>1</v>
      </c>
      <c r="AI175" s="187" t="s">
        <v>0</v>
      </c>
      <c r="AJ175" s="143" t="e">
        <f t="shared" si="20"/>
        <v>#REF!</v>
      </c>
      <c r="AK175" s="164" t="s">
        <v>271</v>
      </c>
      <c r="AL175" s="188" t="s">
        <v>1107</v>
      </c>
      <c r="AM175" s="260"/>
      <c r="AN175" s="260"/>
      <c r="AO175" s="197" t="str">
        <f>Table12129[[#This Row],[Risk Location ]]</f>
        <v>United States</v>
      </c>
      <c r="AP175" s="198" t="str">
        <f>Table12129[[#This Row],[Sector (GICS Industry Group)]]</f>
        <v>Information Technology - Hardware &amp; Equipment</v>
      </c>
      <c r="AQ175" s="260"/>
      <c r="AR175" s="260"/>
      <c r="AS175" s="212" t="e">
        <v>#REF!</v>
      </c>
      <c r="AT175" s="212" t="e">
        <v>#REF!</v>
      </c>
      <c r="AU175" s="212" t="e">
        <v>#REF!</v>
      </c>
      <c r="AV175" s="261"/>
      <c r="AW175" s="212" t="e">
        <v>#REF!</v>
      </c>
      <c r="AX175" s="212">
        <f t="shared" si="21"/>
        <v>0</v>
      </c>
      <c r="AY175" s="260"/>
      <c r="BB175" s="11">
        <v>0</v>
      </c>
      <c r="BJ175" s="138" t="s">
        <v>1108</v>
      </c>
      <c r="BL175" s="58"/>
    </row>
    <row r="176" spans="1:64" ht="31.5" customHeight="1" x14ac:dyDescent="0.2">
      <c r="A176" s="132" t="s">
        <v>1109</v>
      </c>
      <c r="B176" s="132" t="s">
        <v>51</v>
      </c>
      <c r="C176" s="133" t="s">
        <v>684</v>
      </c>
      <c r="D176" s="131" t="s">
        <v>542</v>
      </c>
      <c r="E176" s="145" t="s">
        <v>119</v>
      </c>
      <c r="F176" s="131" t="s">
        <v>102</v>
      </c>
      <c r="G176" s="131" t="s">
        <v>102</v>
      </c>
      <c r="H176" s="130" t="s">
        <v>122</v>
      </c>
      <c r="I176" s="66" t="s">
        <v>677</v>
      </c>
      <c r="J176" s="188" t="s">
        <v>218</v>
      </c>
      <c r="K176" s="300" t="s">
        <v>101</v>
      </c>
      <c r="L176" s="194" t="s">
        <v>191</v>
      </c>
      <c r="M176" s="134" t="s">
        <v>59</v>
      </c>
      <c r="N176" s="167" t="s">
        <v>43</v>
      </c>
      <c r="O176" s="167" t="s">
        <v>533</v>
      </c>
      <c r="P176" s="167" t="s">
        <v>534</v>
      </c>
      <c r="Q176" s="135" t="s">
        <v>59</v>
      </c>
      <c r="R176" s="136" t="e">
        <f>20000/EUR</f>
        <v>#REF!</v>
      </c>
      <c r="S176" s="73">
        <v>20000</v>
      </c>
      <c r="T176" s="136" t="e">
        <f>Table12129[[#This Row],[Amortised Limit in Original Currency]]/EUR</f>
        <v>#REF!</v>
      </c>
      <c r="U176" s="136" t="e">
        <f>40000/EUR</f>
        <v>#REF!</v>
      </c>
      <c r="V176" s="136" t="e">
        <f>1285612.75/EUR</f>
        <v>#REF!</v>
      </c>
      <c r="W176" s="147" t="s">
        <v>11</v>
      </c>
      <c r="X176" s="185">
        <v>2.6499999999999999E-2</v>
      </c>
      <c r="Y176" s="137">
        <v>44918</v>
      </c>
      <c r="Z176" s="137">
        <v>46505</v>
      </c>
      <c r="AA176" s="137">
        <v>46535</v>
      </c>
      <c r="AB176" s="138">
        <f t="shared" si="24"/>
        <v>1618</v>
      </c>
      <c r="AC176" s="139" t="e">
        <f t="shared" si="25"/>
        <v>#REF!</v>
      </c>
      <c r="AD176" s="138" t="e">
        <f>AA176-#REF!</f>
        <v>#REF!</v>
      </c>
      <c r="AE176" s="140" t="e">
        <f>AD176/365</f>
        <v>#REF!</v>
      </c>
      <c r="AF176" s="56" t="s">
        <v>436</v>
      </c>
      <c r="AG176" s="186" t="s">
        <v>1</v>
      </c>
      <c r="AH176" s="186" t="s">
        <v>1</v>
      </c>
      <c r="AI176" s="187" t="s">
        <v>0</v>
      </c>
      <c r="AJ176" s="143" t="e">
        <f>+IF(AA176-60&lt;$A$1, "SEND NOTICE", "N/A")</f>
        <v>#REF!</v>
      </c>
      <c r="AK176" s="164" t="s">
        <v>271</v>
      </c>
      <c r="AL176" s="188" t="s">
        <v>1124</v>
      </c>
      <c r="AM176" s="260"/>
      <c r="AN176" s="260"/>
      <c r="AO176" s="197" t="str">
        <f>Table12129[[#This Row],[Risk Location ]]</f>
        <v>Italy</v>
      </c>
      <c r="AP176" s="198" t="str">
        <f>Table12129[[#This Row],[Sector (GICS Industry Group)]]</f>
        <v>Real Estate Investment</v>
      </c>
      <c r="AQ176" s="260"/>
      <c r="AR176" s="260"/>
      <c r="AS176" s="212" t="e">
        <v>#REF!</v>
      </c>
      <c r="AT176" s="212" t="e">
        <v>#REF!</v>
      </c>
      <c r="AU176" s="212" t="e">
        <v>#REF!</v>
      </c>
      <c r="AV176" s="261"/>
      <c r="AW176" s="212" t="e">
        <v>#REF!</v>
      </c>
      <c r="AX176" s="212">
        <f t="shared" si="21"/>
        <v>0</v>
      </c>
      <c r="AY176" s="260"/>
      <c r="BB176" s="11">
        <v>0</v>
      </c>
      <c r="BJ176" s="138" t="s">
        <v>1110</v>
      </c>
      <c r="BL176" s="58"/>
    </row>
    <row r="177" spans="1:64" ht="32.25" customHeight="1" x14ac:dyDescent="0.2">
      <c r="A177" s="132" t="s">
        <v>1111</v>
      </c>
      <c r="B177" s="132" t="s">
        <v>51</v>
      </c>
      <c r="C177" s="133" t="s">
        <v>38</v>
      </c>
      <c r="D177" s="131" t="s">
        <v>541</v>
      </c>
      <c r="E177" s="145" t="s">
        <v>38</v>
      </c>
      <c r="F177" s="131" t="s">
        <v>547</v>
      </c>
      <c r="G177" s="131" t="s">
        <v>124</v>
      </c>
      <c r="H177" s="130" t="s">
        <v>123</v>
      </c>
      <c r="I177" s="133" t="s">
        <v>1112</v>
      </c>
      <c r="J177" s="131" t="s">
        <v>1113</v>
      </c>
      <c r="K177" s="300" t="s">
        <v>29</v>
      </c>
      <c r="L177" s="194" t="s">
        <v>191</v>
      </c>
      <c r="M177" s="134" t="s">
        <v>323</v>
      </c>
      <c r="N177" s="167" t="s">
        <v>43</v>
      </c>
      <c r="O177" s="167" t="s">
        <v>533</v>
      </c>
      <c r="P177" s="269" t="s">
        <v>548</v>
      </c>
      <c r="Q177" s="135" t="s">
        <v>9</v>
      </c>
      <c r="R177" s="136" t="e">
        <f>15000/USD</f>
        <v>#REF!</v>
      </c>
      <c r="S177" s="73">
        <v>15000</v>
      </c>
      <c r="T177" s="136" t="e">
        <f>Table12129[[#This Row],[Amortised Limit in Original Currency]]/USD</f>
        <v>#REF!</v>
      </c>
      <c r="U177" s="136" t="e">
        <f>30000/USD</f>
        <v>#REF!</v>
      </c>
      <c r="V177" s="136" t="e">
        <f>128062.5/USD</f>
        <v>#REF!</v>
      </c>
      <c r="W177" s="147" t="s">
        <v>11</v>
      </c>
      <c r="X177" s="185">
        <v>0.01</v>
      </c>
      <c r="Y177" s="137">
        <v>44918</v>
      </c>
      <c r="Z177" s="137">
        <v>45608</v>
      </c>
      <c r="AA177" s="137">
        <v>45608</v>
      </c>
      <c r="AB177" s="138">
        <f t="shared" si="24"/>
        <v>691</v>
      </c>
      <c r="AC177" s="139" t="e">
        <f t="shared" si="25"/>
        <v>#REF!</v>
      </c>
      <c r="AD177" s="138" t="e">
        <f>AA177-#REF!</f>
        <v>#REF!</v>
      </c>
      <c r="AE177" s="140" t="e">
        <f>AD177/365</f>
        <v>#REF!</v>
      </c>
      <c r="AF177" s="56" t="s">
        <v>436</v>
      </c>
      <c r="AG177" s="186" t="s">
        <v>1</v>
      </c>
      <c r="AH177" s="186" t="s">
        <v>1</v>
      </c>
      <c r="AI177" s="187" t="s">
        <v>0</v>
      </c>
      <c r="AJ177" s="143" t="e">
        <f>+IF(AA177-60&lt;$A$1, "SEND NOTICE", "N/A")</f>
        <v>#REF!</v>
      </c>
      <c r="AK177" s="164" t="s">
        <v>271</v>
      </c>
      <c r="AL177" s="188" t="s">
        <v>1114</v>
      </c>
      <c r="AM177" s="260"/>
      <c r="AN177" s="260"/>
      <c r="AO177" s="197" t="str">
        <f>Table12129[[#This Row],[Risk Location ]]</f>
        <v>Singapore</v>
      </c>
      <c r="AP177" s="198" t="str">
        <f>Table12129[[#This Row],[Sector (GICS Industry Group)]]</f>
        <v>Consumer Staples</v>
      </c>
      <c r="AQ177" s="260"/>
      <c r="AR177" s="260"/>
      <c r="AS177" s="212" t="e">
        <v>#REF!</v>
      </c>
      <c r="AT177" s="212" t="e">
        <v>#REF!</v>
      </c>
      <c r="AU177" s="212" t="e">
        <v>#REF!</v>
      </c>
      <c r="AV177" s="261"/>
      <c r="AW177" s="212" t="e">
        <v>#REF!</v>
      </c>
      <c r="AX177" s="212">
        <f t="shared" si="21"/>
        <v>0</v>
      </c>
      <c r="AY177" s="260"/>
      <c r="BB177" s="11">
        <v>0</v>
      </c>
      <c r="BJ177" s="138" t="s">
        <v>1115</v>
      </c>
      <c r="BL177" s="58"/>
    </row>
    <row r="178" spans="1:64" x14ac:dyDescent="0.2">
      <c r="A178" s="129"/>
      <c r="B178" s="129"/>
      <c r="C178" s="129"/>
      <c r="D178" s="234"/>
      <c r="E178" s="129"/>
      <c r="F178" s="129"/>
      <c r="G178" s="129"/>
      <c r="H178" s="129"/>
      <c r="I178" s="129"/>
      <c r="J178" s="129"/>
      <c r="K178" s="129"/>
      <c r="L178" s="129"/>
      <c r="M178" s="129"/>
      <c r="N178" s="127"/>
      <c r="O178" s="127"/>
      <c r="P178" s="127"/>
      <c r="Q178" s="51" t="s">
        <v>428</v>
      </c>
      <c r="R178" s="50" t="e">
        <f>SUMIFS(Table12129[[#All],[Original Limit (A$)]],Table12129[[#All],[Treaty]],"HDI GS")</f>
        <v>#REF!</v>
      </c>
      <c r="S178" s="50"/>
      <c r="T178" s="50" t="e">
        <f>SUMIFS(Table12129[[#All],[Amortised Limit A$ Balance]],Table12129[[#All],[Treaty]],"HDI GS")</f>
        <v>#REF!</v>
      </c>
      <c r="U178" s="50" t="e">
        <f>SUMIFS(Table12129[[#All],[Approx. Debt /  Facilities outstanding (Bank Limit) (A$)]],Table12129[[#All],[Treaty]],"HDI GS")</f>
        <v>#REF!</v>
      </c>
      <c r="V178" s="50" t="e">
        <f>SUMIFS(Table12129[[#All],[Gross Written Premium (pre-tax premium paid to HDI GS) (A$)]],Table12129[[#All],[Treaty]],"HDI GS")</f>
        <v>#REF!</v>
      </c>
      <c r="W178" s="49"/>
      <c r="X178" s="183" t="e">
        <f>SUMPRODUCT(Table12129[[#All],[Facility Gross Margin]], Table12129[[#All],[Amortised Limit A$ Balance]])/SUM(Table12129[[#All],[Amortised Limit A$ Balance]])</f>
        <v>#REF!</v>
      </c>
      <c r="Y178" s="48"/>
      <c r="Z178" s="48"/>
      <c r="AA178" s="48" t="s">
        <v>495</v>
      </c>
      <c r="AB178" s="189" t="e">
        <f>SUMPRODUCT(Table12129[[Original Tenor ]],Table12129[Original Limit (A$)])/R178</f>
        <v>#REF!</v>
      </c>
      <c r="AC178" s="47" t="e">
        <f>AB178/365</f>
        <v>#REF!</v>
      </c>
      <c r="AD178" s="189" t="e">
        <f>SUMPRODUCT(Table12129[Tenor Remaining Days],Table12129[Amortised Limit A$ Balance])/T178</f>
        <v>#REF!</v>
      </c>
      <c r="AE178" s="46" t="e">
        <f t="shared" si="19"/>
        <v>#REF!</v>
      </c>
      <c r="AF178" s="45"/>
      <c r="AG178" s="28"/>
      <c r="AH178" s="28"/>
      <c r="AI178" s="44"/>
      <c r="AJ178" s="28"/>
      <c r="AK178" s="28"/>
      <c r="AL178" s="28"/>
      <c r="AM178" s="28"/>
      <c r="AN178" s="28"/>
      <c r="AO178" s="28"/>
      <c r="AP178" s="28"/>
      <c r="AQ178" s="28"/>
      <c r="AR178" s="28"/>
      <c r="AS178" s="28"/>
      <c r="AT178" s="28"/>
      <c r="AU178" s="28"/>
      <c r="AV178" s="28"/>
      <c r="AW178" s="212" t="e">
        <f>SUM(AW3:AW177)</f>
        <v>#REF!</v>
      </c>
      <c r="AX178" s="212">
        <f>SUM(AX3:AX177)</f>
        <v>14094.522089831502</v>
      </c>
      <c r="AY178" s="28"/>
      <c r="BB178" s="212">
        <f>SUM(BB3:BB177)</f>
        <v>15420.252904779845</v>
      </c>
      <c r="BC178" s="308">
        <v>14094.522089831502</v>
      </c>
      <c r="BJ178" s="28"/>
    </row>
    <row r="179" spans="1:64" x14ac:dyDescent="0.2">
      <c r="A179" s="37"/>
      <c r="B179" s="37"/>
      <c r="C179" s="35"/>
      <c r="D179" s="235"/>
      <c r="E179" s="35"/>
      <c r="F179" s="28"/>
      <c r="G179" s="28"/>
      <c r="H179" s="28"/>
      <c r="I179" s="36"/>
      <c r="J179" s="28"/>
      <c r="K179" s="28"/>
      <c r="L179" s="28"/>
      <c r="M179" s="35"/>
      <c r="N179" s="28"/>
      <c r="O179" s="28"/>
      <c r="P179" s="28"/>
      <c r="Q179" s="42" t="s">
        <v>429</v>
      </c>
      <c r="R179" s="41">
        <f>SUMIFS(Table12129[[#All],[Original Limit (A$)]],Table12129[[#All],[Treaty]],"AI - Direct")</f>
        <v>541.01</v>
      </c>
      <c r="S179" s="41"/>
      <c r="T179" s="41">
        <f>SUMIFS(Table12129[[#All],[Amortised Limit A$ Balance]],Table12129[[#All],[Treaty]],"AI - DIrect")</f>
        <v>541.01</v>
      </c>
      <c r="U179" s="41">
        <f>SUMIFS(Table12129[[#All],[Approx. Debt /  Facilities outstanding (Bank Limit) (A$)]],Table12129[[#All],[Treaty]],"AI - Direct")</f>
        <v>541.01</v>
      </c>
      <c r="V179" s="41">
        <f>SUMIFS(Table12129[[#All],[Gross Written Premium (pre-tax premium paid to HDI GS) (A$)]],Table12129[[#All],[Treaty]],"AI - Direct")</f>
        <v>14877.779999999999</v>
      </c>
      <c r="W179" s="30"/>
      <c r="X179" s="30"/>
      <c r="Y179" s="30"/>
      <c r="Z179" s="28"/>
      <c r="AA179" s="40" t="s">
        <v>242</v>
      </c>
      <c r="AB179" s="38" t="e">
        <f>SUMPRODUCT($AB$31:$AB$66,$R$31:$R$66)/AB181</f>
        <v>#REF!</v>
      </c>
      <c r="AC179" s="39"/>
      <c r="AD179" s="38" t="e">
        <f>SUMPRODUCT($AD$31:$AD$66,$R$31:$R$66)/AB181</f>
        <v>#REF!</v>
      </c>
      <c r="AE179" s="38" t="e">
        <f t="shared" si="19"/>
        <v>#REF!</v>
      </c>
      <c r="AF179" s="29"/>
      <c r="AG179" s="28"/>
      <c r="AH179" s="28"/>
      <c r="AI179" s="28"/>
      <c r="AJ179" s="28"/>
      <c r="AK179" s="28"/>
      <c r="AL179" s="28"/>
      <c r="AM179" s="28"/>
      <c r="AN179" s="28"/>
      <c r="AO179" s="28"/>
      <c r="AP179" s="28"/>
      <c r="AQ179" s="28"/>
      <c r="AR179" s="28"/>
      <c r="AS179" s="28"/>
      <c r="AT179" s="28"/>
      <c r="AU179" s="28"/>
      <c r="AV179" s="28"/>
      <c r="AW179" s="28"/>
      <c r="AX179" s="28"/>
      <c r="AY179" s="28"/>
      <c r="BJ179" s="28"/>
    </row>
    <row r="180" spans="1:64" x14ac:dyDescent="0.2">
      <c r="A180" s="37"/>
      <c r="B180" s="37"/>
      <c r="C180" s="35"/>
      <c r="D180" s="235"/>
      <c r="E180" s="35"/>
      <c r="F180" s="28"/>
      <c r="G180" s="28"/>
      <c r="H180" s="28"/>
      <c r="I180" s="36"/>
      <c r="J180" s="28"/>
      <c r="K180" s="28"/>
      <c r="L180" s="28"/>
      <c r="M180" s="35"/>
      <c r="N180" s="28"/>
      <c r="O180" s="28"/>
      <c r="P180" s="28"/>
      <c r="Q180" s="34" t="s">
        <v>6</v>
      </c>
      <c r="R180" s="33" t="e">
        <f>SUM(R178:R179)</f>
        <v>#REF!</v>
      </c>
      <c r="S180" s="33"/>
      <c r="T180" s="32" t="e">
        <f>SUM(T178:T179)</f>
        <v>#REF!</v>
      </c>
      <c r="U180" s="31" t="e">
        <f>SUM(U178:U179)</f>
        <v>#REF!</v>
      </c>
      <c r="V180" s="31" t="e">
        <f>SUM(V178:V179)</f>
        <v>#REF!</v>
      </c>
      <c r="W180" s="30"/>
      <c r="X180" s="30"/>
      <c r="Y180" s="30"/>
      <c r="Z180" s="28"/>
      <c r="AA180" s="28"/>
      <c r="AB180" s="28"/>
      <c r="AC180" s="29"/>
      <c r="AD180" s="28"/>
      <c r="AE180" s="28"/>
      <c r="AF180" s="29"/>
      <c r="AG180" s="28"/>
      <c r="AH180" s="28"/>
      <c r="AI180" s="28"/>
      <c r="AJ180" s="28"/>
      <c r="AK180" s="28"/>
      <c r="AL180" s="28"/>
      <c r="AM180" s="28"/>
      <c r="AN180" s="28"/>
      <c r="AO180" s="28"/>
      <c r="AP180" s="28"/>
      <c r="AQ180" s="28"/>
      <c r="AR180" s="28"/>
      <c r="AS180" s="28"/>
      <c r="AT180" s="28"/>
      <c r="AU180" s="28"/>
      <c r="AV180" s="28"/>
      <c r="AW180" s="28"/>
      <c r="AX180" s="28"/>
      <c r="AY180" s="28"/>
      <c r="BJ180" s="28"/>
    </row>
    <row r="181" spans="1:64" x14ac:dyDescent="0.2">
      <c r="Q181" s="160"/>
      <c r="R181" s="24"/>
      <c r="S181" s="24"/>
      <c r="T181" s="26"/>
      <c r="W181" s="23"/>
      <c r="X181" s="23"/>
      <c r="Y181" s="23"/>
      <c r="Z181" s="11"/>
      <c r="AA181" s="11" t="s">
        <v>437</v>
      </c>
      <c r="AB181" s="22">
        <v>1037868.6626063626</v>
      </c>
    </row>
    <row r="182" spans="1:64" x14ac:dyDescent="0.2">
      <c r="E182" s="11">
        <f>COUNT(Table12129[[#All],[Amortised Limit A$ Balance]])</f>
        <v>34</v>
      </c>
      <c r="I182" s="11"/>
      <c r="Q182" s="25"/>
      <c r="V182" s="24"/>
      <c r="W182" s="23"/>
      <c r="X182" s="23"/>
      <c r="Y182" s="23"/>
      <c r="Z182" s="11"/>
      <c r="AG182" s="22"/>
    </row>
    <row r="183" spans="1:64" x14ac:dyDescent="0.2">
      <c r="D183" s="12" t="s">
        <v>495</v>
      </c>
      <c r="I183" s="11"/>
      <c r="Q183" s="160"/>
      <c r="R183" s="19"/>
      <c r="S183" s="25"/>
      <c r="T183" s="19"/>
      <c r="U183" s="19"/>
      <c r="V183" s="19"/>
      <c r="W183" s="19"/>
      <c r="X183" s="19"/>
    </row>
    <row r="184" spans="1:64" x14ac:dyDescent="0.2">
      <c r="G184" s="262"/>
      <c r="I184" s="11"/>
      <c r="Q184" s="25"/>
    </row>
    <row r="185" spans="1:64" x14ac:dyDescent="0.2">
      <c r="I185" s="11"/>
      <c r="Q185" s="160"/>
    </row>
    <row r="186" spans="1:64" x14ac:dyDescent="0.2">
      <c r="A186" s="290"/>
      <c r="I186" s="11"/>
      <c r="Q186" s="25"/>
      <c r="T186" s="19"/>
    </row>
    <row r="187" spans="1:64" x14ac:dyDescent="0.2">
      <c r="I187" s="11"/>
      <c r="Q187" s="160"/>
      <c r="T187" s="19"/>
    </row>
    <row r="188" spans="1:64" x14ac:dyDescent="0.2">
      <c r="I188" s="11"/>
      <c r="Q188" s="25"/>
      <c r="T188" s="19"/>
    </row>
    <row r="189" spans="1:64" x14ac:dyDescent="0.2">
      <c r="I189" s="11"/>
      <c r="Q189" s="268"/>
      <c r="T189" s="19"/>
    </row>
    <row r="190" spans="1:64" x14ac:dyDescent="0.2">
      <c r="I190" s="11"/>
      <c r="Q190" s="25"/>
      <c r="T190" s="19"/>
    </row>
    <row r="191" spans="1:64" x14ac:dyDescent="0.2">
      <c r="I191" s="11"/>
      <c r="Q191" s="160"/>
      <c r="T191" s="19"/>
    </row>
    <row r="192" spans="1:64" x14ac:dyDescent="0.2">
      <c r="I192" s="11"/>
      <c r="Q192" s="25"/>
      <c r="T192" s="19"/>
    </row>
    <row r="193" spans="9:17" x14ac:dyDescent="0.2">
      <c r="I193" s="11"/>
      <c r="Q193" s="160"/>
    </row>
    <row r="194" spans="9:17" x14ac:dyDescent="0.2">
      <c r="I194" s="11"/>
      <c r="Q194" s="25"/>
    </row>
    <row r="195" spans="9:17" x14ac:dyDescent="0.2">
      <c r="I195" s="11"/>
      <c r="Q195" s="160"/>
    </row>
    <row r="196" spans="9:17" x14ac:dyDescent="0.2">
      <c r="I196" s="11"/>
    </row>
    <row r="197" spans="9:17" x14ac:dyDescent="0.2">
      <c r="I197" s="11"/>
    </row>
    <row r="198" spans="9:17" x14ac:dyDescent="0.2">
      <c r="I198" s="11"/>
    </row>
    <row r="199" spans="9:17" x14ac:dyDescent="0.2">
      <c r="I199" s="11"/>
    </row>
    <row r="200" spans="9:17" x14ac:dyDescent="0.2">
      <c r="I200" s="11"/>
    </row>
    <row r="201" spans="9:17" x14ac:dyDescent="0.2">
      <c r="I201" s="11"/>
    </row>
    <row r="202" spans="9:17" x14ac:dyDescent="0.2">
      <c r="I202" s="11"/>
    </row>
  </sheetData>
  <conditionalFormatting sqref="AJ105:AJ114 AJ125:AJ148 AJ164:AJ169 AJ3:AJ16 AJ171:AJ177 AJ19:AJ103">
    <cfRule type="containsText" dxfId="384" priority="79" operator="containsText" text="SEND NOTICE">
      <formula>NOT(ISERROR(SEARCH("SEND NOTICE",AJ3)))</formula>
    </cfRule>
  </conditionalFormatting>
  <conditionalFormatting sqref="A65:C65 C66 L66 N65:O66 I65:L65 Y65:AE65 Y66:AB66 A66 W66 Q65:R65 T65:W65 T67:W70 T71:V71 R167 R67:R71 AB67:AB70 Y67:AA71 AD66:AE71 BJ65:BJ71">
    <cfRule type="cellIs" dxfId="383" priority="78" operator="equal">
      <formula>#REF!</formula>
    </cfRule>
  </conditionalFormatting>
  <conditionalFormatting sqref="Q66:R66 T66:V66">
    <cfRule type="cellIs" dxfId="382" priority="77" operator="equal">
      <formula>#REF!</formula>
    </cfRule>
  </conditionalFormatting>
  <conditionalFormatting sqref="E65">
    <cfRule type="cellIs" dxfId="381" priority="76" operator="equal">
      <formula>#REF!</formula>
    </cfRule>
  </conditionalFormatting>
  <conditionalFormatting sqref="Q70 R169:R175 V169:V174 W169:W176">
    <cfRule type="cellIs" dxfId="380" priority="75" operator="equal">
      <formula>#REF!</formula>
    </cfRule>
  </conditionalFormatting>
  <conditionalFormatting sqref="J66">
    <cfRule type="cellIs" dxfId="379" priority="74" operator="equal">
      <formula>#REF!</formula>
    </cfRule>
  </conditionalFormatting>
  <conditionalFormatting sqref="AK18">
    <cfRule type="containsText" dxfId="378" priority="73" operator="containsText" text="SEND NOTICE">
      <formula>NOT(ISERROR(SEARCH("SEND NOTICE",AK18)))</formula>
    </cfRule>
  </conditionalFormatting>
  <conditionalFormatting sqref="AJ96">
    <cfRule type="containsText" dxfId="377" priority="72" operator="containsText" text="SEND NOTICE">
      <formula>NOT(ISERROR(SEARCH("SEND NOTICE",AJ96)))</formula>
    </cfRule>
  </conditionalFormatting>
  <conditionalFormatting sqref="AJ97:AJ98">
    <cfRule type="containsText" dxfId="376" priority="71" operator="containsText" text="SEND NOTICE">
      <formula>NOT(ISERROR(SEARCH("SEND NOTICE",AJ97)))</formula>
    </cfRule>
  </conditionalFormatting>
  <conditionalFormatting sqref="AJ97:AJ98">
    <cfRule type="containsText" dxfId="375" priority="70" operator="containsText" text="SEND NOTICE">
      <formula>NOT(ISERROR(SEARCH("SEND NOTICE",AJ97)))</formula>
    </cfRule>
  </conditionalFormatting>
  <conditionalFormatting sqref="AJ99:AJ102">
    <cfRule type="containsText" dxfId="374" priority="69" operator="containsText" text="SEND NOTICE">
      <formula>NOT(ISERROR(SEARCH("SEND NOTICE",AJ99)))</formula>
    </cfRule>
  </conditionalFormatting>
  <conditionalFormatting sqref="AJ99:AJ102">
    <cfRule type="containsText" dxfId="373" priority="68" operator="containsText" text="SEND NOTICE">
      <formula>NOT(ISERROR(SEARCH("SEND NOTICE",AJ99)))</formula>
    </cfRule>
  </conditionalFormatting>
  <conditionalFormatting sqref="AJ99:AJ102">
    <cfRule type="containsText" dxfId="372" priority="67" operator="containsText" text="SEND NOTICE">
      <formula>NOT(ISERROR(SEARCH("SEND NOTICE",AJ99)))</formula>
    </cfRule>
  </conditionalFormatting>
  <conditionalFormatting sqref="AJ103">
    <cfRule type="containsText" dxfId="371" priority="66" operator="containsText" text="SEND NOTICE">
      <formula>NOT(ISERROR(SEARCH("SEND NOTICE",AJ103)))</formula>
    </cfRule>
  </conditionalFormatting>
  <conditionalFormatting sqref="AJ103">
    <cfRule type="containsText" dxfId="370" priority="65" operator="containsText" text="SEND NOTICE">
      <formula>NOT(ISERROR(SEARCH("SEND NOTICE",AJ103)))</formula>
    </cfRule>
  </conditionalFormatting>
  <conditionalFormatting sqref="AJ103">
    <cfRule type="containsText" dxfId="369" priority="64" operator="containsText" text="SEND NOTICE">
      <formula>NOT(ISERROR(SEARCH("SEND NOTICE",AJ103)))</formula>
    </cfRule>
  </conditionalFormatting>
  <conditionalFormatting sqref="AJ103">
    <cfRule type="containsText" dxfId="368" priority="63" operator="containsText" text="SEND NOTICE">
      <formula>NOT(ISERROR(SEARCH("SEND NOTICE",AJ103)))</formula>
    </cfRule>
  </conditionalFormatting>
  <conditionalFormatting sqref="AJ104">
    <cfRule type="containsText" dxfId="367" priority="62" operator="containsText" text="SEND NOTICE">
      <formula>NOT(ISERROR(SEARCH("SEND NOTICE",AJ104)))</formula>
    </cfRule>
  </conditionalFormatting>
  <conditionalFormatting sqref="AJ18">
    <cfRule type="containsText" dxfId="366" priority="61" operator="containsText" text="SEND NOTICE">
      <formula>NOT(ISERROR(SEARCH("SEND NOTICE",AJ18)))</formula>
    </cfRule>
  </conditionalFormatting>
  <conditionalFormatting sqref="AK17">
    <cfRule type="containsText" dxfId="365" priority="60" operator="containsText" text="SEND NOTICE">
      <formula>NOT(ISERROR(SEARCH("SEND NOTICE",AK17)))</formula>
    </cfRule>
  </conditionalFormatting>
  <conditionalFormatting sqref="AJ17">
    <cfRule type="containsText" dxfId="364" priority="59" operator="containsText" text="SEND NOTICE">
      <formula>NOT(ISERROR(SEARCH("SEND NOTICE",AJ17)))</formula>
    </cfRule>
  </conditionalFormatting>
  <conditionalFormatting sqref="AJ115:AJ117">
    <cfRule type="containsText" dxfId="363" priority="58" operator="containsText" text="SEND NOTICE">
      <formula>NOT(ISERROR(SEARCH("SEND NOTICE",AJ115)))</formula>
    </cfRule>
  </conditionalFormatting>
  <conditionalFormatting sqref="AJ116">
    <cfRule type="containsText" dxfId="362" priority="57" operator="containsText" text="SEND NOTICE">
      <formula>NOT(ISERROR(SEARCH("SEND NOTICE",AJ116)))</formula>
    </cfRule>
  </conditionalFormatting>
  <conditionalFormatting sqref="AJ118">
    <cfRule type="containsText" dxfId="361" priority="56" operator="containsText" text="SEND NOTICE">
      <formula>NOT(ISERROR(SEARCH("SEND NOTICE",AJ118)))</formula>
    </cfRule>
  </conditionalFormatting>
  <conditionalFormatting sqref="AJ119">
    <cfRule type="containsText" dxfId="360" priority="55" operator="containsText" text="SEND NOTICE">
      <formula>NOT(ISERROR(SEARCH("SEND NOTICE",AJ119)))</formula>
    </cfRule>
  </conditionalFormatting>
  <conditionalFormatting sqref="AJ120:AJ124">
    <cfRule type="containsText" dxfId="359" priority="54" operator="containsText" text="SEND NOTICE">
      <formula>NOT(ISERROR(SEARCH("SEND NOTICE",AJ120)))</formula>
    </cfRule>
  </conditionalFormatting>
  <conditionalFormatting sqref="AJ149">
    <cfRule type="containsText" dxfId="358" priority="53" operator="containsText" text="SEND NOTICE">
      <formula>NOT(ISERROR(SEARCH("SEND NOTICE",AJ149)))</formula>
    </cfRule>
  </conditionalFormatting>
  <conditionalFormatting sqref="AJ150">
    <cfRule type="containsText" dxfId="357" priority="52" operator="containsText" text="SEND NOTICE">
      <formula>NOT(ISERROR(SEARCH("SEND NOTICE",AJ150)))</formula>
    </cfRule>
  </conditionalFormatting>
  <conditionalFormatting sqref="AJ151">
    <cfRule type="containsText" dxfId="356" priority="51" operator="containsText" text="SEND NOTICE">
      <formula>NOT(ISERROR(SEARCH("SEND NOTICE",AJ151)))</formula>
    </cfRule>
  </conditionalFormatting>
  <conditionalFormatting sqref="AJ152">
    <cfRule type="containsText" dxfId="355" priority="50" operator="containsText" text="SEND NOTICE">
      <formula>NOT(ISERROR(SEARCH("SEND NOTICE",AJ152)))</formula>
    </cfRule>
  </conditionalFormatting>
  <conditionalFormatting sqref="AJ153">
    <cfRule type="containsText" dxfId="354" priority="49" operator="containsText" text="SEND NOTICE">
      <formula>NOT(ISERROR(SEARCH("SEND NOTICE",AJ153)))</formula>
    </cfRule>
  </conditionalFormatting>
  <conditionalFormatting sqref="AJ154">
    <cfRule type="containsText" dxfId="353" priority="48" operator="containsText" text="SEND NOTICE">
      <formula>NOT(ISERROR(SEARCH("SEND NOTICE",AJ154)))</formula>
    </cfRule>
  </conditionalFormatting>
  <conditionalFormatting sqref="AI18">
    <cfRule type="containsText" dxfId="352" priority="47" operator="containsText" text="SEND NOTICE">
      <formula>NOT(ISERROR(SEARCH("SEND NOTICE",AI18)))</formula>
    </cfRule>
  </conditionalFormatting>
  <conditionalFormatting sqref="AI17">
    <cfRule type="containsText" dxfId="351" priority="46" operator="containsText" text="SEND NOTICE">
      <formula>NOT(ISERROR(SEARCH("SEND NOTICE",AI17)))</formula>
    </cfRule>
  </conditionalFormatting>
  <conditionalFormatting sqref="R72">
    <cfRule type="cellIs" dxfId="350" priority="45" operator="equal">
      <formula>#REF!</formula>
    </cfRule>
  </conditionalFormatting>
  <conditionalFormatting sqref="T72">
    <cfRule type="cellIs" dxfId="349" priority="44" operator="equal">
      <formula>#REF!</formula>
    </cfRule>
  </conditionalFormatting>
  <conditionalFormatting sqref="AJ155:AJ158 AJ160:AJ163">
    <cfRule type="containsText" dxfId="348" priority="43" operator="containsText" text="SEND NOTICE">
      <formula>NOT(ISERROR(SEARCH("SEND NOTICE",AJ155)))</formula>
    </cfRule>
  </conditionalFormatting>
  <conditionalFormatting sqref="AJ159">
    <cfRule type="containsText" dxfId="347" priority="42" operator="containsText" text="SEND NOTICE">
      <formula>NOT(ISERROR(SEARCH("SEND NOTICE",AJ159)))</formula>
    </cfRule>
  </conditionalFormatting>
  <conditionalFormatting sqref="R159 T159 V159:W159">
    <cfRule type="cellIs" dxfId="346" priority="41" operator="equal">
      <formula>#REF!</formula>
    </cfRule>
  </conditionalFormatting>
  <conditionalFormatting sqref="R160 T160">
    <cfRule type="cellIs" dxfId="345" priority="40" operator="equal">
      <formula>#REF!</formula>
    </cfRule>
  </conditionalFormatting>
  <conditionalFormatting sqref="R161 T161">
    <cfRule type="cellIs" dxfId="344" priority="39" operator="equal">
      <formula>#REF!</formula>
    </cfRule>
  </conditionalFormatting>
  <conditionalFormatting sqref="W160:W161">
    <cfRule type="cellIs" dxfId="343" priority="38" operator="equal">
      <formula>#REF!</formula>
    </cfRule>
  </conditionalFormatting>
  <conditionalFormatting sqref="V160">
    <cfRule type="cellIs" dxfId="342" priority="37" operator="equal">
      <formula>#REF!</formula>
    </cfRule>
  </conditionalFormatting>
  <conditionalFormatting sqref="V161">
    <cfRule type="cellIs" dxfId="341" priority="36" operator="equal">
      <formula>#REF!</formula>
    </cfRule>
  </conditionalFormatting>
  <conditionalFormatting sqref="R162 T162">
    <cfRule type="cellIs" dxfId="340" priority="35" operator="equal">
      <formula>#REF!</formula>
    </cfRule>
  </conditionalFormatting>
  <conditionalFormatting sqref="W162">
    <cfRule type="cellIs" dxfId="339" priority="34" operator="equal">
      <formula>#REF!</formula>
    </cfRule>
  </conditionalFormatting>
  <conditionalFormatting sqref="V162">
    <cfRule type="cellIs" dxfId="338" priority="33" operator="equal">
      <formula>#REF!</formula>
    </cfRule>
  </conditionalFormatting>
  <conditionalFormatting sqref="R163 T163">
    <cfRule type="cellIs" dxfId="337" priority="32" operator="equal">
      <formula>#REF!</formula>
    </cfRule>
  </conditionalFormatting>
  <conditionalFormatting sqref="V163">
    <cfRule type="cellIs" dxfId="336" priority="31" operator="equal">
      <formula>#REF!</formula>
    </cfRule>
  </conditionalFormatting>
  <conditionalFormatting sqref="W163">
    <cfRule type="cellIs" dxfId="335" priority="30" operator="equal">
      <formula>#REF!</formula>
    </cfRule>
  </conditionalFormatting>
  <conditionalFormatting sqref="V72">
    <cfRule type="cellIs" dxfId="334" priority="29" operator="equal">
      <formula>#REF!</formula>
    </cfRule>
  </conditionalFormatting>
  <conditionalFormatting sqref="Z72:AA72">
    <cfRule type="cellIs" dxfId="333" priority="28" operator="equal">
      <formula>#REF!</formula>
    </cfRule>
  </conditionalFormatting>
  <conditionalFormatting sqref="R164:R165">
    <cfRule type="cellIs" dxfId="332" priority="27" operator="equal">
      <formula>#REF!</formula>
    </cfRule>
  </conditionalFormatting>
  <conditionalFormatting sqref="V164:V165">
    <cfRule type="cellIs" dxfId="331" priority="26" operator="equal">
      <formula>#REF!</formula>
    </cfRule>
  </conditionalFormatting>
  <conditionalFormatting sqref="T164">
    <cfRule type="cellIs" dxfId="330" priority="25" operator="equal">
      <formula>#REF!</formula>
    </cfRule>
  </conditionalFormatting>
  <conditionalFormatting sqref="W164">
    <cfRule type="cellIs" dxfId="329" priority="24" operator="equal">
      <formula>#REF!</formula>
    </cfRule>
  </conditionalFormatting>
  <conditionalFormatting sqref="T165">
    <cfRule type="cellIs" dxfId="328" priority="23" operator="equal">
      <formula>#REF!</formula>
    </cfRule>
  </conditionalFormatting>
  <conditionalFormatting sqref="W165">
    <cfRule type="cellIs" dxfId="327" priority="22" operator="equal">
      <formula>#REF!</formula>
    </cfRule>
  </conditionalFormatting>
  <conditionalFormatting sqref="R166">
    <cfRule type="cellIs" dxfId="326" priority="21" operator="equal">
      <formula>#REF!</formula>
    </cfRule>
  </conditionalFormatting>
  <conditionalFormatting sqref="V166">
    <cfRule type="cellIs" dxfId="325" priority="20" operator="equal">
      <formula>#REF!</formula>
    </cfRule>
  </conditionalFormatting>
  <conditionalFormatting sqref="T166">
    <cfRule type="cellIs" dxfId="324" priority="19" operator="equal">
      <formula>#REF!</formula>
    </cfRule>
  </conditionalFormatting>
  <conditionalFormatting sqref="W166">
    <cfRule type="cellIs" dxfId="323" priority="18" operator="equal">
      <formula>#REF!</formula>
    </cfRule>
  </conditionalFormatting>
  <conditionalFormatting sqref="W168">
    <cfRule type="cellIs" dxfId="322" priority="17" operator="equal">
      <formula>#REF!</formula>
    </cfRule>
  </conditionalFormatting>
  <conditionalFormatting sqref="V167">
    <cfRule type="cellIs" dxfId="321" priority="16" operator="equal">
      <formula>#REF!</formula>
    </cfRule>
  </conditionalFormatting>
  <conditionalFormatting sqref="T167">
    <cfRule type="cellIs" dxfId="320" priority="15" operator="equal">
      <formula>#REF!</formula>
    </cfRule>
  </conditionalFormatting>
  <conditionalFormatting sqref="W167">
    <cfRule type="cellIs" dxfId="319" priority="14" operator="equal">
      <formula>#REF!</formula>
    </cfRule>
  </conditionalFormatting>
  <conditionalFormatting sqref="S66">
    <cfRule type="cellIs" dxfId="318" priority="13" operator="equal">
      <formula>#REF!</formula>
    </cfRule>
  </conditionalFormatting>
  <conditionalFormatting sqref="T169:T170">
    <cfRule type="cellIs" dxfId="317" priority="12" operator="equal">
      <formula>#REF!</formula>
    </cfRule>
  </conditionalFormatting>
  <conditionalFormatting sqref="AJ170">
    <cfRule type="containsText" dxfId="316" priority="11" operator="containsText" text="SEND NOTICE">
      <formula>NOT(ISERROR(SEARCH("SEND NOTICE",AJ170)))</formula>
    </cfRule>
  </conditionalFormatting>
  <conditionalFormatting sqref="T171">
    <cfRule type="cellIs" dxfId="315" priority="10" operator="equal">
      <formula>#REF!</formula>
    </cfRule>
  </conditionalFormatting>
  <conditionalFormatting sqref="T172">
    <cfRule type="cellIs" dxfId="314" priority="9" operator="equal">
      <formula>#REF!</formula>
    </cfRule>
  </conditionalFormatting>
  <conditionalFormatting sqref="T173">
    <cfRule type="cellIs" dxfId="313" priority="8" operator="equal">
      <formula>#REF!</formula>
    </cfRule>
  </conditionalFormatting>
  <conditionalFormatting sqref="T174:T175">
    <cfRule type="cellIs" dxfId="312" priority="7" operator="equal">
      <formula>#REF!</formula>
    </cfRule>
  </conditionalFormatting>
  <conditionalFormatting sqref="R176">
    <cfRule type="cellIs" dxfId="311" priority="6" operator="equal">
      <formula>#REF!</formula>
    </cfRule>
  </conditionalFormatting>
  <conditionalFormatting sqref="V176">
    <cfRule type="cellIs" dxfId="310" priority="5" operator="equal">
      <formula>#REF!</formula>
    </cfRule>
  </conditionalFormatting>
  <conditionalFormatting sqref="T176">
    <cfRule type="cellIs" dxfId="309" priority="4" operator="equal">
      <formula>#REF!</formula>
    </cfRule>
  </conditionalFormatting>
  <conditionalFormatting sqref="R177">
    <cfRule type="cellIs" dxfId="308" priority="3" operator="equal">
      <formula>#REF!</formula>
    </cfRule>
  </conditionalFormatting>
  <conditionalFormatting sqref="W177">
    <cfRule type="cellIs" dxfId="307" priority="2" operator="equal">
      <formula>#REF!</formula>
    </cfRule>
  </conditionalFormatting>
  <conditionalFormatting sqref="T177">
    <cfRule type="cellIs" dxfId="306" priority="1" operator="equal">
      <formula>#REF!</formula>
    </cfRule>
  </conditionalFormatting>
  <pageMargins left="0.25" right="0.25" top="0.75" bottom="0.75" header="0.3" footer="0.3"/>
  <pageSetup paperSize="9" scale="10" orientation="landscape"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D132D-1C86-477F-8713-D9C970E2F830}">
  <sheetPr codeName="Sheet32">
    <tabColor theme="5" tint="0.79998168889431442"/>
    <pageSetUpPr fitToPage="1"/>
  </sheetPr>
  <dimension ref="A1:BO215"/>
  <sheetViews>
    <sheetView topLeftCell="A2" workbookViewId="0"/>
  </sheetViews>
  <sheetFormatPr defaultColWidth="9.140625" defaultRowHeight="12.75" outlineLevelCol="1" x14ac:dyDescent="0.2"/>
  <cols>
    <col min="1" max="1" width="36.85546875" style="21" customWidth="1"/>
    <col min="2" max="3" width="8.140625" style="21" customWidth="1"/>
    <col min="4" max="4" width="14.7109375" style="11" customWidth="1"/>
    <col min="5" max="5" width="14.28515625" style="12" customWidth="1" outlineLevel="1"/>
    <col min="6" max="6" width="13.28515625" style="11" customWidth="1"/>
    <col min="7" max="7" width="25.7109375" style="11" customWidth="1"/>
    <col min="8" max="8" width="24.85546875" style="11" customWidth="1" outlineLevel="1"/>
    <col min="9" max="9" width="28.7109375" style="11" customWidth="1"/>
    <col min="10" max="10" width="30.42578125" style="21" customWidth="1"/>
    <col min="11" max="11" width="21.42578125" style="11" customWidth="1"/>
    <col min="12" max="12" width="14.5703125" style="11" customWidth="1"/>
    <col min="13" max="13" width="9.85546875" style="11" customWidth="1" outlineLevel="1"/>
    <col min="14" max="14" width="8.5703125" style="11" customWidth="1"/>
    <col min="15" max="15" width="20.5703125" style="11" customWidth="1"/>
    <col min="16" max="16" width="9" style="11" customWidth="1"/>
    <col min="17" max="17" width="11.28515625" style="11" customWidth="1"/>
    <col min="18" max="18" width="8.42578125" style="19" customWidth="1"/>
    <col min="19" max="19" width="13.85546875" style="11" customWidth="1"/>
    <col min="20" max="20" width="11.5703125" style="293" customWidth="1"/>
    <col min="21" max="21" width="14" style="11" customWidth="1"/>
    <col min="22" max="22" width="14.42578125" style="11" customWidth="1"/>
    <col min="23" max="23" width="17" style="11" customWidth="1"/>
    <col min="24" max="25" width="11.28515625" style="11" customWidth="1"/>
    <col min="26" max="26" width="12.28515625" style="11" customWidth="1"/>
    <col min="27" max="27" width="11.7109375" style="20" customWidth="1"/>
    <col min="28" max="28" width="11.42578125" style="11" customWidth="1"/>
    <col min="29" max="29" width="11.28515625" style="11" customWidth="1"/>
    <col min="30" max="30" width="8.42578125" style="19" customWidth="1"/>
    <col min="31" max="31" width="8" style="11" customWidth="1"/>
    <col min="32" max="32" width="7.5703125" style="11" customWidth="1"/>
    <col min="33" max="33" width="11.140625" style="19" customWidth="1"/>
    <col min="34" max="34" width="8.85546875" style="11" customWidth="1"/>
    <col min="35" max="35" width="8.42578125" style="11" customWidth="1"/>
    <col min="36" max="36" width="11.140625" style="11" customWidth="1"/>
    <col min="37" max="37" width="16.42578125" style="11" customWidth="1"/>
    <col min="38" max="38" width="12.28515625" style="11" customWidth="1"/>
    <col min="39" max="39" width="22.5703125" style="11" customWidth="1"/>
    <col min="40" max="40" width="9.140625" style="11" customWidth="1"/>
    <col min="41" max="41" width="10.42578125" style="11" customWidth="1"/>
    <col min="42" max="42" width="13.28515625" style="11" customWidth="1"/>
    <col min="43" max="43" width="25.7109375" style="11" customWidth="1"/>
    <col min="44" max="44" width="10.42578125" style="11" customWidth="1"/>
    <col min="45" max="51" width="13.5703125" style="11" customWidth="1"/>
    <col min="52" max="52" width="22.140625" style="11" customWidth="1"/>
    <col min="53" max="54" width="3.42578125" style="11" customWidth="1"/>
    <col min="55" max="55" width="10.7109375" style="11" customWidth="1"/>
    <col min="56" max="56" width="10.42578125" style="11" customWidth="1"/>
    <col min="57" max="58" width="9.42578125" style="11" customWidth="1"/>
    <col min="59" max="59" width="10.140625" style="11" customWidth="1"/>
    <col min="60" max="63" width="9.140625" style="11" customWidth="1"/>
    <col min="64" max="64" width="21.28515625" style="11" customWidth="1"/>
    <col min="65" max="65" width="9.140625" style="11"/>
    <col min="66" max="66" width="17" style="11" customWidth="1"/>
    <col min="67" max="67" width="12.85546875" style="11" bestFit="1" customWidth="1"/>
    <col min="68" max="16384" width="9.140625" style="11"/>
  </cols>
  <sheetData>
    <row r="1" spans="1:66" hidden="1" x14ac:dyDescent="0.2">
      <c r="A1" s="126" t="e">
        <f>#REF!</f>
        <v>#REF!</v>
      </c>
      <c r="B1" s="125"/>
      <c r="C1" s="125"/>
      <c r="D1" s="124"/>
      <c r="E1" s="233"/>
      <c r="F1" s="124"/>
      <c r="N1" s="124"/>
      <c r="AP1" s="195"/>
      <c r="AQ1" s="196"/>
      <c r="AR1" s="196"/>
      <c r="AS1" s="196"/>
      <c r="AT1" s="196"/>
      <c r="AU1" s="196"/>
      <c r="AV1" s="196"/>
      <c r="AW1" s="196"/>
      <c r="AX1" s="196"/>
      <c r="AY1" s="196"/>
      <c r="AZ1" s="196"/>
      <c r="BA1" s="196"/>
      <c r="BB1" s="196"/>
      <c r="BC1" s="196"/>
      <c r="BD1" s="196"/>
      <c r="BE1" s="196"/>
      <c r="BF1" s="196"/>
      <c r="BG1" s="196"/>
      <c r="BH1" s="196"/>
      <c r="BI1" s="196"/>
      <c r="BJ1" s="196"/>
    </row>
    <row r="2" spans="1:66" s="288" customFormat="1" ht="64.5" thickBot="1" x14ac:dyDescent="0.25">
      <c r="A2" s="279" t="s">
        <v>14</v>
      </c>
      <c r="B2" s="122" t="s">
        <v>63</v>
      </c>
      <c r="C2" s="122" t="s">
        <v>1140</v>
      </c>
      <c r="D2" s="122" t="s">
        <v>84</v>
      </c>
      <c r="E2" s="122" t="s">
        <v>468</v>
      </c>
      <c r="F2" s="122" t="s">
        <v>467</v>
      </c>
      <c r="G2" s="122" t="s">
        <v>81</v>
      </c>
      <c r="H2" s="122" t="s">
        <v>82</v>
      </c>
      <c r="I2" s="122" t="s">
        <v>83</v>
      </c>
      <c r="J2" s="122" t="s">
        <v>2</v>
      </c>
      <c r="K2" s="122" t="s">
        <v>217</v>
      </c>
      <c r="L2" s="122" t="s">
        <v>39</v>
      </c>
      <c r="M2" s="280" t="s">
        <v>5</v>
      </c>
      <c r="N2" s="281" t="s">
        <v>427</v>
      </c>
      <c r="O2" s="282" t="s">
        <v>41</v>
      </c>
      <c r="P2" s="282" t="s">
        <v>535</v>
      </c>
      <c r="Q2" s="282" t="s">
        <v>536</v>
      </c>
      <c r="R2" s="283" t="s">
        <v>403</v>
      </c>
      <c r="S2" s="284" t="s">
        <v>479</v>
      </c>
      <c r="T2" s="284" t="s">
        <v>430</v>
      </c>
      <c r="U2" s="332" t="s">
        <v>431</v>
      </c>
      <c r="V2" s="284" t="s">
        <v>783</v>
      </c>
      <c r="W2" s="284" t="s">
        <v>754</v>
      </c>
      <c r="X2" s="284" t="s">
        <v>12</v>
      </c>
      <c r="Y2" s="284" t="s">
        <v>573</v>
      </c>
      <c r="Z2" s="284" t="s">
        <v>471</v>
      </c>
      <c r="AA2" s="284" t="s">
        <v>433</v>
      </c>
      <c r="AB2" s="284" t="s">
        <v>15</v>
      </c>
      <c r="AC2" s="285" t="s">
        <v>17</v>
      </c>
      <c r="AD2" s="285" t="s">
        <v>18</v>
      </c>
      <c r="AE2" s="285" t="s">
        <v>434</v>
      </c>
      <c r="AF2" s="285" t="s">
        <v>435</v>
      </c>
      <c r="AG2" s="285" t="s">
        <v>436</v>
      </c>
      <c r="AH2" s="286" t="s">
        <v>46</v>
      </c>
      <c r="AI2" s="286" t="s">
        <v>19</v>
      </c>
      <c r="AJ2" s="286" t="s">
        <v>20</v>
      </c>
      <c r="AK2" s="286" t="s">
        <v>170</v>
      </c>
      <c r="AL2" s="286" t="s">
        <v>241</v>
      </c>
      <c r="AM2" s="283" t="s">
        <v>324</v>
      </c>
      <c r="AN2" s="287" t="s">
        <v>482</v>
      </c>
      <c r="AO2" s="287" t="s">
        <v>481</v>
      </c>
      <c r="AP2" s="281" t="s">
        <v>612</v>
      </c>
      <c r="AQ2" s="281" t="s">
        <v>613</v>
      </c>
      <c r="AR2" s="306" t="s">
        <v>614</v>
      </c>
      <c r="AS2" s="306" t="s">
        <v>615</v>
      </c>
      <c r="AT2" s="287" t="s">
        <v>616</v>
      </c>
      <c r="AU2" s="287" t="s">
        <v>617</v>
      </c>
      <c r="AV2" s="287" t="s">
        <v>618</v>
      </c>
      <c r="AW2" s="306" t="s">
        <v>619</v>
      </c>
      <c r="AX2" s="307" t="s">
        <v>620</v>
      </c>
      <c r="AY2" s="287" t="s">
        <v>1209</v>
      </c>
      <c r="AZ2" s="306" t="s">
        <v>623</v>
      </c>
      <c r="BC2" s="289">
        <v>44986</v>
      </c>
      <c r="BD2" s="289">
        <v>44896</v>
      </c>
      <c r="BE2" s="289">
        <v>44805</v>
      </c>
      <c r="BF2" s="289">
        <v>44713</v>
      </c>
      <c r="BG2" s="289">
        <v>44621</v>
      </c>
      <c r="BH2" s="289">
        <v>44531</v>
      </c>
      <c r="BI2" s="289">
        <v>44440</v>
      </c>
      <c r="BJ2" s="289">
        <v>44348</v>
      </c>
      <c r="BK2" s="317"/>
      <c r="BL2" s="285" t="s">
        <v>893</v>
      </c>
      <c r="BN2" s="285" t="s">
        <v>898</v>
      </c>
    </row>
    <row r="3" spans="1:66" ht="39.950000000000003" customHeight="1" thickTop="1" x14ac:dyDescent="0.2">
      <c r="A3" s="111" t="s">
        <v>25</v>
      </c>
      <c r="B3" s="65" t="s">
        <v>24</v>
      </c>
      <c r="C3" s="65" t="s">
        <v>1143</v>
      </c>
      <c r="D3" s="110" t="s">
        <v>34</v>
      </c>
      <c r="E3" s="111" t="s">
        <v>34</v>
      </c>
      <c r="F3" s="130" t="s">
        <v>34</v>
      </c>
      <c r="G3" s="14" t="s">
        <v>543</v>
      </c>
      <c r="H3" s="14" t="s">
        <v>97</v>
      </c>
      <c r="I3" s="14" t="s">
        <v>186</v>
      </c>
      <c r="J3" s="66" t="s">
        <v>26</v>
      </c>
      <c r="K3" s="66" t="s">
        <v>26</v>
      </c>
      <c r="L3" s="13" t="s">
        <v>45</v>
      </c>
      <c r="M3" s="65" t="s">
        <v>191</v>
      </c>
      <c r="N3" s="65" t="s">
        <v>323</v>
      </c>
      <c r="O3" s="65" t="s">
        <v>43</v>
      </c>
      <c r="P3" s="65" t="s">
        <v>531</v>
      </c>
      <c r="Q3" s="65" t="s">
        <v>534</v>
      </c>
      <c r="R3" s="64" t="s">
        <v>8</v>
      </c>
      <c r="S3" s="62">
        <v>10000</v>
      </c>
      <c r="T3" s="62">
        <v>5693.72</v>
      </c>
      <c r="U3" s="62">
        <f>Table12117[[#This Row],[Amortised Limit in Original Currency]]</f>
        <v>5693.72</v>
      </c>
      <c r="V3" s="62">
        <v>32395.415789999999</v>
      </c>
      <c r="W3" s="62">
        <f>658778.47+65570+58206</f>
        <v>782554.47</v>
      </c>
      <c r="X3" s="61" t="s">
        <v>11</v>
      </c>
      <c r="Y3" s="181">
        <f>1%/0.6</f>
        <v>1.6666666666666666E-2</v>
      </c>
      <c r="Z3" s="105">
        <v>41884</v>
      </c>
      <c r="AA3" s="60">
        <v>44806</v>
      </c>
      <c r="AB3" s="60">
        <v>45173</v>
      </c>
      <c r="AC3" s="58">
        <f>AB3-Z3+1</f>
        <v>3290</v>
      </c>
      <c r="AD3" s="59" t="e">
        <f>IF(AB3-$A$1&gt;60,"No","Yes")</f>
        <v>#REF!</v>
      </c>
      <c r="AE3" s="58" t="e">
        <f>AB3-#REF!</f>
        <v>#REF!</v>
      </c>
      <c r="AF3" s="57" t="e">
        <f t="shared" ref="AF3:AF14" si="0">AE3/365</f>
        <v>#REF!</v>
      </c>
      <c r="AG3" s="56"/>
      <c r="AH3" s="71" t="s">
        <v>1</v>
      </c>
      <c r="AI3" s="71" t="s">
        <v>1</v>
      </c>
      <c r="AJ3" s="70" t="s">
        <v>888</v>
      </c>
      <c r="AK3" s="11" t="e">
        <f>+IF(AB3-60&lt;$A$1, "SEND NOTICE", "N/A")</f>
        <v>#REF!</v>
      </c>
      <c r="AL3" s="11" t="s">
        <v>271</v>
      </c>
      <c r="AM3" s="14" t="s">
        <v>327</v>
      </c>
      <c r="AN3" s="11">
        <v>25104.400000000001</v>
      </c>
      <c r="AO3" s="11">
        <v>45000</v>
      </c>
      <c r="AP3" s="197" t="str">
        <f>Table12117[[#This Row],[Risk Location ]]</f>
        <v>Australia</v>
      </c>
      <c r="AQ3" s="198" t="str">
        <f>Table12117[[#This Row],[Sector (GICS Industry Group)]]</f>
        <v>Industrials</v>
      </c>
      <c r="AT3" s="212">
        <f>Table12117[[#This Row],[Percentage Impact]]*Table12117[[#This Row],[Amortised Limit A$ Balance]]</f>
        <v>0</v>
      </c>
      <c r="AU3" s="212">
        <f>Table12117[[#This Row],[Amortised Limit A$ Balance]]*12%</f>
        <v>683.24639999999999</v>
      </c>
      <c r="AV3" s="212" t="b">
        <f>IF(Table12117[[#This Row],[Everest]]="Everest",Table12117[[#This Row],[Assetinsure Amount ]]*0.2)</f>
        <v>0</v>
      </c>
      <c r="AW3" s="212"/>
      <c r="AX3" s="212">
        <f>MIN(Table12117[[#This Row],[Assetinsure Amount ]]-Table12117[[#This Row],[Reinsurance Everest Re]],Table12117[[#This Row],[Total Amount]])</f>
        <v>0</v>
      </c>
      <c r="AY3" s="212">
        <f t="shared" ref="AY3:AY66" si="1">+BD3</f>
        <v>0</v>
      </c>
      <c r="BC3" s="212">
        <v>0</v>
      </c>
      <c r="BD3" s="212">
        <v>0</v>
      </c>
      <c r="BE3" s="212">
        <v>0</v>
      </c>
      <c r="BF3" s="212">
        <v>0</v>
      </c>
      <c r="BG3" s="212">
        <v>0</v>
      </c>
      <c r="BI3" s="11">
        <v>0</v>
      </c>
      <c r="BL3" s="58" t="s">
        <v>945</v>
      </c>
      <c r="BM3" s="112"/>
      <c r="BN3" s="58"/>
    </row>
    <row r="4" spans="1:66" ht="25.5" x14ac:dyDescent="0.2">
      <c r="A4" s="13" t="s">
        <v>30</v>
      </c>
      <c r="B4" s="65" t="s">
        <v>24</v>
      </c>
      <c r="C4" s="65" t="s">
        <v>1142</v>
      </c>
      <c r="D4" s="66" t="s">
        <v>34</v>
      </c>
      <c r="E4" s="14" t="s">
        <v>34</v>
      </c>
      <c r="F4" s="130" t="s">
        <v>34</v>
      </c>
      <c r="G4" s="66" t="s">
        <v>545</v>
      </c>
      <c r="H4" s="66" t="s">
        <v>85</v>
      </c>
      <c r="I4" s="66" t="s">
        <v>99</v>
      </c>
      <c r="J4" s="66" t="s">
        <v>232</v>
      </c>
      <c r="K4" s="66" t="s">
        <v>21</v>
      </c>
      <c r="L4" s="13" t="s">
        <v>139</v>
      </c>
      <c r="M4" s="65" t="s">
        <v>191</v>
      </c>
      <c r="N4" s="65" t="s">
        <v>323</v>
      </c>
      <c r="O4" s="65" t="s">
        <v>43</v>
      </c>
      <c r="P4" s="65" t="s">
        <v>538</v>
      </c>
      <c r="Q4" s="65" t="s">
        <v>534</v>
      </c>
      <c r="R4" s="64" t="s">
        <v>8</v>
      </c>
      <c r="S4" s="62">
        <v>25000</v>
      </c>
      <c r="T4" s="62">
        <v>17943.338039999999</v>
      </c>
      <c r="U4" s="62">
        <f>Table12117[[#This Row],[Amortised Limit in Original Currency]]</f>
        <v>17943.338039999999</v>
      </c>
      <c r="V4" s="62">
        <v>35886.676079999997</v>
      </c>
      <c r="W4" s="62">
        <f>2930540.94-212645+325000-509005.96+77599.4+13215</f>
        <v>2624704.38</v>
      </c>
      <c r="X4" s="61" t="s">
        <v>551</v>
      </c>
      <c r="Y4" s="181">
        <v>0.05</v>
      </c>
      <c r="Z4" s="105">
        <v>42152</v>
      </c>
      <c r="AA4" s="105">
        <v>45441</v>
      </c>
      <c r="AB4" s="60">
        <f>Table12117[[#This Row],[Expiry Date]]</f>
        <v>45441</v>
      </c>
      <c r="AC4" s="58">
        <f>AB4-Z4+1</f>
        <v>3290</v>
      </c>
      <c r="AD4" s="59" t="e">
        <f>IF(AB4-$A$1&gt;60,"No","Yes")</f>
        <v>#REF!</v>
      </c>
      <c r="AE4" s="58" t="e">
        <f>AB4-#REF!</f>
        <v>#REF!</v>
      </c>
      <c r="AF4" s="57" t="e">
        <f t="shared" si="0"/>
        <v>#REF!</v>
      </c>
      <c r="AG4" s="56" t="s">
        <v>436</v>
      </c>
      <c r="AH4" s="71" t="s">
        <v>1</v>
      </c>
      <c r="AI4" s="71" t="s">
        <v>1</v>
      </c>
      <c r="AJ4" s="70" t="s">
        <v>0</v>
      </c>
      <c r="AK4" s="11" t="e">
        <f t="shared" ref="AK4:AK67" si="2">+IF(AB4-60&lt;$A$1, "SEND NOTICE", "N/A")</f>
        <v>#REF!</v>
      </c>
      <c r="AL4" s="11" t="s">
        <v>271</v>
      </c>
      <c r="AM4" s="13" t="s">
        <v>328</v>
      </c>
      <c r="AN4" s="11">
        <v>15700</v>
      </c>
      <c r="AO4" s="213">
        <v>50000</v>
      </c>
      <c r="AP4" s="197" t="str">
        <f>Table12117[[#This Row],[Risk Location ]]</f>
        <v>Australia</v>
      </c>
      <c r="AQ4" s="198" t="str">
        <f>Table12117[[#This Row],[Sector (GICS Industry Group)]]</f>
        <v>Financials</v>
      </c>
      <c r="AR4" s="199">
        <v>1</v>
      </c>
      <c r="AS4" s="214">
        <v>4.4999999999999998E-2</v>
      </c>
      <c r="AT4" s="212">
        <f>Table12117[[#This Row],[Percentage Impact]]*Table12117[[#This Row],[Amortised Limit A$ Balance]]</f>
        <v>807.45021179999992</v>
      </c>
      <c r="AU4" s="212">
        <f>Table12117[[#This Row],[Amortised Limit A$ Balance]]*12%</f>
        <v>2153.2005647999999</v>
      </c>
      <c r="AV4" s="212">
        <f>IF(Table12117[[#This Row],[Everest]]="Everest",Table12117[[#This Row],[Assetinsure Amount ]]*0.2)</f>
        <v>430.64011296000001</v>
      </c>
      <c r="AW4" s="212"/>
      <c r="AX4" s="212">
        <f>MIN(Table12117[[#This Row],[Assetinsure Amount ]]-Table12117[[#This Row],[Reinsurance Everest Re]],Table12117[[#This Row],[Total Amount]])</f>
        <v>807.45021179999992</v>
      </c>
      <c r="AY4" s="212">
        <f>+BD4</f>
        <v>897.16690199999994</v>
      </c>
      <c r="AZ4" s="12" t="s">
        <v>1214</v>
      </c>
      <c r="BC4" s="212">
        <v>448.58345099999997</v>
      </c>
      <c r="BD4" s="212">
        <v>897.16690199999994</v>
      </c>
      <c r="BE4" s="212">
        <v>477.5</v>
      </c>
      <c r="BF4" s="212">
        <v>477.5</v>
      </c>
      <c r="BG4" s="212">
        <v>477.5</v>
      </c>
      <c r="BH4" s="212">
        <v>1134.7452000000001</v>
      </c>
      <c r="BI4" s="226">
        <v>1134.7452000000001</v>
      </c>
      <c r="BJ4" s="226">
        <v>1134.7452000000001</v>
      </c>
      <c r="BL4" s="58" t="s">
        <v>926</v>
      </c>
      <c r="BM4" s="112"/>
      <c r="BN4" s="58"/>
    </row>
    <row r="5" spans="1:66" ht="39.950000000000003" customHeight="1" x14ac:dyDescent="0.2">
      <c r="A5" s="13" t="s">
        <v>62</v>
      </c>
      <c r="B5" s="65" t="s">
        <v>24</v>
      </c>
      <c r="C5" s="65" t="s">
        <v>1143</v>
      </c>
      <c r="D5" s="66" t="s">
        <v>37</v>
      </c>
      <c r="E5" s="14" t="s">
        <v>540</v>
      </c>
      <c r="F5" s="77" t="s">
        <v>90</v>
      </c>
      <c r="G5" s="14" t="s">
        <v>102</v>
      </c>
      <c r="H5" s="14" t="s">
        <v>102</v>
      </c>
      <c r="I5" s="66" t="s">
        <v>110</v>
      </c>
      <c r="J5" s="66" t="s">
        <v>55</v>
      </c>
      <c r="K5" s="66" t="s">
        <v>218</v>
      </c>
      <c r="L5" s="13" t="s">
        <v>101</v>
      </c>
      <c r="M5" s="65" t="s">
        <v>191</v>
      </c>
      <c r="N5" s="13" t="s">
        <v>323</v>
      </c>
      <c r="O5" s="13" t="s">
        <v>43</v>
      </c>
      <c r="P5" s="13" t="s">
        <v>531</v>
      </c>
      <c r="Q5" s="65" t="s">
        <v>534</v>
      </c>
      <c r="R5" s="64" t="s">
        <v>59</v>
      </c>
      <c r="S5" s="62" t="e">
        <f>20000/EUR</f>
        <v>#REF!</v>
      </c>
      <c r="T5" s="62" t="e">
        <f>U5*EUR</f>
        <v>#REF!</v>
      </c>
      <c r="U5" s="62" t="e">
        <f>16680/EUR</f>
        <v>#REF!</v>
      </c>
      <c r="V5" s="62" t="e">
        <f>83400/EUR</f>
        <v>#REF!</v>
      </c>
      <c r="W5" s="62" t="e">
        <f>1407939/EUR</f>
        <v>#REF!</v>
      </c>
      <c r="X5" s="61" t="s">
        <v>11</v>
      </c>
      <c r="Y5" s="181">
        <f>1.33%/0.6</f>
        <v>2.2166666666666668E-2</v>
      </c>
      <c r="Z5" s="60">
        <v>42879</v>
      </c>
      <c r="AA5" s="105">
        <v>45084</v>
      </c>
      <c r="AB5" s="105">
        <v>45084</v>
      </c>
      <c r="AC5" s="58">
        <f>AB5-Z5+1</f>
        <v>2206</v>
      </c>
      <c r="AD5" s="59" t="e">
        <f>IF(AB5-$A$1&gt;60,"No","Yes")</f>
        <v>#REF!</v>
      </c>
      <c r="AE5" s="58" t="e">
        <f>AB5-#REF!</f>
        <v>#REF!</v>
      </c>
      <c r="AF5" s="57" t="e">
        <f t="shared" si="0"/>
        <v>#REF!</v>
      </c>
      <c r="AG5" s="56"/>
      <c r="AH5" s="71" t="s">
        <v>1</v>
      </c>
      <c r="AI5" s="71" t="s">
        <v>1</v>
      </c>
      <c r="AJ5" s="70" t="s">
        <v>0</v>
      </c>
      <c r="AK5" s="11" t="e">
        <f t="shared" si="2"/>
        <v>#REF!</v>
      </c>
      <c r="AL5" s="11" t="s">
        <v>271</v>
      </c>
      <c r="AM5" s="13" t="s">
        <v>331</v>
      </c>
      <c r="AN5" s="11">
        <v>10000</v>
      </c>
      <c r="AO5" s="11">
        <v>120000</v>
      </c>
      <c r="AP5" s="197" t="str">
        <f>Table12117[[#This Row],[Risk Location ]]</f>
        <v>Tahiti</v>
      </c>
      <c r="AQ5" s="198" t="str">
        <f>Table12117[[#This Row],[Sector (GICS Industry Group)]]</f>
        <v>Real Estate Investment</v>
      </c>
      <c r="AT5" s="212" t="e">
        <f>Table12117[[#This Row],[Percentage Impact]]*Table12117[[#This Row],[Amortised Limit A$ Balance]]</f>
        <v>#REF!</v>
      </c>
      <c r="AU5" s="212" t="e">
        <f>Table12117[[#This Row],[Amortised Limit A$ Balance]]*12%</f>
        <v>#REF!</v>
      </c>
      <c r="AV5" s="212" t="b">
        <f>IF(Table12117[[#This Row],[Everest]]="Everest",Table12117[[#This Row],[Assetinsure Amount ]]*0.2)</f>
        <v>0</v>
      </c>
      <c r="AW5" s="212"/>
      <c r="AX5" s="212" t="e">
        <f>MIN(Table12117[[#This Row],[Assetinsure Amount ]]-Table12117[[#This Row],[Reinsurance Everest Re]],Table12117[[#This Row],[Total Amount]])</f>
        <v>#REF!</v>
      </c>
      <c r="AY5" s="212">
        <f t="shared" si="1"/>
        <v>0</v>
      </c>
      <c r="BC5" s="212">
        <v>0</v>
      </c>
      <c r="BD5" s="212">
        <v>0</v>
      </c>
      <c r="BE5" s="212">
        <v>0</v>
      </c>
      <c r="BF5" s="212">
        <v>0</v>
      </c>
      <c r="BG5" s="212">
        <v>0</v>
      </c>
      <c r="BH5" s="212">
        <v>0</v>
      </c>
      <c r="BI5" s="226">
        <v>0</v>
      </c>
      <c r="BJ5" s="226"/>
      <c r="BL5" s="58" t="s">
        <v>947</v>
      </c>
      <c r="BM5" s="112"/>
      <c r="BN5" s="58"/>
    </row>
    <row r="6" spans="1:66" ht="39.950000000000003" customHeight="1" x14ac:dyDescent="0.2">
      <c r="A6" s="269" t="s">
        <v>65</v>
      </c>
      <c r="B6" s="65" t="s">
        <v>24</v>
      </c>
      <c r="C6" s="65" t="s">
        <v>1142</v>
      </c>
      <c r="D6" s="66" t="s">
        <v>38</v>
      </c>
      <c r="E6" s="14" t="s">
        <v>540</v>
      </c>
      <c r="F6" s="130" t="s">
        <v>35</v>
      </c>
      <c r="G6" s="66" t="s">
        <v>106</v>
      </c>
      <c r="H6" s="66" t="s">
        <v>106</v>
      </c>
      <c r="I6" s="66" t="s">
        <v>107</v>
      </c>
      <c r="J6" s="14" t="s">
        <v>300</v>
      </c>
      <c r="K6" s="66" t="s">
        <v>218</v>
      </c>
      <c r="L6" s="13" t="s">
        <v>101</v>
      </c>
      <c r="M6" s="65" t="s">
        <v>191</v>
      </c>
      <c r="N6" s="13" t="s">
        <v>323</v>
      </c>
      <c r="O6" s="65" t="s">
        <v>43</v>
      </c>
      <c r="P6" s="65" t="s">
        <v>531</v>
      </c>
      <c r="Q6" s="65" t="s">
        <v>534</v>
      </c>
      <c r="R6" s="64" t="s">
        <v>66</v>
      </c>
      <c r="S6" s="73" t="e">
        <f>1000000/INR</f>
        <v>#REF!</v>
      </c>
      <c r="T6" s="62">
        <v>1000000</v>
      </c>
      <c r="U6" s="150" t="e">
        <f>Table12117[[#This Row],[Amortised Limit in Original Currency]]/INR</f>
        <v>#REF!</v>
      </c>
      <c r="V6" s="62" t="e">
        <f>(6000000*(1-(25/975)))/INR</f>
        <v>#REF!</v>
      </c>
      <c r="W6" s="150" t="e">
        <f>139692988/INR</f>
        <v>#REF!</v>
      </c>
      <c r="X6" s="106" t="s">
        <v>551</v>
      </c>
      <c r="Y6" s="181">
        <f>3.55%/0.6</f>
        <v>5.9166666666666666E-2</v>
      </c>
      <c r="Z6" s="105">
        <v>43013</v>
      </c>
      <c r="AA6" s="60">
        <v>44839</v>
      </c>
      <c r="AB6" s="60">
        <v>45382</v>
      </c>
      <c r="AC6" s="58">
        <f>AB6-Z6</f>
        <v>2369</v>
      </c>
      <c r="AD6" s="59" t="s">
        <v>10</v>
      </c>
      <c r="AE6" s="58" t="e">
        <f>AB6-#REF!</f>
        <v>#REF!</v>
      </c>
      <c r="AF6" s="57" t="e">
        <f t="shared" si="0"/>
        <v>#REF!</v>
      </c>
      <c r="AG6" s="56"/>
      <c r="AH6" s="71" t="s">
        <v>1</v>
      </c>
      <c r="AI6" s="71" t="s">
        <v>1</v>
      </c>
      <c r="AJ6" s="70" t="s">
        <v>886</v>
      </c>
      <c r="AK6" s="11" t="e">
        <f t="shared" si="2"/>
        <v>#REF!</v>
      </c>
      <c r="AL6" s="11" t="s">
        <v>271</v>
      </c>
      <c r="AM6" s="13" t="s">
        <v>333</v>
      </c>
      <c r="AN6" s="11">
        <f>27272.73+950 +3100+1300+17600</f>
        <v>50222.729999999996</v>
      </c>
      <c r="AP6" s="323" t="str">
        <f>Table12117[[#This Row],[Risk Location ]]</f>
        <v>India</v>
      </c>
      <c r="AQ6" s="324" t="str">
        <f>Table12117[[#This Row],[Sector (GICS Industry Group)]]</f>
        <v>Real Estate Management &amp; Development</v>
      </c>
      <c r="AR6" s="229"/>
      <c r="AS6" s="310">
        <v>0</v>
      </c>
      <c r="AT6" s="278" t="e">
        <f>Table12117[[#This Row],[Percentage Impact]]*Table12117[[#This Row],[Amortised Limit A$ Balance]]</f>
        <v>#REF!</v>
      </c>
      <c r="AU6" s="278" t="e">
        <f>Table12117[[#This Row],[Amortised Limit A$ Balance]]*12%</f>
        <v>#REF!</v>
      </c>
      <c r="AV6" s="278" t="b">
        <f>IF(Table12117[[#This Row],[Everest]]="Everest",Table12117[[#This Row],[Assetinsure Amount ]]*0.2)</f>
        <v>0</v>
      </c>
      <c r="AW6" s="278"/>
      <c r="AX6" s="278" t="e">
        <f>MIN(Table12117[[#This Row],[Assetinsure Amount ]]-Table12117[[#This Row],[Reinsurance Everest Re]],Table12117[[#This Row],[Total Amount]])</f>
        <v>#REF!</v>
      </c>
      <c r="AY6" s="278">
        <f t="shared" si="1"/>
        <v>0</v>
      </c>
      <c r="AZ6" s="298"/>
      <c r="BC6" s="212">
        <v>0</v>
      </c>
      <c r="BD6" s="212">
        <v>0</v>
      </c>
      <c r="BE6" s="212">
        <v>2279.8951248242579</v>
      </c>
      <c r="BF6" s="212">
        <v>2225.4367419606097</v>
      </c>
      <c r="BG6" s="212">
        <v>2116.5141012751997</v>
      </c>
      <c r="BH6" s="212">
        <v>1404.4154822762766</v>
      </c>
      <c r="BI6" s="226">
        <v>983.09083759339376</v>
      </c>
      <c r="BJ6" s="226">
        <v>605.7781919850886</v>
      </c>
      <c r="BL6" s="58" t="s">
        <v>948</v>
      </c>
      <c r="BM6" s="112"/>
      <c r="BN6" s="58" t="s">
        <v>476</v>
      </c>
    </row>
    <row r="7" spans="1:66" ht="39.950000000000003" customHeight="1" x14ac:dyDescent="0.2">
      <c r="A7" s="14" t="s">
        <v>207</v>
      </c>
      <c r="B7" s="65" t="s">
        <v>51</v>
      </c>
      <c r="C7" s="65" t="s">
        <v>1143</v>
      </c>
      <c r="D7" s="66" t="s">
        <v>127</v>
      </c>
      <c r="E7" s="14" t="s">
        <v>542</v>
      </c>
      <c r="F7" s="130" t="s">
        <v>127</v>
      </c>
      <c r="G7" s="14" t="s">
        <v>102</v>
      </c>
      <c r="H7" s="14" t="s">
        <v>102</v>
      </c>
      <c r="I7" s="66" t="s">
        <v>122</v>
      </c>
      <c r="J7" s="14" t="s">
        <v>158</v>
      </c>
      <c r="K7" s="66" t="s">
        <v>220</v>
      </c>
      <c r="L7" s="13" t="s">
        <v>101</v>
      </c>
      <c r="M7" s="65" t="s">
        <v>191</v>
      </c>
      <c r="N7" s="65" t="s">
        <v>59</v>
      </c>
      <c r="O7" s="65" t="s">
        <v>43</v>
      </c>
      <c r="P7" s="65" t="s">
        <v>533</v>
      </c>
      <c r="Q7" s="65" t="s">
        <v>534</v>
      </c>
      <c r="R7" s="64" t="s">
        <v>59</v>
      </c>
      <c r="S7" s="62" t="e">
        <f>20000/EUR</f>
        <v>#REF!</v>
      </c>
      <c r="T7" s="62" t="e">
        <f>U7*EUR</f>
        <v>#REF!</v>
      </c>
      <c r="U7" s="62" t="e">
        <f>+S7</f>
        <v>#REF!</v>
      </c>
      <c r="V7" s="62" t="e">
        <f>175000/EUR</f>
        <v>#REF!</v>
      </c>
      <c r="W7" s="62" t="e">
        <f>1525333/EUR</f>
        <v>#REF!</v>
      </c>
      <c r="X7" s="61" t="s">
        <v>551</v>
      </c>
      <c r="Y7" s="181">
        <v>0.01</v>
      </c>
      <c r="Z7" s="105">
        <v>43070</v>
      </c>
      <c r="AA7" s="60">
        <v>46689</v>
      </c>
      <c r="AB7" s="60">
        <f>AA7</f>
        <v>46689</v>
      </c>
      <c r="AC7" s="58">
        <f t="shared" ref="AC7:AC70" si="3">AB7-Z7+1</f>
        <v>3620</v>
      </c>
      <c r="AD7" s="59" t="e">
        <f t="shared" ref="AD7:AD14" si="4">IF(AB7-$A$1&gt;60,"No","Yes")</f>
        <v>#REF!</v>
      </c>
      <c r="AE7" s="58" t="e">
        <f>AB7-#REF!</f>
        <v>#REF!</v>
      </c>
      <c r="AF7" s="57" t="e">
        <f t="shared" si="0"/>
        <v>#REF!</v>
      </c>
      <c r="AG7" s="56"/>
      <c r="AH7" s="71" t="s">
        <v>1</v>
      </c>
      <c r="AI7" s="71" t="s">
        <v>1</v>
      </c>
      <c r="AJ7" s="70" t="s">
        <v>0</v>
      </c>
      <c r="AK7" s="11" t="e">
        <f t="shared" si="2"/>
        <v>#REF!</v>
      </c>
      <c r="AL7" s="11" t="s">
        <v>271</v>
      </c>
      <c r="AM7" s="14" t="s">
        <v>334</v>
      </c>
      <c r="AN7" s="11">
        <v>16300</v>
      </c>
      <c r="AP7" s="197" t="str">
        <f>Table12117[[#This Row],[Risk Location ]]</f>
        <v>Germany</v>
      </c>
      <c r="AQ7" s="198" t="str">
        <f>Table12117[[#This Row],[Sector (GICS Industry Group)]]</f>
        <v>Real Estate Investment</v>
      </c>
      <c r="AT7" s="212" t="e">
        <f>Table12117[[#This Row],[Percentage Impact]]*Table12117[[#This Row],[Amortised Limit A$ Balance]]</f>
        <v>#REF!</v>
      </c>
      <c r="AU7" s="212" t="e">
        <f>Table12117[[#This Row],[Amortised Limit A$ Balance]]*12%</f>
        <v>#REF!</v>
      </c>
      <c r="AV7" s="212" t="b">
        <f>IF(Table12117[[#This Row],[Everest]]="Everest",Table12117[[#This Row],[Assetinsure Amount ]]*0.2)</f>
        <v>0</v>
      </c>
      <c r="AW7" s="212"/>
      <c r="AX7" s="212" t="e">
        <f>MIN(Table12117[[#This Row],[Assetinsure Amount ]]-Table12117[[#This Row],[Reinsurance Everest Re]],Table12117[[#This Row],[Total Amount]])</f>
        <v>#REF!</v>
      </c>
      <c r="AY7" s="212">
        <f t="shared" si="1"/>
        <v>0</v>
      </c>
      <c r="BC7" s="212">
        <v>0</v>
      </c>
      <c r="BD7" s="212">
        <v>0</v>
      </c>
      <c r="BE7" s="212">
        <v>0</v>
      </c>
      <c r="BF7" s="212">
        <v>0</v>
      </c>
      <c r="BG7" s="212">
        <v>0</v>
      </c>
      <c r="BH7" s="212">
        <v>0</v>
      </c>
      <c r="BI7" s="226">
        <v>0</v>
      </c>
      <c r="BJ7" s="226"/>
      <c r="BL7" s="58" t="s">
        <v>949</v>
      </c>
      <c r="BM7" s="112"/>
      <c r="BN7" s="58" t="s">
        <v>476</v>
      </c>
    </row>
    <row r="8" spans="1:66" ht="39.950000000000003" customHeight="1" x14ac:dyDescent="0.2">
      <c r="A8" s="14" t="s">
        <v>69</v>
      </c>
      <c r="B8" s="65" t="s">
        <v>23</v>
      </c>
      <c r="C8" s="65" t="s">
        <v>1141</v>
      </c>
      <c r="D8" s="66" t="s">
        <v>47</v>
      </c>
      <c r="E8" s="14" t="s">
        <v>469</v>
      </c>
      <c r="F8" s="77" t="s">
        <v>128</v>
      </c>
      <c r="G8" s="14" t="s">
        <v>48</v>
      </c>
      <c r="H8" s="14" t="s">
        <v>95</v>
      </c>
      <c r="I8" s="130" t="s">
        <v>447</v>
      </c>
      <c r="J8" s="14" t="s">
        <v>32</v>
      </c>
      <c r="K8" s="14" t="s">
        <v>33</v>
      </c>
      <c r="L8" s="13" t="s">
        <v>140</v>
      </c>
      <c r="M8" s="65" t="s">
        <v>191</v>
      </c>
      <c r="N8" s="13" t="s">
        <v>323</v>
      </c>
      <c r="O8" s="13" t="s">
        <v>43</v>
      </c>
      <c r="P8" s="13" t="s">
        <v>533</v>
      </c>
      <c r="Q8" s="65" t="s">
        <v>534</v>
      </c>
      <c r="R8" s="64" t="s">
        <v>9</v>
      </c>
      <c r="S8" s="62" t="e">
        <f>20000/USD</f>
        <v>#REF!</v>
      </c>
      <c r="T8" s="62">
        <v>7632.018</v>
      </c>
      <c r="U8" s="150" t="e">
        <f>Table12117[[#This Row],[Amortised Limit in Original Currency]]/USD</f>
        <v>#REF!</v>
      </c>
      <c r="V8" s="62" t="e">
        <f>131750/USD</f>
        <v>#REF!</v>
      </c>
      <c r="W8" s="150" t="e">
        <f>(1455218.02-256759.86)*0.85/USD</f>
        <v>#REF!</v>
      </c>
      <c r="X8" s="61" t="s">
        <v>11</v>
      </c>
      <c r="Y8" s="181">
        <f>1.19%/0.6</f>
        <v>1.9833333333333331E-2</v>
      </c>
      <c r="Z8" s="60">
        <v>43076</v>
      </c>
      <c r="AA8" s="60">
        <v>46751</v>
      </c>
      <c r="AB8" s="60">
        <f>AA8</f>
        <v>46751</v>
      </c>
      <c r="AC8" s="58">
        <f t="shared" si="3"/>
        <v>3676</v>
      </c>
      <c r="AD8" s="59" t="e">
        <f t="shared" si="4"/>
        <v>#REF!</v>
      </c>
      <c r="AE8" s="58" t="e">
        <f>AB8-#REF!</f>
        <v>#REF!</v>
      </c>
      <c r="AF8" s="57" t="e">
        <f t="shared" si="0"/>
        <v>#REF!</v>
      </c>
      <c r="AG8" s="56"/>
      <c r="AH8" s="71" t="s">
        <v>1</v>
      </c>
      <c r="AI8" s="71" t="s">
        <v>1</v>
      </c>
      <c r="AJ8" s="70" t="s">
        <v>569</v>
      </c>
      <c r="AK8" s="11" t="e">
        <f t="shared" si="2"/>
        <v>#REF!</v>
      </c>
      <c r="AL8" s="11" t="s">
        <v>271</v>
      </c>
      <c r="AM8" s="14" t="s">
        <v>326</v>
      </c>
      <c r="AN8" s="11">
        <v>8817.5</v>
      </c>
      <c r="AP8" s="197" t="str">
        <f>Table12117[[#This Row],[Risk Location ]]</f>
        <v>Angola</v>
      </c>
      <c r="AQ8" s="198" t="str">
        <f>Table12117[[#This Row],[Sector (GICS Industry Group)]]</f>
        <v>Energy</v>
      </c>
      <c r="AT8" s="212" t="e">
        <f>Table12117[[#This Row],[Percentage Impact]]*Table12117[[#This Row],[Amortised Limit A$ Balance]]</f>
        <v>#REF!</v>
      </c>
      <c r="AU8" s="212" t="e">
        <f>Table12117[[#This Row],[Amortised Limit A$ Balance]]*12%</f>
        <v>#REF!</v>
      </c>
      <c r="AV8" s="212" t="b">
        <f>IF(Table12117[[#This Row],[Everest]]="Everest",Table12117[[#This Row],[Assetinsure Amount ]]*0.2)</f>
        <v>0</v>
      </c>
      <c r="AW8" s="212"/>
      <c r="AX8" s="212" t="e">
        <f>MIN(Table12117[[#This Row],[Assetinsure Amount ]]-Table12117[[#This Row],[Reinsurance Everest Re]],Table12117[[#This Row],[Total Amount]])</f>
        <v>#REF!</v>
      </c>
      <c r="AY8" s="212">
        <f t="shared" si="1"/>
        <v>0</v>
      </c>
      <c r="BC8" s="212">
        <v>0</v>
      </c>
      <c r="BD8" s="212">
        <v>0</v>
      </c>
      <c r="BE8" s="212">
        <v>0</v>
      </c>
      <c r="BF8" s="212">
        <v>0</v>
      </c>
      <c r="BG8" s="212">
        <v>0</v>
      </c>
      <c r="BH8" s="212">
        <v>0</v>
      </c>
      <c r="BI8" s="226">
        <v>0</v>
      </c>
      <c r="BJ8" s="226"/>
      <c r="BL8" s="58" t="s">
        <v>950</v>
      </c>
      <c r="BM8" s="112"/>
      <c r="BN8" s="58" t="s">
        <v>476</v>
      </c>
    </row>
    <row r="9" spans="1:66" ht="39.950000000000003" customHeight="1" x14ac:dyDescent="0.2">
      <c r="A9" s="14" t="s">
        <v>438</v>
      </c>
      <c r="B9" s="65" t="s">
        <v>67</v>
      </c>
      <c r="C9" s="65" t="s">
        <v>1141</v>
      </c>
      <c r="D9" s="66" t="s">
        <v>87</v>
      </c>
      <c r="E9" s="14" t="s">
        <v>542</v>
      </c>
      <c r="F9" s="77" t="s">
        <v>87</v>
      </c>
      <c r="G9" s="14" t="s">
        <v>102</v>
      </c>
      <c r="H9" s="14" t="s">
        <v>102</v>
      </c>
      <c r="I9" s="66" t="s">
        <v>122</v>
      </c>
      <c r="J9" s="14" t="s">
        <v>78</v>
      </c>
      <c r="K9" s="14" t="s">
        <v>219</v>
      </c>
      <c r="L9" s="13" t="s">
        <v>101</v>
      </c>
      <c r="M9" s="65" t="s">
        <v>191</v>
      </c>
      <c r="N9" s="13" t="s">
        <v>59</v>
      </c>
      <c r="O9" s="13" t="s">
        <v>43</v>
      </c>
      <c r="P9" s="13" t="s">
        <v>538</v>
      </c>
      <c r="Q9" s="65" t="s">
        <v>534</v>
      </c>
      <c r="R9" s="64" t="s">
        <v>156</v>
      </c>
      <c r="S9" s="62" t="e">
        <f>15000/GBP</f>
        <v>#REF!</v>
      </c>
      <c r="T9" s="62">
        <v>15000</v>
      </c>
      <c r="U9" s="79" t="e">
        <f>15000/GBP</f>
        <v>#REF!</v>
      </c>
      <c r="V9" s="62" t="e">
        <f>34000/GBP</f>
        <v>#REF!</v>
      </c>
      <c r="W9" s="76" t="e">
        <f>900279.17/GBP</f>
        <v>#REF!</v>
      </c>
      <c r="X9" s="61" t="s">
        <v>11</v>
      </c>
      <c r="Y9" s="181">
        <v>1.8499999999999999E-2</v>
      </c>
      <c r="Z9" s="60">
        <v>43228</v>
      </c>
      <c r="AA9" s="60">
        <v>45054</v>
      </c>
      <c r="AB9" s="60">
        <v>45054</v>
      </c>
      <c r="AC9" s="58">
        <f t="shared" si="3"/>
        <v>1827</v>
      </c>
      <c r="AD9" s="84" t="e">
        <f t="shared" si="4"/>
        <v>#REF!</v>
      </c>
      <c r="AE9" s="58" t="e">
        <f>AB9-#REF!</f>
        <v>#REF!</v>
      </c>
      <c r="AF9" s="57" t="e">
        <f t="shared" si="0"/>
        <v>#REF!</v>
      </c>
      <c r="AG9" s="56"/>
      <c r="AH9" s="71" t="s">
        <v>1</v>
      </c>
      <c r="AI9" s="71" t="s">
        <v>1</v>
      </c>
      <c r="AJ9" s="70" t="s">
        <v>0</v>
      </c>
      <c r="AK9" s="11" t="e">
        <f t="shared" si="2"/>
        <v>#REF!</v>
      </c>
      <c r="AL9" s="11" t="s">
        <v>271</v>
      </c>
      <c r="AM9" s="14" t="s">
        <v>340</v>
      </c>
      <c r="AN9" s="11">
        <v>6427.5</v>
      </c>
      <c r="AP9" s="197" t="str">
        <f>Table12117[[#This Row],[Risk Location ]]</f>
        <v>United Kingdom</v>
      </c>
      <c r="AQ9" s="198" t="str">
        <f>Table12117[[#This Row],[Sector (GICS Industry Group)]]</f>
        <v>Real Estate Investment</v>
      </c>
      <c r="AT9" s="212" t="e">
        <f>Table12117[[#This Row],[Percentage Impact]]*Table12117[[#This Row],[Amortised Limit A$ Balance]]</f>
        <v>#REF!</v>
      </c>
      <c r="AU9" s="212" t="e">
        <f>Table12117[[#This Row],[Amortised Limit A$ Balance]]*12%</f>
        <v>#REF!</v>
      </c>
      <c r="AV9" s="212" t="b">
        <f>IF(Table12117[[#This Row],[Everest]]="Everest",Table12117[[#This Row],[Assetinsure Amount ]]*0.2)</f>
        <v>0</v>
      </c>
      <c r="AW9" s="212"/>
      <c r="AX9" s="212" t="e">
        <f>MIN(Table12117[[#This Row],[Assetinsure Amount ]]-Table12117[[#This Row],[Reinsurance Everest Re]],Table12117[[#This Row],[Total Amount]])</f>
        <v>#REF!</v>
      </c>
      <c r="AY9" s="212">
        <f t="shared" si="1"/>
        <v>0</v>
      </c>
      <c r="BC9" s="212">
        <v>0</v>
      </c>
      <c r="BD9" s="212">
        <v>0</v>
      </c>
      <c r="BE9" s="212">
        <v>0</v>
      </c>
      <c r="BF9" s="212">
        <v>0</v>
      </c>
      <c r="BG9" s="212">
        <v>0</v>
      </c>
      <c r="BH9" s="212">
        <v>0</v>
      </c>
      <c r="BI9" s="226">
        <v>0</v>
      </c>
      <c r="BJ9" s="226"/>
      <c r="BL9" s="58" t="s">
        <v>951</v>
      </c>
      <c r="BM9" s="112"/>
      <c r="BN9" s="58" t="s">
        <v>476</v>
      </c>
    </row>
    <row r="10" spans="1:66" ht="39.950000000000003" customHeight="1" x14ac:dyDescent="0.2">
      <c r="A10" s="13" t="s">
        <v>144</v>
      </c>
      <c r="B10" s="65" t="s">
        <v>23</v>
      </c>
      <c r="C10" s="65" t="s">
        <v>1142</v>
      </c>
      <c r="D10" s="66" t="s">
        <v>166</v>
      </c>
      <c r="E10" s="14" t="s">
        <v>540</v>
      </c>
      <c r="F10" s="161" t="s">
        <v>36</v>
      </c>
      <c r="G10" s="14" t="s">
        <v>92</v>
      </c>
      <c r="H10" s="14" t="s">
        <v>100</v>
      </c>
      <c r="I10" s="66" t="s">
        <v>100</v>
      </c>
      <c r="J10" s="14" t="s">
        <v>145</v>
      </c>
      <c r="K10" s="66" t="s">
        <v>221</v>
      </c>
      <c r="L10" s="14" t="s">
        <v>44</v>
      </c>
      <c r="M10" s="65" t="s">
        <v>191</v>
      </c>
      <c r="N10" s="13" t="s">
        <v>59</v>
      </c>
      <c r="O10" s="13" t="s">
        <v>43</v>
      </c>
      <c r="P10" s="13" t="s">
        <v>533</v>
      </c>
      <c r="Q10" s="65" t="s">
        <v>534</v>
      </c>
      <c r="R10" s="64" t="s">
        <v>9</v>
      </c>
      <c r="S10" s="62" t="e">
        <f>10000/USD</f>
        <v>#REF!</v>
      </c>
      <c r="T10" s="62">
        <v>8500</v>
      </c>
      <c r="U10" s="150" t="e">
        <f>T10/USD</f>
        <v>#REF!</v>
      </c>
      <c r="V10" s="62" t="e">
        <f>120000/USD</f>
        <v>#REF!</v>
      </c>
      <c r="W10" s="150" t="e">
        <f>445059.41/USD</f>
        <v>#REF!</v>
      </c>
      <c r="X10" s="61" t="s">
        <v>551</v>
      </c>
      <c r="Y10" s="181">
        <v>2.1000000000000001E-2</v>
      </c>
      <c r="Z10" s="60">
        <v>43279</v>
      </c>
      <c r="AA10" s="60">
        <v>45503</v>
      </c>
      <c r="AB10" s="60">
        <v>45503</v>
      </c>
      <c r="AC10" s="58">
        <f t="shared" si="3"/>
        <v>2225</v>
      </c>
      <c r="AD10" s="59" t="e">
        <f t="shared" si="4"/>
        <v>#REF!</v>
      </c>
      <c r="AE10" s="58" t="e">
        <f>AB10-#REF!</f>
        <v>#REF!</v>
      </c>
      <c r="AF10" s="57" t="e">
        <f t="shared" si="0"/>
        <v>#REF!</v>
      </c>
      <c r="AG10" s="56"/>
      <c r="AH10" s="71" t="s">
        <v>1</v>
      </c>
      <c r="AI10" s="71" t="s">
        <v>1</v>
      </c>
      <c r="AJ10" s="70" t="s">
        <v>0</v>
      </c>
      <c r="AK10" s="11" t="e">
        <f t="shared" si="2"/>
        <v>#REF!</v>
      </c>
      <c r="AL10" s="11" t="s">
        <v>271</v>
      </c>
      <c r="AM10" s="13" t="s">
        <v>345</v>
      </c>
      <c r="AP10" s="197" t="str">
        <f>Table12117[[#This Row],[Risk Location ]]</f>
        <v>China</v>
      </c>
      <c r="AQ10" s="198" t="str">
        <f>Table12117[[#This Row],[Sector (GICS Industry Group)]]</f>
        <v>Transportation</v>
      </c>
      <c r="AR10" s="229">
        <v>1</v>
      </c>
      <c r="AS10" s="310">
        <v>0.05</v>
      </c>
      <c r="AT10" s="278" t="e">
        <f>Table12117[[#This Row],[Percentage Impact]]*Table12117[[#This Row],[Amortised Limit A$ Balance]]</f>
        <v>#REF!</v>
      </c>
      <c r="AU10" s="278" t="e">
        <f>Table12117[[#This Row],[Amortised Limit A$ Balance]]*12%</f>
        <v>#REF!</v>
      </c>
      <c r="AV10" s="278" t="b">
        <f>IF(Table12117[[#This Row],[Everest]]="Everest",Table12117[[#This Row],[Assetinsure Amount ]]*0.2)</f>
        <v>0</v>
      </c>
      <c r="AW10" s="278"/>
      <c r="AX10" s="278" t="e">
        <f>MIN(Table12117[[#This Row],[Assetinsure Amount ]]-Table12117[[#This Row],[Reinsurance Everest Re]],Table12117[[#This Row],[Total Amount]])</f>
        <v>#REF!</v>
      </c>
      <c r="AY10" s="278">
        <f>+BD10</f>
        <v>617.50508649836911</v>
      </c>
      <c r="AZ10" s="298"/>
      <c r="BC10" s="212">
        <v>637.51995437457208</v>
      </c>
      <c r="BD10" s="212">
        <v>617.50508649836911</v>
      </c>
      <c r="BE10" s="212">
        <v>668.89105732002906</v>
      </c>
      <c r="BF10" s="212">
        <v>625.66246614061947</v>
      </c>
      <c r="BG10" s="212">
        <v>571.43625460510395</v>
      </c>
      <c r="BH10" s="212">
        <v>592.11167922872232</v>
      </c>
      <c r="BI10" s="226">
        <v>592.11167922872232</v>
      </c>
      <c r="BJ10" s="226">
        <v>592.11167922872232</v>
      </c>
      <c r="BL10" s="58" t="s">
        <v>952</v>
      </c>
      <c r="BM10" s="112"/>
      <c r="BN10" s="58" t="s">
        <v>476</v>
      </c>
    </row>
    <row r="11" spans="1:66" ht="39.950000000000003" customHeight="1" x14ac:dyDescent="0.2">
      <c r="A11" s="131" t="s">
        <v>146</v>
      </c>
      <c r="B11" s="65" t="s">
        <v>24</v>
      </c>
      <c r="C11" s="65" t="s">
        <v>243</v>
      </c>
      <c r="D11" s="66" t="s">
        <v>38</v>
      </c>
      <c r="E11" s="14" t="s">
        <v>34</v>
      </c>
      <c r="F11" s="77" t="s">
        <v>34</v>
      </c>
      <c r="G11" s="66" t="s">
        <v>106</v>
      </c>
      <c r="H11" s="66" t="s">
        <v>106</v>
      </c>
      <c r="I11" s="66" t="s">
        <v>107</v>
      </c>
      <c r="J11" s="133" t="s">
        <v>1088</v>
      </c>
      <c r="K11" s="14" t="s">
        <v>687</v>
      </c>
      <c r="L11" s="14" t="s">
        <v>101</v>
      </c>
      <c r="M11" s="65" t="s">
        <v>191</v>
      </c>
      <c r="N11" s="13" t="s">
        <v>323</v>
      </c>
      <c r="O11" s="13" t="s">
        <v>43</v>
      </c>
      <c r="P11" s="13" t="s">
        <v>539</v>
      </c>
      <c r="Q11" s="65" t="s">
        <v>534</v>
      </c>
      <c r="R11" s="64" t="s">
        <v>8</v>
      </c>
      <c r="S11" s="62">
        <v>17500</v>
      </c>
      <c r="T11" s="62">
        <v>22500</v>
      </c>
      <c r="U11" s="62">
        <f>+T11</f>
        <v>22500</v>
      </c>
      <c r="V11" s="62">
        <v>55000</v>
      </c>
      <c r="W11" s="76">
        <f>2014904.53+336391.65+91059</f>
        <v>2442355.1800000002</v>
      </c>
      <c r="X11" s="61" t="s">
        <v>11</v>
      </c>
      <c r="Y11" s="181">
        <v>0.06</v>
      </c>
      <c r="Z11" s="60">
        <v>43320</v>
      </c>
      <c r="AA11" s="60">
        <v>44856</v>
      </c>
      <c r="AB11" s="60">
        <v>45412</v>
      </c>
      <c r="AC11" s="58">
        <f t="shared" si="3"/>
        <v>2093</v>
      </c>
      <c r="AD11" s="59" t="e">
        <f t="shared" si="4"/>
        <v>#REF!</v>
      </c>
      <c r="AE11" s="58" t="e">
        <f>AB11-#REF!</f>
        <v>#REF!</v>
      </c>
      <c r="AF11" s="57" t="e">
        <f t="shared" si="0"/>
        <v>#REF!</v>
      </c>
      <c r="AG11" s="56"/>
      <c r="AH11" s="71" t="s">
        <v>1</v>
      </c>
      <c r="AI11" s="71" t="s">
        <v>1</v>
      </c>
      <c r="AJ11" s="70" t="s">
        <v>0</v>
      </c>
      <c r="AK11" s="229" t="e">
        <f>+IF(AB11-60&lt;$A$1, "SEND NOTICE", "N/A")</f>
        <v>#REF!</v>
      </c>
      <c r="AL11" s="11" t="s">
        <v>271</v>
      </c>
      <c r="AM11" s="14" t="s">
        <v>346</v>
      </c>
      <c r="AN11" s="11">
        <v>19560</v>
      </c>
      <c r="AP11" s="197" t="str">
        <f>Table12117[[#This Row],[Risk Location ]]</f>
        <v>Australia</v>
      </c>
      <c r="AQ11" s="198" t="str">
        <f>Table12117[[#This Row],[Sector (GICS Industry Group)]]</f>
        <v>Real Estate Management &amp; Development</v>
      </c>
      <c r="AR11" s="11">
        <v>1</v>
      </c>
      <c r="AS11" s="214">
        <v>5.5E-2</v>
      </c>
      <c r="AT11" s="212">
        <f>Table12117[[#This Row],[Percentage Impact]]*Table12117[[#This Row],[Amortised Limit A$ Balance]]</f>
        <v>1237.5</v>
      </c>
      <c r="AU11" s="212">
        <f>Table12117[[#This Row],[Amortised Limit A$ Balance]]*12%</f>
        <v>2700</v>
      </c>
      <c r="AV11" s="212" t="b">
        <f>IF(Table12117[[#This Row],[Everest]]="Everest",Table12117[[#This Row],[Assetinsure Amount ]]*0.2)</f>
        <v>0</v>
      </c>
      <c r="AW11" s="212"/>
      <c r="AX11" s="212">
        <f>MIN(Table12117[[#This Row],[Assetinsure Amount ]]-Table12117[[#This Row],[Reinsurance Everest Re]],Table12117[[#This Row],[Total Amount]])</f>
        <v>1237.5</v>
      </c>
      <c r="AY11" s="212">
        <f t="shared" si="1"/>
        <v>1687.5</v>
      </c>
      <c r="AZ11" s="12" t="s">
        <v>1215</v>
      </c>
      <c r="BC11" s="212">
        <v>562.5</v>
      </c>
      <c r="BD11" s="212">
        <v>1687.5</v>
      </c>
      <c r="BE11" s="212">
        <v>1687.5</v>
      </c>
      <c r="BF11" s="212">
        <v>1125</v>
      </c>
      <c r="BG11" s="212">
        <v>562.5</v>
      </c>
      <c r="BH11" s="212">
        <v>0</v>
      </c>
      <c r="BI11" s="226">
        <v>0</v>
      </c>
      <c r="BJ11" s="226"/>
      <c r="BL11" s="58" t="s">
        <v>953</v>
      </c>
      <c r="BM11" s="112"/>
      <c r="BN11" s="58" t="s">
        <v>476</v>
      </c>
    </row>
    <row r="12" spans="1:66" ht="39.950000000000003" customHeight="1" x14ac:dyDescent="0.2">
      <c r="A12" s="13" t="s">
        <v>153</v>
      </c>
      <c r="B12" s="65" t="s">
        <v>23</v>
      </c>
      <c r="C12" s="65" t="s">
        <v>1141</v>
      </c>
      <c r="D12" s="66" t="s">
        <v>89</v>
      </c>
      <c r="E12" s="14" t="s">
        <v>542</v>
      </c>
      <c r="F12" s="77" t="s">
        <v>127</v>
      </c>
      <c r="G12" s="14" t="s">
        <v>92</v>
      </c>
      <c r="H12" s="14" t="s">
        <v>108</v>
      </c>
      <c r="I12" s="66" t="s">
        <v>109</v>
      </c>
      <c r="J12" s="14" t="s">
        <v>220</v>
      </c>
      <c r="K12" s="14" t="s">
        <v>220</v>
      </c>
      <c r="L12" s="14" t="s">
        <v>22</v>
      </c>
      <c r="M12" s="65" t="s">
        <v>191</v>
      </c>
      <c r="N12" s="13" t="s">
        <v>59</v>
      </c>
      <c r="O12" s="13" t="s">
        <v>43</v>
      </c>
      <c r="P12" s="13" t="s">
        <v>531</v>
      </c>
      <c r="Q12" s="65" t="s">
        <v>534</v>
      </c>
      <c r="R12" s="64" t="s">
        <v>9</v>
      </c>
      <c r="S12" s="62" t="e">
        <f>2898.889/USD</f>
        <v>#REF!</v>
      </c>
      <c r="T12" s="62">
        <v>1114.5999999999999</v>
      </c>
      <c r="U12" s="150" t="e">
        <f>Table12117[[#This Row],[Amortised Limit in Original Currency]]/USD</f>
        <v>#REF!</v>
      </c>
      <c r="V12" s="62" t="e">
        <f>33820.368*U12/S12/USD</f>
        <v>#REF!</v>
      </c>
      <c r="W12" s="76" t="e">
        <f>149469/USD</f>
        <v>#REF!</v>
      </c>
      <c r="X12" s="61" t="s">
        <v>11</v>
      </c>
      <c r="Y12" s="181">
        <v>2.2499999999999999E-2</v>
      </c>
      <c r="Z12" s="60">
        <v>43350</v>
      </c>
      <c r="AA12" s="60">
        <v>45894</v>
      </c>
      <c r="AB12" s="60">
        <f>AA12</f>
        <v>45894</v>
      </c>
      <c r="AC12" s="58">
        <f t="shared" si="3"/>
        <v>2545</v>
      </c>
      <c r="AD12" s="59" t="e">
        <f t="shared" si="4"/>
        <v>#REF!</v>
      </c>
      <c r="AE12" s="58" t="e">
        <f>AB12-#REF!</f>
        <v>#REF!</v>
      </c>
      <c r="AF12" s="57" t="e">
        <f t="shared" si="0"/>
        <v>#REF!</v>
      </c>
      <c r="AG12" s="56"/>
      <c r="AH12" s="71" t="s">
        <v>1</v>
      </c>
      <c r="AI12" s="71" t="s">
        <v>1</v>
      </c>
      <c r="AJ12" s="187" t="s">
        <v>251</v>
      </c>
      <c r="AK12" s="11" t="e">
        <f t="shared" si="2"/>
        <v>#REF!</v>
      </c>
      <c r="AL12" s="11" t="s">
        <v>271</v>
      </c>
      <c r="AM12" s="13" t="s">
        <v>347</v>
      </c>
      <c r="AN12" s="11">
        <v>12110</v>
      </c>
      <c r="AP12" s="197" t="str">
        <f>Table12117[[#This Row],[Risk Location ]]</f>
        <v>Germany</v>
      </c>
      <c r="AQ12" s="198" t="str">
        <f>Table12117[[#This Row],[Sector (GICS Industry Group)]]</f>
        <v>Transportation</v>
      </c>
      <c r="AT12" s="212" t="e">
        <f>Table12117[[#This Row],[Percentage Impact]]*Table12117[[#This Row],[Amortised Limit A$ Balance]]</f>
        <v>#REF!</v>
      </c>
      <c r="AU12" s="212" t="e">
        <f>Table12117[[#This Row],[Amortised Limit A$ Balance]]*12%</f>
        <v>#REF!</v>
      </c>
      <c r="AV12" s="212" t="b">
        <f>IF(Table12117[[#This Row],[Everest]]="Everest",Table12117[[#This Row],[Assetinsure Amount ]]*0.2)</f>
        <v>0</v>
      </c>
      <c r="AW12" s="212"/>
      <c r="AX12" s="212" t="e">
        <f>MIN(Table12117[[#This Row],[Assetinsure Amount ]]-Table12117[[#This Row],[Reinsurance Everest Re]],Table12117[[#This Row],[Total Amount]])</f>
        <v>#REF!</v>
      </c>
      <c r="AY12" s="212">
        <f t="shared" si="1"/>
        <v>0</v>
      </c>
      <c r="BC12" s="212">
        <v>0</v>
      </c>
      <c r="BD12" s="212">
        <v>0</v>
      </c>
      <c r="BE12" s="212">
        <v>0</v>
      </c>
      <c r="BF12" s="212">
        <v>0</v>
      </c>
      <c r="BG12" s="212">
        <v>0</v>
      </c>
      <c r="BH12" s="212">
        <v>0</v>
      </c>
      <c r="BI12" s="226">
        <v>0</v>
      </c>
      <c r="BJ12" s="226"/>
      <c r="BL12" s="58" t="s">
        <v>929</v>
      </c>
      <c r="BM12" s="112"/>
      <c r="BN12" s="58" t="s">
        <v>476</v>
      </c>
    </row>
    <row r="13" spans="1:66" ht="39.950000000000003" customHeight="1" x14ac:dyDescent="0.2">
      <c r="A13" s="13" t="s">
        <v>202</v>
      </c>
      <c r="B13" s="65" t="s">
        <v>23</v>
      </c>
      <c r="C13" s="65" t="s">
        <v>1141</v>
      </c>
      <c r="D13" s="66" t="s">
        <v>89</v>
      </c>
      <c r="E13" s="14" t="s">
        <v>542</v>
      </c>
      <c r="F13" s="77" t="s">
        <v>127</v>
      </c>
      <c r="G13" s="14" t="s">
        <v>92</v>
      </c>
      <c r="H13" s="14" t="s">
        <v>108</v>
      </c>
      <c r="I13" s="66" t="s">
        <v>109</v>
      </c>
      <c r="J13" s="14" t="s">
        <v>220</v>
      </c>
      <c r="K13" s="66" t="s">
        <v>220</v>
      </c>
      <c r="L13" s="14" t="s">
        <v>22</v>
      </c>
      <c r="M13" s="65" t="s">
        <v>191</v>
      </c>
      <c r="N13" s="13" t="s">
        <v>59</v>
      </c>
      <c r="O13" s="13" t="s">
        <v>43</v>
      </c>
      <c r="P13" s="13" t="s">
        <v>531</v>
      </c>
      <c r="Q13" s="65" t="s">
        <v>534</v>
      </c>
      <c r="R13" s="64" t="s">
        <v>9</v>
      </c>
      <c r="S13" s="62" t="e">
        <f>2439/USD</f>
        <v>#REF!</v>
      </c>
      <c r="T13" s="62">
        <v>960.24099999999999</v>
      </c>
      <c r="U13" s="150" t="e">
        <f>T13/USD</f>
        <v>#REF!</v>
      </c>
      <c r="V13" s="62" t="e">
        <f>28455*U13/S13/USD</f>
        <v>#REF!</v>
      </c>
      <c r="W13" s="76" t="e">
        <f>129847/USD</f>
        <v>#REF!</v>
      </c>
      <c r="X13" s="61" t="s">
        <v>11</v>
      </c>
      <c r="Y13" s="181">
        <v>2.2499999999999999E-2</v>
      </c>
      <c r="Z13" s="60">
        <v>43368</v>
      </c>
      <c r="AA13" s="60">
        <v>45955</v>
      </c>
      <c r="AB13" s="60">
        <f>AA13</f>
        <v>45955</v>
      </c>
      <c r="AC13" s="58">
        <f t="shared" si="3"/>
        <v>2588</v>
      </c>
      <c r="AD13" s="59" t="e">
        <f t="shared" si="4"/>
        <v>#REF!</v>
      </c>
      <c r="AE13" s="58" t="e">
        <f>AB13-#REF!</f>
        <v>#REF!</v>
      </c>
      <c r="AF13" s="57" t="e">
        <f t="shared" si="0"/>
        <v>#REF!</v>
      </c>
      <c r="AG13" s="56"/>
      <c r="AH13" s="71" t="s">
        <v>1</v>
      </c>
      <c r="AI13" s="71" t="s">
        <v>1</v>
      </c>
      <c r="AJ13" s="187" t="s">
        <v>658</v>
      </c>
      <c r="AK13" s="11" t="e">
        <f t="shared" si="2"/>
        <v>#REF!</v>
      </c>
      <c r="AL13" s="11" t="s">
        <v>271</v>
      </c>
      <c r="AM13" s="13" t="s">
        <v>349</v>
      </c>
      <c r="AN13" s="11">
        <v>2242.5</v>
      </c>
      <c r="AP13" s="197" t="str">
        <f>Table12117[[#This Row],[Risk Location ]]</f>
        <v>Germany</v>
      </c>
      <c r="AQ13" s="198" t="str">
        <f>Table12117[[#This Row],[Sector (GICS Industry Group)]]</f>
        <v>Transportation</v>
      </c>
      <c r="AT13" s="212" t="e">
        <f>Table12117[[#This Row],[Percentage Impact]]*Table12117[[#This Row],[Amortised Limit A$ Balance]]</f>
        <v>#REF!</v>
      </c>
      <c r="AU13" s="212" t="e">
        <f>Table12117[[#This Row],[Amortised Limit A$ Balance]]*12%</f>
        <v>#REF!</v>
      </c>
      <c r="AV13" s="212" t="b">
        <f>IF(Table12117[[#This Row],[Everest]]="Everest",Table12117[[#This Row],[Assetinsure Amount ]]*0.2)</f>
        <v>0</v>
      </c>
      <c r="AW13" s="212"/>
      <c r="AX13" s="212" t="e">
        <f>MIN(Table12117[[#This Row],[Assetinsure Amount ]]-Table12117[[#This Row],[Reinsurance Everest Re]],Table12117[[#This Row],[Total Amount]])</f>
        <v>#REF!</v>
      </c>
      <c r="AY13" s="212">
        <f t="shared" si="1"/>
        <v>0</v>
      </c>
      <c r="BC13" s="212">
        <v>0</v>
      </c>
      <c r="BD13" s="212">
        <v>0</v>
      </c>
      <c r="BE13" s="212">
        <v>0</v>
      </c>
      <c r="BF13" s="212">
        <v>0</v>
      </c>
      <c r="BG13" s="212">
        <v>0</v>
      </c>
      <c r="BH13" s="212">
        <v>0</v>
      </c>
      <c r="BI13" s="226">
        <v>0</v>
      </c>
      <c r="BJ13" s="226"/>
      <c r="BL13" s="58" t="s">
        <v>930</v>
      </c>
      <c r="BM13" s="112"/>
      <c r="BN13" s="58" t="s">
        <v>476</v>
      </c>
    </row>
    <row r="14" spans="1:66" ht="39.950000000000003" customHeight="1" x14ac:dyDescent="0.2">
      <c r="A14" s="14" t="s">
        <v>164</v>
      </c>
      <c r="B14" s="65" t="s">
        <v>23</v>
      </c>
      <c r="C14" s="65" t="s">
        <v>1142</v>
      </c>
      <c r="D14" s="66" t="s">
        <v>127</v>
      </c>
      <c r="E14" s="14" t="s">
        <v>542</v>
      </c>
      <c r="F14" s="77" t="s">
        <v>89</v>
      </c>
      <c r="G14" s="14" t="s">
        <v>102</v>
      </c>
      <c r="H14" s="14" t="s">
        <v>102</v>
      </c>
      <c r="I14" s="66" t="s">
        <v>122</v>
      </c>
      <c r="J14" s="14" t="s">
        <v>158</v>
      </c>
      <c r="K14" s="66" t="s">
        <v>220</v>
      </c>
      <c r="L14" s="14" t="s">
        <v>101</v>
      </c>
      <c r="M14" s="65" t="s">
        <v>191</v>
      </c>
      <c r="N14" s="13" t="s">
        <v>59</v>
      </c>
      <c r="O14" s="13" t="s">
        <v>43</v>
      </c>
      <c r="P14" s="13" t="s">
        <v>538</v>
      </c>
      <c r="Q14" s="65" t="s">
        <v>534</v>
      </c>
      <c r="R14" s="64" t="s">
        <v>59</v>
      </c>
      <c r="S14" s="62" t="e">
        <f>19000/EUR</f>
        <v>#REF!</v>
      </c>
      <c r="T14" s="62">
        <v>19000</v>
      </c>
      <c r="U14" s="79" t="e">
        <f>S14</f>
        <v>#REF!</v>
      </c>
      <c r="V14" s="62" t="e">
        <f>174000/EUR</f>
        <v>#REF!</v>
      </c>
      <c r="W14" s="76" t="e">
        <f>634744.24/EUR</f>
        <v>#REF!</v>
      </c>
      <c r="X14" s="61" t="s">
        <v>11</v>
      </c>
      <c r="Y14" s="181">
        <v>9.5999999999999992E-3</v>
      </c>
      <c r="Z14" s="60">
        <v>43392</v>
      </c>
      <c r="AA14" s="60">
        <v>45534</v>
      </c>
      <c r="AB14" s="60">
        <f>AA14</f>
        <v>45534</v>
      </c>
      <c r="AC14" s="58">
        <f t="shared" si="3"/>
        <v>2143</v>
      </c>
      <c r="AD14" s="59" t="e">
        <f t="shared" si="4"/>
        <v>#REF!</v>
      </c>
      <c r="AE14" s="58" t="e">
        <f>AB14-#REF!</f>
        <v>#REF!</v>
      </c>
      <c r="AF14" s="57" t="e">
        <f t="shared" si="0"/>
        <v>#REF!</v>
      </c>
      <c r="AG14" s="56"/>
      <c r="AH14" s="71" t="s">
        <v>1</v>
      </c>
      <c r="AI14" s="71" t="s">
        <v>1</v>
      </c>
      <c r="AJ14" s="187" t="s">
        <v>0</v>
      </c>
      <c r="AK14" s="11" t="e">
        <f t="shared" si="2"/>
        <v>#REF!</v>
      </c>
      <c r="AL14" s="11" t="s">
        <v>271</v>
      </c>
      <c r="AM14" s="14" t="s">
        <v>353</v>
      </c>
      <c r="AN14" s="11">
        <v>6040</v>
      </c>
      <c r="AP14" s="197" t="str">
        <f>Table12117[[#This Row],[Risk Location ]]</f>
        <v>Netherlands</v>
      </c>
      <c r="AQ14" s="198" t="str">
        <f>Table12117[[#This Row],[Sector (GICS Industry Group)]]</f>
        <v>Real Estate Investment</v>
      </c>
      <c r="AT14" s="212" t="e">
        <f>Table12117[[#This Row],[Percentage Impact]]*Table12117[[#This Row],[Amortised Limit A$ Balance]]</f>
        <v>#REF!</v>
      </c>
      <c r="AU14" s="212" t="e">
        <f>Table12117[[#This Row],[Amortised Limit A$ Balance]]*12%</f>
        <v>#REF!</v>
      </c>
      <c r="AV14" s="212" t="b">
        <f>IF(Table12117[[#This Row],[Everest]]="Everest",Table12117[[#This Row],[Assetinsure Amount ]]*0.2)</f>
        <v>0</v>
      </c>
      <c r="AW14" s="212"/>
      <c r="AX14" s="212" t="e">
        <f>MIN(Table12117[[#This Row],[Assetinsure Amount ]]-Table12117[[#This Row],[Reinsurance Everest Re]],Table12117[[#This Row],[Total Amount]])</f>
        <v>#REF!</v>
      </c>
      <c r="AY14" s="212">
        <f t="shared" si="1"/>
        <v>0</v>
      </c>
      <c r="BC14" s="212">
        <v>0</v>
      </c>
      <c r="BD14" s="212">
        <v>0</v>
      </c>
      <c r="BE14" s="212">
        <v>0</v>
      </c>
      <c r="BF14" s="212">
        <v>0</v>
      </c>
      <c r="BG14" s="212">
        <v>0</v>
      </c>
      <c r="BH14" s="212">
        <v>0</v>
      </c>
      <c r="BI14" s="226">
        <v>0</v>
      </c>
      <c r="BJ14" s="226"/>
      <c r="BL14" s="58" t="s">
        <v>927</v>
      </c>
      <c r="BM14" s="112"/>
      <c r="BN14" s="58" t="s">
        <v>476</v>
      </c>
    </row>
    <row r="15" spans="1:66" ht="39.950000000000003" customHeight="1" x14ac:dyDescent="0.2">
      <c r="A15" s="87" t="s">
        <v>714</v>
      </c>
      <c r="B15" s="100" t="s">
        <v>51</v>
      </c>
      <c r="C15" s="100" t="s">
        <v>1141</v>
      </c>
      <c r="D15" s="104" t="s">
        <v>34</v>
      </c>
      <c r="E15" s="103" t="s">
        <v>34</v>
      </c>
      <c r="F15" s="102" t="s">
        <v>34</v>
      </c>
      <c r="G15" s="103" t="s">
        <v>543</v>
      </c>
      <c r="H15" s="101" t="s">
        <v>136</v>
      </c>
      <c r="I15" s="101" t="s">
        <v>136</v>
      </c>
      <c r="J15" s="102" t="s">
        <v>52</v>
      </c>
      <c r="K15" s="102" t="s">
        <v>52</v>
      </c>
      <c r="L15" s="101" t="s">
        <v>7</v>
      </c>
      <c r="M15" s="100" t="s">
        <v>40</v>
      </c>
      <c r="N15" s="87"/>
      <c r="O15" s="87" t="s">
        <v>42</v>
      </c>
      <c r="P15" s="87" t="s">
        <v>531</v>
      </c>
      <c r="Q15" s="87" t="s">
        <v>532</v>
      </c>
      <c r="R15" s="99" t="s">
        <v>8</v>
      </c>
      <c r="S15" s="97">
        <v>236.60400000000001</v>
      </c>
      <c r="T15" s="97">
        <f>Table12117[[#This Row],[Original Limit (A$)]]</f>
        <v>236.60400000000001</v>
      </c>
      <c r="U15" s="155">
        <f>Table12117[[#This Row],[Amortised Limit in Original Currency]]</f>
        <v>236.60400000000001</v>
      </c>
      <c r="V15" s="97">
        <f>Table12117[[#This Row],[Amortised Limit A$ Balance]]</f>
        <v>236.60400000000001</v>
      </c>
      <c r="W15" s="155">
        <v>6506.61</v>
      </c>
      <c r="X15" s="96" t="s">
        <v>11</v>
      </c>
      <c r="Y15" s="182">
        <v>2.75E-2</v>
      </c>
      <c r="Z15" s="95">
        <v>44896</v>
      </c>
      <c r="AA15" s="95">
        <v>45260</v>
      </c>
      <c r="AB15" s="95">
        <v>45260</v>
      </c>
      <c r="AC15" s="93">
        <f>AB15-Z15+1</f>
        <v>365</v>
      </c>
      <c r="AD15" s="94" t="s">
        <v>10</v>
      </c>
      <c r="AE15" s="93" t="e">
        <f>AB15-#REF!</f>
        <v>#REF!</v>
      </c>
      <c r="AF15" s="92" t="e">
        <f>AE15/365</f>
        <v>#REF!</v>
      </c>
      <c r="AG15" s="91"/>
      <c r="AH15" s="90" t="s">
        <v>1</v>
      </c>
      <c r="AI15" s="90" t="s">
        <v>1</v>
      </c>
      <c r="AJ15" s="88" t="s">
        <v>0</v>
      </c>
      <c r="AK15" s="88" t="e">
        <f>+IF(AB15-60&lt;$A$1, "SEND NOTICE", "N/A")</f>
        <v>#REF!</v>
      </c>
      <c r="AL15" s="88" t="s">
        <v>271</v>
      </c>
      <c r="AM15" s="87" t="s">
        <v>716</v>
      </c>
      <c r="AP15" s="197" t="str">
        <f>Table12117[[#This Row],[Risk Location ]]</f>
        <v>Australia</v>
      </c>
      <c r="AQ15" s="198" t="str">
        <f>Table12117[[#This Row],[Sector (GICS Industry Group)]]</f>
        <v>Industrials</v>
      </c>
      <c r="AT15" s="212">
        <f>Table12117[[#This Row],[Percentage Impact]]*Table12117[[#This Row],[Amortised Limit A$ Balance]]</f>
        <v>0</v>
      </c>
      <c r="AU15" s="212">
        <f>Table12117[[#This Row],[Amortised Limit A$ Balance]]*12%</f>
        <v>28.392479999999999</v>
      </c>
      <c r="AV15" s="212" t="b">
        <f>IF(Table12117[[#This Row],[Everest]]="Everest",Table12117[[#This Row],[Assetinsure Amount ]]*0.2)</f>
        <v>0</v>
      </c>
      <c r="AW15" s="212"/>
      <c r="AX15" s="212">
        <f>MIN(Table12117[[#This Row],[Assetinsure Amount ]]-Table12117[[#This Row],[Reinsurance Everest Re]],Table12117[[#This Row],[Total Amount]])</f>
        <v>0</v>
      </c>
      <c r="AY15" s="212">
        <f t="shared" si="1"/>
        <v>0</v>
      </c>
      <c r="BC15" s="212">
        <v>0</v>
      </c>
      <c r="BD15" s="212">
        <v>0</v>
      </c>
      <c r="BE15" s="212">
        <v>0</v>
      </c>
      <c r="BF15" s="212">
        <v>0</v>
      </c>
      <c r="BG15" s="212">
        <v>0</v>
      </c>
      <c r="BH15" s="212">
        <v>0</v>
      </c>
      <c r="BI15" s="226">
        <v>0</v>
      </c>
      <c r="BJ15" s="226"/>
      <c r="BL15" s="93"/>
      <c r="BM15" s="112"/>
      <c r="BN15" s="58" t="s">
        <v>476</v>
      </c>
    </row>
    <row r="16" spans="1:66" ht="39.950000000000003" customHeight="1" x14ac:dyDescent="0.2">
      <c r="A16" s="87" t="s">
        <v>715</v>
      </c>
      <c r="B16" s="100" t="s">
        <v>51</v>
      </c>
      <c r="C16" s="100" t="s">
        <v>1141</v>
      </c>
      <c r="D16" s="104" t="s">
        <v>34</v>
      </c>
      <c r="E16" s="103" t="s">
        <v>34</v>
      </c>
      <c r="F16" s="102" t="s">
        <v>34</v>
      </c>
      <c r="G16" s="103" t="s">
        <v>543</v>
      </c>
      <c r="H16" s="101" t="s">
        <v>136</v>
      </c>
      <c r="I16" s="101" t="s">
        <v>136</v>
      </c>
      <c r="J16" s="102" t="s">
        <v>52</v>
      </c>
      <c r="K16" s="102" t="s">
        <v>52</v>
      </c>
      <c r="L16" s="101" t="s">
        <v>7</v>
      </c>
      <c r="M16" s="100" t="s">
        <v>40</v>
      </c>
      <c r="N16" s="87"/>
      <c r="O16" s="87" t="s">
        <v>42</v>
      </c>
      <c r="P16" s="87" t="s">
        <v>531</v>
      </c>
      <c r="Q16" s="87" t="s">
        <v>532</v>
      </c>
      <c r="R16" s="99" t="s">
        <v>8</v>
      </c>
      <c r="S16" s="97">
        <f>304.406</f>
        <v>304.40600000000001</v>
      </c>
      <c r="T16" s="97">
        <f>Table12117[[#This Row],[Original Limit (A$)]]</f>
        <v>304.40600000000001</v>
      </c>
      <c r="U16" s="155">
        <f>Table12117[[#This Row],[Amortised Limit in Original Currency]]</f>
        <v>304.40600000000001</v>
      </c>
      <c r="V16" s="97">
        <f>Table12117[[#This Row],[Amortised Limit A$ Balance]]</f>
        <v>304.40600000000001</v>
      </c>
      <c r="W16" s="155">
        <v>8371.17</v>
      </c>
      <c r="X16" s="96" t="s">
        <v>11</v>
      </c>
      <c r="Y16" s="182">
        <v>2.75E-2</v>
      </c>
      <c r="Z16" s="95">
        <v>44896</v>
      </c>
      <c r="AA16" s="95">
        <v>45260</v>
      </c>
      <c r="AB16" s="95">
        <v>45260</v>
      </c>
      <c r="AC16" s="93">
        <f t="shared" si="3"/>
        <v>365</v>
      </c>
      <c r="AD16" s="94" t="s">
        <v>10</v>
      </c>
      <c r="AE16" s="93" t="e">
        <f>AB16-#REF!</f>
        <v>#REF!</v>
      </c>
      <c r="AF16" s="92" t="e">
        <f t="shared" ref="AF16:AF71" si="5">AE16/365</f>
        <v>#REF!</v>
      </c>
      <c r="AG16" s="91"/>
      <c r="AH16" s="90" t="s">
        <v>1</v>
      </c>
      <c r="AI16" s="90" t="s">
        <v>1</v>
      </c>
      <c r="AJ16" s="88" t="s">
        <v>0</v>
      </c>
      <c r="AK16" s="88" t="e">
        <f t="shared" si="2"/>
        <v>#REF!</v>
      </c>
      <c r="AL16" s="88" t="s">
        <v>271</v>
      </c>
      <c r="AM16" s="87" t="s">
        <v>717</v>
      </c>
      <c r="AP16" s="197" t="str">
        <f>Table12117[[#This Row],[Risk Location ]]</f>
        <v>Australia</v>
      </c>
      <c r="AQ16" s="198" t="str">
        <f>Table12117[[#This Row],[Sector (GICS Industry Group)]]</f>
        <v>Industrials</v>
      </c>
      <c r="AT16" s="212">
        <f>Table12117[[#This Row],[Percentage Impact]]*Table12117[[#This Row],[Amortised Limit A$ Balance]]</f>
        <v>0</v>
      </c>
      <c r="AU16" s="212">
        <f>Table12117[[#This Row],[Amortised Limit A$ Balance]]*12%</f>
        <v>36.52872</v>
      </c>
      <c r="AV16" s="212" t="b">
        <f>IF(Table12117[[#This Row],[Everest]]="Everest",Table12117[[#This Row],[Assetinsure Amount ]]*0.2)</f>
        <v>0</v>
      </c>
      <c r="AW16" s="212"/>
      <c r="AX16" s="212">
        <f>MIN(Table12117[[#This Row],[Assetinsure Amount ]]-Table12117[[#This Row],[Reinsurance Everest Re]],Table12117[[#This Row],[Total Amount]])</f>
        <v>0</v>
      </c>
      <c r="AY16" s="212">
        <f t="shared" si="1"/>
        <v>0</v>
      </c>
      <c r="BC16" s="212">
        <v>0</v>
      </c>
      <c r="BD16" s="212">
        <v>0</v>
      </c>
      <c r="BE16" s="212">
        <v>0</v>
      </c>
      <c r="BF16" s="212">
        <v>0</v>
      </c>
      <c r="BG16" s="212">
        <v>0</v>
      </c>
      <c r="BH16" s="212">
        <v>0</v>
      </c>
      <c r="BI16" s="226">
        <v>0</v>
      </c>
      <c r="BJ16" s="226"/>
      <c r="BL16" s="93"/>
      <c r="BM16" s="112"/>
      <c r="BN16" s="58" t="s">
        <v>476</v>
      </c>
    </row>
    <row r="17" spans="1:66" ht="39.950000000000003" customHeight="1" x14ac:dyDescent="0.2">
      <c r="A17" s="13" t="s">
        <v>171</v>
      </c>
      <c r="B17" s="65" t="s">
        <v>24</v>
      </c>
      <c r="C17" s="65" t="s">
        <v>1141</v>
      </c>
      <c r="D17" s="66" t="s">
        <v>87</v>
      </c>
      <c r="E17" s="14" t="s">
        <v>542</v>
      </c>
      <c r="F17" s="77" t="s">
        <v>87</v>
      </c>
      <c r="G17" s="14" t="s">
        <v>173</v>
      </c>
      <c r="H17" s="14" t="s">
        <v>174</v>
      </c>
      <c r="I17" s="14" t="s">
        <v>172</v>
      </c>
      <c r="J17" s="77" t="s">
        <v>75</v>
      </c>
      <c r="K17" s="77" t="s">
        <v>21</v>
      </c>
      <c r="L17" s="14" t="s">
        <v>29</v>
      </c>
      <c r="M17" s="65" t="s">
        <v>191</v>
      </c>
      <c r="N17" s="13" t="s">
        <v>59</v>
      </c>
      <c r="O17" s="13" t="s">
        <v>43</v>
      </c>
      <c r="P17" s="13" t="s">
        <v>538</v>
      </c>
      <c r="Q17" s="13" t="s">
        <v>548</v>
      </c>
      <c r="R17" s="64" t="s">
        <v>9</v>
      </c>
      <c r="S17" s="62" t="e">
        <f>25000/USD</f>
        <v>#REF!</v>
      </c>
      <c r="T17" s="62">
        <v>20000</v>
      </c>
      <c r="U17" s="150" t="e">
        <f>+T17/USD</f>
        <v>#REF!</v>
      </c>
      <c r="V17" s="62" t="e">
        <f>102777.7777/USD</f>
        <v>#REF!</v>
      </c>
      <c r="W17" s="150" t="e">
        <f>1517343.76/USD</f>
        <v>#REF!</v>
      </c>
      <c r="X17" s="61" t="s">
        <v>11</v>
      </c>
      <c r="Y17" s="181">
        <v>1.6299999999999999E-2</v>
      </c>
      <c r="Z17" s="60">
        <v>43448</v>
      </c>
      <c r="AA17" s="60">
        <v>45716</v>
      </c>
      <c r="AB17" s="60">
        <f>AA17</f>
        <v>45716</v>
      </c>
      <c r="AC17" s="58">
        <f t="shared" si="3"/>
        <v>2269</v>
      </c>
      <c r="AD17" s="75" t="e">
        <f t="shared" ref="AD17:AD31" si="6">IF(AB17-$A$1&gt;60,"No","Yes")</f>
        <v>#REF!</v>
      </c>
      <c r="AE17" s="58" t="e">
        <f>AB17-#REF!</f>
        <v>#REF!</v>
      </c>
      <c r="AF17" s="57" t="e">
        <f t="shared" si="5"/>
        <v>#REF!</v>
      </c>
      <c r="AG17" s="56"/>
      <c r="AH17" s="71" t="s">
        <v>1</v>
      </c>
      <c r="AI17" s="71" t="s">
        <v>1</v>
      </c>
      <c r="AJ17" s="187" t="s">
        <v>1202</v>
      </c>
      <c r="AK17" s="11" t="e">
        <f t="shared" si="2"/>
        <v>#REF!</v>
      </c>
      <c r="AL17" s="11" t="s">
        <v>271</v>
      </c>
      <c r="AM17" s="13" t="s">
        <v>355</v>
      </c>
      <c r="AP17" s="197" t="str">
        <f>Table12117[[#This Row],[Risk Location ]]</f>
        <v>United Kingdom</v>
      </c>
      <c r="AQ17" s="198" t="str">
        <f>Table12117[[#This Row],[Sector (GICS Industry Group)]]</f>
        <v>Automobiles &amp; Components</v>
      </c>
      <c r="AR17" s="229">
        <v>1</v>
      </c>
      <c r="AS17" s="310">
        <v>2.5000000000000001E-2</v>
      </c>
      <c r="AT17" s="212" t="e">
        <f>Table12117[[#This Row],[Percentage Impact]]*Table12117[[#This Row],[Amortised Limit A$ Balance]]</f>
        <v>#REF!</v>
      </c>
      <c r="AU17" s="212" t="e">
        <f>Table12117[[#This Row],[Amortised Limit A$ Balance]]*12%</f>
        <v>#REF!</v>
      </c>
      <c r="AV17" s="212" t="b">
        <f>IF(Table12117[[#This Row],[Everest]]="Everest",Table12117[[#This Row],[Assetinsure Amount ]]*0.2)</f>
        <v>0</v>
      </c>
      <c r="AW17" s="278"/>
      <c r="AX17" s="212" t="e">
        <f>MIN(Table12117[[#This Row],[Assetinsure Amount ]]-Table12117[[#This Row],[Reinsurance Everest Re]],Table12117[[#This Row],[Total Amount]])</f>
        <v>#REF!</v>
      </c>
      <c r="AY17" s="212">
        <f t="shared" si="1"/>
        <v>726.47657235102236</v>
      </c>
      <c r="AZ17" s="229"/>
      <c r="BC17" s="212">
        <v>750.02347573479062</v>
      </c>
      <c r="BD17" s="212">
        <v>726.47657235102236</v>
      </c>
      <c r="BE17" s="212">
        <v>0</v>
      </c>
      <c r="BF17" s="212">
        <v>0</v>
      </c>
      <c r="BG17" s="212">
        <v>0</v>
      </c>
      <c r="BH17" s="212">
        <v>0</v>
      </c>
      <c r="BI17" s="226">
        <v>0</v>
      </c>
      <c r="BJ17" s="226"/>
      <c r="BL17" s="58" t="s">
        <v>956</v>
      </c>
      <c r="BM17" s="112"/>
      <c r="BN17" s="58" t="s">
        <v>476</v>
      </c>
    </row>
    <row r="18" spans="1:66" s="12" customFormat="1" ht="39.950000000000003" customHeight="1" x14ac:dyDescent="0.2">
      <c r="A18" s="13" t="s">
        <v>175</v>
      </c>
      <c r="B18" s="65" t="s">
        <v>23</v>
      </c>
      <c r="C18" s="65" t="s">
        <v>243</v>
      </c>
      <c r="D18" s="66" t="s">
        <v>34</v>
      </c>
      <c r="E18" s="14" t="s">
        <v>34</v>
      </c>
      <c r="F18" s="77" t="s">
        <v>34</v>
      </c>
      <c r="G18" s="14" t="s">
        <v>544</v>
      </c>
      <c r="H18" s="14" t="s">
        <v>178</v>
      </c>
      <c r="I18" s="14" t="s">
        <v>177</v>
      </c>
      <c r="J18" s="66" t="s">
        <v>232</v>
      </c>
      <c r="K18" s="77" t="s">
        <v>21</v>
      </c>
      <c r="L18" s="14" t="s">
        <v>29</v>
      </c>
      <c r="M18" s="65" t="s">
        <v>191</v>
      </c>
      <c r="N18" s="13" t="s">
        <v>323</v>
      </c>
      <c r="O18" s="13" t="s">
        <v>43</v>
      </c>
      <c r="P18" s="13" t="s">
        <v>531</v>
      </c>
      <c r="Q18" s="65" t="s">
        <v>534</v>
      </c>
      <c r="R18" s="64" t="s">
        <v>8</v>
      </c>
      <c r="S18" s="62">
        <v>20000</v>
      </c>
      <c r="T18" s="62">
        <v>20000</v>
      </c>
      <c r="U18" s="150">
        <v>20000</v>
      </c>
      <c r="V18" s="62">
        <v>95000</v>
      </c>
      <c r="W18" s="150">
        <v>1786247.15</v>
      </c>
      <c r="X18" s="61" t="s">
        <v>11</v>
      </c>
      <c r="Y18" s="181">
        <v>1.95E-2</v>
      </c>
      <c r="Z18" s="60">
        <v>43480</v>
      </c>
      <c r="AA18" s="60">
        <v>45169</v>
      </c>
      <c r="AB18" s="60">
        <v>45169</v>
      </c>
      <c r="AC18" s="58">
        <f t="shared" si="3"/>
        <v>1690</v>
      </c>
      <c r="AD18" s="59" t="e">
        <f t="shared" si="6"/>
        <v>#REF!</v>
      </c>
      <c r="AE18" s="58" t="e">
        <f>AB18-#REF!</f>
        <v>#REF!</v>
      </c>
      <c r="AF18" s="57" t="e">
        <f t="shared" si="5"/>
        <v>#REF!</v>
      </c>
      <c r="AG18" s="56"/>
      <c r="AH18" s="71" t="s">
        <v>1</v>
      </c>
      <c r="AI18" s="71" t="s">
        <v>1</v>
      </c>
      <c r="AJ18" s="187" t="s">
        <v>0</v>
      </c>
      <c r="AK18" s="11" t="e">
        <f t="shared" si="2"/>
        <v>#REF!</v>
      </c>
      <c r="AL18" s="11" t="s">
        <v>271</v>
      </c>
      <c r="AM18" s="13" t="s">
        <v>356</v>
      </c>
      <c r="AN18" s="11">
        <v>7789.99</v>
      </c>
      <c r="AO18" s="11"/>
      <c r="AP18" s="197" t="str">
        <f>Table12117[[#This Row],[Risk Location ]]</f>
        <v>Australia</v>
      </c>
      <c r="AQ18" s="198" t="str">
        <f>Table12117[[#This Row],[Sector (GICS Industry Group)]]</f>
        <v>Consumer Discretionary</v>
      </c>
      <c r="AR18" s="229"/>
      <c r="AS18" s="310">
        <v>0</v>
      </c>
      <c r="AT18" s="278">
        <f>Table12117[[#This Row],[Percentage Impact]]*Table12117[[#This Row],[Amortised Limit A$ Balance]]</f>
        <v>0</v>
      </c>
      <c r="AU18" s="278">
        <f>Table12117[[#This Row],[Amortised Limit A$ Balance]]*12%</f>
        <v>2400</v>
      </c>
      <c r="AV18" s="278" t="b">
        <f>IF(Table12117[[#This Row],[Everest]]="Everest",Table12117[[#This Row],[Assetinsure Amount ]]*0.2)</f>
        <v>0</v>
      </c>
      <c r="AW18" s="278"/>
      <c r="AX18" s="278">
        <f>MIN(Table12117[[#This Row],[Assetinsure Amount ]]-Table12117[[#This Row],[Reinsurance Everest Re]],Table12117[[#This Row],[Total Amount]])</f>
        <v>0</v>
      </c>
      <c r="AY18" s="278">
        <f t="shared" si="1"/>
        <v>0</v>
      </c>
      <c r="AZ18" s="298"/>
      <c r="BC18" s="258">
        <v>0</v>
      </c>
      <c r="BD18" s="258">
        <v>0</v>
      </c>
      <c r="BE18" s="258">
        <v>0</v>
      </c>
      <c r="BF18" s="258">
        <v>1000</v>
      </c>
      <c r="BG18" s="212">
        <v>1000</v>
      </c>
      <c r="BH18" s="212">
        <v>1250</v>
      </c>
      <c r="BI18" s="227">
        <v>1000</v>
      </c>
      <c r="BJ18" s="227">
        <v>1000</v>
      </c>
      <c r="BL18" s="58" t="s">
        <v>931</v>
      </c>
      <c r="BM18" s="112"/>
      <c r="BN18" s="58" t="s">
        <v>476</v>
      </c>
    </row>
    <row r="19" spans="1:66" ht="39.950000000000003" customHeight="1" x14ac:dyDescent="0.2">
      <c r="A19" s="13" t="s">
        <v>204</v>
      </c>
      <c r="B19" s="65" t="s">
        <v>23</v>
      </c>
      <c r="C19" s="65" t="s">
        <v>1141</v>
      </c>
      <c r="D19" s="66" t="s">
        <v>89</v>
      </c>
      <c r="E19" s="14" t="s">
        <v>542</v>
      </c>
      <c r="F19" s="77" t="s">
        <v>127</v>
      </c>
      <c r="G19" s="14" t="s">
        <v>92</v>
      </c>
      <c r="H19" s="14" t="s">
        <v>108</v>
      </c>
      <c r="I19" s="14" t="s">
        <v>109</v>
      </c>
      <c r="J19" s="14" t="s">
        <v>220</v>
      </c>
      <c r="K19" s="14" t="s">
        <v>220</v>
      </c>
      <c r="L19" s="14" t="s">
        <v>22</v>
      </c>
      <c r="M19" s="65" t="s">
        <v>191</v>
      </c>
      <c r="N19" s="13" t="s">
        <v>59</v>
      </c>
      <c r="O19" s="13" t="s">
        <v>43</v>
      </c>
      <c r="P19" s="13" t="s">
        <v>531</v>
      </c>
      <c r="Q19" s="65" t="s">
        <v>534</v>
      </c>
      <c r="R19" s="64" t="s">
        <v>9</v>
      </c>
      <c r="S19" s="62" t="e">
        <f>2682/USD</f>
        <v>#REF!</v>
      </c>
      <c r="T19" s="62">
        <v>1146.25</v>
      </c>
      <c r="U19" s="150" t="e">
        <f>+T19/USD</f>
        <v>#REF!</v>
      </c>
      <c r="V19" s="62" t="e">
        <f>31287*U19/S19/USD</f>
        <v>#REF!</v>
      </c>
      <c r="W19" s="150" t="e">
        <f>122955.42/USD</f>
        <v>#REF!</v>
      </c>
      <c r="X19" s="61" t="s">
        <v>11</v>
      </c>
      <c r="Y19" s="181">
        <v>2.2499999999999999E-2</v>
      </c>
      <c r="Z19" s="60">
        <v>43486</v>
      </c>
      <c r="AA19" s="60">
        <v>46041</v>
      </c>
      <c r="AB19" s="60">
        <v>46041</v>
      </c>
      <c r="AC19" s="58">
        <f t="shared" si="3"/>
        <v>2556</v>
      </c>
      <c r="AD19" s="59" t="e">
        <f t="shared" si="6"/>
        <v>#REF!</v>
      </c>
      <c r="AE19" s="58" t="e">
        <f>AB19-#REF!</f>
        <v>#REF!</v>
      </c>
      <c r="AF19" s="57" t="e">
        <f t="shared" si="5"/>
        <v>#REF!</v>
      </c>
      <c r="AG19" s="56"/>
      <c r="AH19" s="71" t="s">
        <v>1</v>
      </c>
      <c r="AI19" s="71" t="s">
        <v>1</v>
      </c>
      <c r="AJ19" s="187" t="s">
        <v>251</v>
      </c>
      <c r="AK19" s="11" t="e">
        <f t="shared" si="2"/>
        <v>#REF!</v>
      </c>
      <c r="AL19" s="11" t="s">
        <v>271</v>
      </c>
      <c r="AM19" s="13" t="s">
        <v>357</v>
      </c>
      <c r="AN19" s="11">
        <v>2145</v>
      </c>
      <c r="AP19" s="197" t="str">
        <f>Table12117[[#This Row],[Risk Location ]]</f>
        <v>Germany</v>
      </c>
      <c r="AQ19" s="198" t="str">
        <f>Table12117[[#This Row],[Sector (GICS Industry Group)]]</f>
        <v>Transportation</v>
      </c>
      <c r="AT19" s="212" t="e">
        <f>Table12117[[#This Row],[Percentage Impact]]*Table12117[[#This Row],[Amortised Limit A$ Balance]]</f>
        <v>#REF!</v>
      </c>
      <c r="AU19" s="212" t="e">
        <f>Table12117[[#This Row],[Amortised Limit A$ Balance]]*12%</f>
        <v>#REF!</v>
      </c>
      <c r="AV19" s="212" t="b">
        <f>IF(Table12117[[#This Row],[Everest]]="Everest",Table12117[[#This Row],[Assetinsure Amount ]]*0.2)</f>
        <v>0</v>
      </c>
      <c r="AW19" s="212"/>
      <c r="AX19" s="212" t="e">
        <f>MIN(Table12117[[#This Row],[Assetinsure Amount ]]-Table12117[[#This Row],[Reinsurance Everest Re]],Table12117[[#This Row],[Total Amount]])</f>
        <v>#REF!</v>
      </c>
      <c r="AY19" s="212">
        <f t="shared" si="1"/>
        <v>0</v>
      </c>
      <c r="BC19" s="212">
        <v>0</v>
      </c>
      <c r="BD19" s="212">
        <v>0</v>
      </c>
      <c r="BE19" s="212">
        <v>0</v>
      </c>
      <c r="BF19" s="212">
        <v>0</v>
      </c>
      <c r="BG19" s="212">
        <v>0</v>
      </c>
      <c r="BH19" s="212">
        <v>0</v>
      </c>
      <c r="BI19" s="226">
        <v>0</v>
      </c>
      <c r="BJ19" s="226"/>
      <c r="BL19" s="58" t="s">
        <v>954</v>
      </c>
      <c r="BM19" s="112"/>
      <c r="BN19" s="58" t="s">
        <v>476</v>
      </c>
    </row>
    <row r="20" spans="1:66" ht="39.950000000000003" customHeight="1" x14ac:dyDescent="0.2">
      <c r="A20" s="131" t="s">
        <v>190</v>
      </c>
      <c r="B20" s="65" t="s">
        <v>23</v>
      </c>
      <c r="C20" s="65" t="s">
        <v>1141</v>
      </c>
      <c r="D20" s="66" t="s">
        <v>37</v>
      </c>
      <c r="E20" s="14" t="s">
        <v>540</v>
      </c>
      <c r="F20" s="161" t="s">
        <v>36</v>
      </c>
      <c r="G20" s="66" t="s">
        <v>106</v>
      </c>
      <c r="H20" s="66" t="s">
        <v>106</v>
      </c>
      <c r="I20" s="66" t="s">
        <v>107</v>
      </c>
      <c r="J20" s="14" t="s">
        <v>72</v>
      </c>
      <c r="K20" s="14" t="s">
        <v>219</v>
      </c>
      <c r="L20" s="14" t="s">
        <v>29</v>
      </c>
      <c r="M20" s="65" t="s">
        <v>191</v>
      </c>
      <c r="N20" s="13" t="s">
        <v>323</v>
      </c>
      <c r="O20" s="13" t="s">
        <v>43</v>
      </c>
      <c r="P20" s="13" t="s">
        <v>538</v>
      </c>
      <c r="Q20" s="13" t="s">
        <v>548</v>
      </c>
      <c r="R20" s="64" t="s">
        <v>9</v>
      </c>
      <c r="S20" s="62" t="e">
        <f>4250/USD</f>
        <v>#REF!</v>
      </c>
      <c r="T20" s="62">
        <v>2125</v>
      </c>
      <c r="U20" s="150" t="e">
        <f>+T20/USD</f>
        <v>#REF!</v>
      </c>
      <c r="V20" s="62" t="e">
        <f>50000/USD</f>
        <v>#REF!</v>
      </c>
      <c r="W20" s="150" t="e">
        <f>(212639*0.9)/USD</f>
        <v>#REF!</v>
      </c>
      <c r="X20" s="61" t="s">
        <v>551</v>
      </c>
      <c r="Y20" s="181">
        <v>2.5000000000000001E-2</v>
      </c>
      <c r="Z20" s="60">
        <v>43496</v>
      </c>
      <c r="AA20" s="60">
        <v>44848</v>
      </c>
      <c r="AB20" s="60">
        <f>AA20</f>
        <v>44848</v>
      </c>
      <c r="AC20" s="58">
        <f t="shared" si="3"/>
        <v>1353</v>
      </c>
      <c r="AD20" s="59" t="e">
        <f t="shared" si="6"/>
        <v>#REF!</v>
      </c>
      <c r="AE20" s="58" t="e">
        <f>AB20-#REF!</f>
        <v>#REF!</v>
      </c>
      <c r="AF20" s="57" t="e">
        <f t="shared" si="5"/>
        <v>#REF!</v>
      </c>
      <c r="AG20" s="56"/>
      <c r="AH20" s="71" t="s">
        <v>1</v>
      </c>
      <c r="AI20" s="71" t="s">
        <v>1</v>
      </c>
      <c r="AJ20" s="187" t="s">
        <v>884</v>
      </c>
      <c r="AK20" s="11" t="e">
        <f t="shared" si="2"/>
        <v>#REF!</v>
      </c>
      <c r="AL20" s="11" t="s">
        <v>271</v>
      </c>
      <c r="AM20" s="14" t="s">
        <v>361</v>
      </c>
      <c r="AN20" s="11">
        <v>5500</v>
      </c>
      <c r="AP20" s="197" t="str">
        <f>Table12117[[#This Row],[Risk Location ]]</f>
        <v>China</v>
      </c>
      <c r="AQ20" s="198" t="str">
        <f>Table12117[[#This Row],[Sector (GICS Industry Group)]]</f>
        <v>Real Estate Management &amp; Development</v>
      </c>
      <c r="AR20" s="11">
        <v>1</v>
      </c>
      <c r="AS20" s="309">
        <v>0.25</v>
      </c>
      <c r="AT20" s="212" t="e">
        <f>Table12117[[#This Row],[Percentage Impact]]*Table12117[[#This Row],[Amortised Limit A$ Balance]]</f>
        <v>#REF!</v>
      </c>
      <c r="AU20" s="212" t="e">
        <f>Table12117[[#This Row],[Amortised Limit A$ Balance]]*12%</f>
        <v>#REF!</v>
      </c>
      <c r="AV20" s="212" t="b">
        <f>IF(Table12117[[#This Row],[Everest]]="Everest",Table12117[[#This Row],[Assetinsure Amount ]]*0.2)</f>
        <v>0</v>
      </c>
      <c r="AW20" s="212"/>
      <c r="AX20" s="212" t="e">
        <f>MIN(Table12117[[#This Row],[Assetinsure Amount ]]-Table12117[[#This Row],[Reinsurance Everest Re]],Table12117[[#This Row],[Total Amount]])</f>
        <v>#REF!</v>
      </c>
      <c r="AY20" s="212">
        <f t="shared" si="1"/>
        <v>370.50305189902139</v>
      </c>
      <c r="BC20" s="212">
        <v>382.51197262474318</v>
      </c>
      <c r="BD20" s="212">
        <v>370.50305189902139</v>
      </c>
      <c r="BE20" s="212">
        <v>401.33463439201739</v>
      </c>
      <c r="BF20" s="212">
        <v>0</v>
      </c>
      <c r="BG20" s="212">
        <v>0</v>
      </c>
      <c r="BH20" s="212">
        <v>0</v>
      </c>
      <c r="BI20" s="226">
        <v>0</v>
      </c>
      <c r="BJ20" s="226"/>
      <c r="BL20" s="58" t="s">
        <v>957</v>
      </c>
      <c r="BM20" s="112"/>
      <c r="BN20" s="58" t="s">
        <v>476</v>
      </c>
    </row>
    <row r="21" spans="1:66" ht="39.950000000000003" customHeight="1" x14ac:dyDescent="0.2">
      <c r="A21" s="14" t="s">
        <v>185</v>
      </c>
      <c r="B21" s="65" t="s">
        <v>67</v>
      </c>
      <c r="C21" s="65" t="s">
        <v>1142</v>
      </c>
      <c r="D21" s="66" t="s">
        <v>127</v>
      </c>
      <c r="E21" s="14" t="s">
        <v>542</v>
      </c>
      <c r="F21" s="68" t="s">
        <v>127</v>
      </c>
      <c r="G21" s="14" t="s">
        <v>92</v>
      </c>
      <c r="H21" s="14" t="s">
        <v>93</v>
      </c>
      <c r="I21" s="66" t="s">
        <v>94</v>
      </c>
      <c r="J21" s="14" t="s">
        <v>165</v>
      </c>
      <c r="K21" s="14" t="s">
        <v>220</v>
      </c>
      <c r="L21" s="14" t="s">
        <v>22</v>
      </c>
      <c r="M21" s="65" t="s">
        <v>191</v>
      </c>
      <c r="N21" s="13" t="s">
        <v>59</v>
      </c>
      <c r="O21" s="13" t="s">
        <v>43</v>
      </c>
      <c r="P21" s="13" t="s">
        <v>538</v>
      </c>
      <c r="Q21" s="65" t="s">
        <v>534</v>
      </c>
      <c r="R21" s="64" t="s">
        <v>59</v>
      </c>
      <c r="S21" s="62" t="e">
        <f>18000/EUR</f>
        <v>#REF!</v>
      </c>
      <c r="T21" s="62">
        <v>18000</v>
      </c>
      <c r="U21" s="150" t="e">
        <f>+S21</f>
        <v>#REF!</v>
      </c>
      <c r="V21" s="62" t="e">
        <f>175000/EUR</f>
        <v>#REF!</v>
      </c>
      <c r="W21" s="150" t="e">
        <f>822727/EUR+406999.5/EUR</f>
        <v>#REF!</v>
      </c>
      <c r="X21" s="61" t="s">
        <v>11</v>
      </c>
      <c r="Y21" s="181">
        <v>1.7999999999999999E-2</v>
      </c>
      <c r="Z21" s="60">
        <v>43500</v>
      </c>
      <c r="AA21" s="60">
        <v>46042</v>
      </c>
      <c r="AB21" s="60">
        <v>46042</v>
      </c>
      <c r="AC21" s="58">
        <f t="shared" si="3"/>
        <v>2543</v>
      </c>
      <c r="AD21" s="59" t="e">
        <f t="shared" si="6"/>
        <v>#REF!</v>
      </c>
      <c r="AE21" s="58" t="e">
        <f>AB21-#REF!</f>
        <v>#REF!</v>
      </c>
      <c r="AF21" s="57" t="e">
        <f t="shared" si="5"/>
        <v>#REF!</v>
      </c>
      <c r="AG21" s="56" t="s">
        <v>436</v>
      </c>
      <c r="AH21" s="71" t="s">
        <v>1</v>
      </c>
      <c r="AI21" s="71" t="s">
        <v>1</v>
      </c>
      <c r="AJ21" s="187" t="s">
        <v>0</v>
      </c>
      <c r="AK21" s="11" t="e">
        <f t="shared" si="2"/>
        <v>#REF!</v>
      </c>
      <c r="AL21" s="11" t="s">
        <v>271</v>
      </c>
      <c r="AM21" s="14" t="s">
        <v>358</v>
      </c>
      <c r="AN21" s="11">
        <v>23780</v>
      </c>
      <c r="AP21" s="197" t="str">
        <f>Table12117[[#This Row],[Risk Location ]]</f>
        <v>Germany</v>
      </c>
      <c r="AQ21" s="198" t="str">
        <f>Table12117[[#This Row],[Sector (GICS Industry Group)]]</f>
        <v>Transportation</v>
      </c>
      <c r="AT21" s="212" t="e">
        <f>Table12117[[#This Row],[Percentage Impact]]*Table12117[[#This Row],[Amortised Limit A$ Balance]]</f>
        <v>#REF!</v>
      </c>
      <c r="AU21" s="212" t="e">
        <f>Table12117[[#This Row],[Amortised Limit A$ Balance]]*12%</f>
        <v>#REF!</v>
      </c>
      <c r="AV21" s="212" t="e">
        <f>IF(Table12117[[#This Row],[Everest]]="Everest",Table12117[[#This Row],[Assetinsure Amount ]]*0.2)</f>
        <v>#REF!</v>
      </c>
      <c r="AW21" s="212"/>
      <c r="AX21" s="212" t="e">
        <f>MIN(Table12117[[#This Row],[Assetinsure Amount ]]-Table12117[[#This Row],[Reinsurance Everest Re]],Table12117[[#This Row],[Total Amount]])</f>
        <v>#REF!</v>
      </c>
      <c r="AY21" s="212">
        <f t="shared" si="1"/>
        <v>0</v>
      </c>
      <c r="BC21" s="212">
        <v>0</v>
      </c>
      <c r="BD21" s="212">
        <v>0</v>
      </c>
      <c r="BE21" s="212">
        <v>0</v>
      </c>
      <c r="BF21" s="212">
        <v>0</v>
      </c>
      <c r="BG21" s="212">
        <v>0</v>
      </c>
      <c r="BH21" s="212">
        <v>0</v>
      </c>
      <c r="BI21" s="226">
        <v>0</v>
      </c>
      <c r="BJ21" s="226"/>
      <c r="BL21" s="58" t="s">
        <v>1217</v>
      </c>
      <c r="BM21" s="112"/>
      <c r="BN21" s="58"/>
    </row>
    <row r="22" spans="1:66" ht="39.950000000000003" customHeight="1" x14ac:dyDescent="0.2">
      <c r="A22" s="148" t="s">
        <v>203</v>
      </c>
      <c r="B22" s="65" t="s">
        <v>23</v>
      </c>
      <c r="C22" s="65" t="s">
        <v>1141</v>
      </c>
      <c r="D22" s="66" t="s">
        <v>89</v>
      </c>
      <c r="E22" s="14" t="s">
        <v>542</v>
      </c>
      <c r="F22" s="77" t="s">
        <v>127</v>
      </c>
      <c r="G22" s="14" t="s">
        <v>92</v>
      </c>
      <c r="H22" s="14" t="s">
        <v>108</v>
      </c>
      <c r="I22" s="14" t="s">
        <v>109</v>
      </c>
      <c r="J22" s="14" t="s">
        <v>220</v>
      </c>
      <c r="K22" s="14" t="s">
        <v>220</v>
      </c>
      <c r="L22" s="14" t="s">
        <v>22</v>
      </c>
      <c r="M22" s="65" t="s">
        <v>191</v>
      </c>
      <c r="N22" s="13" t="s">
        <v>59</v>
      </c>
      <c r="O22" s="13" t="s">
        <v>43</v>
      </c>
      <c r="P22" s="13" t="s">
        <v>531</v>
      </c>
      <c r="Q22" s="65" t="s">
        <v>534</v>
      </c>
      <c r="R22" s="64" t="s">
        <v>9</v>
      </c>
      <c r="S22" s="62" t="e">
        <f>1980.411/USD</f>
        <v>#REF!</v>
      </c>
      <c r="T22" s="62">
        <v>876.57</v>
      </c>
      <c r="U22" s="150" t="e">
        <f>+T22/USD</f>
        <v>#REF!</v>
      </c>
      <c r="V22" s="62" t="e">
        <f>23713*U22/S22/USD</f>
        <v>#REF!</v>
      </c>
      <c r="W22" s="150" t="e">
        <f>95662.71/USD</f>
        <v>#REF!</v>
      </c>
      <c r="X22" s="61" t="s">
        <v>11</v>
      </c>
      <c r="Y22" s="181">
        <v>2.2499999999999999E-2</v>
      </c>
      <c r="Z22" s="60">
        <v>43508</v>
      </c>
      <c r="AA22" s="60">
        <v>46081</v>
      </c>
      <c r="AB22" s="60">
        <v>46081</v>
      </c>
      <c r="AC22" s="58">
        <f t="shared" si="3"/>
        <v>2574</v>
      </c>
      <c r="AD22" s="59" t="e">
        <f t="shared" si="6"/>
        <v>#REF!</v>
      </c>
      <c r="AE22" s="58" t="e">
        <f>AB22-#REF!</f>
        <v>#REF!</v>
      </c>
      <c r="AF22" s="57" t="e">
        <f t="shared" si="5"/>
        <v>#REF!</v>
      </c>
      <c r="AG22" s="56"/>
      <c r="AH22" s="71" t="s">
        <v>1</v>
      </c>
      <c r="AI22" s="71" t="s">
        <v>1</v>
      </c>
      <c r="AJ22" s="187" t="s">
        <v>251</v>
      </c>
      <c r="AK22" s="11" t="e">
        <f t="shared" si="2"/>
        <v>#REF!</v>
      </c>
      <c r="AL22" s="11" t="s">
        <v>271</v>
      </c>
      <c r="AM22" s="14" t="s">
        <v>360</v>
      </c>
      <c r="AN22" s="11">
        <v>1555</v>
      </c>
      <c r="AP22" s="197" t="str">
        <f>Table12117[[#This Row],[Risk Location ]]</f>
        <v>Germany</v>
      </c>
      <c r="AQ22" s="198" t="str">
        <f>Table12117[[#This Row],[Sector (GICS Industry Group)]]</f>
        <v>Transportation</v>
      </c>
      <c r="AT22" s="212" t="e">
        <f>Table12117[[#This Row],[Percentage Impact]]*Table12117[[#This Row],[Amortised Limit A$ Balance]]</f>
        <v>#REF!</v>
      </c>
      <c r="AU22" s="212" t="e">
        <f>Table12117[[#This Row],[Amortised Limit A$ Balance]]*12%</f>
        <v>#REF!</v>
      </c>
      <c r="AV22" s="212" t="b">
        <f>IF(Table12117[[#This Row],[Everest]]="Everest",Table12117[[#This Row],[Assetinsure Amount ]]*0.2)</f>
        <v>0</v>
      </c>
      <c r="AW22" s="212"/>
      <c r="AX22" s="212" t="e">
        <f>MIN(Table12117[[#This Row],[Assetinsure Amount ]]-Table12117[[#This Row],[Reinsurance Everest Re]],Table12117[[#This Row],[Total Amount]])</f>
        <v>#REF!</v>
      </c>
      <c r="AY22" s="212">
        <f t="shared" si="1"/>
        <v>0</v>
      </c>
      <c r="BC22" s="212">
        <v>0</v>
      </c>
      <c r="BD22" s="212">
        <v>0</v>
      </c>
      <c r="BE22" s="212">
        <v>0</v>
      </c>
      <c r="BF22" s="212">
        <v>0</v>
      </c>
      <c r="BG22" s="212">
        <v>0</v>
      </c>
      <c r="BH22" s="212">
        <v>0</v>
      </c>
      <c r="BI22" s="226">
        <v>0</v>
      </c>
      <c r="BJ22" s="226"/>
      <c r="BL22" s="58" t="s">
        <v>955</v>
      </c>
      <c r="BM22" s="112"/>
      <c r="BN22" s="58"/>
    </row>
    <row r="23" spans="1:66" ht="39.950000000000003" customHeight="1" x14ac:dyDescent="0.2">
      <c r="A23" s="14" t="s">
        <v>187</v>
      </c>
      <c r="B23" s="65" t="s">
        <v>67</v>
      </c>
      <c r="C23" s="65" t="s">
        <v>1141</v>
      </c>
      <c r="D23" s="66" t="s">
        <v>34</v>
      </c>
      <c r="E23" s="14" t="s">
        <v>34</v>
      </c>
      <c r="F23" s="77" t="s">
        <v>34</v>
      </c>
      <c r="G23" s="14" t="s">
        <v>543</v>
      </c>
      <c r="H23" s="14" t="s">
        <v>97</v>
      </c>
      <c r="I23" s="14" t="s">
        <v>186</v>
      </c>
      <c r="J23" s="14" t="s">
        <v>70</v>
      </c>
      <c r="K23" s="14" t="s">
        <v>218</v>
      </c>
      <c r="L23" s="14" t="s">
        <v>139</v>
      </c>
      <c r="M23" s="65" t="s">
        <v>191</v>
      </c>
      <c r="N23" s="13" t="s">
        <v>323</v>
      </c>
      <c r="O23" s="13" t="s">
        <v>43</v>
      </c>
      <c r="P23" s="13" t="s">
        <v>538</v>
      </c>
      <c r="Q23" s="65" t="s">
        <v>534</v>
      </c>
      <c r="R23" s="15" t="s">
        <v>8</v>
      </c>
      <c r="S23" s="86">
        <v>15000</v>
      </c>
      <c r="T23" s="62">
        <v>15000</v>
      </c>
      <c r="U23" s="169">
        <f>+S23</f>
        <v>15000</v>
      </c>
      <c r="V23" s="86">
        <v>65000</v>
      </c>
      <c r="W23" s="169">
        <v>1815402.7390411</v>
      </c>
      <c r="X23" s="61" t="s">
        <v>11</v>
      </c>
      <c r="Y23" s="181">
        <v>5.2499999999999998E-2</v>
      </c>
      <c r="Z23" s="85">
        <v>43511</v>
      </c>
      <c r="AA23" s="85">
        <v>45392</v>
      </c>
      <c r="AB23" s="85">
        <v>45392</v>
      </c>
      <c r="AC23" s="58">
        <f t="shared" si="3"/>
        <v>1882</v>
      </c>
      <c r="AD23" s="59" t="e">
        <f t="shared" si="6"/>
        <v>#REF!</v>
      </c>
      <c r="AE23" s="58" t="e">
        <f>AB23-#REF!</f>
        <v>#REF!</v>
      </c>
      <c r="AF23" s="57" t="e">
        <f t="shared" si="5"/>
        <v>#REF!</v>
      </c>
      <c r="AG23" s="56"/>
      <c r="AH23" s="71" t="s">
        <v>1</v>
      </c>
      <c r="AI23" s="71" t="s">
        <v>1</v>
      </c>
      <c r="AJ23" s="70" t="s">
        <v>0</v>
      </c>
      <c r="AK23" s="11" t="e">
        <f t="shared" si="2"/>
        <v>#REF!</v>
      </c>
      <c r="AL23" s="11" t="s">
        <v>271</v>
      </c>
      <c r="AM23" s="14" t="s">
        <v>359</v>
      </c>
      <c r="AN23" s="12">
        <v>5500</v>
      </c>
      <c r="AO23" s="12"/>
      <c r="AP23" s="197" t="str">
        <f>Table12117[[#This Row],[Risk Location ]]</f>
        <v>Australia</v>
      </c>
      <c r="AQ23" s="198" t="str">
        <f>Table12117[[#This Row],[Sector (GICS Industry Group)]]</f>
        <v>Industrials</v>
      </c>
      <c r="AR23" s="12"/>
      <c r="AT23" s="212">
        <f>Table12117[[#This Row],[Percentage Impact]]*Table12117[[#This Row],[Amortised Limit A$ Balance]]</f>
        <v>0</v>
      </c>
      <c r="AU23" s="212">
        <f>Table12117[[#This Row],[Amortised Limit A$ Balance]]*12%</f>
        <v>1800</v>
      </c>
      <c r="AV23" s="212" t="b">
        <f>IF(Table12117[[#This Row],[Everest]]="Everest",Table12117[[#This Row],[Assetinsure Amount ]]*0.2)</f>
        <v>0</v>
      </c>
      <c r="AW23" s="212"/>
      <c r="AX23" s="212">
        <f>MIN(Table12117[[#This Row],[Assetinsure Amount ]]-Table12117[[#This Row],[Reinsurance Everest Re]],Table12117[[#This Row],[Total Amount]])</f>
        <v>0</v>
      </c>
      <c r="AY23" s="212">
        <f t="shared" si="1"/>
        <v>0</v>
      </c>
      <c r="BC23" s="212">
        <v>0</v>
      </c>
      <c r="BD23" s="212">
        <v>0</v>
      </c>
      <c r="BE23" s="212">
        <v>0</v>
      </c>
      <c r="BF23" s="212">
        <v>0</v>
      </c>
      <c r="BG23" s="212">
        <v>0</v>
      </c>
      <c r="BH23" s="212">
        <v>0</v>
      </c>
      <c r="BI23" s="226">
        <v>0</v>
      </c>
      <c r="BJ23" s="226"/>
      <c r="BL23" s="58" t="s">
        <v>958</v>
      </c>
      <c r="BM23" s="112"/>
      <c r="BN23" s="58"/>
    </row>
    <row r="24" spans="1:66" ht="39.950000000000003" customHeight="1" x14ac:dyDescent="0.2">
      <c r="A24" s="65" t="s">
        <v>194</v>
      </c>
      <c r="B24" s="65" t="s">
        <v>23</v>
      </c>
      <c r="C24" s="65" t="s">
        <v>1141</v>
      </c>
      <c r="D24" s="66" t="s">
        <v>89</v>
      </c>
      <c r="E24" s="14" t="s">
        <v>542</v>
      </c>
      <c r="F24" s="77" t="s">
        <v>193</v>
      </c>
      <c r="G24" s="14" t="s">
        <v>92</v>
      </c>
      <c r="H24" s="66" t="s">
        <v>134</v>
      </c>
      <c r="I24" s="14" t="s">
        <v>134</v>
      </c>
      <c r="J24" s="14" t="s">
        <v>220</v>
      </c>
      <c r="K24" s="14" t="s">
        <v>220</v>
      </c>
      <c r="L24" s="14" t="s">
        <v>22</v>
      </c>
      <c r="M24" s="65" t="s">
        <v>191</v>
      </c>
      <c r="N24" s="13" t="s">
        <v>59</v>
      </c>
      <c r="O24" s="13" t="s">
        <v>43</v>
      </c>
      <c r="P24" s="13" t="s">
        <v>531</v>
      </c>
      <c r="Q24" s="65" t="s">
        <v>534</v>
      </c>
      <c r="R24" s="64" t="s">
        <v>9</v>
      </c>
      <c r="S24" s="62" t="e">
        <f>15000/USD</f>
        <v>#REF!</v>
      </c>
      <c r="T24" s="331">
        <v>4615.38</v>
      </c>
      <c r="U24" s="62" t="e">
        <f>+T24/USD</f>
        <v>#REF!</v>
      </c>
      <c r="V24" s="62" t="e">
        <f>137000*U24/S24/USD</f>
        <v>#REF!</v>
      </c>
      <c r="W24" s="150" t="e">
        <f>765437/USD</f>
        <v>#REF!</v>
      </c>
      <c r="X24" s="61" t="s">
        <v>11</v>
      </c>
      <c r="Y24" s="181">
        <v>2.8500000000000001E-2</v>
      </c>
      <c r="Z24" s="60">
        <v>43515</v>
      </c>
      <c r="AA24" s="60">
        <v>46042</v>
      </c>
      <c r="AB24" s="60">
        <v>46042</v>
      </c>
      <c r="AC24" s="58">
        <f t="shared" si="3"/>
        <v>2528</v>
      </c>
      <c r="AD24" s="59" t="e">
        <f t="shared" si="6"/>
        <v>#REF!</v>
      </c>
      <c r="AE24" s="58" t="e">
        <f>AB24-#REF!</f>
        <v>#REF!</v>
      </c>
      <c r="AF24" s="57" t="e">
        <f t="shared" si="5"/>
        <v>#REF!</v>
      </c>
      <c r="AG24" s="56"/>
      <c r="AH24" s="71" t="s">
        <v>1</v>
      </c>
      <c r="AI24" s="71" t="s">
        <v>1</v>
      </c>
      <c r="AJ24" s="70" t="s">
        <v>269</v>
      </c>
      <c r="AK24" s="11" t="e">
        <f t="shared" si="2"/>
        <v>#REF!</v>
      </c>
      <c r="AL24" s="11" t="s">
        <v>271</v>
      </c>
      <c r="AM24" s="13" t="s">
        <v>362</v>
      </c>
      <c r="AN24" s="11">
        <v>6472.5</v>
      </c>
      <c r="AP24" s="197" t="str">
        <f>Table12117[[#This Row],[Risk Location ]]</f>
        <v>Switzerland</v>
      </c>
      <c r="AQ24" s="198" t="str">
        <f>Table12117[[#This Row],[Sector (GICS Industry Group)]]</f>
        <v>Transportation</v>
      </c>
      <c r="AT24" s="212" t="e">
        <f>Table12117[[#This Row],[Percentage Impact]]*Table12117[[#This Row],[Amortised Limit A$ Balance]]</f>
        <v>#REF!</v>
      </c>
      <c r="AU24" s="212" t="e">
        <f>Table12117[[#This Row],[Amortised Limit A$ Balance]]*12%</f>
        <v>#REF!</v>
      </c>
      <c r="AV24" s="212" t="b">
        <f>IF(Table12117[[#This Row],[Everest]]="Everest",Table12117[[#This Row],[Assetinsure Amount ]]*0.2)</f>
        <v>0</v>
      </c>
      <c r="AW24" s="212"/>
      <c r="AX24" s="212" t="e">
        <f>MIN(Table12117[[#This Row],[Assetinsure Amount ]]-Table12117[[#This Row],[Reinsurance Everest Re]],Table12117[[#This Row],[Total Amount]])</f>
        <v>#REF!</v>
      </c>
      <c r="AY24" s="212">
        <f t="shared" si="1"/>
        <v>0</v>
      </c>
      <c r="BC24" s="212">
        <v>0</v>
      </c>
      <c r="BD24" s="212">
        <v>0</v>
      </c>
      <c r="BE24" s="212">
        <v>0</v>
      </c>
      <c r="BF24" s="212">
        <v>0</v>
      </c>
      <c r="BG24" s="212">
        <v>0</v>
      </c>
      <c r="BH24" s="212">
        <v>0</v>
      </c>
      <c r="BI24" s="226">
        <v>0</v>
      </c>
      <c r="BJ24" s="226"/>
      <c r="BL24" s="58" t="s">
        <v>959</v>
      </c>
      <c r="BM24" s="112"/>
      <c r="BN24" s="58"/>
    </row>
    <row r="25" spans="1:66" ht="39.950000000000003" customHeight="1" x14ac:dyDescent="0.2">
      <c r="A25" s="66" t="s">
        <v>192</v>
      </c>
      <c r="B25" s="65" t="s">
        <v>23</v>
      </c>
      <c r="C25" s="65" t="s">
        <v>1144</v>
      </c>
      <c r="D25" s="66" t="s">
        <v>149</v>
      </c>
      <c r="E25" s="14" t="s">
        <v>541</v>
      </c>
      <c r="F25" s="130" t="s">
        <v>37</v>
      </c>
      <c r="G25" s="14" t="s">
        <v>544</v>
      </c>
      <c r="H25" s="66" t="s">
        <v>178</v>
      </c>
      <c r="I25" s="66" t="s">
        <v>177</v>
      </c>
      <c r="J25" s="14" t="s">
        <v>148</v>
      </c>
      <c r="K25" s="14" t="s">
        <v>148</v>
      </c>
      <c r="L25" s="14" t="s">
        <v>29</v>
      </c>
      <c r="M25" s="65" t="s">
        <v>191</v>
      </c>
      <c r="N25" s="13" t="s">
        <v>59</v>
      </c>
      <c r="O25" s="13" t="s">
        <v>43</v>
      </c>
      <c r="P25" s="13" t="s">
        <v>539</v>
      </c>
      <c r="Q25" s="65" t="s">
        <v>534</v>
      </c>
      <c r="R25" s="64" t="s">
        <v>9</v>
      </c>
      <c r="S25" s="62" t="e">
        <f>7500/USD</f>
        <v>#REF!</v>
      </c>
      <c r="T25" s="322">
        <v>5025</v>
      </c>
      <c r="U25" s="150" t="e">
        <f>+T25/USD</f>
        <v>#REF!</v>
      </c>
      <c r="V25" s="62" t="e">
        <f>30000/USD</f>
        <v>#REF!</v>
      </c>
      <c r="W25" s="321" t="e">
        <f>(475435*0.85+141833.93*0.85)/USD</f>
        <v>#REF!</v>
      </c>
      <c r="X25" s="61" t="s">
        <v>551</v>
      </c>
      <c r="Y25" s="181">
        <v>3.5000000000000003E-2</v>
      </c>
      <c r="Z25" s="60">
        <v>43532</v>
      </c>
      <c r="AA25" s="271">
        <v>45323</v>
      </c>
      <c r="AB25" s="271">
        <v>45884</v>
      </c>
      <c r="AC25" s="58">
        <f t="shared" si="3"/>
        <v>2353</v>
      </c>
      <c r="AD25" s="59" t="e">
        <f t="shared" si="6"/>
        <v>#REF!</v>
      </c>
      <c r="AE25" s="58" t="e">
        <f>AB25-#REF!</f>
        <v>#REF!</v>
      </c>
      <c r="AF25" s="57" t="e">
        <f t="shared" si="5"/>
        <v>#REF!</v>
      </c>
      <c r="AG25" s="56"/>
      <c r="AH25" s="71" t="s">
        <v>1</v>
      </c>
      <c r="AI25" s="71" t="s">
        <v>1</v>
      </c>
      <c r="AJ25" s="70" t="s">
        <v>0</v>
      </c>
      <c r="AK25" s="11" t="e">
        <f t="shared" si="2"/>
        <v>#REF!</v>
      </c>
      <c r="AL25" s="11" t="s">
        <v>271</v>
      </c>
      <c r="AM25" s="14" t="s">
        <v>363</v>
      </c>
      <c r="AN25" s="11">
        <v>8000</v>
      </c>
      <c r="AP25" s="197" t="str">
        <f>Table12117[[#This Row],[Risk Location ]]</f>
        <v>Hong Kong</v>
      </c>
      <c r="AQ25" s="198" t="str">
        <f>Table12117[[#This Row],[Sector (GICS Industry Group)]]</f>
        <v>Consumer Discretionary</v>
      </c>
      <c r="AR25" s="11">
        <v>1</v>
      </c>
      <c r="AS25" s="310">
        <v>7.4999999999999997E-2</v>
      </c>
      <c r="AT25" s="212" t="e">
        <f>Table12117[[#This Row],[Percentage Impact]]*Table12117[[#This Row],[Amortised Limit A$ Balance]]</f>
        <v>#REF!</v>
      </c>
      <c r="AU25" s="212" t="e">
        <f>Table12117[[#This Row],[Amortised Limit A$ Balance]]*12%</f>
        <v>#REF!</v>
      </c>
      <c r="AV25" s="212" t="b">
        <f>IF(Table12117[[#This Row],[Everest]]="Everest",Table12117[[#This Row],[Assetinsure Amount ]]*0.2)</f>
        <v>0</v>
      </c>
      <c r="AW25" s="212"/>
      <c r="AX25" s="212" t="e">
        <f>MIN(Table12117[[#This Row],[Assetinsure Amount ]]-Table12117[[#This Row],[Reinsurance Everest Re]],Table12117[[#This Row],[Total Amount]])</f>
        <v>#REF!</v>
      </c>
      <c r="AY25" s="212">
        <f t="shared" si="1"/>
        <v>547.58171640958301</v>
      </c>
      <c r="AZ25" s="12"/>
      <c r="BC25" s="212">
        <v>565.33019483509838</v>
      </c>
      <c r="BD25" s="212">
        <v>547.58171640958301</v>
      </c>
      <c r="BE25" s="212">
        <v>593.14898171173161</v>
      </c>
      <c r="BF25" s="212">
        <v>369.87692851254269</v>
      </c>
      <c r="BG25" s="212">
        <v>337.81966816360563</v>
      </c>
      <c r="BH25" s="212">
        <v>783.67722250860299</v>
      </c>
      <c r="BI25" s="226">
        <v>1044.9029633448042</v>
      </c>
      <c r="BJ25" s="226">
        <v>1038.2059800664451</v>
      </c>
      <c r="BL25" s="58" t="s">
        <v>960</v>
      </c>
      <c r="BM25" s="112"/>
      <c r="BN25" s="58"/>
    </row>
    <row r="26" spans="1:66" ht="39.950000000000003" customHeight="1" x14ac:dyDescent="0.2">
      <c r="A26" s="66" t="s">
        <v>205</v>
      </c>
      <c r="B26" s="65" t="s">
        <v>23</v>
      </c>
      <c r="C26" s="65" t="s">
        <v>1141</v>
      </c>
      <c r="D26" s="66" t="s">
        <v>38</v>
      </c>
      <c r="E26" s="14" t="s">
        <v>540</v>
      </c>
      <c r="F26" s="161" t="s">
        <v>36</v>
      </c>
      <c r="G26" s="14" t="s">
        <v>92</v>
      </c>
      <c r="H26" s="66" t="s">
        <v>134</v>
      </c>
      <c r="I26" s="66" t="s">
        <v>134</v>
      </c>
      <c r="J26" s="66" t="s">
        <v>50</v>
      </c>
      <c r="K26" s="66" t="s">
        <v>21</v>
      </c>
      <c r="L26" s="14" t="s">
        <v>22</v>
      </c>
      <c r="M26" s="65" t="s">
        <v>191</v>
      </c>
      <c r="N26" s="13" t="s">
        <v>323</v>
      </c>
      <c r="O26" s="65" t="s">
        <v>43</v>
      </c>
      <c r="P26" s="65" t="s">
        <v>531</v>
      </c>
      <c r="Q26" s="65" t="s">
        <v>534</v>
      </c>
      <c r="R26" s="83" t="s">
        <v>9</v>
      </c>
      <c r="S26" s="62" t="e">
        <f>20250/USD</f>
        <v>#REF!</v>
      </c>
      <c r="T26" s="62">
        <v>10869.537</v>
      </c>
      <c r="U26" s="82" t="e">
        <f>Table12117[[#This Row],[Amortised Limit in Original Currency]]/USD</f>
        <v>#REF!</v>
      </c>
      <c r="V26" s="82" t="e">
        <f>96800*U26/S26/USD</f>
        <v>#REF!</v>
      </c>
      <c r="W26" s="82" t="e">
        <f>631314/USD</f>
        <v>#REF!</v>
      </c>
      <c r="X26" s="61" t="s">
        <v>11</v>
      </c>
      <c r="Y26" s="181">
        <v>1.4E-2</v>
      </c>
      <c r="Z26" s="81">
        <v>43609</v>
      </c>
      <c r="AA26" s="81">
        <v>46457</v>
      </c>
      <c r="AB26" s="81">
        <v>46457</v>
      </c>
      <c r="AC26" s="58">
        <f t="shared" si="3"/>
        <v>2849</v>
      </c>
      <c r="AD26" s="151" t="e">
        <f t="shared" si="6"/>
        <v>#REF!</v>
      </c>
      <c r="AE26" s="80" t="e">
        <f>AB26-#REF!</f>
        <v>#REF!</v>
      </c>
      <c r="AF26" s="57" t="e">
        <f t="shared" si="5"/>
        <v>#REF!</v>
      </c>
      <c r="AG26" s="56" t="s">
        <v>436</v>
      </c>
      <c r="AH26" s="71" t="s">
        <v>1</v>
      </c>
      <c r="AI26" s="71" t="s">
        <v>1</v>
      </c>
      <c r="AJ26" s="70" t="s">
        <v>883</v>
      </c>
      <c r="AK26" s="11" t="e">
        <f t="shared" si="2"/>
        <v>#REF!</v>
      </c>
      <c r="AL26" s="11" t="s">
        <v>271</v>
      </c>
      <c r="AM26" s="14" t="s">
        <v>366</v>
      </c>
      <c r="AN26" s="11">
        <v>8100</v>
      </c>
      <c r="AP26" s="197" t="str">
        <f>Table12117[[#This Row],[Risk Location ]]</f>
        <v>China</v>
      </c>
      <c r="AQ26" s="198" t="str">
        <f>Table12117[[#This Row],[Sector (GICS Industry Group)]]</f>
        <v>Transportation</v>
      </c>
      <c r="AT26" s="212" t="e">
        <f>Table12117[[#This Row],[Percentage Impact]]*Table12117[[#This Row],[Amortised Limit A$ Balance]]</f>
        <v>#REF!</v>
      </c>
      <c r="AU26" s="212" t="e">
        <f>Table12117[[#This Row],[Amortised Limit A$ Balance]]*12%</f>
        <v>#REF!</v>
      </c>
      <c r="AV26" s="212" t="e">
        <f>IF(Table12117[[#This Row],[Everest]]="Everest",Table12117[[#This Row],[Assetinsure Amount ]]*0.2)</f>
        <v>#REF!</v>
      </c>
      <c r="AW26" s="212"/>
      <c r="AX26" s="212" t="e">
        <f>MIN(Table12117[[#This Row],[Assetinsure Amount ]]-Table12117[[#This Row],[Reinsurance Everest Re]],Table12117[[#This Row],[Total Amount]])</f>
        <v>#REF!</v>
      </c>
      <c r="AY26" s="212">
        <f t="shared" si="1"/>
        <v>0</v>
      </c>
      <c r="BC26" s="212">
        <v>0</v>
      </c>
      <c r="BD26" s="212">
        <v>0</v>
      </c>
      <c r="BE26" s="212">
        <v>0</v>
      </c>
      <c r="BF26" s="212">
        <v>0</v>
      </c>
      <c r="BG26" s="212">
        <v>0</v>
      </c>
      <c r="BH26" s="212">
        <v>0</v>
      </c>
      <c r="BI26" s="226">
        <v>0</v>
      </c>
      <c r="BJ26" s="226"/>
      <c r="BL26" s="58" t="s">
        <v>961</v>
      </c>
      <c r="BM26" s="112"/>
      <c r="BN26" s="58"/>
    </row>
    <row r="27" spans="1:66" ht="39.950000000000003" customHeight="1" x14ac:dyDescent="0.2">
      <c r="A27" s="65" t="s">
        <v>210</v>
      </c>
      <c r="B27" s="65" t="s">
        <v>51</v>
      </c>
      <c r="C27" s="65" t="s">
        <v>1141</v>
      </c>
      <c r="D27" s="66" t="s">
        <v>211</v>
      </c>
      <c r="E27" s="14" t="s">
        <v>542</v>
      </c>
      <c r="F27" s="77" t="s">
        <v>211</v>
      </c>
      <c r="G27" s="14" t="s">
        <v>102</v>
      </c>
      <c r="H27" s="14" t="s">
        <v>102</v>
      </c>
      <c r="I27" s="66" t="s">
        <v>122</v>
      </c>
      <c r="J27" s="66" t="s">
        <v>212</v>
      </c>
      <c r="K27" s="66" t="s">
        <v>220</v>
      </c>
      <c r="L27" s="14" t="s">
        <v>13</v>
      </c>
      <c r="M27" s="65" t="s">
        <v>191</v>
      </c>
      <c r="N27" s="13" t="s">
        <v>59</v>
      </c>
      <c r="O27" s="65" t="s">
        <v>43</v>
      </c>
      <c r="P27" s="65" t="s">
        <v>538</v>
      </c>
      <c r="Q27" s="65" t="s">
        <v>534</v>
      </c>
      <c r="R27" s="64" t="s">
        <v>59</v>
      </c>
      <c r="S27" s="62" t="e">
        <f>8027.5/EUR</f>
        <v>#REF!</v>
      </c>
      <c r="T27" s="62">
        <v>8027.5</v>
      </c>
      <c r="U27" s="82" t="e">
        <f>S27</f>
        <v>#REF!</v>
      </c>
      <c r="V27" s="82" t="e">
        <f>16055/EUR</f>
        <v>#REF!</v>
      </c>
      <c r="W27" s="62" t="e">
        <f>489841.63/EUR</f>
        <v>#REF!</v>
      </c>
      <c r="X27" s="61" t="s">
        <v>11</v>
      </c>
      <c r="Y27" s="181">
        <v>2.5000000000000001E-2</v>
      </c>
      <c r="Z27" s="81">
        <v>43626</v>
      </c>
      <c r="AA27" s="60">
        <v>45301</v>
      </c>
      <c r="AB27" s="157">
        <v>45301</v>
      </c>
      <c r="AC27" s="58">
        <f t="shared" si="3"/>
        <v>1676</v>
      </c>
      <c r="AD27" s="151" t="e">
        <f t="shared" si="6"/>
        <v>#REF!</v>
      </c>
      <c r="AE27" s="80" t="e">
        <f>AB27-#REF!</f>
        <v>#REF!</v>
      </c>
      <c r="AF27" s="57" t="e">
        <f t="shared" si="5"/>
        <v>#REF!</v>
      </c>
      <c r="AG27" s="56"/>
      <c r="AH27" s="71" t="s">
        <v>1</v>
      </c>
      <c r="AI27" s="71" t="s">
        <v>1</v>
      </c>
      <c r="AJ27" s="70" t="s">
        <v>0</v>
      </c>
      <c r="AK27" s="11" t="e">
        <f t="shared" si="2"/>
        <v>#REF!</v>
      </c>
      <c r="AL27" s="11" t="s">
        <v>271</v>
      </c>
      <c r="AM27" s="14" t="s">
        <v>1116</v>
      </c>
      <c r="AN27" s="11">
        <v>11000</v>
      </c>
      <c r="AP27" s="197" t="str">
        <f>Table12117[[#This Row],[Risk Location ]]</f>
        <v>Spain</v>
      </c>
      <c r="AQ27" s="198" t="str">
        <f>Table12117[[#This Row],[Sector (GICS Industry Group)]]</f>
        <v>Real Estate Investment</v>
      </c>
      <c r="AT27" s="212" t="e">
        <f>Table12117[[#This Row],[Percentage Impact]]*Table12117[[#This Row],[Amortised Limit A$ Balance]]</f>
        <v>#REF!</v>
      </c>
      <c r="AU27" s="212" t="e">
        <f>Table12117[[#This Row],[Amortised Limit A$ Balance]]*12%</f>
        <v>#REF!</v>
      </c>
      <c r="AV27" s="212" t="b">
        <f>IF(Table12117[[#This Row],[Everest]]="Everest",Table12117[[#This Row],[Assetinsure Amount ]]*0.2)</f>
        <v>0</v>
      </c>
      <c r="AW27" s="212"/>
      <c r="AX27" s="212" t="e">
        <f>MIN(Table12117[[#This Row],[Assetinsure Amount ]]-Table12117[[#This Row],[Reinsurance Everest Re]],Table12117[[#This Row],[Total Amount]])</f>
        <v>#REF!</v>
      </c>
      <c r="AY27" s="212">
        <f t="shared" si="1"/>
        <v>0</v>
      </c>
      <c r="BC27" s="212">
        <v>0</v>
      </c>
      <c r="BD27" s="212">
        <v>0</v>
      </c>
      <c r="BE27" s="212">
        <v>0</v>
      </c>
      <c r="BF27" s="212">
        <v>0</v>
      </c>
      <c r="BG27" s="212">
        <v>0</v>
      </c>
      <c r="BH27" s="212">
        <v>0</v>
      </c>
      <c r="BI27" s="226">
        <v>0</v>
      </c>
      <c r="BJ27" s="226"/>
      <c r="BL27" s="58" t="s">
        <v>1117</v>
      </c>
      <c r="BM27" s="112"/>
      <c r="BN27" s="58"/>
    </row>
    <row r="28" spans="1:66" ht="39.950000000000003" customHeight="1" x14ac:dyDescent="0.2">
      <c r="A28" s="13" t="s">
        <v>213</v>
      </c>
      <c r="B28" s="65" t="s">
        <v>67</v>
      </c>
      <c r="C28" s="65" t="s">
        <v>1141</v>
      </c>
      <c r="D28" s="66" t="s">
        <v>87</v>
      </c>
      <c r="E28" s="14" t="s">
        <v>34</v>
      </c>
      <c r="F28" s="77" t="s">
        <v>34</v>
      </c>
      <c r="G28" s="14" t="s">
        <v>48</v>
      </c>
      <c r="H28" s="66" t="s">
        <v>120</v>
      </c>
      <c r="I28" s="66" t="s">
        <v>214</v>
      </c>
      <c r="J28" s="14" t="s">
        <v>181</v>
      </c>
      <c r="K28" s="14" t="s">
        <v>33</v>
      </c>
      <c r="L28" s="14" t="s">
        <v>209</v>
      </c>
      <c r="M28" s="65" t="s">
        <v>191</v>
      </c>
      <c r="N28" s="13" t="s">
        <v>59</v>
      </c>
      <c r="O28" s="13" t="s">
        <v>43</v>
      </c>
      <c r="P28" s="13" t="s">
        <v>533</v>
      </c>
      <c r="Q28" s="13" t="s">
        <v>532</v>
      </c>
      <c r="R28" s="64" t="s">
        <v>9</v>
      </c>
      <c r="S28" s="62" t="e">
        <f>25000/USD</f>
        <v>#REF!</v>
      </c>
      <c r="T28" s="62">
        <v>9956.2659999999996</v>
      </c>
      <c r="U28" s="150" t="e">
        <f>T28/USD</f>
        <v>#REF!</v>
      </c>
      <c r="V28" s="62" t="e">
        <f>105000*U28/S28/USD</f>
        <v>#REF!</v>
      </c>
      <c r="W28" s="76" t="e">
        <f>1080186.36/USD</f>
        <v>#REF!</v>
      </c>
      <c r="X28" s="61" t="s">
        <v>11</v>
      </c>
      <c r="Y28" s="181">
        <v>0.02</v>
      </c>
      <c r="Z28" s="60">
        <v>43630</v>
      </c>
      <c r="AA28" s="60">
        <v>45365</v>
      </c>
      <c r="AB28" s="60">
        <v>45365</v>
      </c>
      <c r="AC28" s="58">
        <f t="shared" si="3"/>
        <v>1736</v>
      </c>
      <c r="AD28" s="59" t="e">
        <f t="shared" si="6"/>
        <v>#REF!</v>
      </c>
      <c r="AE28" s="58" t="e">
        <f>AB28-#REF!</f>
        <v>#REF!</v>
      </c>
      <c r="AF28" s="57" t="e">
        <f t="shared" si="5"/>
        <v>#REF!</v>
      </c>
      <c r="AG28" s="56" t="s">
        <v>436</v>
      </c>
      <c r="AH28" s="71" t="s">
        <v>1</v>
      </c>
      <c r="AI28" s="71" t="s">
        <v>1</v>
      </c>
      <c r="AJ28" s="187" t="s">
        <v>719</v>
      </c>
      <c r="AK28" s="11" t="e">
        <f t="shared" si="2"/>
        <v>#REF!</v>
      </c>
      <c r="AL28" s="11" t="s">
        <v>271</v>
      </c>
      <c r="AM28" s="13" t="s">
        <v>370</v>
      </c>
      <c r="AN28" s="11">
        <v>8500</v>
      </c>
      <c r="AP28" s="197" t="str">
        <f>Table12117[[#This Row],[Risk Location ]]</f>
        <v>Australia</v>
      </c>
      <c r="AQ28" s="198" t="str">
        <f>Table12117[[#This Row],[Sector (GICS Industry Group)]]</f>
        <v>Energy</v>
      </c>
      <c r="AT28" s="212" t="e">
        <f>Table12117[[#This Row],[Percentage Impact]]*Table12117[[#This Row],[Amortised Limit A$ Balance]]</f>
        <v>#REF!</v>
      </c>
      <c r="AU28" s="212" t="e">
        <f>Table12117[[#This Row],[Amortised Limit A$ Balance]]*12%</f>
        <v>#REF!</v>
      </c>
      <c r="AV28" s="212" t="e">
        <f>IF(Table12117[[#This Row],[Everest]]="Everest",Table12117[[#This Row],[Assetinsure Amount ]]*0.2)</f>
        <v>#REF!</v>
      </c>
      <c r="AW28" s="212"/>
      <c r="AX28" s="212" t="e">
        <f>MIN(Table12117[[#This Row],[Assetinsure Amount ]]-Table12117[[#This Row],[Reinsurance Everest Re]],Table12117[[#This Row],[Total Amount]])</f>
        <v>#REF!</v>
      </c>
      <c r="AY28" s="212">
        <f t="shared" si="1"/>
        <v>0</v>
      </c>
      <c r="BC28" s="212">
        <v>0</v>
      </c>
      <c r="BD28" s="212">
        <v>0</v>
      </c>
      <c r="BE28" s="212">
        <v>0</v>
      </c>
      <c r="BF28" s="212">
        <v>0</v>
      </c>
      <c r="BG28" s="212">
        <v>0</v>
      </c>
      <c r="BH28" s="212">
        <v>0</v>
      </c>
      <c r="BI28" s="226">
        <v>0</v>
      </c>
      <c r="BJ28" s="226"/>
      <c r="BL28" s="58" t="s">
        <v>962</v>
      </c>
      <c r="BM28" s="112"/>
      <c r="BN28" s="58"/>
    </row>
    <row r="29" spans="1:66" ht="39.950000000000003" customHeight="1" x14ac:dyDescent="0.2">
      <c r="A29" s="14" t="s">
        <v>215</v>
      </c>
      <c r="B29" s="65" t="s">
        <v>67</v>
      </c>
      <c r="C29" s="65" t="s">
        <v>1142</v>
      </c>
      <c r="D29" s="66" t="s">
        <v>38</v>
      </c>
      <c r="E29" s="14" t="s">
        <v>541</v>
      </c>
      <c r="F29" s="77" t="s">
        <v>37</v>
      </c>
      <c r="G29" s="14" t="s">
        <v>102</v>
      </c>
      <c r="H29" s="14" t="s">
        <v>102</v>
      </c>
      <c r="I29" s="66" t="s">
        <v>122</v>
      </c>
      <c r="J29" s="14" t="s">
        <v>142</v>
      </c>
      <c r="K29" s="66" t="s">
        <v>218</v>
      </c>
      <c r="L29" s="14" t="s">
        <v>101</v>
      </c>
      <c r="M29" s="65" t="s">
        <v>191</v>
      </c>
      <c r="N29" s="13" t="s">
        <v>323</v>
      </c>
      <c r="O29" s="13" t="s">
        <v>43</v>
      </c>
      <c r="P29" s="13" t="s">
        <v>531</v>
      </c>
      <c r="Q29" s="65" t="s">
        <v>534</v>
      </c>
      <c r="R29" s="64" t="s">
        <v>54</v>
      </c>
      <c r="S29" s="62" t="e">
        <f>195000/HKD</f>
        <v>#REF!</v>
      </c>
      <c r="T29" s="62">
        <v>158000</v>
      </c>
      <c r="U29" s="62" t="e">
        <f>S29</f>
        <v>#REF!</v>
      </c>
      <c r="V29" s="62" t="e">
        <f>2430000/#REF!</f>
        <v>#REF!</v>
      </c>
      <c r="W29" s="76" t="e">
        <f>4954015.1/HKD-1784223.29/HKD</f>
        <v>#REF!</v>
      </c>
      <c r="X29" s="61" t="s">
        <v>551</v>
      </c>
      <c r="Y29" s="181">
        <v>1.6799999999999999E-2</v>
      </c>
      <c r="Z29" s="60">
        <v>43633</v>
      </c>
      <c r="AA29" s="60">
        <v>45046</v>
      </c>
      <c r="AB29" s="60">
        <f>AA29</f>
        <v>45046</v>
      </c>
      <c r="AC29" s="58">
        <f t="shared" si="3"/>
        <v>1414</v>
      </c>
      <c r="AD29" s="59" t="e">
        <f t="shared" si="6"/>
        <v>#REF!</v>
      </c>
      <c r="AE29" s="58" t="e">
        <f>AB29-#REF!</f>
        <v>#REF!</v>
      </c>
      <c r="AF29" s="57" t="e">
        <f t="shared" si="5"/>
        <v>#REF!</v>
      </c>
      <c r="AG29" s="56" t="s">
        <v>436</v>
      </c>
      <c r="AH29" s="152" t="s">
        <v>1</v>
      </c>
      <c r="AI29" s="152" t="s">
        <v>1</v>
      </c>
      <c r="AJ29" s="153" t="s">
        <v>0</v>
      </c>
      <c r="AK29" s="11" t="e">
        <f t="shared" si="2"/>
        <v>#REF!</v>
      </c>
      <c r="AL29" s="11" t="s">
        <v>271</v>
      </c>
      <c r="AM29" s="14" t="s">
        <v>374</v>
      </c>
      <c r="AN29" s="11">
        <v>8500</v>
      </c>
      <c r="AP29" s="197" t="str">
        <f>Table12117[[#This Row],[Risk Location ]]</f>
        <v>Hong Kong</v>
      </c>
      <c r="AQ29" s="198" t="str">
        <f>Table12117[[#This Row],[Sector (GICS Industry Group)]]</f>
        <v>Real Estate Investment</v>
      </c>
      <c r="AR29" s="11">
        <v>1</v>
      </c>
      <c r="AS29" s="309">
        <v>2.5000000000000001E-2</v>
      </c>
      <c r="AT29" s="212" t="e">
        <f>Table12117[[#This Row],[Percentage Impact]]*Table12117[[#This Row],[Amortised Limit A$ Balance]]</f>
        <v>#REF!</v>
      </c>
      <c r="AU29" s="212" t="e">
        <f>Table12117[[#This Row],[Amortised Limit A$ Balance]]*12%</f>
        <v>#REF!</v>
      </c>
      <c r="AV29" s="212" t="e">
        <f>IF(Table12117[[#This Row],[Everest]]="Everest",Table12117[[#This Row],[Assetinsure Amount ]]*0.2)</f>
        <v>#REF!</v>
      </c>
      <c r="AW29" s="212"/>
      <c r="AX29" s="212" t="e">
        <f>MIN(Table12117[[#This Row],[Assetinsure Amount ]]-Table12117[[#This Row],[Reinsurance Everest Re]],Table12117[[#This Row],[Total Amount]])</f>
        <v>#REF!</v>
      </c>
      <c r="AY29" s="212">
        <f t="shared" si="1"/>
        <v>907.068767367227</v>
      </c>
      <c r="BC29" s="212">
        <v>931.30229071325982</v>
      </c>
      <c r="BD29" s="212">
        <v>907.068767367227</v>
      </c>
      <c r="BE29" s="212">
        <v>977.5220067774859</v>
      </c>
      <c r="BF29" s="212">
        <v>0</v>
      </c>
      <c r="BG29" s="212">
        <v>0</v>
      </c>
      <c r="BH29" s="212">
        <v>0</v>
      </c>
      <c r="BI29" s="226">
        <v>0</v>
      </c>
      <c r="BJ29" s="226"/>
      <c r="BL29" s="58" t="s">
        <v>963</v>
      </c>
      <c r="BM29" s="112"/>
      <c r="BN29" s="58"/>
    </row>
    <row r="30" spans="1:66" ht="39.950000000000003" customHeight="1" x14ac:dyDescent="0.2">
      <c r="A30" s="14" t="s">
        <v>223</v>
      </c>
      <c r="B30" s="65" t="s">
        <v>24</v>
      </c>
      <c r="C30" s="65" t="s">
        <v>1143</v>
      </c>
      <c r="D30" s="66" t="s">
        <v>38</v>
      </c>
      <c r="E30" s="14" t="s">
        <v>540</v>
      </c>
      <c r="F30" s="77" t="s">
        <v>229</v>
      </c>
      <c r="G30" s="14" t="s">
        <v>92</v>
      </c>
      <c r="H30" s="66" t="s">
        <v>100</v>
      </c>
      <c r="I30" s="14" t="s">
        <v>100</v>
      </c>
      <c r="J30" s="14" t="s">
        <v>230</v>
      </c>
      <c r="K30" s="66" t="s">
        <v>231</v>
      </c>
      <c r="L30" s="14" t="s">
        <v>44</v>
      </c>
      <c r="M30" s="65" t="s">
        <v>191</v>
      </c>
      <c r="N30" s="13" t="s">
        <v>323</v>
      </c>
      <c r="O30" s="13" t="s">
        <v>43</v>
      </c>
      <c r="P30" s="13" t="s">
        <v>539</v>
      </c>
      <c r="Q30" s="65" t="s">
        <v>534</v>
      </c>
      <c r="R30" s="64" t="s">
        <v>9</v>
      </c>
      <c r="S30" s="62" t="e">
        <f>11000/USD</f>
        <v>#REF!</v>
      </c>
      <c r="T30" s="62">
        <v>8583.8989999999994</v>
      </c>
      <c r="U30" s="62" t="e">
        <f>Table12117[[#This Row],[Amortised Limit in Original Currency]]/USD</f>
        <v>#REF!</v>
      </c>
      <c r="V30" s="62" t="e">
        <f>35608/USD</f>
        <v>#REF!</v>
      </c>
      <c r="W30" s="76" t="e">
        <f>545335/USD</f>
        <v>#REF!</v>
      </c>
      <c r="X30" s="61" t="s">
        <v>551</v>
      </c>
      <c r="Y30" s="181">
        <v>1.7500000000000002E-2</v>
      </c>
      <c r="Z30" s="60">
        <v>43670</v>
      </c>
      <c r="AA30" s="60">
        <v>47992</v>
      </c>
      <c r="AB30" s="60">
        <v>47992</v>
      </c>
      <c r="AC30" s="58">
        <f t="shared" si="3"/>
        <v>4323</v>
      </c>
      <c r="AD30" s="59" t="e">
        <f t="shared" si="6"/>
        <v>#REF!</v>
      </c>
      <c r="AE30" s="58" t="e">
        <f>AB30-#REF!</f>
        <v>#REF!</v>
      </c>
      <c r="AF30" s="57" t="e">
        <f t="shared" si="5"/>
        <v>#REF!</v>
      </c>
      <c r="AG30" s="56"/>
      <c r="AH30" s="71" t="s">
        <v>1</v>
      </c>
      <c r="AI30" s="71" t="s">
        <v>1</v>
      </c>
      <c r="AJ30" s="187" t="s">
        <v>882</v>
      </c>
      <c r="AK30" s="11" t="e">
        <f t="shared" si="2"/>
        <v>#REF!</v>
      </c>
      <c r="AL30" s="11" t="s">
        <v>271</v>
      </c>
      <c r="AM30" s="14" t="s">
        <v>375</v>
      </c>
      <c r="AN30" s="11">
        <v>19997.5</v>
      </c>
      <c r="AP30" s="197" t="str">
        <f>Table12117[[#This Row],[Risk Location ]]</f>
        <v>Vietnam</v>
      </c>
      <c r="AQ30" s="198" t="str">
        <f>Table12117[[#This Row],[Sector (GICS Industry Group)]]</f>
        <v>Transportation</v>
      </c>
      <c r="AR30" s="11">
        <v>1</v>
      </c>
      <c r="AS30" s="310">
        <v>0.05</v>
      </c>
      <c r="AT30" s="212" t="e">
        <f>Table12117[[#This Row],[Percentage Impact]]*Table12117[[#This Row],[Amortised Limit A$ Balance]]</f>
        <v>#REF!</v>
      </c>
      <c r="AU30" s="212" t="e">
        <f>Table12117[[#This Row],[Amortised Limit A$ Balance]]*12%</f>
        <v>#REF!</v>
      </c>
      <c r="AV30" s="212" t="b">
        <f>IF(Table12117[[#This Row],[Everest]]="Everest",Table12117[[#This Row],[Assetinsure Amount ]]*0.2)</f>
        <v>0</v>
      </c>
      <c r="AW30" s="212"/>
      <c r="AX30" s="212" t="e">
        <f>MIN(Table12117[[#This Row],[Assetinsure Amount ]]-Table12117[[#This Row],[Reinsurance Everest Re]],Table12117[[#This Row],[Total Amount]])</f>
        <v>#REF!</v>
      </c>
      <c r="AY30" s="212">
        <f t="shared" si="1"/>
        <v>935.40022843910515</v>
      </c>
      <c r="AZ30" s="11" t="s">
        <v>1216</v>
      </c>
      <c r="BC30" s="212">
        <v>321.90628816681965</v>
      </c>
      <c r="BD30" s="212">
        <v>935.40022843910515</v>
      </c>
      <c r="BE30" s="212">
        <v>1013.2399902420599</v>
      </c>
      <c r="BF30" s="212">
        <v>1035.6367403721588</v>
      </c>
      <c r="BG30" s="212">
        <v>630.58535240809965</v>
      </c>
      <c r="BH30" s="212">
        <v>653.40088050489715</v>
      </c>
      <c r="BI30" s="226">
        <v>653.40088050489715</v>
      </c>
      <c r="BJ30" s="226">
        <v>0</v>
      </c>
      <c r="BL30" s="58" t="s">
        <v>964</v>
      </c>
      <c r="BM30" s="112"/>
      <c r="BN30" s="58"/>
    </row>
    <row r="31" spans="1:66" ht="39.950000000000003" customHeight="1" x14ac:dyDescent="0.2">
      <c r="A31" s="14" t="s">
        <v>226</v>
      </c>
      <c r="B31" s="65" t="s">
        <v>23</v>
      </c>
      <c r="C31" s="65" t="s">
        <v>1144</v>
      </c>
      <c r="D31" s="66" t="s">
        <v>87</v>
      </c>
      <c r="E31" s="14" t="s">
        <v>496</v>
      </c>
      <c r="F31" s="77" t="s">
        <v>872</v>
      </c>
      <c r="G31" s="14" t="s">
        <v>475</v>
      </c>
      <c r="H31" s="66" t="s">
        <v>227</v>
      </c>
      <c r="I31" s="14" t="s">
        <v>228</v>
      </c>
      <c r="J31" s="14" t="s">
        <v>181</v>
      </c>
      <c r="K31" s="14" t="s">
        <v>33</v>
      </c>
      <c r="L31" s="14" t="s">
        <v>209</v>
      </c>
      <c r="M31" s="65" t="s">
        <v>191</v>
      </c>
      <c r="N31" s="13" t="s">
        <v>59</v>
      </c>
      <c r="O31" s="13" t="s">
        <v>43</v>
      </c>
      <c r="P31" s="13" t="s">
        <v>538</v>
      </c>
      <c r="Q31" s="65" t="s">
        <v>534</v>
      </c>
      <c r="R31" s="64" t="s">
        <v>9</v>
      </c>
      <c r="S31" s="62" t="e">
        <f>22500/USD</f>
        <v>#REF!</v>
      </c>
      <c r="T31" s="62">
        <v>22500</v>
      </c>
      <c r="U31" s="62" t="e">
        <f t="shared" ref="U31:U36" si="7">S31</f>
        <v>#REF!</v>
      </c>
      <c r="V31" s="62" t="e">
        <f>150000/USD</f>
        <v>#REF!</v>
      </c>
      <c r="W31" s="76" t="e">
        <f>659096/USD</f>
        <v>#REF!</v>
      </c>
      <c r="X31" s="61" t="s">
        <v>11</v>
      </c>
      <c r="Y31" s="181">
        <v>1.8499999999999999E-2</v>
      </c>
      <c r="Z31" s="60">
        <v>43672</v>
      </c>
      <c r="AA31" s="60">
        <v>45197</v>
      </c>
      <c r="AB31" s="60">
        <v>45197</v>
      </c>
      <c r="AC31" s="58">
        <f t="shared" si="3"/>
        <v>1526</v>
      </c>
      <c r="AD31" s="59" t="e">
        <f t="shared" si="6"/>
        <v>#REF!</v>
      </c>
      <c r="AE31" s="58" t="e">
        <f>AB31-#REF!</f>
        <v>#REF!</v>
      </c>
      <c r="AF31" s="57" t="e">
        <f t="shared" si="5"/>
        <v>#REF!</v>
      </c>
      <c r="AG31" s="56" t="s">
        <v>436</v>
      </c>
      <c r="AH31" s="71" t="s">
        <v>1</v>
      </c>
      <c r="AI31" s="71" t="s">
        <v>1</v>
      </c>
      <c r="AJ31" s="70" t="s">
        <v>0</v>
      </c>
      <c r="AK31" s="11" t="e">
        <f t="shared" si="2"/>
        <v>#REF!</v>
      </c>
      <c r="AL31" s="11" t="s">
        <v>271</v>
      </c>
      <c r="AM31" s="14" t="s">
        <v>350</v>
      </c>
      <c r="AN31" s="11">
        <v>9195</v>
      </c>
      <c r="AP31" s="197" t="str">
        <f>Table12117[[#This Row],[Risk Location ]]</f>
        <v>United Arab Emirates</v>
      </c>
      <c r="AQ31" s="198" t="str">
        <f>Table12117[[#This Row],[Sector (GICS Industry Group)]]</f>
        <v>Health Care</v>
      </c>
      <c r="AT31" s="212" t="e">
        <f>Table12117[[#This Row],[Percentage Impact]]*Table12117[[#This Row],[Amortised Limit A$ Balance]]</f>
        <v>#REF!</v>
      </c>
      <c r="AU31" s="212" t="e">
        <f>Table12117[[#This Row],[Amortised Limit A$ Balance]]*12%</f>
        <v>#REF!</v>
      </c>
      <c r="AV31" s="212" t="e">
        <f>IF(Table12117[[#This Row],[Everest]]="Everest",Table12117[[#This Row],[Assetinsure Amount ]]*0.2)</f>
        <v>#REF!</v>
      </c>
      <c r="AW31" s="212"/>
      <c r="AX31" s="212" t="e">
        <f>MIN(Table12117[[#This Row],[Assetinsure Amount ]]-Table12117[[#This Row],[Reinsurance Everest Re]],Table12117[[#This Row],[Total Amount]])</f>
        <v>#REF!</v>
      </c>
      <c r="AY31" s="212">
        <f t="shared" si="1"/>
        <v>0</v>
      </c>
      <c r="BC31" s="212">
        <v>0</v>
      </c>
      <c r="BD31" s="212">
        <v>0</v>
      </c>
      <c r="BE31" s="212">
        <v>0</v>
      </c>
      <c r="BF31" s="212">
        <v>0</v>
      </c>
      <c r="BG31" s="212">
        <v>0</v>
      </c>
      <c r="BH31" s="212">
        <v>0</v>
      </c>
      <c r="BI31" s="226">
        <v>0</v>
      </c>
      <c r="BJ31" s="226"/>
      <c r="BL31" s="58" t="s">
        <v>965</v>
      </c>
      <c r="BM31" s="112"/>
      <c r="BN31" s="58"/>
    </row>
    <row r="32" spans="1:66" ht="39.950000000000003" customHeight="1" x14ac:dyDescent="0.2">
      <c r="A32" s="14" t="s">
        <v>247</v>
      </c>
      <c r="B32" s="65" t="s">
        <v>67</v>
      </c>
      <c r="C32" s="65" t="s">
        <v>1142</v>
      </c>
      <c r="D32" s="66" t="s">
        <v>87</v>
      </c>
      <c r="E32" s="14" t="s">
        <v>542</v>
      </c>
      <c r="F32" s="77" t="s">
        <v>87</v>
      </c>
      <c r="G32" s="14" t="s">
        <v>48</v>
      </c>
      <c r="H32" s="66" t="s">
        <v>95</v>
      </c>
      <c r="I32" s="66" t="s">
        <v>447</v>
      </c>
      <c r="J32" s="14" t="s">
        <v>246</v>
      </c>
      <c r="K32" s="14" t="s">
        <v>219</v>
      </c>
      <c r="L32" s="14" t="s">
        <v>140</v>
      </c>
      <c r="M32" s="65" t="s">
        <v>191</v>
      </c>
      <c r="N32" s="13" t="s">
        <v>59</v>
      </c>
      <c r="O32" s="13" t="s">
        <v>43</v>
      </c>
      <c r="P32" s="13" t="s">
        <v>538</v>
      </c>
      <c r="Q32" s="65" t="s">
        <v>534</v>
      </c>
      <c r="R32" s="64" t="s">
        <v>9</v>
      </c>
      <c r="S32" s="62" t="e">
        <f>20000/USD</f>
        <v>#REF!</v>
      </c>
      <c r="T32" s="62">
        <v>20000</v>
      </c>
      <c r="U32" s="62" t="e">
        <f t="shared" si="7"/>
        <v>#REF!</v>
      </c>
      <c r="V32" s="62" t="e">
        <f>100000/USD</f>
        <v>#REF!</v>
      </c>
      <c r="W32" s="76" t="e">
        <f>1362409.1/USD</f>
        <v>#REF!</v>
      </c>
      <c r="X32" s="61" t="s">
        <v>11</v>
      </c>
      <c r="Y32" s="181">
        <v>8.6999999999999994E-3</v>
      </c>
      <c r="Z32" s="60">
        <v>43732</v>
      </c>
      <c r="AA32" s="60">
        <v>46598</v>
      </c>
      <c r="AB32" s="60">
        <f>AA32</f>
        <v>46598</v>
      </c>
      <c r="AC32" s="58">
        <f t="shared" si="3"/>
        <v>2867</v>
      </c>
      <c r="AD32" s="59" t="s">
        <v>10</v>
      </c>
      <c r="AE32" s="58" t="e">
        <f>AB32-#REF!</f>
        <v>#REF!</v>
      </c>
      <c r="AF32" s="57" t="e">
        <f t="shared" si="5"/>
        <v>#REF!</v>
      </c>
      <c r="AG32" s="56" t="s">
        <v>436</v>
      </c>
      <c r="AH32" s="152" t="s">
        <v>1</v>
      </c>
      <c r="AI32" s="152" t="s">
        <v>1</v>
      </c>
      <c r="AJ32" s="153" t="s">
        <v>0</v>
      </c>
      <c r="AK32" s="11" t="e">
        <f t="shared" si="2"/>
        <v>#REF!</v>
      </c>
      <c r="AL32" s="11" t="s">
        <v>271</v>
      </c>
      <c r="AM32" s="14" t="s">
        <v>381</v>
      </c>
      <c r="AN32" s="11">
        <v>13000</v>
      </c>
      <c r="AP32" s="197" t="str">
        <f>Table12117[[#This Row],[Risk Location ]]</f>
        <v>United Kingdom</v>
      </c>
      <c r="AQ32" s="198" t="str">
        <f>Table12117[[#This Row],[Sector (GICS Industry Group)]]</f>
        <v>Energy</v>
      </c>
      <c r="AT32" s="212" t="e">
        <f>Table12117[[#This Row],[Percentage Impact]]*Table12117[[#This Row],[Amortised Limit A$ Balance]]</f>
        <v>#REF!</v>
      </c>
      <c r="AU32" s="212" t="e">
        <f>Table12117[[#This Row],[Amortised Limit A$ Balance]]*12%</f>
        <v>#REF!</v>
      </c>
      <c r="AV32" s="212" t="e">
        <f>IF(Table12117[[#This Row],[Everest]]="Everest",Table12117[[#This Row],[Assetinsure Amount ]]*0.2)</f>
        <v>#REF!</v>
      </c>
      <c r="AW32" s="212"/>
      <c r="AX32" s="212" t="e">
        <f>MIN(Table12117[[#This Row],[Assetinsure Amount ]]-Table12117[[#This Row],[Reinsurance Everest Re]],Table12117[[#This Row],[Total Amount]])</f>
        <v>#REF!</v>
      </c>
      <c r="AY32" s="212">
        <f t="shared" si="1"/>
        <v>0</v>
      </c>
      <c r="BC32" s="212">
        <v>0</v>
      </c>
      <c r="BD32" s="212">
        <v>0</v>
      </c>
      <c r="BE32" s="212">
        <v>0</v>
      </c>
      <c r="BF32" s="212">
        <v>0</v>
      </c>
      <c r="BG32" s="212">
        <v>0</v>
      </c>
      <c r="BH32" s="212">
        <v>0</v>
      </c>
      <c r="BI32" s="226">
        <v>0</v>
      </c>
      <c r="BJ32" s="226"/>
      <c r="BL32" s="58" t="s">
        <v>966</v>
      </c>
      <c r="BM32" s="112"/>
      <c r="BN32" s="58"/>
    </row>
    <row r="33" spans="1:66" ht="39.950000000000003" customHeight="1" x14ac:dyDescent="0.2">
      <c r="A33" s="14" t="s">
        <v>240</v>
      </c>
      <c r="B33" s="65" t="s">
        <v>51</v>
      </c>
      <c r="C33" s="65" t="s">
        <v>1143</v>
      </c>
      <c r="D33" s="66" t="s">
        <v>38</v>
      </c>
      <c r="E33" s="14" t="s">
        <v>541</v>
      </c>
      <c r="F33" s="77" t="s">
        <v>38</v>
      </c>
      <c r="G33" s="14" t="s">
        <v>102</v>
      </c>
      <c r="H33" s="14" t="s">
        <v>102</v>
      </c>
      <c r="I33" s="14" t="s">
        <v>474</v>
      </c>
      <c r="J33" s="14" t="s">
        <v>237</v>
      </c>
      <c r="K33" s="14" t="s">
        <v>219</v>
      </c>
      <c r="L33" s="14" t="s">
        <v>101</v>
      </c>
      <c r="M33" s="65" t="s">
        <v>191</v>
      </c>
      <c r="N33" s="13" t="s">
        <v>323</v>
      </c>
      <c r="O33" s="13" t="s">
        <v>43</v>
      </c>
      <c r="P33" s="13" t="s">
        <v>538</v>
      </c>
      <c r="Q33" s="65" t="s">
        <v>534</v>
      </c>
      <c r="R33" s="64" t="s">
        <v>238</v>
      </c>
      <c r="S33" s="62" t="e">
        <f>28000/SGD</f>
        <v>#REF!</v>
      </c>
      <c r="T33" s="62">
        <v>28000</v>
      </c>
      <c r="U33" s="62" t="e">
        <f t="shared" si="7"/>
        <v>#REF!</v>
      </c>
      <c r="V33" s="62" t="e">
        <f>100000/SGD</f>
        <v>#REF!</v>
      </c>
      <c r="W33" s="76" t="e">
        <f>1263349.95/SGD</f>
        <v>#REF!</v>
      </c>
      <c r="X33" s="61" t="s">
        <v>11</v>
      </c>
      <c r="Y33" s="181">
        <v>2.0400000000000001E-2</v>
      </c>
      <c r="Z33" s="60">
        <v>43738</v>
      </c>
      <c r="AA33" s="60">
        <v>45148</v>
      </c>
      <c r="AB33" s="60">
        <v>45148</v>
      </c>
      <c r="AC33" s="58">
        <f t="shared" si="3"/>
        <v>1411</v>
      </c>
      <c r="AD33" s="59" t="e">
        <f>IF(AB33-$A$1&gt;60,"No","Yes")</f>
        <v>#REF!</v>
      </c>
      <c r="AE33" s="58" t="e">
        <f>AB33-#REF!</f>
        <v>#REF!</v>
      </c>
      <c r="AF33" s="57" t="e">
        <f t="shared" si="5"/>
        <v>#REF!</v>
      </c>
      <c r="AG33" s="56" t="s">
        <v>436</v>
      </c>
      <c r="AH33" s="152" t="s">
        <v>1</v>
      </c>
      <c r="AI33" s="152" t="s">
        <v>1</v>
      </c>
      <c r="AJ33" s="153" t="s">
        <v>0</v>
      </c>
      <c r="AK33" s="11" t="e">
        <f t="shared" si="2"/>
        <v>#REF!</v>
      </c>
      <c r="AL33" s="11" t="s">
        <v>271</v>
      </c>
      <c r="AM33" s="14" t="s">
        <v>379</v>
      </c>
      <c r="AN33" s="11">
        <f>8092.5 +2280</f>
        <v>10372.5</v>
      </c>
      <c r="AP33" s="197" t="str">
        <f>Table12117[[#This Row],[Risk Location ]]</f>
        <v>Singapore</v>
      </c>
      <c r="AQ33" s="198" t="str">
        <f>Table12117[[#This Row],[Sector (GICS Industry Group)]]</f>
        <v>Real Estate Investment</v>
      </c>
      <c r="AT33" s="212" t="e">
        <f>Table12117[[#This Row],[Percentage Impact]]*Table12117[[#This Row],[Amortised Limit A$ Balance]]</f>
        <v>#REF!</v>
      </c>
      <c r="AU33" s="212" t="e">
        <f>Table12117[[#This Row],[Amortised Limit A$ Balance]]*12%</f>
        <v>#REF!</v>
      </c>
      <c r="AV33" s="212" t="e">
        <f>IF(Table12117[[#This Row],[Everest]]="Everest",Table12117[[#This Row],[Assetinsure Amount ]]*0.2)</f>
        <v>#REF!</v>
      </c>
      <c r="AW33" s="212"/>
      <c r="AX33" s="212" t="e">
        <f>MIN(Table12117[[#This Row],[Assetinsure Amount ]]-Table12117[[#This Row],[Reinsurance Everest Re]],Table12117[[#This Row],[Total Amount]])</f>
        <v>#REF!</v>
      </c>
      <c r="AY33" s="212">
        <f t="shared" si="1"/>
        <v>0</v>
      </c>
      <c r="BC33" s="212">
        <v>0</v>
      </c>
      <c r="BD33" s="212">
        <v>0</v>
      </c>
      <c r="BE33" s="212">
        <v>0</v>
      </c>
      <c r="BF33" s="212">
        <v>0</v>
      </c>
      <c r="BG33" s="212">
        <v>0</v>
      </c>
      <c r="BH33" s="212">
        <v>0</v>
      </c>
      <c r="BI33" s="226">
        <v>0</v>
      </c>
      <c r="BJ33" s="226"/>
      <c r="BL33" s="58" t="s">
        <v>967</v>
      </c>
      <c r="BM33" s="112"/>
      <c r="BN33" s="58"/>
    </row>
    <row r="34" spans="1:66" ht="39.950000000000003" customHeight="1" x14ac:dyDescent="0.2">
      <c r="A34" s="14" t="s">
        <v>244</v>
      </c>
      <c r="B34" s="65" t="s">
        <v>23</v>
      </c>
      <c r="C34" s="65" t="s">
        <v>1143</v>
      </c>
      <c r="D34" s="66" t="s">
        <v>38</v>
      </c>
      <c r="E34" s="14" t="s">
        <v>541</v>
      </c>
      <c r="F34" s="77" t="s">
        <v>38</v>
      </c>
      <c r="G34" s="66" t="s">
        <v>106</v>
      </c>
      <c r="H34" s="66" t="s">
        <v>106</v>
      </c>
      <c r="I34" s="14" t="s">
        <v>245</v>
      </c>
      <c r="J34" s="14" t="s">
        <v>50</v>
      </c>
      <c r="K34" s="14" t="s">
        <v>21</v>
      </c>
      <c r="L34" s="14" t="s">
        <v>101</v>
      </c>
      <c r="M34" s="65" t="s">
        <v>191</v>
      </c>
      <c r="N34" s="13" t="s">
        <v>323</v>
      </c>
      <c r="O34" s="13" t="s">
        <v>43</v>
      </c>
      <c r="P34" s="13" t="s">
        <v>533</v>
      </c>
      <c r="Q34" s="65" t="s">
        <v>534</v>
      </c>
      <c r="R34" s="64" t="s">
        <v>8</v>
      </c>
      <c r="S34" s="62">
        <v>25000</v>
      </c>
      <c r="T34" s="62">
        <v>25000</v>
      </c>
      <c r="U34" s="62">
        <f t="shared" si="7"/>
        <v>25000</v>
      </c>
      <c r="V34" s="62">
        <v>75000</v>
      </c>
      <c r="W34" s="76">
        <v>711986.31</v>
      </c>
      <c r="X34" s="61" t="s">
        <v>11</v>
      </c>
      <c r="Y34" s="181">
        <v>1.35E-2</v>
      </c>
      <c r="Z34" s="60">
        <v>43756</v>
      </c>
      <c r="AA34" s="60">
        <v>45520</v>
      </c>
      <c r="AB34" s="60">
        <v>45520</v>
      </c>
      <c r="AC34" s="58">
        <f t="shared" si="3"/>
        <v>1765</v>
      </c>
      <c r="AD34" s="59" t="e">
        <f>IF(AB34-$A$1&gt;60,"No","Yes")</f>
        <v>#REF!</v>
      </c>
      <c r="AE34" s="58" t="e">
        <f>AB34-#REF!</f>
        <v>#REF!</v>
      </c>
      <c r="AF34" s="57" t="e">
        <f t="shared" si="5"/>
        <v>#REF!</v>
      </c>
      <c r="AG34" s="56" t="s">
        <v>436</v>
      </c>
      <c r="AH34" s="71" t="s">
        <v>1</v>
      </c>
      <c r="AI34" s="71" t="s">
        <v>1</v>
      </c>
      <c r="AJ34" s="70" t="s">
        <v>0</v>
      </c>
      <c r="AK34" s="11" t="e">
        <f t="shared" si="2"/>
        <v>#REF!</v>
      </c>
      <c r="AL34" s="11" t="s">
        <v>271</v>
      </c>
      <c r="AM34" s="14" t="s">
        <v>371</v>
      </c>
      <c r="AN34" s="11">
        <v>6000</v>
      </c>
      <c r="AP34" s="197" t="str">
        <f>Table12117[[#This Row],[Risk Location ]]</f>
        <v>Singapore</v>
      </c>
      <c r="AQ34" s="198" t="str">
        <f>Table12117[[#This Row],[Sector (GICS Industry Group)]]</f>
        <v>Real Estate Management &amp; Development</v>
      </c>
      <c r="AT34" s="212">
        <f>Table12117[[#This Row],[Percentage Impact]]*Table12117[[#This Row],[Amortised Limit A$ Balance]]</f>
        <v>0</v>
      </c>
      <c r="AU34" s="212">
        <f>Table12117[[#This Row],[Amortised Limit A$ Balance]]*12%</f>
        <v>3000</v>
      </c>
      <c r="AV34" s="212">
        <f>IF(Table12117[[#This Row],[Everest]]="Everest",Table12117[[#This Row],[Assetinsure Amount ]]*0.2)</f>
        <v>600</v>
      </c>
      <c r="AW34" s="212"/>
      <c r="AX34" s="212">
        <f>MIN(Table12117[[#This Row],[Assetinsure Amount ]]-Table12117[[#This Row],[Reinsurance Everest Re]],Table12117[[#This Row],[Total Amount]])</f>
        <v>0</v>
      </c>
      <c r="AY34" s="212">
        <f t="shared" si="1"/>
        <v>0</v>
      </c>
      <c r="BC34" s="212">
        <v>0</v>
      </c>
      <c r="BD34" s="212">
        <v>0</v>
      </c>
      <c r="BE34" s="212">
        <v>0</v>
      </c>
      <c r="BF34" s="212">
        <v>0</v>
      </c>
      <c r="BG34" s="212">
        <v>0</v>
      </c>
      <c r="BH34" s="212">
        <v>0</v>
      </c>
      <c r="BI34" s="226">
        <v>0</v>
      </c>
      <c r="BJ34" s="226"/>
      <c r="BL34" s="58" t="s">
        <v>968</v>
      </c>
      <c r="BM34" s="112"/>
      <c r="BN34" s="58" t="s">
        <v>122</v>
      </c>
    </row>
    <row r="35" spans="1:66" ht="39.950000000000003" customHeight="1" x14ac:dyDescent="0.2">
      <c r="A35" s="14" t="s">
        <v>248</v>
      </c>
      <c r="B35" s="65" t="s">
        <v>24</v>
      </c>
      <c r="C35" s="65" t="s">
        <v>243</v>
      </c>
      <c r="D35" s="66" t="s">
        <v>127</v>
      </c>
      <c r="E35" s="14" t="s">
        <v>542</v>
      </c>
      <c r="F35" s="77" t="s">
        <v>127</v>
      </c>
      <c r="G35" s="14" t="s">
        <v>891</v>
      </c>
      <c r="H35" s="66" t="s">
        <v>249</v>
      </c>
      <c r="I35" s="14" t="s">
        <v>767</v>
      </c>
      <c r="J35" s="14" t="s">
        <v>158</v>
      </c>
      <c r="K35" s="14" t="s">
        <v>220</v>
      </c>
      <c r="L35" s="14" t="s">
        <v>29</v>
      </c>
      <c r="M35" s="65" t="s">
        <v>191</v>
      </c>
      <c r="N35" s="13" t="s">
        <v>59</v>
      </c>
      <c r="O35" s="13" t="s">
        <v>43</v>
      </c>
      <c r="P35" s="13" t="s">
        <v>538</v>
      </c>
      <c r="Q35" s="65" t="s">
        <v>534</v>
      </c>
      <c r="R35" s="64" t="s">
        <v>59</v>
      </c>
      <c r="S35" s="62" t="e">
        <f>10000/EUR</f>
        <v>#REF!</v>
      </c>
      <c r="T35" s="62">
        <v>10000</v>
      </c>
      <c r="U35" s="62" t="e">
        <f t="shared" si="7"/>
        <v>#REF!</v>
      </c>
      <c r="V35" s="62" t="e">
        <f>131564.36/EUR</f>
        <v>#REF!</v>
      </c>
      <c r="W35" s="76" t="e">
        <f>522857.63/EUR</f>
        <v>#REF!</v>
      </c>
      <c r="X35" s="61" t="s">
        <v>11</v>
      </c>
      <c r="Y35" s="181">
        <v>1.7500000000000002E-2</v>
      </c>
      <c r="Z35" s="60">
        <v>43784</v>
      </c>
      <c r="AA35" s="60">
        <v>45627</v>
      </c>
      <c r="AB35" s="60">
        <v>45627</v>
      </c>
      <c r="AC35" s="58">
        <f t="shared" si="3"/>
        <v>1844</v>
      </c>
      <c r="AD35" s="59" t="s">
        <v>10</v>
      </c>
      <c r="AE35" s="58" t="e">
        <f>AB35-#REF!</f>
        <v>#REF!</v>
      </c>
      <c r="AF35" s="57" t="e">
        <f t="shared" si="5"/>
        <v>#REF!</v>
      </c>
      <c r="AG35" s="56"/>
      <c r="AH35" s="71" t="s">
        <v>1</v>
      </c>
      <c r="AI35" s="71" t="s">
        <v>1</v>
      </c>
      <c r="AJ35" s="70" t="s">
        <v>0</v>
      </c>
      <c r="AK35" s="11" t="e">
        <f t="shared" si="2"/>
        <v>#REF!</v>
      </c>
      <c r="AL35" s="11" t="s">
        <v>271</v>
      </c>
      <c r="AM35" s="14" t="s">
        <v>372</v>
      </c>
      <c r="AN35" s="11">
        <v>8100</v>
      </c>
      <c r="AP35" s="197" t="str">
        <f>Table12117[[#This Row],[Risk Location ]]</f>
        <v>Germany</v>
      </c>
      <c r="AQ35" s="198" t="str">
        <f>Table12117[[#This Row],[Sector (GICS Industry Group)]]</f>
        <v>Information Technology - Hardware &amp; Equipment</v>
      </c>
      <c r="AT35" s="212" t="e">
        <f>Table12117[[#This Row],[Percentage Impact]]*Table12117[[#This Row],[Amortised Limit A$ Balance]]</f>
        <v>#REF!</v>
      </c>
      <c r="AU35" s="212" t="e">
        <f>Table12117[[#This Row],[Amortised Limit A$ Balance]]*12%</f>
        <v>#REF!</v>
      </c>
      <c r="AV35" s="212" t="b">
        <f>IF(Table12117[[#This Row],[Everest]]="Everest",Table12117[[#This Row],[Assetinsure Amount ]]*0.2)</f>
        <v>0</v>
      </c>
      <c r="AW35" s="212"/>
      <c r="AX35" s="212" t="e">
        <f>MIN(Table12117[[#This Row],[Assetinsure Amount ]]-Table12117[[#This Row],[Reinsurance Everest Re]],Table12117[[#This Row],[Total Amount]])</f>
        <v>#REF!</v>
      </c>
      <c r="AY35" s="212">
        <f t="shared" si="1"/>
        <v>0</v>
      </c>
      <c r="BC35" s="212">
        <v>0</v>
      </c>
      <c r="BD35" s="212">
        <v>0</v>
      </c>
      <c r="BE35" s="212">
        <v>0</v>
      </c>
      <c r="BF35" s="212">
        <v>0</v>
      </c>
      <c r="BG35" s="212">
        <v>0</v>
      </c>
      <c r="BH35" s="212">
        <v>0</v>
      </c>
      <c r="BI35" s="226">
        <v>0</v>
      </c>
      <c r="BJ35" s="226"/>
      <c r="BL35" s="58" t="s">
        <v>932</v>
      </c>
      <c r="BM35" s="112"/>
      <c r="BN35" s="58"/>
    </row>
    <row r="36" spans="1:66" ht="39.950000000000003" customHeight="1" x14ac:dyDescent="0.2">
      <c r="A36" s="14" t="s">
        <v>260</v>
      </c>
      <c r="B36" s="65" t="s">
        <v>51</v>
      </c>
      <c r="C36" s="65" t="s">
        <v>1141</v>
      </c>
      <c r="D36" s="66" t="s">
        <v>119</v>
      </c>
      <c r="E36" s="14" t="s">
        <v>542</v>
      </c>
      <c r="F36" s="77" t="s">
        <v>119</v>
      </c>
      <c r="G36" s="66" t="s">
        <v>106</v>
      </c>
      <c r="H36" s="66" t="s">
        <v>106</v>
      </c>
      <c r="I36" s="14" t="s">
        <v>263</v>
      </c>
      <c r="J36" s="14" t="s">
        <v>264</v>
      </c>
      <c r="K36" s="14" t="s">
        <v>221</v>
      </c>
      <c r="L36" s="14" t="s">
        <v>13</v>
      </c>
      <c r="M36" s="65" t="s">
        <v>191</v>
      </c>
      <c r="N36" s="13" t="s">
        <v>59</v>
      </c>
      <c r="O36" s="13" t="s">
        <v>43</v>
      </c>
      <c r="P36" s="13" t="s">
        <v>538</v>
      </c>
      <c r="Q36" s="65" t="s">
        <v>534</v>
      </c>
      <c r="R36" s="64" t="s">
        <v>59</v>
      </c>
      <c r="S36" s="62" t="e">
        <f>15000/EUR</f>
        <v>#REF!</v>
      </c>
      <c r="T36" s="62">
        <v>15000</v>
      </c>
      <c r="U36" s="62" t="e">
        <f t="shared" si="7"/>
        <v>#REF!</v>
      </c>
      <c r="V36" s="62" t="e">
        <f>48600/EUR</f>
        <v>#REF!</v>
      </c>
      <c r="W36" s="76" t="e">
        <f>(581493.94)/EUR</f>
        <v>#REF!</v>
      </c>
      <c r="X36" s="61" t="s">
        <v>11</v>
      </c>
      <c r="Y36" s="181">
        <v>2.1999999999999999E-2</v>
      </c>
      <c r="Z36" s="60">
        <v>43805</v>
      </c>
      <c r="AA36" s="60">
        <v>45306</v>
      </c>
      <c r="AB36" s="60">
        <v>45306</v>
      </c>
      <c r="AC36" s="58">
        <f t="shared" si="3"/>
        <v>1502</v>
      </c>
      <c r="AD36" s="59" t="e">
        <f t="shared" ref="AD36:AD58" si="8">IF(AB36-$A$1&gt;60,"No","Yes")</f>
        <v>#REF!</v>
      </c>
      <c r="AE36" s="58" t="e">
        <f>AB36-#REF!</f>
        <v>#REF!</v>
      </c>
      <c r="AF36" s="57" t="e">
        <f t="shared" si="5"/>
        <v>#REF!</v>
      </c>
      <c r="AG36" s="56"/>
      <c r="AH36" s="71" t="s">
        <v>1</v>
      </c>
      <c r="AI36" s="71" t="s">
        <v>1</v>
      </c>
      <c r="AJ36" s="70" t="s">
        <v>0</v>
      </c>
      <c r="AK36" s="11" t="e">
        <f t="shared" si="2"/>
        <v>#REF!</v>
      </c>
      <c r="AL36" s="11" t="s">
        <v>271</v>
      </c>
      <c r="AM36" s="14" t="s">
        <v>380</v>
      </c>
      <c r="AN36" s="11">
        <v>7250</v>
      </c>
      <c r="AP36" s="197" t="str">
        <f>Table12117[[#This Row],[Risk Location ]]</f>
        <v>Italy</v>
      </c>
      <c r="AQ36" s="198" t="str">
        <f>Table12117[[#This Row],[Sector (GICS Industry Group)]]</f>
        <v>Real Estate Management &amp; Development</v>
      </c>
      <c r="AT36" s="212" t="e">
        <f>Table12117[[#This Row],[Percentage Impact]]*Table12117[[#This Row],[Amortised Limit A$ Balance]]</f>
        <v>#REF!</v>
      </c>
      <c r="AU36" s="212" t="e">
        <f>Table12117[[#This Row],[Amortised Limit A$ Balance]]*12%</f>
        <v>#REF!</v>
      </c>
      <c r="AV36" s="212" t="b">
        <f>IF(Table12117[[#This Row],[Everest]]="Everest",Table12117[[#This Row],[Assetinsure Amount ]]*0.2)</f>
        <v>0</v>
      </c>
      <c r="AW36" s="212"/>
      <c r="AX36" s="212" t="e">
        <f>MIN(Table12117[[#This Row],[Assetinsure Amount ]]-Table12117[[#This Row],[Reinsurance Everest Re]],Table12117[[#This Row],[Total Amount]])</f>
        <v>#REF!</v>
      </c>
      <c r="AY36" s="212">
        <f t="shared" si="1"/>
        <v>0</v>
      </c>
      <c r="BC36" s="212">
        <v>0</v>
      </c>
      <c r="BD36" s="212">
        <v>0</v>
      </c>
      <c r="BE36" s="212">
        <v>0</v>
      </c>
      <c r="BF36" s="212">
        <v>0</v>
      </c>
      <c r="BG36" s="212">
        <v>0</v>
      </c>
      <c r="BH36" s="212">
        <v>0</v>
      </c>
      <c r="BI36" s="226">
        <v>0</v>
      </c>
      <c r="BJ36" s="226"/>
      <c r="BL36" s="58" t="s">
        <v>969</v>
      </c>
      <c r="BM36" s="112"/>
      <c r="BN36" s="58" t="s">
        <v>103</v>
      </c>
    </row>
    <row r="37" spans="1:66" ht="39.950000000000003" customHeight="1" x14ac:dyDescent="0.2">
      <c r="A37" s="14" t="s">
        <v>276</v>
      </c>
      <c r="B37" s="65" t="s">
        <v>51</v>
      </c>
      <c r="C37" s="65" t="s">
        <v>1143</v>
      </c>
      <c r="D37" s="66" t="s">
        <v>38</v>
      </c>
      <c r="E37" s="14" t="s">
        <v>540</v>
      </c>
      <c r="F37" s="77" t="s">
        <v>274</v>
      </c>
      <c r="G37" s="14" t="s">
        <v>48</v>
      </c>
      <c r="H37" s="66" t="s">
        <v>95</v>
      </c>
      <c r="I37" s="14" t="s">
        <v>275</v>
      </c>
      <c r="J37" s="14" t="s">
        <v>50</v>
      </c>
      <c r="K37" s="14" t="s">
        <v>21</v>
      </c>
      <c r="L37" s="14" t="s">
        <v>45</v>
      </c>
      <c r="M37" s="65" t="s">
        <v>191</v>
      </c>
      <c r="N37" s="13" t="s">
        <v>323</v>
      </c>
      <c r="O37" s="13" t="s">
        <v>43</v>
      </c>
      <c r="P37" s="13" t="s">
        <v>538</v>
      </c>
      <c r="Q37" s="13" t="s">
        <v>548</v>
      </c>
      <c r="R37" s="64" t="s">
        <v>9</v>
      </c>
      <c r="S37" s="62" t="e">
        <f>20000/USD</f>
        <v>#REF!</v>
      </c>
      <c r="T37" s="62">
        <v>20000</v>
      </c>
      <c r="U37" s="62" t="e">
        <f>20000/USD</f>
        <v>#REF!</v>
      </c>
      <c r="V37" s="62">
        <v>175000</v>
      </c>
      <c r="W37" s="76" t="e">
        <f>500861/USD</f>
        <v>#REF!</v>
      </c>
      <c r="X37" s="61" t="s">
        <v>11</v>
      </c>
      <c r="Y37" s="181">
        <v>1.77E-2</v>
      </c>
      <c r="Z37" s="60">
        <v>43850</v>
      </c>
      <c r="AA37" s="60">
        <v>45562</v>
      </c>
      <c r="AB37" s="60">
        <v>45562</v>
      </c>
      <c r="AC37" s="58">
        <f t="shared" si="3"/>
        <v>1713</v>
      </c>
      <c r="AD37" s="59" t="e">
        <f t="shared" si="8"/>
        <v>#REF!</v>
      </c>
      <c r="AE37" s="58" t="e">
        <f>AB37-#REF!</f>
        <v>#REF!</v>
      </c>
      <c r="AF37" s="57" t="e">
        <f t="shared" si="5"/>
        <v>#REF!</v>
      </c>
      <c r="AG37" s="56" t="s">
        <v>436</v>
      </c>
      <c r="AH37" s="71" t="s">
        <v>1</v>
      </c>
      <c r="AI37" s="71" t="s">
        <v>1</v>
      </c>
      <c r="AJ37" s="70" t="s">
        <v>0</v>
      </c>
      <c r="AK37" s="11" t="e">
        <f t="shared" si="2"/>
        <v>#REF!</v>
      </c>
      <c r="AL37" s="11" t="s">
        <v>271</v>
      </c>
      <c r="AM37" s="14" t="s">
        <v>385</v>
      </c>
      <c r="AN37" s="11">
        <v>6697.5</v>
      </c>
      <c r="AO37" s="11">
        <v>7000</v>
      </c>
      <c r="AP37" s="197" t="str">
        <f>Table12117[[#This Row],[Risk Location ]]</f>
        <v>Philippines</v>
      </c>
      <c r="AQ37" s="198" t="str">
        <f>Table12117[[#This Row],[Sector (GICS Industry Group)]]</f>
        <v>Energy</v>
      </c>
      <c r="AT37" s="212" t="e">
        <f>Table12117[[#This Row],[Percentage Impact]]*Table12117[[#This Row],[Amortised Limit A$ Balance]]</f>
        <v>#REF!</v>
      </c>
      <c r="AU37" s="212" t="e">
        <f>Table12117[[#This Row],[Amortised Limit A$ Balance]]*12%</f>
        <v>#REF!</v>
      </c>
      <c r="AV37" s="212" t="e">
        <f>IF(Table12117[[#This Row],[Everest]]="Everest",Table12117[[#This Row],[Assetinsure Amount ]]*0.2)</f>
        <v>#REF!</v>
      </c>
      <c r="AW37" s="212"/>
      <c r="AX37" s="212" t="e">
        <f>MIN(Table12117[[#This Row],[Assetinsure Amount ]]-Table12117[[#This Row],[Reinsurance Everest Re]],Table12117[[#This Row],[Total Amount]])</f>
        <v>#REF!</v>
      </c>
      <c r="AY37" s="212">
        <f t="shared" si="1"/>
        <v>0</v>
      </c>
      <c r="BC37" s="212">
        <v>0</v>
      </c>
      <c r="BD37" s="212">
        <v>0</v>
      </c>
      <c r="BE37" s="212">
        <v>0</v>
      </c>
      <c r="BF37" s="212">
        <v>0</v>
      </c>
      <c r="BG37" s="212">
        <v>0</v>
      </c>
      <c r="BH37" s="212">
        <v>0</v>
      </c>
      <c r="BI37" s="226">
        <v>0</v>
      </c>
      <c r="BJ37" s="226"/>
      <c r="BL37" s="58" t="s">
        <v>970</v>
      </c>
      <c r="BM37" s="112"/>
      <c r="BN37" s="58"/>
    </row>
    <row r="38" spans="1:66" ht="39.950000000000003" customHeight="1" x14ac:dyDescent="0.2">
      <c r="A38" s="14" t="s">
        <v>284</v>
      </c>
      <c r="B38" s="65" t="s">
        <v>24</v>
      </c>
      <c r="C38" s="65" t="s">
        <v>1142</v>
      </c>
      <c r="D38" s="66" t="s">
        <v>127</v>
      </c>
      <c r="E38" s="14" t="s">
        <v>542</v>
      </c>
      <c r="F38" s="77" t="s">
        <v>88</v>
      </c>
      <c r="G38" s="14" t="s">
        <v>104</v>
      </c>
      <c r="H38" s="66" t="s">
        <v>105</v>
      </c>
      <c r="I38" s="14" t="s">
        <v>285</v>
      </c>
      <c r="J38" s="14" t="s">
        <v>286</v>
      </c>
      <c r="K38" s="14" t="s">
        <v>220</v>
      </c>
      <c r="L38" s="14" t="s">
        <v>209</v>
      </c>
      <c r="M38" s="65" t="s">
        <v>191</v>
      </c>
      <c r="N38" s="13" t="s">
        <v>59</v>
      </c>
      <c r="O38" s="13" t="s">
        <v>43</v>
      </c>
      <c r="P38" s="13" t="s">
        <v>538</v>
      </c>
      <c r="Q38" s="13" t="s">
        <v>548</v>
      </c>
      <c r="R38" s="64" t="s">
        <v>59</v>
      </c>
      <c r="S38" s="62" t="e">
        <f>15000/EUR</f>
        <v>#REF!</v>
      </c>
      <c r="T38" s="62">
        <v>11959.45946</v>
      </c>
      <c r="U38" s="62" t="e">
        <f>Table12117[[#This Row],[Amortised Limit in Original Currency]]/EUR</f>
        <v>#REF!</v>
      </c>
      <c r="V38" s="62" t="e">
        <f>120000/EUR</f>
        <v>#REF!</v>
      </c>
      <c r="W38" s="62" t="e">
        <f>568447.41/EUR</f>
        <v>#REF!</v>
      </c>
      <c r="X38" s="61" t="s">
        <v>11</v>
      </c>
      <c r="Y38" s="181">
        <v>0.01</v>
      </c>
      <c r="Z38" s="60">
        <v>43861</v>
      </c>
      <c r="AA38" s="60">
        <v>45868</v>
      </c>
      <c r="AB38" s="60">
        <v>45868</v>
      </c>
      <c r="AC38" s="58">
        <f t="shared" si="3"/>
        <v>2008</v>
      </c>
      <c r="AD38" s="75" t="e">
        <f t="shared" si="8"/>
        <v>#REF!</v>
      </c>
      <c r="AE38" s="58" t="e">
        <f>AB38-#REF!</f>
        <v>#REF!</v>
      </c>
      <c r="AF38" s="57" t="e">
        <f t="shared" si="5"/>
        <v>#REF!</v>
      </c>
      <c r="AG38" s="56"/>
      <c r="AH38" s="71" t="s">
        <v>1</v>
      </c>
      <c r="AI38" s="71" t="s">
        <v>1</v>
      </c>
      <c r="AJ38" s="187" t="s">
        <v>890</v>
      </c>
      <c r="AK38" s="11" t="e">
        <f t="shared" si="2"/>
        <v>#REF!</v>
      </c>
      <c r="AL38" s="11" t="s">
        <v>271</v>
      </c>
      <c r="AM38" s="14" t="s">
        <v>389</v>
      </c>
      <c r="AN38" s="11">
        <v>10000</v>
      </c>
      <c r="AO38" s="11">
        <v>30000</v>
      </c>
      <c r="AP38" s="197" t="str">
        <f>Table12117[[#This Row],[Risk Location ]]</f>
        <v>Belgium</v>
      </c>
      <c r="AQ38" s="198" t="str">
        <f>Table12117[[#This Row],[Sector (GICS Industry Group)]]</f>
        <v>Materials</v>
      </c>
      <c r="AR38" s="229">
        <v>1</v>
      </c>
      <c r="AS38" s="310">
        <v>0.1</v>
      </c>
      <c r="AT38" s="212" t="e">
        <f>Table12117[[#This Row],[Percentage Impact]]*Table12117[[#This Row],[Amortised Limit A$ Balance]]</f>
        <v>#REF!</v>
      </c>
      <c r="AU38" s="212" t="e">
        <f>Table12117[[#This Row],[Amortised Limit A$ Balance]]*12%</f>
        <v>#REF!</v>
      </c>
      <c r="AV38" s="212" t="b">
        <f>IF(Table12117[[#This Row],[Everest]]="Everest",Table12117[[#This Row],[Assetinsure Amount ]]*0.2)</f>
        <v>0</v>
      </c>
      <c r="AW38" s="278"/>
      <c r="AX38" s="212" t="e">
        <f>MIN(Table12117[[#This Row],[Assetinsure Amount ]]-Table12117[[#This Row],[Reinsurance Everest Re]],Table12117[[#This Row],[Total Amount]])</f>
        <v>#REF!</v>
      </c>
      <c r="AY38" s="212">
        <f t="shared" si="1"/>
        <v>1943.9601371133028</v>
      </c>
      <c r="BC38" s="212">
        <v>1936.2856580448515</v>
      </c>
      <c r="BD38" s="212">
        <v>1943.9601371133028</v>
      </c>
      <c r="BE38" s="212">
        <v>0</v>
      </c>
      <c r="BF38" s="212">
        <v>0</v>
      </c>
      <c r="BG38" s="212">
        <v>0</v>
      </c>
      <c r="BH38" s="212">
        <v>0</v>
      </c>
      <c r="BI38" s="226">
        <v>0</v>
      </c>
      <c r="BJ38" s="226"/>
      <c r="BL38" s="58" t="s">
        <v>971</v>
      </c>
      <c r="BM38" s="112"/>
      <c r="BN38" s="58"/>
    </row>
    <row r="39" spans="1:66" ht="39.950000000000003" customHeight="1" x14ac:dyDescent="0.2">
      <c r="A39" s="14" t="s">
        <v>289</v>
      </c>
      <c r="B39" s="65" t="s">
        <v>24</v>
      </c>
      <c r="C39" s="65" t="s">
        <v>243</v>
      </c>
      <c r="D39" s="66" t="s">
        <v>38</v>
      </c>
      <c r="E39" s="14" t="s">
        <v>540</v>
      </c>
      <c r="F39" s="77" t="s">
        <v>35</v>
      </c>
      <c r="G39" s="14" t="s">
        <v>892</v>
      </c>
      <c r="H39" s="66" t="s">
        <v>259</v>
      </c>
      <c r="I39" s="14" t="s">
        <v>258</v>
      </c>
      <c r="J39" s="133" t="s">
        <v>1088</v>
      </c>
      <c r="K39" s="14" t="s">
        <v>687</v>
      </c>
      <c r="L39" s="14" t="s">
        <v>209</v>
      </c>
      <c r="M39" s="65" t="s">
        <v>191</v>
      </c>
      <c r="N39" s="13" t="s">
        <v>323</v>
      </c>
      <c r="O39" s="13" t="s">
        <v>43</v>
      </c>
      <c r="P39" s="13" t="s">
        <v>531</v>
      </c>
      <c r="Q39" s="65" t="s">
        <v>534</v>
      </c>
      <c r="R39" s="64" t="s">
        <v>9</v>
      </c>
      <c r="S39" s="62" t="e">
        <f>10000/USD</f>
        <v>#REF!</v>
      </c>
      <c r="T39" s="62">
        <f>10000</f>
        <v>10000</v>
      </c>
      <c r="U39" s="62" t="e">
        <f>Table12117[[#This Row],[Amortised Limit in Original Currency]]/USD</f>
        <v>#REF!</v>
      </c>
      <c r="V39" s="62" t="e">
        <f>30000/USD</f>
        <v>#REF!</v>
      </c>
      <c r="W39" s="62" t="e">
        <f>475041.6/USD+1162786.67/USD</f>
        <v>#REF!</v>
      </c>
      <c r="X39" s="61" t="s">
        <v>11</v>
      </c>
      <c r="Y39" s="181">
        <v>0.04</v>
      </c>
      <c r="Z39" s="60">
        <v>44629</v>
      </c>
      <c r="AA39" s="60">
        <v>46442</v>
      </c>
      <c r="AB39" s="60">
        <v>46486</v>
      </c>
      <c r="AC39" s="58">
        <f t="shared" si="3"/>
        <v>1858</v>
      </c>
      <c r="AD39" s="59" t="e">
        <f t="shared" si="8"/>
        <v>#REF!</v>
      </c>
      <c r="AE39" s="58" t="e">
        <f>AB39-#REF!</f>
        <v>#REF!</v>
      </c>
      <c r="AF39" s="57" t="e">
        <f t="shared" si="5"/>
        <v>#REF!</v>
      </c>
      <c r="AG39" s="56"/>
      <c r="AH39" s="71" t="s">
        <v>1</v>
      </c>
      <c r="AI39" s="71" t="s">
        <v>1</v>
      </c>
      <c r="AJ39" s="70" t="s">
        <v>752</v>
      </c>
      <c r="AK39" s="11" t="e">
        <f>+IF(AB39-60&lt;$A$1, "SEND NOTICE", "N/A")</f>
        <v>#REF!</v>
      </c>
      <c r="AL39" s="11" t="s">
        <v>563</v>
      </c>
      <c r="AM39" s="14" t="s">
        <v>386</v>
      </c>
      <c r="AN39" s="11">
        <v>10000</v>
      </c>
      <c r="AO39" s="11">
        <v>66600</v>
      </c>
      <c r="AP39" s="197" t="str">
        <f>Table12117[[#This Row],[Risk Location ]]</f>
        <v>India</v>
      </c>
      <c r="AQ39" s="198" t="str">
        <f>Table12117[[#This Row],[Sector (GICS Industry Group)]]</f>
        <v>Information Technology - Software &amp; Services</v>
      </c>
      <c r="AT39" s="212" t="e">
        <f>Table12117[[#This Row],[Percentage Impact]]*Table12117[[#This Row],[Amortised Limit A$ Balance]]</f>
        <v>#REF!</v>
      </c>
      <c r="AU39" s="212" t="e">
        <f>Table12117[[#This Row],[Amortised Limit A$ Balance]]*12%</f>
        <v>#REF!</v>
      </c>
      <c r="AV39" s="212" t="b">
        <f>IF(Table12117[[#This Row],[Everest]]="Everest",Table12117[[#This Row],[Assetinsure Amount ]]*0.2)</f>
        <v>0</v>
      </c>
      <c r="AW39" s="212"/>
      <c r="AX39" s="212" t="e">
        <f>MIN(Table12117[[#This Row],[Assetinsure Amount ]]-Table12117[[#This Row],[Reinsurance Everest Re]],Table12117[[#This Row],[Total Amount]])</f>
        <v>#REF!</v>
      </c>
      <c r="AY39" s="212">
        <f t="shared" si="1"/>
        <v>0</v>
      </c>
      <c r="BC39" s="212">
        <v>0</v>
      </c>
      <c r="BD39" s="212">
        <v>0</v>
      </c>
      <c r="BE39" s="212">
        <v>0</v>
      </c>
      <c r="BF39" s="212">
        <v>0</v>
      </c>
      <c r="BG39" s="212">
        <v>0</v>
      </c>
      <c r="BH39" s="212">
        <v>0</v>
      </c>
      <c r="BI39" s="226">
        <v>0</v>
      </c>
      <c r="BJ39" s="226"/>
      <c r="BL39" s="58" t="s">
        <v>972</v>
      </c>
      <c r="BM39" s="112"/>
      <c r="BN39" s="58"/>
    </row>
    <row r="40" spans="1:66" ht="39.950000000000003" customHeight="1" x14ac:dyDescent="0.2">
      <c r="A40" s="14" t="s">
        <v>280</v>
      </c>
      <c r="B40" s="65" t="s">
        <v>23</v>
      </c>
      <c r="C40" s="65" t="s">
        <v>1144</v>
      </c>
      <c r="D40" s="66" t="s">
        <v>89</v>
      </c>
      <c r="E40" s="14" t="s">
        <v>542</v>
      </c>
      <c r="F40" s="77" t="s">
        <v>89</v>
      </c>
      <c r="G40" s="14" t="s">
        <v>891</v>
      </c>
      <c r="H40" s="66" t="s">
        <v>249</v>
      </c>
      <c r="I40" s="14" t="s">
        <v>767</v>
      </c>
      <c r="J40" s="14" t="s">
        <v>281</v>
      </c>
      <c r="K40" s="14" t="s">
        <v>256</v>
      </c>
      <c r="L40" s="14" t="s">
        <v>29</v>
      </c>
      <c r="M40" s="65" t="s">
        <v>191</v>
      </c>
      <c r="N40" s="13" t="s">
        <v>59</v>
      </c>
      <c r="O40" s="65" t="s">
        <v>43</v>
      </c>
      <c r="P40" s="65" t="s">
        <v>538</v>
      </c>
      <c r="Q40" s="65" t="s">
        <v>534</v>
      </c>
      <c r="R40" s="64" t="s">
        <v>9</v>
      </c>
      <c r="S40" s="62" t="e">
        <f>7500/USD</f>
        <v>#REF!</v>
      </c>
      <c r="T40" s="62">
        <v>7500</v>
      </c>
      <c r="U40" s="62" t="e">
        <f>S40</f>
        <v>#REF!</v>
      </c>
      <c r="V40" s="62" t="e">
        <f>114400/USD</f>
        <v>#REF!</v>
      </c>
      <c r="W40" s="62" t="e">
        <f>333545.02/USD</f>
        <v>#REF!</v>
      </c>
      <c r="X40" s="61" t="s">
        <v>11</v>
      </c>
      <c r="Y40" s="181">
        <v>2.2499999999999999E-2</v>
      </c>
      <c r="Z40" s="60">
        <v>43872</v>
      </c>
      <c r="AA40" s="60">
        <v>45558</v>
      </c>
      <c r="AB40" s="60">
        <f>AA40</f>
        <v>45558</v>
      </c>
      <c r="AC40" s="58">
        <f t="shared" si="3"/>
        <v>1687</v>
      </c>
      <c r="AD40" s="59" t="e">
        <f t="shared" si="8"/>
        <v>#REF!</v>
      </c>
      <c r="AE40" s="58" t="e">
        <f>AB40-#REF!</f>
        <v>#REF!</v>
      </c>
      <c r="AF40" s="57" t="e">
        <f t="shared" si="5"/>
        <v>#REF!</v>
      </c>
      <c r="AG40" s="56"/>
      <c r="AH40" s="71" t="s">
        <v>1</v>
      </c>
      <c r="AI40" s="71" t="s">
        <v>1</v>
      </c>
      <c r="AJ40" s="70" t="s">
        <v>0</v>
      </c>
      <c r="AK40" s="11" t="e">
        <f t="shared" si="2"/>
        <v>#REF!</v>
      </c>
      <c r="AL40" s="11" t="s">
        <v>271</v>
      </c>
      <c r="AM40" s="14" t="s">
        <v>387</v>
      </c>
      <c r="AN40" s="11">
        <v>7255</v>
      </c>
      <c r="AO40" s="11">
        <v>25000</v>
      </c>
      <c r="AP40" s="197" t="str">
        <f>Table12117[[#This Row],[Risk Location ]]</f>
        <v>Netherlands</v>
      </c>
      <c r="AQ40" s="198" t="str">
        <f>Table12117[[#This Row],[Sector (GICS Industry Group)]]</f>
        <v>Information Technology - Hardware &amp; Equipment</v>
      </c>
      <c r="AT40" s="212" t="e">
        <f>Table12117[[#This Row],[Percentage Impact]]*Table12117[[#This Row],[Amortised Limit A$ Balance]]</f>
        <v>#REF!</v>
      </c>
      <c r="AU40" s="212" t="e">
        <f>Table12117[[#This Row],[Amortised Limit A$ Balance]]*12%</f>
        <v>#REF!</v>
      </c>
      <c r="AV40" s="212" t="b">
        <f>IF(Table12117[[#This Row],[Everest]]="Everest",Table12117[[#This Row],[Assetinsure Amount ]]*0.2)</f>
        <v>0</v>
      </c>
      <c r="AW40" s="212"/>
      <c r="AX40" s="212" t="e">
        <f>MIN(Table12117[[#This Row],[Assetinsure Amount ]]-Table12117[[#This Row],[Reinsurance Everest Re]],Table12117[[#This Row],[Total Amount]])</f>
        <v>#REF!</v>
      </c>
      <c r="AY40" s="212">
        <f t="shared" si="1"/>
        <v>0</v>
      </c>
      <c r="BC40" s="212">
        <v>0</v>
      </c>
      <c r="BD40" s="212">
        <v>0</v>
      </c>
      <c r="BE40" s="212">
        <v>0</v>
      </c>
      <c r="BF40" s="212">
        <v>0</v>
      </c>
      <c r="BG40" s="212">
        <v>0</v>
      </c>
      <c r="BH40" s="212">
        <v>0</v>
      </c>
      <c r="BI40" s="226">
        <v>0</v>
      </c>
      <c r="BJ40" s="226"/>
      <c r="BL40" s="58" t="s">
        <v>973</v>
      </c>
      <c r="BM40" s="112"/>
      <c r="BN40" s="58"/>
    </row>
    <row r="41" spans="1:66" ht="39.950000000000003" customHeight="1" x14ac:dyDescent="0.2">
      <c r="A41" s="14" t="s">
        <v>282</v>
      </c>
      <c r="B41" s="65" t="s">
        <v>23</v>
      </c>
      <c r="C41" s="65" t="s">
        <v>1143</v>
      </c>
      <c r="D41" s="66" t="s">
        <v>88</v>
      </c>
      <c r="E41" s="14" t="s">
        <v>540</v>
      </c>
      <c r="F41" s="77" t="s">
        <v>49</v>
      </c>
      <c r="G41" s="14" t="s">
        <v>104</v>
      </c>
      <c r="H41" s="14" t="s">
        <v>111</v>
      </c>
      <c r="I41" s="14" t="s">
        <v>135</v>
      </c>
      <c r="J41" s="14" t="s">
        <v>283</v>
      </c>
      <c r="K41" s="14" t="s">
        <v>148</v>
      </c>
      <c r="L41" s="14" t="s">
        <v>140</v>
      </c>
      <c r="M41" s="65" t="s">
        <v>191</v>
      </c>
      <c r="N41" s="13" t="s">
        <v>59</v>
      </c>
      <c r="O41" s="13" t="s">
        <v>43</v>
      </c>
      <c r="P41" s="13" t="s">
        <v>531</v>
      </c>
      <c r="Q41" s="65" t="s">
        <v>534</v>
      </c>
      <c r="R41" s="64" t="s">
        <v>9</v>
      </c>
      <c r="S41" s="62" t="e">
        <f>7500/USD</f>
        <v>#REF!</v>
      </c>
      <c r="T41" s="62">
        <v>7500</v>
      </c>
      <c r="U41" s="62" t="e">
        <f>S41</f>
        <v>#REF!</v>
      </c>
      <c r="V41" s="62" t="e">
        <f>15000/USD</f>
        <v>#REF!</v>
      </c>
      <c r="W41" s="62" t="e">
        <f>1015053/USD-75724.2/USD</f>
        <v>#REF!</v>
      </c>
      <c r="X41" s="61" t="s">
        <v>11</v>
      </c>
      <c r="Y41" s="181">
        <v>3.0700000000000002E-2</v>
      </c>
      <c r="Z41" s="60">
        <v>43878</v>
      </c>
      <c r="AA41" s="60">
        <v>47382</v>
      </c>
      <c r="AB41" s="60">
        <v>47382</v>
      </c>
      <c r="AC41" s="58">
        <f t="shared" si="3"/>
        <v>3505</v>
      </c>
      <c r="AD41" s="59" t="e">
        <f t="shared" si="8"/>
        <v>#REF!</v>
      </c>
      <c r="AE41" s="58" t="e">
        <f>AB41-#REF!</f>
        <v>#REF!</v>
      </c>
      <c r="AF41" s="57" t="e">
        <f t="shared" si="5"/>
        <v>#REF!</v>
      </c>
      <c r="AG41" s="56"/>
      <c r="AH41" s="71" t="s">
        <v>1</v>
      </c>
      <c r="AI41" s="71" t="s">
        <v>1</v>
      </c>
      <c r="AJ41" s="70" t="s">
        <v>0</v>
      </c>
      <c r="AK41" s="11" t="e">
        <f t="shared" si="2"/>
        <v>#REF!</v>
      </c>
      <c r="AL41" s="11" t="s">
        <v>271</v>
      </c>
      <c r="AM41" s="14" t="s">
        <v>388</v>
      </c>
      <c r="AN41" s="11">
        <v>7700</v>
      </c>
      <c r="AO41" s="11">
        <v>50000</v>
      </c>
      <c r="AP41" s="197" t="str">
        <f>Table12117[[#This Row],[Risk Location ]]</f>
        <v>Indonesia</v>
      </c>
      <c r="AQ41" s="198" t="str">
        <f>Table12117[[#This Row],[Sector (GICS Industry Group)]]</f>
        <v>Materials</v>
      </c>
      <c r="AT41" s="212" t="e">
        <f>Table12117[[#This Row],[Percentage Impact]]*Table12117[[#This Row],[Amortised Limit A$ Balance]]</f>
        <v>#REF!</v>
      </c>
      <c r="AU41" s="212" t="e">
        <f>Table12117[[#This Row],[Amortised Limit A$ Balance]]*12%</f>
        <v>#REF!</v>
      </c>
      <c r="AV41" s="212" t="b">
        <f>IF(Table12117[[#This Row],[Everest]]="Everest",Table12117[[#This Row],[Assetinsure Amount ]]*0.2)</f>
        <v>0</v>
      </c>
      <c r="AW41" s="212"/>
      <c r="AX41" s="212" t="e">
        <f>MIN(Table12117[[#This Row],[Assetinsure Amount ]]-Table12117[[#This Row],[Reinsurance Everest Re]],Table12117[[#This Row],[Total Amount]])</f>
        <v>#REF!</v>
      </c>
      <c r="AY41" s="212">
        <f t="shared" si="1"/>
        <v>0</v>
      </c>
      <c r="BC41" s="212">
        <v>0</v>
      </c>
      <c r="BD41" s="212">
        <v>0</v>
      </c>
      <c r="BE41" s="212">
        <v>0</v>
      </c>
      <c r="BF41" s="212">
        <v>0</v>
      </c>
      <c r="BG41" s="212">
        <v>0</v>
      </c>
      <c r="BH41" s="212">
        <v>0</v>
      </c>
      <c r="BI41" s="226">
        <v>0</v>
      </c>
      <c r="BJ41" s="226"/>
      <c r="BL41" s="58" t="s">
        <v>974</v>
      </c>
      <c r="BM41" s="112"/>
      <c r="BN41" s="58"/>
    </row>
    <row r="42" spans="1:66" ht="39.950000000000003" customHeight="1" x14ac:dyDescent="0.2">
      <c r="A42" s="13" t="s">
        <v>317</v>
      </c>
      <c r="B42" s="65" t="s">
        <v>23</v>
      </c>
      <c r="C42" s="65" t="s">
        <v>243</v>
      </c>
      <c r="D42" s="66" t="s">
        <v>34</v>
      </c>
      <c r="E42" s="14" t="s">
        <v>34</v>
      </c>
      <c r="F42" s="77" t="s">
        <v>34</v>
      </c>
      <c r="G42" s="14" t="s">
        <v>48</v>
      </c>
      <c r="H42" s="66" t="s">
        <v>95</v>
      </c>
      <c r="I42" s="14" t="s">
        <v>130</v>
      </c>
      <c r="J42" s="14" t="s">
        <v>321</v>
      </c>
      <c r="K42" s="14" t="s">
        <v>26</v>
      </c>
      <c r="L42" s="14" t="s">
        <v>29</v>
      </c>
      <c r="M42" s="65" t="s">
        <v>191</v>
      </c>
      <c r="N42" s="13" t="s">
        <v>323</v>
      </c>
      <c r="O42" s="13" t="s">
        <v>43</v>
      </c>
      <c r="P42" s="13" t="s">
        <v>537</v>
      </c>
      <c r="Q42" s="65" t="s">
        <v>534</v>
      </c>
      <c r="R42" s="64" t="s">
        <v>8</v>
      </c>
      <c r="S42" s="62">
        <v>7000</v>
      </c>
      <c r="T42" s="62">
        <v>7000</v>
      </c>
      <c r="U42" s="62">
        <v>7000</v>
      </c>
      <c r="V42" s="62">
        <v>50000</v>
      </c>
      <c r="W42" s="62">
        <f>454461.66-2810.62-55923.75</f>
        <v>395727.29</v>
      </c>
      <c r="X42" s="61" t="s">
        <v>11</v>
      </c>
      <c r="Y42" s="181">
        <v>2.1499999999999998E-2</v>
      </c>
      <c r="Z42" s="60">
        <v>43886</v>
      </c>
      <c r="AA42" s="60">
        <v>45152</v>
      </c>
      <c r="AB42" s="60">
        <v>45152</v>
      </c>
      <c r="AC42" s="58">
        <f t="shared" si="3"/>
        <v>1267</v>
      </c>
      <c r="AD42" s="59" t="e">
        <f t="shared" si="8"/>
        <v>#REF!</v>
      </c>
      <c r="AE42" s="58" t="e">
        <f>AB42-#REF!</f>
        <v>#REF!</v>
      </c>
      <c r="AF42" s="57" t="e">
        <f t="shared" si="5"/>
        <v>#REF!</v>
      </c>
      <c r="AG42" s="56"/>
      <c r="AH42" s="71" t="s">
        <v>1</v>
      </c>
      <c r="AI42" s="71" t="s">
        <v>1</v>
      </c>
      <c r="AJ42" s="70" t="s">
        <v>0</v>
      </c>
      <c r="AK42" s="11" t="e">
        <f t="shared" si="2"/>
        <v>#REF!</v>
      </c>
      <c r="AL42" s="11" t="s">
        <v>271</v>
      </c>
      <c r="AM42" s="78" t="s">
        <v>399</v>
      </c>
      <c r="AP42" s="197" t="str">
        <f>Table12117[[#This Row],[Risk Location ]]</f>
        <v>Australia</v>
      </c>
      <c r="AQ42" s="198" t="str">
        <f>Table12117[[#This Row],[Sector (GICS Industry Group)]]</f>
        <v>Energy</v>
      </c>
      <c r="AT42" s="212">
        <f>Table12117[[#This Row],[Percentage Impact]]*Table12117[[#This Row],[Amortised Limit A$ Balance]]</f>
        <v>0</v>
      </c>
      <c r="AU42" s="212">
        <f>Table12117[[#This Row],[Amortised Limit A$ Balance]]*12%</f>
        <v>840</v>
      </c>
      <c r="AV42" s="212" t="b">
        <f>IF(Table12117[[#This Row],[Everest]]="Everest",Table12117[[#This Row],[Assetinsure Amount ]]*0.2)</f>
        <v>0</v>
      </c>
      <c r="AW42" s="212"/>
      <c r="AX42" s="212">
        <f>MIN(Table12117[[#This Row],[Assetinsure Amount ]]-Table12117[[#This Row],[Reinsurance Everest Re]],Table12117[[#This Row],[Total Amount]])</f>
        <v>0</v>
      </c>
      <c r="AY42" s="212">
        <f t="shared" si="1"/>
        <v>0</v>
      </c>
      <c r="BC42" s="212">
        <v>0</v>
      </c>
      <c r="BD42" s="212">
        <v>0</v>
      </c>
      <c r="BE42" s="212">
        <v>0</v>
      </c>
      <c r="BF42" s="212">
        <v>0</v>
      </c>
      <c r="BG42" s="212">
        <v>0</v>
      </c>
      <c r="BH42" s="212">
        <v>0</v>
      </c>
      <c r="BI42" s="226">
        <v>0</v>
      </c>
      <c r="BJ42" s="226"/>
      <c r="BL42" s="58" t="s">
        <v>975</v>
      </c>
      <c r="BM42" s="112"/>
      <c r="BN42" s="58"/>
    </row>
    <row r="43" spans="1:66" ht="39.950000000000003" customHeight="1" x14ac:dyDescent="0.2">
      <c r="A43" s="14" t="s">
        <v>294</v>
      </c>
      <c r="B43" s="65" t="s">
        <v>24</v>
      </c>
      <c r="C43" s="65" t="s">
        <v>243</v>
      </c>
      <c r="D43" s="66" t="s">
        <v>295</v>
      </c>
      <c r="E43" s="14" t="s">
        <v>34</v>
      </c>
      <c r="F43" s="77" t="s">
        <v>295</v>
      </c>
      <c r="G43" s="66" t="s">
        <v>106</v>
      </c>
      <c r="H43" s="66" t="s">
        <v>106</v>
      </c>
      <c r="I43" s="66" t="s">
        <v>107</v>
      </c>
      <c r="J43" s="66" t="s">
        <v>296</v>
      </c>
      <c r="K43" s="66" t="s">
        <v>687</v>
      </c>
      <c r="L43" s="14" t="s">
        <v>101</v>
      </c>
      <c r="M43" s="65" t="s">
        <v>191</v>
      </c>
      <c r="N43" s="65" t="s">
        <v>323</v>
      </c>
      <c r="O43" s="13" t="s">
        <v>43</v>
      </c>
      <c r="P43" s="13" t="s">
        <v>531</v>
      </c>
      <c r="Q43" s="65" t="s">
        <v>534</v>
      </c>
      <c r="R43" s="64" t="s">
        <v>297</v>
      </c>
      <c r="S43" s="62" t="e">
        <f>34375/NZD</f>
        <v>#REF!</v>
      </c>
      <c r="T43" s="62">
        <f>31927589/1000</f>
        <v>31927.589</v>
      </c>
      <c r="U43" s="62" t="e">
        <f>Table12117[[#This Row],[Amortised Limit in Original Currency]]/NZD</f>
        <v>#REF!</v>
      </c>
      <c r="V43" s="62" t="e">
        <f>70857670.14/1000/NZD</f>
        <v>#REF!</v>
      </c>
      <c r="W43" s="62" t="e">
        <f>(1386683.39)/NZD</f>
        <v>#REF!</v>
      </c>
      <c r="X43" s="61" t="s">
        <v>11</v>
      </c>
      <c r="Y43" s="181">
        <v>2.5000000000000001E-2</v>
      </c>
      <c r="Z43" s="60">
        <v>43910</v>
      </c>
      <c r="AA43" s="60">
        <v>45377</v>
      </c>
      <c r="AB43" s="60">
        <v>45397</v>
      </c>
      <c r="AC43" s="58">
        <f t="shared" si="3"/>
        <v>1488</v>
      </c>
      <c r="AD43" s="59" t="e">
        <f t="shared" si="8"/>
        <v>#REF!</v>
      </c>
      <c r="AE43" s="58" t="e">
        <f>AB43-#REF!</f>
        <v>#REF!</v>
      </c>
      <c r="AF43" s="57" t="e">
        <f t="shared" si="5"/>
        <v>#REF!</v>
      </c>
      <c r="AG43" s="56" t="s">
        <v>436</v>
      </c>
      <c r="AH43" s="71" t="s">
        <v>1</v>
      </c>
      <c r="AI43" s="71" t="s">
        <v>1</v>
      </c>
      <c r="AJ43" s="70" t="s">
        <v>0</v>
      </c>
      <c r="AK43" s="11" t="e">
        <f t="shared" si="2"/>
        <v>#REF!</v>
      </c>
      <c r="AL43" s="11" t="s">
        <v>271</v>
      </c>
      <c r="AM43" s="14" t="s">
        <v>391</v>
      </c>
      <c r="AN43" s="11">
        <v>13000</v>
      </c>
      <c r="AO43" s="11">
        <v>60000</v>
      </c>
      <c r="AP43" s="197" t="str">
        <f>Table12117[[#This Row],[Risk Location ]]</f>
        <v>New Zealand</v>
      </c>
      <c r="AQ43" s="198" t="str">
        <f>Table12117[[#This Row],[Sector (GICS Industry Group)]]</f>
        <v>Real Estate Management &amp; Development</v>
      </c>
      <c r="AT43" s="212" t="e">
        <f>Table12117[[#This Row],[Percentage Impact]]*Table12117[[#This Row],[Amortised Limit A$ Balance]]</f>
        <v>#REF!</v>
      </c>
      <c r="AU43" s="212" t="e">
        <f>Table12117[[#This Row],[Amortised Limit A$ Balance]]*12%</f>
        <v>#REF!</v>
      </c>
      <c r="AV43" s="212" t="e">
        <f>IF(Table12117[[#This Row],[Everest]]="Everest",Table12117[[#This Row],[Assetinsure Amount ]]*0.2)</f>
        <v>#REF!</v>
      </c>
      <c r="AW43" s="212"/>
      <c r="AX43" s="212" t="e">
        <f>MIN(Table12117[[#This Row],[Assetinsure Amount ]]-Table12117[[#This Row],[Reinsurance Everest Re]],Table12117[[#This Row],[Total Amount]])</f>
        <v>#REF!</v>
      </c>
      <c r="AY43" s="212">
        <f t="shared" si="1"/>
        <v>0</v>
      </c>
      <c r="BC43" s="212">
        <v>0</v>
      </c>
      <c r="BD43" s="212">
        <v>0</v>
      </c>
      <c r="BE43" s="212">
        <v>0</v>
      </c>
      <c r="BF43" s="212">
        <v>0</v>
      </c>
      <c r="BG43" s="212">
        <v>0</v>
      </c>
      <c r="BH43" s="212">
        <v>0</v>
      </c>
      <c r="BI43" s="226">
        <v>0</v>
      </c>
      <c r="BJ43" s="226"/>
      <c r="BL43" s="58" t="s">
        <v>933</v>
      </c>
      <c r="BM43" s="112"/>
      <c r="BN43" s="58" t="s">
        <v>103</v>
      </c>
    </row>
    <row r="44" spans="1:66" ht="39.950000000000003" customHeight="1" x14ac:dyDescent="0.2">
      <c r="A44" s="14" t="s">
        <v>313</v>
      </c>
      <c r="B44" s="65" t="s">
        <v>67</v>
      </c>
      <c r="C44" s="65" t="s">
        <v>243</v>
      </c>
      <c r="D44" s="66" t="s">
        <v>87</v>
      </c>
      <c r="E44" s="14" t="s">
        <v>499</v>
      </c>
      <c r="F44" s="77" t="s">
        <v>162</v>
      </c>
      <c r="G44" s="14" t="s">
        <v>891</v>
      </c>
      <c r="H44" s="66" t="s">
        <v>167</v>
      </c>
      <c r="I44" s="131" t="s">
        <v>167</v>
      </c>
      <c r="J44" s="14" t="s">
        <v>298</v>
      </c>
      <c r="K44" s="66" t="s">
        <v>218</v>
      </c>
      <c r="L44" s="14" t="s">
        <v>209</v>
      </c>
      <c r="M44" s="65" t="s">
        <v>191</v>
      </c>
      <c r="N44" s="65" t="s">
        <v>59</v>
      </c>
      <c r="O44" s="13" t="s">
        <v>43</v>
      </c>
      <c r="P44" s="13" t="s">
        <v>531</v>
      </c>
      <c r="Q44" s="65" t="s">
        <v>534</v>
      </c>
      <c r="R44" s="64" t="s">
        <v>9</v>
      </c>
      <c r="S44" s="62" t="e">
        <f>15000/USD</f>
        <v>#REF!</v>
      </c>
      <c r="T44" s="62">
        <v>15000</v>
      </c>
      <c r="U44" s="62" t="e">
        <f>15000/USD</f>
        <v>#REF!</v>
      </c>
      <c r="V44" s="62" t="e">
        <f>30000/USD</f>
        <v>#REF!</v>
      </c>
      <c r="W44" s="62" t="e">
        <f>2800416.69/USD</f>
        <v>#REF!</v>
      </c>
      <c r="X44" s="61" t="s">
        <v>11</v>
      </c>
      <c r="Y44" s="181">
        <v>5.3800000000000001E-2</v>
      </c>
      <c r="Z44" s="60">
        <v>43915</v>
      </c>
      <c r="AA44" s="60">
        <v>46372</v>
      </c>
      <c r="AB44" s="60">
        <v>46372</v>
      </c>
      <c r="AC44" s="58">
        <f t="shared" si="3"/>
        <v>2458</v>
      </c>
      <c r="AD44" s="75" t="e">
        <f t="shared" si="8"/>
        <v>#REF!</v>
      </c>
      <c r="AE44" s="58" t="e">
        <f>AB44-#REF!</f>
        <v>#REF!</v>
      </c>
      <c r="AF44" s="57" t="e">
        <f t="shared" si="5"/>
        <v>#REF!</v>
      </c>
      <c r="AG44" s="56"/>
      <c r="AH44" s="71" t="s">
        <v>182</v>
      </c>
      <c r="AI44" s="71" t="s">
        <v>182</v>
      </c>
      <c r="AJ44" s="70" t="s">
        <v>0</v>
      </c>
      <c r="AK44" s="11" t="e">
        <f t="shared" si="2"/>
        <v>#REF!</v>
      </c>
      <c r="AL44" s="11" t="s">
        <v>271</v>
      </c>
      <c r="AM44" s="14" t="s">
        <v>392</v>
      </c>
      <c r="AN44" s="11">
        <v>12000</v>
      </c>
      <c r="AO44" s="11">
        <v>250000</v>
      </c>
      <c r="AP44" s="197" t="str">
        <f>Table12117[[#This Row],[Risk Location ]]</f>
        <v>United States</v>
      </c>
      <c r="AQ44" s="198" t="str">
        <f>Table12117[[#This Row],[Sector (GICS Industry Group)]]</f>
        <v>Information Technology - Hardware &amp; Equipment</v>
      </c>
      <c r="AT44" s="212" t="e">
        <f>Table12117[[#This Row],[Percentage Impact]]*Table12117[[#This Row],[Amortised Limit A$ Balance]]</f>
        <v>#REF!</v>
      </c>
      <c r="AU44" s="212" t="e">
        <f>Table12117[[#This Row],[Amortised Limit A$ Balance]]*12%</f>
        <v>#REF!</v>
      </c>
      <c r="AV44" s="212" t="b">
        <f>IF(Table12117[[#This Row],[Everest]]="Everest",Table12117[[#This Row],[Assetinsure Amount ]]*0.2)</f>
        <v>0</v>
      </c>
      <c r="AW44" s="212"/>
      <c r="AX44" s="212" t="e">
        <f>MIN(Table12117[[#This Row],[Assetinsure Amount ]]-Table12117[[#This Row],[Reinsurance Everest Re]],Table12117[[#This Row],[Total Amount]])</f>
        <v>#REF!</v>
      </c>
      <c r="AY44" s="212">
        <f t="shared" si="1"/>
        <v>0</v>
      </c>
      <c r="BC44" s="212">
        <v>0</v>
      </c>
      <c r="BD44" s="212">
        <v>0</v>
      </c>
      <c r="BE44" s="212">
        <v>0</v>
      </c>
      <c r="BF44" s="212">
        <v>0</v>
      </c>
      <c r="BG44" s="212">
        <v>0</v>
      </c>
      <c r="BH44" s="212">
        <v>0</v>
      </c>
      <c r="BI44" s="226">
        <v>0</v>
      </c>
      <c r="BJ44" s="226"/>
      <c r="BL44" s="58" t="s">
        <v>976</v>
      </c>
      <c r="BM44" s="112"/>
      <c r="BN44" s="58"/>
    </row>
    <row r="45" spans="1:66" ht="39.950000000000003" customHeight="1" x14ac:dyDescent="0.2">
      <c r="A45" s="13" t="s">
        <v>306</v>
      </c>
      <c r="B45" s="65" t="s">
        <v>243</v>
      </c>
      <c r="C45" s="65" t="s">
        <v>1144</v>
      </c>
      <c r="D45" s="66" t="s">
        <v>89</v>
      </c>
      <c r="E45" s="14" t="s">
        <v>542</v>
      </c>
      <c r="F45" s="130" t="s">
        <v>308</v>
      </c>
      <c r="G45" s="14" t="s">
        <v>92</v>
      </c>
      <c r="H45" s="66" t="s">
        <v>134</v>
      </c>
      <c r="I45" s="66" t="s">
        <v>134</v>
      </c>
      <c r="J45" s="66" t="s">
        <v>311</v>
      </c>
      <c r="K45" s="66" t="s">
        <v>256</v>
      </c>
      <c r="L45" s="14" t="s">
        <v>68</v>
      </c>
      <c r="M45" s="65" t="s">
        <v>191</v>
      </c>
      <c r="N45" s="65" t="s">
        <v>59</v>
      </c>
      <c r="O45" s="13" t="s">
        <v>43</v>
      </c>
      <c r="P45" s="13" t="s">
        <v>538</v>
      </c>
      <c r="Q45" s="65" t="s">
        <v>534</v>
      </c>
      <c r="R45" s="64" t="s">
        <v>9</v>
      </c>
      <c r="S45" s="62" t="e">
        <f>8000/USD</f>
        <v>#REF!</v>
      </c>
      <c r="T45" s="62">
        <v>3133.3328200000001</v>
      </c>
      <c r="U45" s="62" t="e">
        <f>Table12117[[#This Row],[Amortised Limit in Original Currency]]/USD</f>
        <v>#REF!</v>
      </c>
      <c r="V45" s="62" t="e">
        <f>42033.33333/USD</f>
        <v>#REF!</v>
      </c>
      <c r="W45" s="62" t="e">
        <f>275381.15/USD</f>
        <v>#REF!</v>
      </c>
      <c r="X45" s="61" t="s">
        <v>11</v>
      </c>
      <c r="Y45" s="181">
        <v>0.02</v>
      </c>
      <c r="Z45" s="60">
        <v>43921</v>
      </c>
      <c r="AA45" s="60">
        <v>45660</v>
      </c>
      <c r="AB45" s="60">
        <v>45660</v>
      </c>
      <c r="AC45" s="58">
        <f t="shared" si="3"/>
        <v>1740</v>
      </c>
      <c r="AD45" s="59" t="e">
        <f t="shared" si="8"/>
        <v>#REF!</v>
      </c>
      <c r="AE45" s="58" t="e">
        <f>AB45-#REF!</f>
        <v>#REF!</v>
      </c>
      <c r="AF45" s="57" t="e">
        <f t="shared" si="5"/>
        <v>#REF!</v>
      </c>
      <c r="AG45" s="56"/>
      <c r="AH45" s="71" t="s">
        <v>1</v>
      </c>
      <c r="AI45" s="71" t="s">
        <v>1</v>
      </c>
      <c r="AJ45" s="187" t="s">
        <v>784</v>
      </c>
      <c r="AK45" s="11" t="e">
        <f t="shared" si="2"/>
        <v>#REF!</v>
      </c>
      <c r="AL45" s="11" t="s">
        <v>271</v>
      </c>
      <c r="AM45" s="13" t="s">
        <v>396</v>
      </c>
      <c r="AN45" s="11">
        <v>10480</v>
      </c>
      <c r="AO45" s="11">
        <v>31210</v>
      </c>
      <c r="AP45" s="197" t="str">
        <f>Table12117[[#This Row],[Risk Location ]]</f>
        <v>Norway</v>
      </c>
      <c r="AQ45" s="198" t="str">
        <f>Table12117[[#This Row],[Sector (GICS Industry Group)]]</f>
        <v>Transportation</v>
      </c>
      <c r="AT45" s="212" t="e">
        <f>Table12117[[#This Row],[Percentage Impact]]*Table12117[[#This Row],[Amortised Limit A$ Balance]]</f>
        <v>#REF!</v>
      </c>
      <c r="AU45" s="212" t="e">
        <f>Table12117[[#This Row],[Amortised Limit A$ Balance]]*12%</f>
        <v>#REF!</v>
      </c>
      <c r="AV45" s="212" t="b">
        <f>IF(Table12117[[#This Row],[Everest]]="Everest",Table12117[[#This Row],[Assetinsure Amount ]]*0.2)</f>
        <v>0</v>
      </c>
      <c r="AW45" s="212"/>
      <c r="AX45" s="212" t="e">
        <f>MIN(Table12117[[#This Row],[Assetinsure Amount ]]-Table12117[[#This Row],[Reinsurance Everest Re]],Table12117[[#This Row],[Total Amount]])</f>
        <v>#REF!</v>
      </c>
      <c r="AY45" s="212">
        <f t="shared" si="1"/>
        <v>0</v>
      </c>
      <c r="BC45" s="212">
        <v>0</v>
      </c>
      <c r="BD45" s="212">
        <v>0</v>
      </c>
      <c r="BE45" s="212">
        <v>0</v>
      </c>
      <c r="BF45" s="212">
        <v>0</v>
      </c>
      <c r="BG45" s="212">
        <v>0</v>
      </c>
      <c r="BH45" s="212">
        <v>0</v>
      </c>
      <c r="BI45" s="226">
        <v>0</v>
      </c>
      <c r="BJ45" s="226"/>
      <c r="BL45" s="58" t="s">
        <v>978</v>
      </c>
      <c r="BM45" s="112"/>
      <c r="BN45" s="58"/>
    </row>
    <row r="46" spans="1:66" ht="39.950000000000003" customHeight="1" x14ac:dyDescent="0.2">
      <c r="A46" s="13" t="s">
        <v>303</v>
      </c>
      <c r="B46" s="65" t="s">
        <v>23</v>
      </c>
      <c r="C46" s="65" t="s">
        <v>1142</v>
      </c>
      <c r="D46" s="66" t="s">
        <v>38</v>
      </c>
      <c r="E46" s="14" t="s">
        <v>540</v>
      </c>
      <c r="F46" s="130" t="s">
        <v>49</v>
      </c>
      <c r="G46" s="14" t="s">
        <v>544</v>
      </c>
      <c r="H46" s="66" t="s">
        <v>304</v>
      </c>
      <c r="I46" s="14" t="s">
        <v>310</v>
      </c>
      <c r="J46" s="66" t="s">
        <v>142</v>
      </c>
      <c r="K46" s="66" t="s">
        <v>218</v>
      </c>
      <c r="L46" s="14" t="s">
        <v>29</v>
      </c>
      <c r="M46" s="65" t="s">
        <v>191</v>
      </c>
      <c r="N46" s="65" t="s">
        <v>323</v>
      </c>
      <c r="O46" s="13" t="s">
        <v>43</v>
      </c>
      <c r="P46" s="13" t="s">
        <v>538</v>
      </c>
      <c r="Q46" s="65" t="s">
        <v>534</v>
      </c>
      <c r="R46" s="64" t="s">
        <v>59</v>
      </c>
      <c r="S46" s="62" t="e">
        <f>7500/EUR</f>
        <v>#REF!</v>
      </c>
      <c r="T46" s="62">
        <v>7012.5</v>
      </c>
      <c r="U46" s="62" t="e">
        <f>Table12117[[#This Row],[Amortised Limit in Original Currency]]/EUR</f>
        <v>#REF!</v>
      </c>
      <c r="V46" s="62" t="e">
        <f>10000/EUR</f>
        <v>#REF!</v>
      </c>
      <c r="W46" s="62" t="e">
        <f>407389.86/EUR</f>
        <v>#REF!</v>
      </c>
      <c r="X46" s="61" t="s">
        <v>551</v>
      </c>
      <c r="Y46" s="181">
        <v>2.7E-2</v>
      </c>
      <c r="Z46" s="60">
        <v>43921</v>
      </c>
      <c r="AA46" s="60">
        <v>45691</v>
      </c>
      <c r="AB46" s="60">
        <v>45691</v>
      </c>
      <c r="AC46" s="58">
        <f t="shared" si="3"/>
        <v>1771</v>
      </c>
      <c r="AD46" s="59" t="e">
        <f t="shared" si="8"/>
        <v>#REF!</v>
      </c>
      <c r="AE46" s="58" t="e">
        <f>AB46-#REF!</f>
        <v>#REF!</v>
      </c>
      <c r="AF46" s="57" t="e">
        <f t="shared" si="5"/>
        <v>#REF!</v>
      </c>
      <c r="AG46" s="56"/>
      <c r="AH46" s="71" t="s">
        <v>1</v>
      </c>
      <c r="AI46" s="71" t="s">
        <v>1</v>
      </c>
      <c r="AJ46" s="70" t="s">
        <v>663</v>
      </c>
      <c r="AK46" s="11" t="e">
        <f t="shared" si="2"/>
        <v>#REF!</v>
      </c>
      <c r="AL46" s="11" t="s">
        <v>271</v>
      </c>
      <c r="AM46" s="14" t="s">
        <v>395</v>
      </c>
      <c r="AN46" s="11">
        <v>10000</v>
      </c>
      <c r="AO46" s="11">
        <v>45000</v>
      </c>
      <c r="AP46" s="197" t="str">
        <f>Table12117[[#This Row],[Risk Location ]]</f>
        <v>Indonesia</v>
      </c>
      <c r="AQ46" s="198" t="str">
        <f>Table12117[[#This Row],[Sector (GICS Industry Group)]]</f>
        <v>Consumer Discretionary</v>
      </c>
      <c r="AR46" s="11">
        <v>1</v>
      </c>
      <c r="AS46" s="214">
        <v>0.17499999999999999</v>
      </c>
      <c r="AT46" s="212" t="e">
        <f>Table12117[[#This Row],[Percentage Impact]]*Table12117[[#This Row],[Amortised Limit A$ Balance]]</f>
        <v>#REF!</v>
      </c>
      <c r="AU46" s="212" t="e">
        <f>Table12117[[#This Row],[Amortised Limit A$ Balance]]*12%</f>
        <v>#REF!</v>
      </c>
      <c r="AV46" s="212" t="b">
        <f>IF(Table12117[[#This Row],[Everest]]="Everest",Table12117[[#This Row],[Assetinsure Amount ]]*0.2)</f>
        <v>0</v>
      </c>
      <c r="AW46" s="212"/>
      <c r="AX46" s="212" t="e">
        <f>MIN(Table12117[[#This Row],[Assetinsure Amount ]]-Table12117[[#This Row],[Reinsurance Everest Re]],Table12117[[#This Row],[Total Amount]])</f>
        <v>#REF!</v>
      </c>
      <c r="AY46" s="212">
        <f t="shared" si="1"/>
        <v>1371.2443970977135</v>
      </c>
      <c r="AZ46" s="12" t="s">
        <v>1218</v>
      </c>
      <c r="BC46" s="212">
        <v>851.51443648772079</v>
      </c>
      <c r="BD46" s="212">
        <v>1371.2443970977135</v>
      </c>
      <c r="BE46" s="212">
        <v>1357.1439506437439</v>
      </c>
      <c r="BF46" s="212">
        <v>1116.2063338571256</v>
      </c>
      <c r="BG46" s="212">
        <v>1081.0063186093237</v>
      </c>
      <c r="BH46" s="212">
        <v>1411.5699873896597</v>
      </c>
      <c r="BI46" s="226">
        <v>1411.5699873896597</v>
      </c>
      <c r="BJ46" s="226">
        <v>1198.713532738429</v>
      </c>
      <c r="BL46" s="58" t="s">
        <v>979</v>
      </c>
      <c r="BM46" s="112"/>
      <c r="BN46" s="58"/>
    </row>
    <row r="47" spans="1:66" ht="39.950000000000003" customHeight="1" x14ac:dyDescent="0.2">
      <c r="A47" s="13" t="s">
        <v>320</v>
      </c>
      <c r="B47" s="65" t="s">
        <v>51</v>
      </c>
      <c r="C47" s="65" t="s">
        <v>1144</v>
      </c>
      <c r="D47" s="66" t="s">
        <v>87</v>
      </c>
      <c r="E47" s="14" t="s">
        <v>542</v>
      </c>
      <c r="F47" s="130" t="s">
        <v>87</v>
      </c>
      <c r="G47" s="14" t="s">
        <v>173</v>
      </c>
      <c r="H47" s="66" t="s">
        <v>316</v>
      </c>
      <c r="I47" s="14" t="s">
        <v>197</v>
      </c>
      <c r="J47" s="77" t="s">
        <v>75</v>
      </c>
      <c r="K47" s="66" t="s">
        <v>21</v>
      </c>
      <c r="L47" s="14" t="s">
        <v>29</v>
      </c>
      <c r="M47" s="65" t="s">
        <v>191</v>
      </c>
      <c r="N47" s="65" t="s">
        <v>59</v>
      </c>
      <c r="O47" s="13" t="s">
        <v>43</v>
      </c>
      <c r="P47" s="13" t="s">
        <v>538</v>
      </c>
      <c r="Q47" s="13" t="s">
        <v>548</v>
      </c>
      <c r="R47" s="64" t="s">
        <v>156</v>
      </c>
      <c r="S47" s="62" t="e">
        <f>10000/GBP</f>
        <v>#REF!</v>
      </c>
      <c r="T47" s="62">
        <v>6500</v>
      </c>
      <c r="U47" s="62" t="e">
        <f>Table12117[[#This Row],[Amortised Limit in Original Currency]]/GBP</f>
        <v>#REF!</v>
      </c>
      <c r="V47" s="62" t="e">
        <f>80000/GBP</f>
        <v>#REF!</v>
      </c>
      <c r="W47" s="62" t="e">
        <f>175390.44/GBP</f>
        <v>#REF!</v>
      </c>
      <c r="X47" s="61" t="s">
        <v>11</v>
      </c>
      <c r="Y47" s="181">
        <v>7.7000000000000002E-3</v>
      </c>
      <c r="Z47" s="60">
        <v>43927</v>
      </c>
      <c r="AA47" s="60">
        <v>46081</v>
      </c>
      <c r="AB47" s="60">
        <v>46081</v>
      </c>
      <c r="AC47" s="58">
        <f t="shared" si="3"/>
        <v>2155</v>
      </c>
      <c r="AD47" s="75" t="e">
        <f t="shared" si="8"/>
        <v>#REF!</v>
      </c>
      <c r="AE47" s="58" t="e">
        <f>AB47-#REF!</f>
        <v>#REF!</v>
      </c>
      <c r="AF47" s="57" t="e">
        <f t="shared" si="5"/>
        <v>#REF!</v>
      </c>
      <c r="AG47" s="56"/>
      <c r="AH47" s="71" t="s">
        <v>1</v>
      </c>
      <c r="AI47" s="71" t="s">
        <v>1</v>
      </c>
      <c r="AJ47" s="70" t="s">
        <v>0</v>
      </c>
      <c r="AK47" s="11" t="e">
        <f t="shared" si="2"/>
        <v>#REF!</v>
      </c>
      <c r="AL47" s="11" t="s">
        <v>271</v>
      </c>
      <c r="AM47" s="13" t="s">
        <v>398</v>
      </c>
      <c r="AN47" s="11">
        <v>10230</v>
      </c>
      <c r="AP47" s="197" t="str">
        <f>Table12117[[#This Row],[Risk Location ]]</f>
        <v>United Kingdom</v>
      </c>
      <c r="AQ47" s="198" t="str">
        <f>Table12117[[#This Row],[Sector (GICS Industry Group)]]</f>
        <v>Automobiles &amp; Components</v>
      </c>
      <c r="AT47" s="212" t="e">
        <f>Table12117[[#This Row],[Percentage Impact]]*Table12117[[#This Row],[Amortised Limit A$ Balance]]</f>
        <v>#REF!</v>
      </c>
      <c r="AU47" s="212" t="e">
        <f>Table12117[[#This Row],[Amortised Limit A$ Balance]]*12%</f>
        <v>#REF!</v>
      </c>
      <c r="AV47" s="212" t="b">
        <f>IF(Table12117[[#This Row],[Everest]]="Everest",Table12117[[#This Row],[Assetinsure Amount ]]*0.2)</f>
        <v>0</v>
      </c>
      <c r="AW47" s="212"/>
      <c r="AX47" s="212" t="e">
        <f>MIN(Table12117[[#This Row],[Assetinsure Amount ]]-Table12117[[#This Row],[Reinsurance Everest Re]],Table12117[[#This Row],[Total Amount]])</f>
        <v>#REF!</v>
      </c>
      <c r="AY47" s="212">
        <f t="shared" si="1"/>
        <v>0</v>
      </c>
      <c r="BC47" s="212">
        <v>0</v>
      </c>
      <c r="BD47" s="212">
        <v>0</v>
      </c>
      <c r="BE47" s="212">
        <v>0</v>
      </c>
      <c r="BF47" s="212">
        <v>0</v>
      </c>
      <c r="BG47" s="212">
        <v>0</v>
      </c>
      <c r="BH47" s="212">
        <v>0</v>
      </c>
      <c r="BI47" s="226">
        <v>0</v>
      </c>
      <c r="BJ47" s="226"/>
      <c r="BL47" s="58" t="s">
        <v>980</v>
      </c>
      <c r="BM47" s="112"/>
      <c r="BN47" s="58"/>
    </row>
    <row r="48" spans="1:66" ht="39.950000000000003" customHeight="1" x14ac:dyDescent="0.2">
      <c r="A48" s="13" t="s">
        <v>550</v>
      </c>
      <c r="B48" s="65" t="s">
        <v>23</v>
      </c>
      <c r="C48" s="65" t="s">
        <v>1141</v>
      </c>
      <c r="D48" s="66" t="s">
        <v>37</v>
      </c>
      <c r="E48" s="14" t="s">
        <v>540</v>
      </c>
      <c r="F48" s="161" t="s">
        <v>36</v>
      </c>
      <c r="G48" s="14" t="s">
        <v>104</v>
      </c>
      <c r="H48" s="14" t="s">
        <v>111</v>
      </c>
      <c r="I48" s="66" t="s">
        <v>135</v>
      </c>
      <c r="J48" s="14" t="s">
        <v>77</v>
      </c>
      <c r="K48" s="66" t="s">
        <v>220</v>
      </c>
      <c r="L48" s="14" t="s">
        <v>29</v>
      </c>
      <c r="M48" s="65" t="s">
        <v>191</v>
      </c>
      <c r="N48" s="13" t="s">
        <v>323</v>
      </c>
      <c r="O48" s="13" t="s">
        <v>43</v>
      </c>
      <c r="P48" s="13" t="s">
        <v>531</v>
      </c>
      <c r="Q48" s="13" t="s">
        <v>548</v>
      </c>
      <c r="R48" s="64" t="s">
        <v>9</v>
      </c>
      <c r="S48" s="62" t="e">
        <f>7000/USD</f>
        <v>#REF!</v>
      </c>
      <c r="T48" s="62">
        <v>5637.5</v>
      </c>
      <c r="U48" s="62" t="e">
        <f>Table12117[[#This Row],[Amortised Limit in Original Currency]]/USD</f>
        <v>#REF!</v>
      </c>
      <c r="V48" s="62" t="e">
        <f>185000/USD</f>
        <v>#REF!</v>
      </c>
      <c r="W48" s="62" t="e">
        <f>600563.11/USD</f>
        <v>#REF!</v>
      </c>
      <c r="X48" s="61" t="s">
        <v>11</v>
      </c>
      <c r="Y48" s="181">
        <v>3.7499999999999999E-2</v>
      </c>
      <c r="Z48" s="60">
        <v>43938</v>
      </c>
      <c r="AA48" s="60">
        <v>45063</v>
      </c>
      <c r="AB48" s="60">
        <v>45063</v>
      </c>
      <c r="AC48" s="58">
        <f t="shared" si="3"/>
        <v>1126</v>
      </c>
      <c r="AD48" s="59" t="e">
        <f t="shared" si="8"/>
        <v>#REF!</v>
      </c>
      <c r="AE48" s="58" t="e">
        <f>AB48-#REF!</f>
        <v>#REF!</v>
      </c>
      <c r="AF48" s="57" t="e">
        <f t="shared" si="5"/>
        <v>#REF!</v>
      </c>
      <c r="AG48" s="56"/>
      <c r="AH48" s="71" t="s">
        <v>1</v>
      </c>
      <c r="AI48" s="71" t="s">
        <v>1</v>
      </c>
      <c r="AJ48" s="187" t="s">
        <v>1203</v>
      </c>
      <c r="AK48" s="11" t="e">
        <f t="shared" si="2"/>
        <v>#REF!</v>
      </c>
      <c r="AL48" s="11" t="s">
        <v>271</v>
      </c>
      <c r="AM48" s="13" t="s">
        <v>401</v>
      </c>
      <c r="AN48" s="11">
        <f>11000+1225</f>
        <v>12225</v>
      </c>
      <c r="AP48" s="197" t="str">
        <f>Table12117[[#This Row],[Risk Location ]]</f>
        <v>China</v>
      </c>
      <c r="AQ48" s="198" t="str">
        <f>Table12117[[#This Row],[Sector (GICS Industry Group)]]</f>
        <v>Materials</v>
      </c>
      <c r="AT48" s="212" t="e">
        <f>Table12117[[#This Row],[Percentage Impact]]*Table12117[[#This Row],[Amortised Limit A$ Balance]]</f>
        <v>#REF!</v>
      </c>
      <c r="AU48" s="212" t="e">
        <f>Table12117[[#This Row],[Amortised Limit A$ Balance]]*12%</f>
        <v>#REF!</v>
      </c>
      <c r="AV48" s="212" t="b">
        <f>IF(Table12117[[#This Row],[Everest]]="Everest",Table12117[[#This Row],[Assetinsure Amount ]]*0.2)</f>
        <v>0</v>
      </c>
      <c r="AW48" s="212"/>
      <c r="AX48" s="212" t="e">
        <f>MIN(Table12117[[#This Row],[Assetinsure Amount ]]-Table12117[[#This Row],[Reinsurance Everest Re]],Table12117[[#This Row],[Total Amount]])</f>
        <v>#REF!</v>
      </c>
      <c r="AY48" s="212">
        <f t="shared" si="1"/>
        <v>0</v>
      </c>
      <c r="BC48" s="212">
        <v>0</v>
      </c>
      <c r="BD48" s="212">
        <v>0</v>
      </c>
      <c r="BE48" s="212">
        <v>0</v>
      </c>
      <c r="BF48" s="212">
        <v>0</v>
      </c>
      <c r="BG48" s="212">
        <v>0</v>
      </c>
      <c r="BH48" s="212">
        <v>0</v>
      </c>
      <c r="BI48" s="226">
        <v>0</v>
      </c>
      <c r="BJ48" s="226"/>
      <c r="BL48" s="58" t="s">
        <v>981</v>
      </c>
      <c r="BM48" s="112"/>
      <c r="BN48" s="58"/>
    </row>
    <row r="49" spans="1:66" ht="39.950000000000003" customHeight="1" x14ac:dyDescent="0.2">
      <c r="A49" s="13" t="s">
        <v>319</v>
      </c>
      <c r="B49" s="65" t="s">
        <v>23</v>
      </c>
      <c r="C49" s="65" t="s">
        <v>1144</v>
      </c>
      <c r="D49" s="66" t="s">
        <v>89</v>
      </c>
      <c r="E49" s="14" t="s">
        <v>542</v>
      </c>
      <c r="F49" s="130" t="s">
        <v>166</v>
      </c>
      <c r="G49" s="14" t="s">
        <v>92</v>
      </c>
      <c r="H49" s="66" t="s">
        <v>134</v>
      </c>
      <c r="I49" s="14" t="s">
        <v>134</v>
      </c>
      <c r="J49" s="66" t="s">
        <v>58</v>
      </c>
      <c r="K49" s="14" t="s">
        <v>220</v>
      </c>
      <c r="L49" s="14" t="s">
        <v>68</v>
      </c>
      <c r="M49" s="65" t="s">
        <v>191</v>
      </c>
      <c r="N49" s="65" t="s">
        <v>59</v>
      </c>
      <c r="O49" s="13" t="s">
        <v>43</v>
      </c>
      <c r="P49" s="13" t="s">
        <v>539</v>
      </c>
      <c r="Q49" s="65" t="s">
        <v>534</v>
      </c>
      <c r="R49" s="64" t="s">
        <v>9</v>
      </c>
      <c r="S49" s="62" t="e">
        <f>20000/USD</f>
        <v>#REF!</v>
      </c>
      <c r="T49" s="62">
        <v>10533.7</v>
      </c>
      <c r="U49" s="62" t="e">
        <f>Table12117[[#This Row],[Amortised Limit in Original Currency]]/USD</f>
        <v>#REF!</v>
      </c>
      <c r="V49" s="62" t="e">
        <f>53400/USD</f>
        <v>#REF!</v>
      </c>
      <c r="W49" s="62" t="e">
        <f>886043/USD</f>
        <v>#REF!</v>
      </c>
      <c r="X49" s="61" t="s">
        <v>11</v>
      </c>
      <c r="Y49" s="181">
        <v>2.1999999999999999E-2</v>
      </c>
      <c r="Z49" s="60">
        <v>43943</v>
      </c>
      <c r="AA49" s="60">
        <v>45860</v>
      </c>
      <c r="AB49" s="60">
        <v>45860</v>
      </c>
      <c r="AC49" s="58">
        <f t="shared" si="3"/>
        <v>1918</v>
      </c>
      <c r="AD49" s="59" t="e">
        <f t="shared" si="8"/>
        <v>#REF!</v>
      </c>
      <c r="AE49" s="58" t="e">
        <f>AB49-#REF!</f>
        <v>#REF!</v>
      </c>
      <c r="AF49" s="57" t="e">
        <f t="shared" si="5"/>
        <v>#REF!</v>
      </c>
      <c r="AG49" s="56" t="s">
        <v>436</v>
      </c>
      <c r="AH49" s="71" t="s">
        <v>1</v>
      </c>
      <c r="AI49" s="71" t="s">
        <v>1</v>
      </c>
      <c r="AJ49" s="187" t="s">
        <v>1205</v>
      </c>
      <c r="AK49" s="11" t="e">
        <f t="shared" si="2"/>
        <v>#REF!</v>
      </c>
      <c r="AL49" s="11" t="s">
        <v>271</v>
      </c>
      <c r="AM49" s="13" t="s">
        <v>402</v>
      </c>
      <c r="AN49" s="11">
        <v>6000</v>
      </c>
      <c r="AP49" s="197" t="str">
        <f>Table12117[[#This Row],[Risk Location ]]</f>
        <v>France</v>
      </c>
      <c r="AQ49" s="198" t="str">
        <f>Table12117[[#This Row],[Sector (GICS Industry Group)]]</f>
        <v>Transportation</v>
      </c>
      <c r="AT49" s="212" t="e">
        <f>Table12117[[#This Row],[Percentage Impact]]*Table12117[[#This Row],[Amortised Limit A$ Balance]]</f>
        <v>#REF!</v>
      </c>
      <c r="AU49" s="212" t="e">
        <f>Table12117[[#This Row],[Amortised Limit A$ Balance]]*12%</f>
        <v>#REF!</v>
      </c>
      <c r="AV49" s="212" t="e">
        <f>IF(Table12117[[#This Row],[Everest]]="Everest",Table12117[[#This Row],[Assetinsure Amount ]]*0.2)</f>
        <v>#REF!</v>
      </c>
      <c r="AW49" s="212"/>
      <c r="AX49" s="212" t="e">
        <f>MIN(Table12117[[#This Row],[Assetinsure Amount ]]-Table12117[[#This Row],[Reinsurance Everest Re]],Table12117[[#This Row],[Total Amount]])</f>
        <v>#REF!</v>
      </c>
      <c r="AY49" s="212">
        <f t="shared" si="1"/>
        <v>0</v>
      </c>
      <c r="BC49" s="212">
        <v>0</v>
      </c>
      <c r="BD49" s="212">
        <v>0</v>
      </c>
      <c r="BE49" s="212">
        <v>0</v>
      </c>
      <c r="BF49" s="212">
        <v>0</v>
      </c>
      <c r="BG49" s="212">
        <v>0</v>
      </c>
      <c r="BH49" s="212">
        <v>0</v>
      </c>
      <c r="BI49" s="226">
        <v>0</v>
      </c>
      <c r="BJ49" s="226"/>
      <c r="BL49" s="58" t="s">
        <v>934</v>
      </c>
      <c r="BM49" s="112"/>
      <c r="BN49" s="58"/>
    </row>
    <row r="50" spans="1:66" ht="39.950000000000003" customHeight="1" x14ac:dyDescent="0.2">
      <c r="A50" s="13" t="s">
        <v>318</v>
      </c>
      <c r="B50" s="65" t="s">
        <v>24</v>
      </c>
      <c r="C50" s="65" t="s">
        <v>1142</v>
      </c>
      <c r="D50" s="66" t="s">
        <v>38</v>
      </c>
      <c r="E50" s="14" t="s">
        <v>540</v>
      </c>
      <c r="F50" s="161" t="s">
        <v>36</v>
      </c>
      <c r="G50" s="14" t="s">
        <v>102</v>
      </c>
      <c r="H50" s="14" t="s">
        <v>102</v>
      </c>
      <c r="I50" s="130" t="s">
        <v>473</v>
      </c>
      <c r="J50" s="133" t="s">
        <v>706</v>
      </c>
      <c r="K50" s="14" t="s">
        <v>220</v>
      </c>
      <c r="L50" s="14" t="s">
        <v>101</v>
      </c>
      <c r="M50" s="65" t="s">
        <v>191</v>
      </c>
      <c r="N50" s="65" t="s">
        <v>323</v>
      </c>
      <c r="O50" s="13" t="s">
        <v>43</v>
      </c>
      <c r="P50" s="13" t="s">
        <v>531</v>
      </c>
      <c r="Q50" s="65" t="s">
        <v>534</v>
      </c>
      <c r="R50" s="64" t="s">
        <v>238</v>
      </c>
      <c r="S50" s="62" t="e">
        <f>14100/SGD</f>
        <v>#REF!</v>
      </c>
      <c r="T50" s="62">
        <v>14100</v>
      </c>
      <c r="U50" s="62" t="e">
        <f>S50</f>
        <v>#REF!</v>
      </c>
      <c r="V50" s="62" t="e">
        <f>51700/SGD</f>
        <v>#REF!</v>
      </c>
      <c r="W50" s="62" t="e">
        <f>782511.34/SGD</f>
        <v>#REF!</v>
      </c>
      <c r="X50" s="61" t="s">
        <v>11</v>
      </c>
      <c r="Y50" s="181">
        <v>2.3E-2</v>
      </c>
      <c r="Z50" s="60">
        <v>43948</v>
      </c>
      <c r="AA50" s="60">
        <v>45748</v>
      </c>
      <c r="AB50" s="60">
        <v>45748</v>
      </c>
      <c r="AC50" s="58">
        <f t="shared" si="3"/>
        <v>1801</v>
      </c>
      <c r="AD50" s="59" t="e">
        <f t="shared" si="8"/>
        <v>#REF!</v>
      </c>
      <c r="AE50" s="58" t="e">
        <f>AB50-#REF!</f>
        <v>#REF!</v>
      </c>
      <c r="AF50" s="57" t="e">
        <f t="shared" si="5"/>
        <v>#REF!</v>
      </c>
      <c r="AG50" s="56"/>
      <c r="AH50" s="71" t="s">
        <v>1</v>
      </c>
      <c r="AI50" s="71" t="s">
        <v>1</v>
      </c>
      <c r="AJ50" s="70" t="s">
        <v>0</v>
      </c>
      <c r="AK50" s="11" t="e">
        <f t="shared" si="2"/>
        <v>#REF!</v>
      </c>
      <c r="AL50" s="11" t="s">
        <v>271</v>
      </c>
      <c r="AM50" s="14" t="s">
        <v>400</v>
      </c>
      <c r="AN50" s="11">
        <v>15933</v>
      </c>
      <c r="AP50" s="197" t="str">
        <f>Table12117[[#This Row],[Risk Location ]]</f>
        <v>China</v>
      </c>
      <c r="AQ50" s="198" t="str">
        <f>Table12117[[#This Row],[Sector (GICS Industry Group)]]</f>
        <v>Real Estate Investment</v>
      </c>
      <c r="AT50" s="212" t="e">
        <f>Table12117[[#This Row],[Percentage Impact]]*Table12117[[#This Row],[Amortised Limit A$ Balance]]</f>
        <v>#REF!</v>
      </c>
      <c r="AU50" s="212" t="e">
        <f>Table12117[[#This Row],[Amortised Limit A$ Balance]]*12%</f>
        <v>#REF!</v>
      </c>
      <c r="AV50" s="212" t="b">
        <f>IF(Table12117[[#This Row],[Everest]]="Everest",Table12117[[#This Row],[Assetinsure Amount ]]*0.2)</f>
        <v>0</v>
      </c>
      <c r="AW50" s="212"/>
      <c r="AX50" s="212" t="e">
        <f>MIN(Table12117[[#This Row],[Assetinsure Amount ]]-Table12117[[#This Row],[Reinsurance Everest Re]],Table12117[[#This Row],[Total Amount]])</f>
        <v>#REF!</v>
      </c>
      <c r="AY50" s="212">
        <f t="shared" si="1"/>
        <v>0</v>
      </c>
      <c r="BC50" s="212">
        <v>0</v>
      </c>
      <c r="BD50" s="212">
        <v>0</v>
      </c>
      <c r="BE50" s="212">
        <v>0</v>
      </c>
      <c r="BF50" s="212">
        <v>0</v>
      </c>
      <c r="BG50" s="212">
        <v>0</v>
      </c>
      <c r="BH50" s="212">
        <v>0</v>
      </c>
      <c r="BI50" s="226">
        <v>0</v>
      </c>
      <c r="BJ50" s="226"/>
      <c r="BL50" s="58" t="s">
        <v>987</v>
      </c>
      <c r="BM50" s="112"/>
      <c r="BN50" s="58"/>
    </row>
    <row r="51" spans="1:66" ht="39.950000000000003" customHeight="1" x14ac:dyDescent="0.2">
      <c r="A51" s="13" t="s">
        <v>404</v>
      </c>
      <c r="B51" s="65" t="s">
        <v>67</v>
      </c>
      <c r="C51" s="65" t="s">
        <v>243</v>
      </c>
      <c r="D51" s="66" t="s">
        <v>87</v>
      </c>
      <c r="E51" s="14" t="s">
        <v>34</v>
      </c>
      <c r="F51" s="130" t="s">
        <v>34</v>
      </c>
      <c r="G51" s="14" t="s">
        <v>891</v>
      </c>
      <c r="H51" s="66" t="s">
        <v>167</v>
      </c>
      <c r="I51" s="131" t="s">
        <v>167</v>
      </c>
      <c r="J51" s="66" t="s">
        <v>298</v>
      </c>
      <c r="K51" s="14" t="s">
        <v>218</v>
      </c>
      <c r="L51" s="14" t="s">
        <v>209</v>
      </c>
      <c r="M51" s="65" t="s">
        <v>191</v>
      </c>
      <c r="N51" s="65" t="s">
        <v>59</v>
      </c>
      <c r="O51" s="13" t="s">
        <v>43</v>
      </c>
      <c r="P51" s="13" t="s">
        <v>531</v>
      </c>
      <c r="Q51" s="65" t="s">
        <v>534</v>
      </c>
      <c r="R51" s="64" t="s">
        <v>8</v>
      </c>
      <c r="S51" s="62">
        <v>30000</v>
      </c>
      <c r="T51" s="62">
        <v>30000</v>
      </c>
      <c r="U51" s="62">
        <v>30000</v>
      </c>
      <c r="V51" s="62">
        <v>60000</v>
      </c>
      <c r="W51" s="62">
        <f>3639452.05-656449.37</f>
        <v>2983002.6799999997</v>
      </c>
      <c r="X51" s="61" t="s">
        <v>11</v>
      </c>
      <c r="Y51" s="181">
        <v>4.4999999999999998E-2</v>
      </c>
      <c r="Z51" s="60">
        <v>43955</v>
      </c>
      <c r="AA51" s="60">
        <v>45768</v>
      </c>
      <c r="AB51" s="60">
        <v>45768</v>
      </c>
      <c r="AC51" s="58">
        <f t="shared" si="3"/>
        <v>1814</v>
      </c>
      <c r="AD51" s="59" t="e">
        <f t="shared" si="8"/>
        <v>#REF!</v>
      </c>
      <c r="AE51" s="58" t="e">
        <f>AB51-#REF!</f>
        <v>#REF!</v>
      </c>
      <c r="AF51" s="57" t="e">
        <f t="shared" si="5"/>
        <v>#REF!</v>
      </c>
      <c r="AG51" s="56" t="s">
        <v>436</v>
      </c>
      <c r="AH51" s="71" t="s">
        <v>1</v>
      </c>
      <c r="AI51" s="71" t="s">
        <v>1</v>
      </c>
      <c r="AJ51" s="70" t="s">
        <v>0</v>
      </c>
      <c r="AK51" s="11" t="e">
        <f t="shared" si="2"/>
        <v>#REF!</v>
      </c>
      <c r="AL51" s="11" t="s">
        <v>271</v>
      </c>
      <c r="AM51" s="13" t="s">
        <v>406</v>
      </c>
      <c r="AN51" s="11">
        <v>12267.5</v>
      </c>
      <c r="AP51" s="197" t="str">
        <f>Table12117[[#This Row],[Risk Location ]]</f>
        <v>Australia</v>
      </c>
      <c r="AQ51" s="198" t="str">
        <f>Table12117[[#This Row],[Sector (GICS Industry Group)]]</f>
        <v>Information Technology - Hardware &amp; Equipment</v>
      </c>
      <c r="AT51" s="212">
        <f>Table12117[[#This Row],[Percentage Impact]]*Table12117[[#This Row],[Amortised Limit A$ Balance]]</f>
        <v>0</v>
      </c>
      <c r="AU51" s="212">
        <f>Table12117[[#This Row],[Amortised Limit A$ Balance]]*12%</f>
        <v>3600</v>
      </c>
      <c r="AV51" s="212">
        <f>IF(Table12117[[#This Row],[Everest]]="Everest",Table12117[[#This Row],[Assetinsure Amount ]]*0.2)</f>
        <v>720</v>
      </c>
      <c r="AW51" s="212"/>
      <c r="AX51" s="212">
        <f>MIN(Table12117[[#This Row],[Assetinsure Amount ]]-Table12117[[#This Row],[Reinsurance Everest Re]],Table12117[[#This Row],[Total Amount]])</f>
        <v>0</v>
      </c>
      <c r="AY51" s="212">
        <f t="shared" si="1"/>
        <v>0</v>
      </c>
      <c r="BC51" s="212">
        <v>0</v>
      </c>
      <c r="BD51" s="212">
        <v>0</v>
      </c>
      <c r="BE51" s="212">
        <v>0</v>
      </c>
      <c r="BF51" s="212">
        <v>0</v>
      </c>
      <c r="BG51" s="212">
        <v>0</v>
      </c>
      <c r="BH51" s="212">
        <v>0</v>
      </c>
      <c r="BI51" s="226">
        <v>0</v>
      </c>
      <c r="BJ51" s="226"/>
      <c r="BL51" s="58" t="s">
        <v>988</v>
      </c>
      <c r="BM51" s="112"/>
      <c r="BN51" s="58"/>
    </row>
    <row r="52" spans="1:66" ht="39.950000000000003" customHeight="1" x14ac:dyDescent="0.2">
      <c r="A52" s="13" t="s">
        <v>405</v>
      </c>
      <c r="B52" s="65" t="s">
        <v>67</v>
      </c>
      <c r="C52" s="65" t="s">
        <v>1143</v>
      </c>
      <c r="D52" s="66" t="s">
        <v>34</v>
      </c>
      <c r="E52" s="14" t="s">
        <v>34</v>
      </c>
      <c r="F52" s="130" t="s">
        <v>34</v>
      </c>
      <c r="G52" s="14" t="s">
        <v>102</v>
      </c>
      <c r="H52" s="14" t="s">
        <v>102</v>
      </c>
      <c r="I52" s="130" t="s">
        <v>473</v>
      </c>
      <c r="J52" s="66" t="s">
        <v>409</v>
      </c>
      <c r="K52" s="14" t="s">
        <v>408</v>
      </c>
      <c r="L52" s="14" t="s">
        <v>29</v>
      </c>
      <c r="M52" s="65" t="s">
        <v>191</v>
      </c>
      <c r="N52" s="13" t="s">
        <v>323</v>
      </c>
      <c r="O52" s="13" t="s">
        <v>43</v>
      </c>
      <c r="P52" s="13" t="s">
        <v>533</v>
      </c>
      <c r="Q52" s="65" t="s">
        <v>534</v>
      </c>
      <c r="R52" s="64" t="s">
        <v>8</v>
      </c>
      <c r="S52" s="62">
        <v>25000</v>
      </c>
      <c r="T52" s="62">
        <v>25000</v>
      </c>
      <c r="U52" s="62">
        <v>25000</v>
      </c>
      <c r="V52" s="62">
        <v>50000</v>
      </c>
      <c r="W52" s="62">
        <v>1429880.14</v>
      </c>
      <c r="X52" s="61" t="s">
        <v>11</v>
      </c>
      <c r="Y52" s="181">
        <v>2.1999999999999999E-2</v>
      </c>
      <c r="Z52" s="60">
        <v>43957</v>
      </c>
      <c r="AA52" s="60">
        <v>45628</v>
      </c>
      <c r="AB52" s="60">
        <v>45628</v>
      </c>
      <c r="AC52" s="58">
        <f t="shared" si="3"/>
        <v>1672</v>
      </c>
      <c r="AD52" s="59" t="e">
        <f t="shared" si="8"/>
        <v>#REF!</v>
      </c>
      <c r="AE52" s="58" t="e">
        <f>AB52-#REF!</f>
        <v>#REF!</v>
      </c>
      <c r="AF52" s="57" t="e">
        <f t="shared" si="5"/>
        <v>#REF!</v>
      </c>
      <c r="AG52" s="56" t="s">
        <v>436</v>
      </c>
      <c r="AH52" s="71" t="s">
        <v>1</v>
      </c>
      <c r="AI52" s="71" t="s">
        <v>1</v>
      </c>
      <c r="AJ52" s="70" t="s">
        <v>0</v>
      </c>
      <c r="AK52" s="11" t="e">
        <f t="shared" si="2"/>
        <v>#REF!</v>
      </c>
      <c r="AL52" s="11" t="s">
        <v>271</v>
      </c>
      <c r="AM52" s="13" t="s">
        <v>407</v>
      </c>
      <c r="AN52" s="11">
        <v>4500</v>
      </c>
      <c r="AP52" s="197" t="str">
        <f>Table12117[[#This Row],[Risk Location ]]</f>
        <v>Australia</v>
      </c>
      <c r="AQ52" s="198" t="str">
        <f>Table12117[[#This Row],[Sector (GICS Industry Group)]]</f>
        <v>Real Estate Investment</v>
      </c>
      <c r="AT52" s="212">
        <f>Table12117[[#This Row],[Percentage Impact]]*Table12117[[#This Row],[Amortised Limit A$ Balance]]</f>
        <v>0</v>
      </c>
      <c r="AU52" s="212">
        <f>Table12117[[#This Row],[Amortised Limit A$ Balance]]*12%</f>
        <v>3000</v>
      </c>
      <c r="AV52" s="212">
        <f>IF(Table12117[[#This Row],[Everest]]="Everest",Table12117[[#This Row],[Assetinsure Amount ]]*0.2)</f>
        <v>600</v>
      </c>
      <c r="AW52" s="212"/>
      <c r="AX52" s="212">
        <f>MIN(Table12117[[#This Row],[Assetinsure Amount ]]-Table12117[[#This Row],[Reinsurance Everest Re]],Table12117[[#This Row],[Total Amount]])</f>
        <v>0</v>
      </c>
      <c r="AY52" s="212">
        <f t="shared" si="1"/>
        <v>0</v>
      </c>
      <c r="BC52" s="212">
        <v>0</v>
      </c>
      <c r="BD52" s="212">
        <v>0</v>
      </c>
      <c r="BE52" s="212">
        <v>0</v>
      </c>
      <c r="BF52" s="212">
        <v>0</v>
      </c>
      <c r="BG52" s="212">
        <v>0</v>
      </c>
      <c r="BH52" s="212">
        <v>0</v>
      </c>
      <c r="BI52" s="226">
        <v>0</v>
      </c>
      <c r="BJ52" s="226"/>
      <c r="BL52" s="58" t="s">
        <v>989</v>
      </c>
      <c r="BM52" s="112"/>
      <c r="BN52" s="58"/>
    </row>
    <row r="53" spans="1:66" s="229" customFormat="1" ht="39.950000000000003" customHeight="1" x14ac:dyDescent="0.2">
      <c r="A53" s="269" t="s">
        <v>412</v>
      </c>
      <c r="B53" s="270" t="s">
        <v>243</v>
      </c>
      <c r="C53" s="65" t="s">
        <v>1141</v>
      </c>
      <c r="D53" s="133" t="s">
        <v>87</v>
      </c>
      <c r="E53" s="131" t="s">
        <v>469</v>
      </c>
      <c r="F53" s="145" t="s">
        <v>413</v>
      </c>
      <c r="G53" s="131" t="s">
        <v>48</v>
      </c>
      <c r="H53" s="131" t="s">
        <v>95</v>
      </c>
      <c r="I53" s="145" t="s">
        <v>521</v>
      </c>
      <c r="J53" s="131" t="s">
        <v>181</v>
      </c>
      <c r="K53" s="131" t="s">
        <v>33</v>
      </c>
      <c r="L53" s="131" t="s">
        <v>140</v>
      </c>
      <c r="M53" s="270" t="s">
        <v>191</v>
      </c>
      <c r="N53" s="269" t="s">
        <v>59</v>
      </c>
      <c r="O53" s="269" t="s">
        <v>43</v>
      </c>
      <c r="P53" s="269" t="s">
        <v>538</v>
      </c>
      <c r="Q53" s="270" t="s">
        <v>534</v>
      </c>
      <c r="R53" s="135" t="s">
        <v>9</v>
      </c>
      <c r="S53" s="62" t="e">
        <f>7500/USD</f>
        <v>#REF!</v>
      </c>
      <c r="T53" s="62">
        <v>7500</v>
      </c>
      <c r="U53" s="62" t="e">
        <f>7500/USD</f>
        <v>#REF!</v>
      </c>
      <c r="V53" s="62" t="e">
        <f>25000/USD</f>
        <v>#REF!</v>
      </c>
      <c r="W53" s="62" t="e">
        <f>(1149241.37-19044.44-21103.78-100461.29)/USD</f>
        <v>#REF!</v>
      </c>
      <c r="X53" s="61" t="s">
        <v>11</v>
      </c>
      <c r="Y53" s="181">
        <v>3.7499999999999999E-2</v>
      </c>
      <c r="Z53" s="271">
        <v>43965</v>
      </c>
      <c r="AA53" s="271">
        <v>47238</v>
      </c>
      <c r="AB53" s="271">
        <v>47238</v>
      </c>
      <c r="AC53" s="272">
        <f t="shared" si="3"/>
        <v>3274</v>
      </c>
      <c r="AD53" s="139" t="e">
        <f t="shared" si="8"/>
        <v>#REF!</v>
      </c>
      <c r="AE53" s="272" t="e">
        <f>AB53-#REF!</f>
        <v>#REF!</v>
      </c>
      <c r="AF53" s="273" t="e">
        <f t="shared" si="5"/>
        <v>#REF!</v>
      </c>
      <c r="AG53" s="274"/>
      <c r="AH53" s="275" t="s">
        <v>1</v>
      </c>
      <c r="AI53" s="275" t="s">
        <v>1</v>
      </c>
      <c r="AJ53" s="163" t="s">
        <v>0</v>
      </c>
      <c r="AK53" s="229" t="e">
        <f t="shared" si="2"/>
        <v>#REF!</v>
      </c>
      <c r="AL53" s="229" t="s">
        <v>271</v>
      </c>
      <c r="AM53" s="269" t="s">
        <v>416</v>
      </c>
      <c r="AN53" s="229">
        <v>10237</v>
      </c>
      <c r="AP53" s="197" t="str">
        <f>Table12117[[#This Row],[Risk Location ]]</f>
        <v>Nigeria</v>
      </c>
      <c r="AQ53" s="198" t="str">
        <f>Table12117[[#This Row],[Sector (GICS Industry Group)]]</f>
        <v>Energy</v>
      </c>
      <c r="AT53" s="212" t="e">
        <f>Table12117[[#This Row],[Percentage Impact]]*Table12117[[#This Row],[Amortised Limit A$ Balance]]</f>
        <v>#REF!</v>
      </c>
      <c r="AU53" s="212" t="e">
        <f>Table12117[[#This Row],[Amortised Limit A$ Balance]]*12%</f>
        <v>#REF!</v>
      </c>
      <c r="AV53" s="212" t="b">
        <f>IF(Table12117[[#This Row],[Everest]]="Everest",Table12117[[#This Row],[Assetinsure Amount ]]*0.2)</f>
        <v>0</v>
      </c>
      <c r="AW53" s="278"/>
      <c r="AX53" s="212" t="e">
        <f>MIN(Table12117[[#This Row],[Assetinsure Amount ]]-Table12117[[#This Row],[Reinsurance Everest Re]],Table12117[[#This Row],[Total Amount]])</f>
        <v>#REF!</v>
      </c>
      <c r="AY53" s="212">
        <f t="shared" si="1"/>
        <v>0</v>
      </c>
      <c r="BC53" s="278">
        <v>0</v>
      </c>
      <c r="BD53" s="278">
        <v>0</v>
      </c>
      <c r="BE53" s="278">
        <v>0</v>
      </c>
      <c r="BF53" s="278">
        <v>0</v>
      </c>
      <c r="BG53" s="278">
        <v>0</v>
      </c>
      <c r="BH53" s="278">
        <v>0</v>
      </c>
      <c r="BI53" s="226">
        <v>0</v>
      </c>
      <c r="BJ53" s="226"/>
      <c r="BL53" s="272" t="s">
        <v>990</v>
      </c>
      <c r="BM53" s="276"/>
      <c r="BN53" s="272"/>
    </row>
    <row r="54" spans="1:66" ht="39.950000000000003" customHeight="1" x14ac:dyDescent="0.2">
      <c r="A54" s="13" t="s">
        <v>410</v>
      </c>
      <c r="B54" s="65" t="s">
        <v>23</v>
      </c>
      <c r="C54" s="65" t="s">
        <v>1144</v>
      </c>
      <c r="D54" s="66" t="s">
        <v>34</v>
      </c>
      <c r="E54" s="14" t="s">
        <v>34</v>
      </c>
      <c r="F54" s="130" t="s">
        <v>34</v>
      </c>
      <c r="G54" s="14" t="s">
        <v>543</v>
      </c>
      <c r="H54" s="131" t="s">
        <v>133</v>
      </c>
      <c r="I54" s="130" t="s">
        <v>133</v>
      </c>
      <c r="J54" s="66" t="s">
        <v>232</v>
      </c>
      <c r="K54" s="14" t="s">
        <v>21</v>
      </c>
      <c r="L54" s="14" t="s">
        <v>44</v>
      </c>
      <c r="M54" s="65" t="s">
        <v>191</v>
      </c>
      <c r="N54" s="13" t="s">
        <v>323</v>
      </c>
      <c r="O54" s="13" t="s">
        <v>43</v>
      </c>
      <c r="P54" s="13" t="s">
        <v>533</v>
      </c>
      <c r="Q54" s="65" t="s">
        <v>534</v>
      </c>
      <c r="R54" s="64" t="s">
        <v>9</v>
      </c>
      <c r="S54" s="62" t="e">
        <f>20000/USD</f>
        <v>#REF!</v>
      </c>
      <c r="T54" s="62">
        <v>20000</v>
      </c>
      <c r="U54" s="62" t="e">
        <f>20000/USD</f>
        <v>#REF!</v>
      </c>
      <c r="V54" s="62" t="e">
        <f>46700/USD</f>
        <v>#REF!</v>
      </c>
      <c r="W54" s="62" t="e">
        <f>660880.66/USD</f>
        <v>#REF!</v>
      </c>
      <c r="X54" s="61" t="s">
        <v>11</v>
      </c>
      <c r="Y54" s="181">
        <v>2.1000000000000001E-2</v>
      </c>
      <c r="Z54" s="60">
        <v>43966</v>
      </c>
      <c r="AA54" s="60">
        <v>45823</v>
      </c>
      <c r="AB54" s="60">
        <v>45823</v>
      </c>
      <c r="AC54" s="72">
        <f t="shared" si="3"/>
        <v>1858</v>
      </c>
      <c r="AD54" s="59" t="e">
        <f t="shared" si="8"/>
        <v>#REF!</v>
      </c>
      <c r="AE54" s="58" t="e">
        <f>AB54-#REF!</f>
        <v>#REF!</v>
      </c>
      <c r="AF54" s="57" t="e">
        <f t="shared" si="5"/>
        <v>#REF!</v>
      </c>
      <c r="AG54" s="56" t="s">
        <v>436</v>
      </c>
      <c r="AH54" s="71" t="s">
        <v>1</v>
      </c>
      <c r="AI54" s="71" t="s">
        <v>1</v>
      </c>
      <c r="AJ54" s="70" t="s">
        <v>0</v>
      </c>
      <c r="AK54" s="11" t="e">
        <f t="shared" si="2"/>
        <v>#REF!</v>
      </c>
      <c r="AL54" s="11" t="s">
        <v>271</v>
      </c>
      <c r="AM54" s="13" t="s">
        <v>418</v>
      </c>
      <c r="AN54" s="11">
        <v>6000</v>
      </c>
      <c r="AP54" s="197" t="str">
        <f>Table12117[[#This Row],[Risk Location ]]</f>
        <v>Australia</v>
      </c>
      <c r="AQ54" s="198" t="str">
        <f>Table12117[[#This Row],[Sector (GICS Industry Group)]]</f>
        <v>Industrials</v>
      </c>
      <c r="AT54" s="212" t="e">
        <f>Table12117[[#This Row],[Percentage Impact]]*Table12117[[#This Row],[Amortised Limit A$ Balance]]</f>
        <v>#REF!</v>
      </c>
      <c r="AU54" s="212" t="e">
        <f>Table12117[[#This Row],[Amortised Limit A$ Balance]]*12%</f>
        <v>#REF!</v>
      </c>
      <c r="AV54" s="212" t="e">
        <f>IF(Table12117[[#This Row],[Everest]]="Everest",Table12117[[#This Row],[Assetinsure Amount ]]*0.2)</f>
        <v>#REF!</v>
      </c>
      <c r="AW54" s="212"/>
      <c r="AX54" s="212" t="e">
        <f>MIN(Table12117[[#This Row],[Assetinsure Amount ]]-Table12117[[#This Row],[Reinsurance Everest Re]],Table12117[[#This Row],[Total Amount]])</f>
        <v>#REF!</v>
      </c>
      <c r="AY54" s="212">
        <f t="shared" si="1"/>
        <v>0</v>
      </c>
      <c r="BC54" s="212">
        <v>0</v>
      </c>
      <c r="BD54" s="212">
        <v>0</v>
      </c>
      <c r="BE54" s="212">
        <v>0</v>
      </c>
      <c r="BF54" s="212">
        <v>0</v>
      </c>
      <c r="BG54" s="212">
        <v>0</v>
      </c>
      <c r="BH54" s="212">
        <v>0</v>
      </c>
      <c r="BI54" s="226">
        <v>0</v>
      </c>
      <c r="BJ54" s="226"/>
      <c r="BL54" s="58" t="s">
        <v>992</v>
      </c>
      <c r="BM54" s="112"/>
      <c r="BN54" s="58"/>
    </row>
    <row r="55" spans="1:66" ht="39.950000000000003" customHeight="1" x14ac:dyDescent="0.2">
      <c r="A55" s="13" t="s">
        <v>414</v>
      </c>
      <c r="B55" s="65" t="s">
        <v>24</v>
      </c>
      <c r="C55" s="65" t="s">
        <v>1142</v>
      </c>
      <c r="D55" s="66" t="s">
        <v>166</v>
      </c>
      <c r="E55" s="14" t="s">
        <v>542</v>
      </c>
      <c r="F55" s="130" t="s">
        <v>166</v>
      </c>
      <c r="G55" s="14" t="s">
        <v>102</v>
      </c>
      <c r="H55" s="14" t="s">
        <v>102</v>
      </c>
      <c r="I55" s="66" t="s">
        <v>122</v>
      </c>
      <c r="J55" s="66" t="s">
        <v>704</v>
      </c>
      <c r="K55" s="14" t="s">
        <v>220</v>
      </c>
      <c r="L55" s="14" t="s">
        <v>101</v>
      </c>
      <c r="M55" s="65" t="s">
        <v>191</v>
      </c>
      <c r="N55" s="13" t="s">
        <v>59</v>
      </c>
      <c r="O55" s="13" t="s">
        <v>43</v>
      </c>
      <c r="P55" s="13" t="s">
        <v>531</v>
      </c>
      <c r="Q55" s="65" t="s">
        <v>534</v>
      </c>
      <c r="R55" s="64" t="s">
        <v>59</v>
      </c>
      <c r="S55" s="62" t="e">
        <f>15000/EUR</f>
        <v>#REF!</v>
      </c>
      <c r="T55" s="62">
        <v>15000</v>
      </c>
      <c r="U55" s="62" t="e">
        <f>15000/EUR</f>
        <v>#REF!</v>
      </c>
      <c r="V55" s="62" t="e">
        <f>53000/EUR</f>
        <v>#REF!</v>
      </c>
      <c r="W55" s="62" t="e">
        <f>577470/EUR</f>
        <v>#REF!</v>
      </c>
      <c r="X55" s="61" t="s">
        <v>11</v>
      </c>
      <c r="Y55" s="181">
        <v>1.2E-2</v>
      </c>
      <c r="Z55" s="60">
        <v>43966</v>
      </c>
      <c r="AA55" s="60">
        <v>46523</v>
      </c>
      <c r="AB55" s="60">
        <v>46523</v>
      </c>
      <c r="AC55" s="58">
        <f t="shared" si="3"/>
        <v>2558</v>
      </c>
      <c r="AD55" s="59" t="e">
        <f t="shared" si="8"/>
        <v>#REF!</v>
      </c>
      <c r="AE55" s="58" t="e">
        <f>AB55-#REF!</f>
        <v>#REF!</v>
      </c>
      <c r="AF55" s="57" t="e">
        <f t="shared" si="5"/>
        <v>#REF!</v>
      </c>
      <c r="AG55" s="56"/>
      <c r="AH55" s="71" t="s">
        <v>1</v>
      </c>
      <c r="AI55" s="71" t="s">
        <v>1</v>
      </c>
      <c r="AJ55" s="70" t="s">
        <v>0</v>
      </c>
      <c r="AK55" s="11" t="e">
        <f t="shared" si="2"/>
        <v>#REF!</v>
      </c>
      <c r="AL55" s="11" t="s">
        <v>271</v>
      </c>
      <c r="AM55" s="13" t="s">
        <v>415</v>
      </c>
      <c r="AN55" s="11">
        <v>8850</v>
      </c>
      <c r="AP55" s="197" t="str">
        <f>Table12117[[#This Row],[Risk Location ]]</f>
        <v>France</v>
      </c>
      <c r="AQ55" s="198" t="str">
        <f>Table12117[[#This Row],[Sector (GICS Industry Group)]]</f>
        <v>Real Estate Investment</v>
      </c>
      <c r="AT55" s="212" t="e">
        <f>Table12117[[#This Row],[Percentage Impact]]*Table12117[[#This Row],[Amortised Limit A$ Balance]]</f>
        <v>#REF!</v>
      </c>
      <c r="AU55" s="212" t="e">
        <f>Table12117[[#This Row],[Amortised Limit A$ Balance]]*12%</f>
        <v>#REF!</v>
      </c>
      <c r="AV55" s="212" t="b">
        <f>IF(Table12117[[#This Row],[Everest]]="Everest",Table12117[[#This Row],[Assetinsure Amount ]]*0.2)</f>
        <v>0</v>
      </c>
      <c r="AW55" s="212"/>
      <c r="AX55" s="212" t="e">
        <f>MIN(Table12117[[#This Row],[Assetinsure Amount ]]-Table12117[[#This Row],[Reinsurance Everest Re]],Table12117[[#This Row],[Total Amount]])</f>
        <v>#REF!</v>
      </c>
      <c r="AY55" s="212">
        <f t="shared" si="1"/>
        <v>0</v>
      </c>
      <c r="BC55" s="212">
        <v>0</v>
      </c>
      <c r="BD55" s="212">
        <v>0</v>
      </c>
      <c r="BE55" s="212">
        <v>0</v>
      </c>
      <c r="BF55" s="212">
        <v>0</v>
      </c>
      <c r="BG55" s="212">
        <v>0</v>
      </c>
      <c r="BH55" s="212">
        <v>0</v>
      </c>
      <c r="BI55" s="226">
        <v>0</v>
      </c>
      <c r="BJ55" s="226"/>
      <c r="BL55" s="58" t="s">
        <v>993</v>
      </c>
      <c r="BM55" s="112"/>
      <c r="BN55" s="58"/>
    </row>
    <row r="56" spans="1:66" ht="39.950000000000003" customHeight="1" x14ac:dyDescent="0.2">
      <c r="A56" s="13" t="s">
        <v>419</v>
      </c>
      <c r="B56" s="65" t="s">
        <v>51</v>
      </c>
      <c r="C56" s="65" t="s">
        <v>1144</v>
      </c>
      <c r="D56" s="66" t="s">
        <v>166</v>
      </c>
      <c r="E56" s="14" t="s">
        <v>542</v>
      </c>
      <c r="F56" s="130" t="s">
        <v>166</v>
      </c>
      <c r="G56" s="14" t="s">
        <v>102</v>
      </c>
      <c r="H56" s="14" t="s">
        <v>102</v>
      </c>
      <c r="I56" s="66" t="s">
        <v>110</v>
      </c>
      <c r="J56" s="66" t="s">
        <v>145</v>
      </c>
      <c r="K56" s="14" t="s">
        <v>221</v>
      </c>
      <c r="L56" s="14" t="s">
        <v>101</v>
      </c>
      <c r="M56" s="65" t="s">
        <v>191</v>
      </c>
      <c r="N56" s="13" t="s">
        <v>59</v>
      </c>
      <c r="O56" s="13" t="s">
        <v>43</v>
      </c>
      <c r="P56" s="13" t="s">
        <v>538</v>
      </c>
      <c r="Q56" s="65" t="s">
        <v>534</v>
      </c>
      <c r="R56" s="64" t="s">
        <v>59</v>
      </c>
      <c r="S56" s="62" t="e">
        <f>20000/EUR</f>
        <v>#REF!</v>
      </c>
      <c r="T56" s="62">
        <v>20000</v>
      </c>
      <c r="U56" s="62" t="e">
        <f>Table12117[[#This Row],[Original Limit (A$)]]</f>
        <v>#REF!</v>
      </c>
      <c r="V56" s="62" t="e">
        <f>65000/EUR</f>
        <v>#REF!</v>
      </c>
      <c r="W56" s="62" t="e">
        <f>786565.3/EUR</f>
        <v>#REF!</v>
      </c>
      <c r="X56" s="61" t="s">
        <v>11</v>
      </c>
      <c r="Y56" s="181">
        <v>2.5000000000000001E-2</v>
      </c>
      <c r="Z56" s="60">
        <v>43971</v>
      </c>
      <c r="AA56" s="60">
        <v>45046</v>
      </c>
      <c r="AB56" s="60">
        <v>45046</v>
      </c>
      <c r="AC56" s="58">
        <f t="shared" si="3"/>
        <v>1076</v>
      </c>
      <c r="AD56" s="59" t="e">
        <f t="shared" si="8"/>
        <v>#REF!</v>
      </c>
      <c r="AE56" s="58" t="e">
        <f>AB56-#REF!</f>
        <v>#REF!</v>
      </c>
      <c r="AF56" s="57" t="e">
        <f t="shared" si="5"/>
        <v>#REF!</v>
      </c>
      <c r="AG56" s="56" t="s">
        <v>436</v>
      </c>
      <c r="AH56" s="71" t="s">
        <v>1</v>
      </c>
      <c r="AI56" s="71" t="s">
        <v>1</v>
      </c>
      <c r="AJ56" s="70" t="s">
        <v>0</v>
      </c>
      <c r="AK56" s="11" t="e">
        <f t="shared" si="2"/>
        <v>#REF!</v>
      </c>
      <c r="AL56" s="11" t="s">
        <v>271</v>
      </c>
      <c r="AM56" s="13" t="s">
        <v>420</v>
      </c>
      <c r="AN56" s="11">
        <v>3367.5</v>
      </c>
      <c r="AP56" s="197" t="str">
        <f>Table12117[[#This Row],[Risk Location ]]</f>
        <v>France</v>
      </c>
      <c r="AQ56" s="198" t="str">
        <f>Table12117[[#This Row],[Sector (GICS Industry Group)]]</f>
        <v>Real Estate Investment</v>
      </c>
      <c r="AT56" s="212" t="e">
        <f>Table12117[[#This Row],[Percentage Impact]]*Table12117[[#This Row],[Amortised Limit A$ Balance]]</f>
        <v>#REF!</v>
      </c>
      <c r="AU56" s="212" t="e">
        <f>Table12117[[#This Row],[Amortised Limit A$ Balance]]*12%</f>
        <v>#REF!</v>
      </c>
      <c r="AV56" s="212" t="e">
        <f>IF(Table12117[[#This Row],[Everest]]="Everest",Table12117[[#This Row],[Assetinsure Amount ]]*0.2)</f>
        <v>#REF!</v>
      </c>
      <c r="AW56" s="212"/>
      <c r="AX56" s="212" t="e">
        <f>MIN(Table12117[[#This Row],[Assetinsure Amount ]]-Table12117[[#This Row],[Reinsurance Everest Re]],Table12117[[#This Row],[Total Amount]])</f>
        <v>#REF!</v>
      </c>
      <c r="AY56" s="212">
        <f t="shared" si="1"/>
        <v>0</v>
      </c>
      <c r="BC56" s="212">
        <v>0</v>
      </c>
      <c r="BD56" s="212">
        <v>0</v>
      </c>
      <c r="BE56" s="212">
        <v>0</v>
      </c>
      <c r="BF56" s="212">
        <v>0</v>
      </c>
      <c r="BG56" s="212">
        <v>0</v>
      </c>
      <c r="BH56" s="212">
        <v>0</v>
      </c>
      <c r="BI56" s="226">
        <v>0</v>
      </c>
      <c r="BJ56" s="226"/>
      <c r="BL56" s="58" t="s">
        <v>994</v>
      </c>
      <c r="BM56" s="112"/>
      <c r="BN56" s="58"/>
    </row>
    <row r="57" spans="1:66" ht="39.950000000000003" customHeight="1" x14ac:dyDescent="0.2">
      <c r="A57" s="13" t="s">
        <v>421</v>
      </c>
      <c r="B57" s="69" t="s">
        <v>51</v>
      </c>
      <c r="C57" s="65" t="s">
        <v>1142</v>
      </c>
      <c r="D57" s="66" t="s">
        <v>127</v>
      </c>
      <c r="E57" s="14" t="s">
        <v>499</v>
      </c>
      <c r="F57" s="130" t="s">
        <v>162</v>
      </c>
      <c r="G57" s="14" t="s">
        <v>475</v>
      </c>
      <c r="H57" s="131" t="s">
        <v>227</v>
      </c>
      <c r="I57" s="130" t="s">
        <v>422</v>
      </c>
      <c r="J57" s="14" t="s">
        <v>158</v>
      </c>
      <c r="K57" s="14" t="s">
        <v>220</v>
      </c>
      <c r="L57" s="14" t="s">
        <v>209</v>
      </c>
      <c r="M57" s="65" t="s">
        <v>191</v>
      </c>
      <c r="N57" s="13" t="s">
        <v>59</v>
      </c>
      <c r="O57" s="13" t="s">
        <v>43</v>
      </c>
      <c r="P57" s="13" t="s">
        <v>533</v>
      </c>
      <c r="Q57" s="65" t="s">
        <v>534</v>
      </c>
      <c r="R57" s="64" t="s">
        <v>9</v>
      </c>
      <c r="S57" s="62" t="e">
        <f>20000/USD</f>
        <v>#REF!</v>
      </c>
      <c r="T57" s="62">
        <v>23681.268</v>
      </c>
      <c r="U57" s="62" t="e">
        <f>Table12117[[#This Row],[Amortised Limit in Original Currency]]/USD</f>
        <v>#REF!</v>
      </c>
      <c r="V57" s="62" t="e">
        <f>350000/USD</f>
        <v>#REF!</v>
      </c>
      <c r="W57" s="62" t="e">
        <f>1064165.42/USD</f>
        <v>#REF!</v>
      </c>
      <c r="X57" s="61" t="s">
        <v>11</v>
      </c>
      <c r="Y57" s="181">
        <v>1.7500000000000002E-2</v>
      </c>
      <c r="Z57" s="60">
        <v>44530</v>
      </c>
      <c r="AA57" s="60">
        <v>46386</v>
      </c>
      <c r="AB57" s="60">
        <v>46386</v>
      </c>
      <c r="AC57" s="72">
        <f t="shared" si="3"/>
        <v>1857</v>
      </c>
      <c r="AD57" s="59" t="e">
        <f t="shared" si="8"/>
        <v>#REF!</v>
      </c>
      <c r="AE57" s="58" t="e">
        <f>AB57-#REF!</f>
        <v>#REF!</v>
      </c>
      <c r="AF57" s="57" t="e">
        <f t="shared" si="5"/>
        <v>#REF!</v>
      </c>
      <c r="AG57" s="56" t="s">
        <v>436</v>
      </c>
      <c r="AH57" s="71" t="s">
        <v>1</v>
      </c>
      <c r="AI57" s="71" t="s">
        <v>1</v>
      </c>
      <c r="AJ57" s="70" t="s">
        <v>1204</v>
      </c>
      <c r="AK57" s="11" t="e">
        <f t="shared" si="2"/>
        <v>#REF!</v>
      </c>
      <c r="AL57" s="11" t="s">
        <v>271</v>
      </c>
      <c r="AM57" s="13" t="s">
        <v>423</v>
      </c>
      <c r="AN57" s="11">
        <v>8500</v>
      </c>
      <c r="AP57" s="197" t="str">
        <f>Table12117[[#This Row],[Risk Location ]]</f>
        <v>United States</v>
      </c>
      <c r="AQ57" s="198" t="str">
        <f>Table12117[[#This Row],[Sector (GICS Industry Group)]]</f>
        <v>Health Care</v>
      </c>
      <c r="AT57" s="212" t="e">
        <f>Table12117[[#This Row],[Percentage Impact]]*Table12117[[#This Row],[Amortised Limit A$ Balance]]</f>
        <v>#REF!</v>
      </c>
      <c r="AU57" s="212" t="e">
        <f>Table12117[[#This Row],[Amortised Limit A$ Balance]]*12%</f>
        <v>#REF!</v>
      </c>
      <c r="AV57" s="212" t="e">
        <f>IF(Table12117[[#This Row],[Everest]]="Everest",Table12117[[#This Row],[Assetinsure Amount ]]*0.2)</f>
        <v>#REF!</v>
      </c>
      <c r="AW57" s="212"/>
      <c r="AX57" s="212" t="e">
        <f>MIN(Table12117[[#This Row],[Assetinsure Amount ]]-Table12117[[#This Row],[Reinsurance Everest Re]],Table12117[[#This Row],[Total Amount]])</f>
        <v>#REF!</v>
      </c>
      <c r="AY57" s="212">
        <f t="shared" si="1"/>
        <v>0</v>
      </c>
      <c r="BC57" s="212">
        <v>0</v>
      </c>
      <c r="BD57" s="212">
        <v>0</v>
      </c>
      <c r="BE57" s="212">
        <v>0</v>
      </c>
      <c r="BF57" s="212">
        <v>0</v>
      </c>
      <c r="BG57" s="212">
        <v>0</v>
      </c>
      <c r="BH57" s="212">
        <v>0</v>
      </c>
      <c r="BI57" s="226">
        <v>0</v>
      </c>
      <c r="BJ57" s="226"/>
      <c r="BL57" s="58" t="s">
        <v>995</v>
      </c>
      <c r="BM57" s="112"/>
      <c r="BN57" s="58"/>
    </row>
    <row r="58" spans="1:66" s="21" customFormat="1" ht="39.950000000000003" customHeight="1" x14ac:dyDescent="0.2">
      <c r="A58" s="13" t="s">
        <v>424</v>
      </c>
      <c r="B58" s="74" t="s">
        <v>67</v>
      </c>
      <c r="C58" s="65" t="s">
        <v>1142</v>
      </c>
      <c r="D58" s="66" t="s">
        <v>87</v>
      </c>
      <c r="E58" s="14" t="s">
        <v>541</v>
      </c>
      <c r="F58" s="130" t="s">
        <v>425</v>
      </c>
      <c r="G58" s="14" t="s">
        <v>439</v>
      </c>
      <c r="H58" s="131" t="s">
        <v>445</v>
      </c>
      <c r="I58" s="68" t="s">
        <v>463</v>
      </c>
      <c r="J58" s="66" t="s">
        <v>298</v>
      </c>
      <c r="K58" s="66" t="s">
        <v>218</v>
      </c>
      <c r="L58" s="65" t="s">
        <v>45</v>
      </c>
      <c r="M58" s="65" t="s">
        <v>191</v>
      </c>
      <c r="N58" s="65" t="s">
        <v>59</v>
      </c>
      <c r="O58" s="13" t="s">
        <v>43</v>
      </c>
      <c r="P58" s="13" t="s">
        <v>538</v>
      </c>
      <c r="Q58" s="65" t="s">
        <v>534</v>
      </c>
      <c r="R58" s="64" t="s">
        <v>9</v>
      </c>
      <c r="S58" s="62" t="e">
        <f>10000/USD</f>
        <v>#REF!</v>
      </c>
      <c r="T58" s="62">
        <v>10000</v>
      </c>
      <c r="U58" s="62" t="e">
        <f>Table12117[[#This Row],[Original Limit (A$)]]</f>
        <v>#REF!</v>
      </c>
      <c r="V58" s="62" t="e">
        <f>58000/USD</f>
        <v>#REF!</v>
      </c>
      <c r="W58" s="62" t="e">
        <f>(441885.38+315216.55)/USD</f>
        <v>#REF!</v>
      </c>
      <c r="X58" s="61" t="s">
        <v>551</v>
      </c>
      <c r="Y58" s="181">
        <v>2.2499999999999999E-2</v>
      </c>
      <c r="Z58" s="60">
        <v>44006</v>
      </c>
      <c r="AA58" s="60">
        <v>47634</v>
      </c>
      <c r="AB58" s="60">
        <v>47634</v>
      </c>
      <c r="AC58" s="72">
        <f t="shared" si="3"/>
        <v>3629</v>
      </c>
      <c r="AD58" s="59" t="e">
        <f t="shared" si="8"/>
        <v>#REF!</v>
      </c>
      <c r="AE58" s="58" t="e">
        <f>AB58-#REF!</f>
        <v>#REF!</v>
      </c>
      <c r="AF58" s="57" t="e">
        <f t="shared" si="5"/>
        <v>#REF!</v>
      </c>
      <c r="AG58" s="56"/>
      <c r="AH58" s="71" t="s">
        <v>1</v>
      </c>
      <c r="AI58" s="71" t="s">
        <v>1</v>
      </c>
      <c r="AJ58" s="187" t="s">
        <v>1123</v>
      </c>
      <c r="AK58" s="11" t="e">
        <f t="shared" si="2"/>
        <v>#REF!</v>
      </c>
      <c r="AL58" s="11" t="s">
        <v>271</v>
      </c>
      <c r="AM58" s="13" t="s">
        <v>426</v>
      </c>
      <c r="AN58" s="11">
        <v>8075</v>
      </c>
      <c r="AO58" s="11"/>
      <c r="AP58" s="197" t="str">
        <f>Table12117[[#This Row],[Risk Location ]]</f>
        <v>Taiwan</v>
      </c>
      <c r="AQ58" s="198" t="str">
        <f>Table12117[[#This Row],[Sector (GICS Industry Group)]]</f>
        <v>Utilities</v>
      </c>
      <c r="AR58" s="11">
        <v>1</v>
      </c>
      <c r="AS58" s="214">
        <v>0.15</v>
      </c>
      <c r="AT58" s="212" t="e">
        <f>Table12117[[#This Row],[Percentage Impact]]*Table12117[[#This Row],[Amortised Limit A$ Balance]]</f>
        <v>#REF!</v>
      </c>
      <c r="AU58" s="212" t="e">
        <f>Table12117[[#This Row],[Amortised Limit A$ Balance]]*12%</f>
        <v>#REF!</v>
      </c>
      <c r="AV58" s="212" t="b">
        <f>IF(Table12117[[#This Row],[Everest]]="Everest",Table12117[[#This Row],[Assetinsure Amount ]]*0.2)</f>
        <v>0</v>
      </c>
      <c r="AW58" s="212"/>
      <c r="AX58" s="212" t="e">
        <f>MIN(Table12117[[#This Row],[Assetinsure Amount ]]-Table12117[[#This Row],[Reinsurance Everest Re]],Table12117[[#This Row],[Total Amount]])</f>
        <v>#REF!</v>
      </c>
      <c r="AY58" s="212">
        <f t="shared" si="1"/>
        <v>1089.7148585265334</v>
      </c>
      <c r="AZ58" s="12" t="s">
        <v>1219</v>
      </c>
      <c r="BC58" s="259">
        <v>1125.0352136021859</v>
      </c>
      <c r="BD58" s="259">
        <v>1089.7148585265334</v>
      </c>
      <c r="BE58" s="259">
        <v>1180.3959835059336</v>
      </c>
      <c r="BF58" s="259">
        <v>1104.110234365799</v>
      </c>
      <c r="BG58" s="212">
        <v>1008.41691989136</v>
      </c>
      <c r="BH58" s="212">
        <v>1044.902963344804</v>
      </c>
      <c r="BI58" s="228">
        <v>1671.8447413516865</v>
      </c>
      <c r="BJ58" s="228">
        <v>692.13732004429676</v>
      </c>
      <c r="BL58" s="58" t="s">
        <v>996</v>
      </c>
      <c r="BM58" s="112"/>
      <c r="BN58" s="58"/>
    </row>
    <row r="59" spans="1:66" s="229" customFormat="1" ht="39.950000000000003" customHeight="1" x14ac:dyDescent="0.2">
      <c r="A59" s="269" t="s">
        <v>465</v>
      </c>
      <c r="B59" s="74" t="s">
        <v>24</v>
      </c>
      <c r="C59" s="270" t="s">
        <v>243</v>
      </c>
      <c r="D59" s="133" t="s">
        <v>34</v>
      </c>
      <c r="E59" s="131" t="s">
        <v>34</v>
      </c>
      <c r="F59" s="145" t="s">
        <v>34</v>
      </c>
      <c r="G59" s="131" t="s">
        <v>233</v>
      </c>
      <c r="H59" s="131" t="s">
        <v>443</v>
      </c>
      <c r="I59" s="131" t="s">
        <v>234</v>
      </c>
      <c r="J59" s="133" t="s">
        <v>706</v>
      </c>
      <c r="K59" s="133" t="s">
        <v>220</v>
      </c>
      <c r="L59" s="270" t="s">
        <v>29</v>
      </c>
      <c r="M59" s="270" t="s">
        <v>191</v>
      </c>
      <c r="N59" s="270" t="s">
        <v>323</v>
      </c>
      <c r="O59" s="269" t="s">
        <v>43</v>
      </c>
      <c r="P59" s="269" t="s">
        <v>538</v>
      </c>
      <c r="Q59" s="270" t="s">
        <v>534</v>
      </c>
      <c r="R59" s="135" t="s">
        <v>8</v>
      </c>
      <c r="S59" s="62">
        <f>15000-3985.507</f>
        <v>11014.493</v>
      </c>
      <c r="T59" s="62">
        <f>15000-3985.507</f>
        <v>11014.493</v>
      </c>
      <c r="U59" s="62">
        <f>15000-3985.507</f>
        <v>11014.493</v>
      </c>
      <c r="V59" s="62">
        <v>95000</v>
      </c>
      <c r="W59" s="62">
        <f>394028.14+32000+533.2-55033</f>
        <v>371528.34</v>
      </c>
      <c r="X59" s="61" t="s">
        <v>11</v>
      </c>
      <c r="Y59" s="181">
        <v>1.2500000000000001E-2</v>
      </c>
      <c r="Z59" s="271">
        <v>44014</v>
      </c>
      <c r="AA59" s="271">
        <v>45478</v>
      </c>
      <c r="AB59" s="271">
        <v>45478</v>
      </c>
      <c r="AC59" s="325">
        <f t="shared" si="3"/>
        <v>1465</v>
      </c>
      <c r="AD59" s="139" t="s">
        <v>10</v>
      </c>
      <c r="AE59" s="272" t="e">
        <f>AB59-#REF!</f>
        <v>#REF!</v>
      </c>
      <c r="AF59" s="273" t="e">
        <f t="shared" si="5"/>
        <v>#REF!</v>
      </c>
      <c r="AG59" s="274"/>
      <c r="AH59" s="326" t="s">
        <v>1</v>
      </c>
      <c r="AI59" s="326" t="s">
        <v>1</v>
      </c>
      <c r="AJ59" s="142" t="s">
        <v>0</v>
      </c>
      <c r="AK59" s="229" t="e">
        <f t="shared" si="2"/>
        <v>#REF!</v>
      </c>
      <c r="AL59" s="277" t="s">
        <v>271</v>
      </c>
      <c r="AM59" s="269" t="s">
        <v>466</v>
      </c>
      <c r="AN59" s="229">
        <v>8000</v>
      </c>
      <c r="AP59" s="323" t="str">
        <f>Table12117[[#This Row],[Risk Location ]]</f>
        <v>Australia</v>
      </c>
      <c r="AQ59" s="324" t="str">
        <f>Table12117[[#This Row],[Sector (GICS Industry Group)]]</f>
        <v>Telecommunication Services</v>
      </c>
      <c r="AT59" s="278">
        <f>Table12117[[#This Row],[Percentage Impact]]*Table12117[[#This Row],[Amortised Limit A$ Balance]]</f>
        <v>0</v>
      </c>
      <c r="AU59" s="278">
        <f>Table12117[[#This Row],[Amortised Limit A$ Balance]]*12%</f>
        <v>1321.7391600000001</v>
      </c>
      <c r="AV59" s="278" t="b">
        <f>IF(Table12117[[#This Row],[Everest]]="Everest",Table12117[[#This Row],[Assetinsure Amount ]]*0.2)</f>
        <v>0</v>
      </c>
      <c r="AW59" s="278"/>
      <c r="AX59" s="278">
        <f>MIN(Table12117[[#This Row],[Assetinsure Amount ]]-Table12117[[#This Row],[Reinsurance Everest Re]],Table12117[[#This Row],[Total Amount]])</f>
        <v>0</v>
      </c>
      <c r="AY59" s="278">
        <f t="shared" si="1"/>
        <v>0</v>
      </c>
      <c r="BC59" s="278">
        <v>0</v>
      </c>
      <c r="BD59" s="278">
        <v>0</v>
      </c>
      <c r="BE59" s="278">
        <v>0</v>
      </c>
      <c r="BF59" s="278">
        <v>0</v>
      </c>
      <c r="BG59" s="278">
        <v>0</v>
      </c>
      <c r="BH59" s="278">
        <v>0</v>
      </c>
      <c r="BI59" s="226">
        <v>0</v>
      </c>
      <c r="BJ59" s="226"/>
      <c r="BL59" s="272" t="s">
        <v>997</v>
      </c>
      <c r="BM59" s="276"/>
      <c r="BN59" s="272"/>
    </row>
    <row r="60" spans="1:66" s="229" customFormat="1" ht="39.950000000000003" customHeight="1" x14ac:dyDescent="0.2">
      <c r="A60" s="132" t="s">
        <v>520</v>
      </c>
      <c r="B60" s="132" t="s">
        <v>243</v>
      </c>
      <c r="C60" s="65" t="s">
        <v>1141</v>
      </c>
      <c r="D60" s="133" t="s">
        <v>87</v>
      </c>
      <c r="E60" s="131" t="s">
        <v>469</v>
      </c>
      <c r="F60" s="145" t="s">
        <v>413</v>
      </c>
      <c r="G60" s="133" t="s">
        <v>48</v>
      </c>
      <c r="H60" s="131" t="s">
        <v>95</v>
      </c>
      <c r="I60" s="145" t="s">
        <v>521</v>
      </c>
      <c r="J60" s="131" t="s">
        <v>522</v>
      </c>
      <c r="K60" s="133" t="s">
        <v>219</v>
      </c>
      <c r="L60" s="133" t="s">
        <v>45</v>
      </c>
      <c r="M60" s="134" t="s">
        <v>191</v>
      </c>
      <c r="N60" s="134" t="s">
        <v>59</v>
      </c>
      <c r="O60" s="132" t="s">
        <v>43</v>
      </c>
      <c r="P60" s="132" t="s">
        <v>538</v>
      </c>
      <c r="Q60" s="270" t="s">
        <v>534</v>
      </c>
      <c r="R60" s="135" t="s">
        <v>9</v>
      </c>
      <c r="S60" s="136" t="e">
        <f>Table12117[[#This Row],[Amortised Limit in Original Currency]]/USD</f>
        <v>#REF!</v>
      </c>
      <c r="T60" s="62">
        <v>10000</v>
      </c>
      <c r="U60" s="136" t="e">
        <f>10000/USD</f>
        <v>#REF!</v>
      </c>
      <c r="V60" s="136" t="e">
        <f>100000/USD</f>
        <v>#REF!</v>
      </c>
      <c r="W60" s="62" t="e">
        <f>(1394802-49500.98-83464.99-34228.12-6318.71)/USD</f>
        <v>#REF!</v>
      </c>
      <c r="X60" s="147" t="s">
        <v>11</v>
      </c>
      <c r="Y60" s="181">
        <v>3.7499999999999999E-2</v>
      </c>
      <c r="Z60" s="137">
        <v>44039</v>
      </c>
      <c r="AA60" s="137">
        <v>47238</v>
      </c>
      <c r="AB60" s="137">
        <v>47238</v>
      </c>
      <c r="AC60" s="138">
        <f t="shared" si="3"/>
        <v>3200</v>
      </c>
      <c r="AD60" s="139" t="s">
        <v>10</v>
      </c>
      <c r="AE60" s="138" t="e">
        <f>AB60-#REF!</f>
        <v>#REF!</v>
      </c>
      <c r="AF60" s="140" t="e">
        <f t="shared" si="5"/>
        <v>#REF!</v>
      </c>
      <c r="AG60" s="274"/>
      <c r="AH60" s="141" t="s">
        <v>1</v>
      </c>
      <c r="AI60" s="141" t="s">
        <v>1</v>
      </c>
      <c r="AJ60" s="142" t="s">
        <v>523</v>
      </c>
      <c r="AK60" s="229" t="e">
        <f t="shared" si="2"/>
        <v>#REF!</v>
      </c>
      <c r="AL60" s="277" t="s">
        <v>271</v>
      </c>
      <c r="AM60" s="132" t="s">
        <v>519</v>
      </c>
      <c r="AO60" s="304"/>
      <c r="AP60" s="197" t="str">
        <f>Table12117[[#This Row],[Risk Location ]]</f>
        <v>Nigeria</v>
      </c>
      <c r="AQ60" s="198" t="str">
        <f>Table12117[[#This Row],[Sector (GICS Industry Group)]]</f>
        <v>Energy</v>
      </c>
      <c r="AR60" s="201"/>
      <c r="AT60" s="212" t="e">
        <f>Table12117[[#This Row],[Percentage Impact]]*Table12117[[#This Row],[Amortised Limit A$ Balance]]</f>
        <v>#REF!</v>
      </c>
      <c r="AU60" s="212" t="e">
        <f>Table12117[[#This Row],[Amortised Limit A$ Balance]]*12%</f>
        <v>#REF!</v>
      </c>
      <c r="AV60" s="212" t="b">
        <f>IF(Table12117[[#This Row],[Everest]]="Everest",Table12117[[#This Row],[Assetinsure Amount ]]*0.2)</f>
        <v>0</v>
      </c>
      <c r="AW60" s="278"/>
      <c r="AX60" s="212" t="e">
        <f>MIN(Table12117[[#This Row],[Assetinsure Amount ]]-Table12117[[#This Row],[Reinsurance Everest Re]],Table12117[[#This Row],[Total Amount]])</f>
        <v>#REF!</v>
      </c>
      <c r="AY60" s="212">
        <f t="shared" si="1"/>
        <v>0</v>
      </c>
      <c r="BC60" s="278">
        <v>0</v>
      </c>
      <c r="BD60" s="278">
        <v>0</v>
      </c>
      <c r="BE60" s="278">
        <v>0</v>
      </c>
      <c r="BF60" s="278">
        <v>0</v>
      </c>
      <c r="BG60" s="278">
        <v>0</v>
      </c>
      <c r="BH60" s="278">
        <v>0</v>
      </c>
      <c r="BI60" s="226">
        <v>0</v>
      </c>
      <c r="BJ60" s="226"/>
      <c r="BL60" s="138" t="s">
        <v>991</v>
      </c>
      <c r="BM60" s="276"/>
      <c r="BN60" s="272"/>
    </row>
    <row r="61" spans="1:66" ht="39.950000000000003" customHeight="1" x14ac:dyDescent="0.2">
      <c r="A61" s="13" t="s">
        <v>492</v>
      </c>
      <c r="B61" s="74" t="s">
        <v>24</v>
      </c>
      <c r="C61" s="65" t="s">
        <v>1142</v>
      </c>
      <c r="D61" s="66" t="s">
        <v>34</v>
      </c>
      <c r="E61" s="14" t="s">
        <v>34</v>
      </c>
      <c r="F61" s="130" t="s">
        <v>34</v>
      </c>
      <c r="G61" s="14" t="s">
        <v>102</v>
      </c>
      <c r="H61" s="14" t="s">
        <v>102</v>
      </c>
      <c r="I61" s="66" t="s">
        <v>122</v>
      </c>
      <c r="J61" s="66" t="s">
        <v>70</v>
      </c>
      <c r="K61" s="66" t="s">
        <v>218</v>
      </c>
      <c r="L61" s="65" t="s">
        <v>101</v>
      </c>
      <c r="M61" s="65" t="s">
        <v>191</v>
      </c>
      <c r="N61" s="65" t="s">
        <v>323</v>
      </c>
      <c r="O61" s="13" t="s">
        <v>43</v>
      </c>
      <c r="P61" s="13" t="s">
        <v>531</v>
      </c>
      <c r="Q61" s="65" t="s">
        <v>534</v>
      </c>
      <c r="R61" s="64" t="s">
        <v>8</v>
      </c>
      <c r="S61" s="62">
        <f>25000</f>
        <v>25000</v>
      </c>
      <c r="T61" s="62">
        <v>25000</v>
      </c>
      <c r="U61" s="62">
        <v>25000</v>
      </c>
      <c r="V61" s="62">
        <v>50000</v>
      </c>
      <c r="W61" s="62">
        <v>1166537.21</v>
      </c>
      <c r="X61" s="61" t="s">
        <v>11</v>
      </c>
      <c r="Y61" s="181">
        <v>1.7999999999999999E-2</v>
      </c>
      <c r="Z61" s="60">
        <v>44064</v>
      </c>
      <c r="AA61" s="60">
        <v>45674</v>
      </c>
      <c r="AB61" s="60">
        <v>45674</v>
      </c>
      <c r="AC61" s="72">
        <f t="shared" si="3"/>
        <v>1611</v>
      </c>
      <c r="AD61" s="59" t="e">
        <f t="shared" ref="AD61:AD66" si="9">IF(AB61-$A$1&gt;60,"No","Yes")</f>
        <v>#REF!</v>
      </c>
      <c r="AE61" s="58" t="e">
        <f>AB61-#REF!</f>
        <v>#REF!</v>
      </c>
      <c r="AF61" s="57" t="e">
        <f t="shared" si="5"/>
        <v>#REF!</v>
      </c>
      <c r="AG61" s="56" t="s">
        <v>436</v>
      </c>
      <c r="AH61" s="71" t="s">
        <v>1</v>
      </c>
      <c r="AI61" s="71" t="s">
        <v>1</v>
      </c>
      <c r="AJ61" s="70" t="s">
        <v>0</v>
      </c>
      <c r="AK61" s="11" t="e">
        <f t="shared" si="2"/>
        <v>#REF!</v>
      </c>
      <c r="AL61" s="11" t="s">
        <v>271</v>
      </c>
      <c r="AM61" s="13" t="s">
        <v>478</v>
      </c>
      <c r="AN61" s="11">
        <v>8815</v>
      </c>
      <c r="AO61" s="52">
        <v>125000</v>
      </c>
      <c r="AP61" s="197" t="str">
        <f>Table12117[[#This Row],[Risk Location ]]</f>
        <v>Australia</v>
      </c>
      <c r="AQ61" s="198" t="str">
        <f>Table12117[[#This Row],[Sector (GICS Industry Group)]]</f>
        <v>Real Estate Investment</v>
      </c>
      <c r="AR61" s="201"/>
      <c r="AT61" s="212">
        <f>Table12117[[#This Row],[Percentage Impact]]*Table12117[[#This Row],[Amortised Limit A$ Balance]]</f>
        <v>0</v>
      </c>
      <c r="AU61" s="212">
        <f>Table12117[[#This Row],[Amortised Limit A$ Balance]]*12%</f>
        <v>3000</v>
      </c>
      <c r="AV61" s="212">
        <f>IF(Table12117[[#This Row],[Everest]]="Everest",Table12117[[#This Row],[Assetinsure Amount ]]*0.2)</f>
        <v>600</v>
      </c>
      <c r="AW61" s="212"/>
      <c r="AX61" s="212">
        <f>MIN(Table12117[[#This Row],[Assetinsure Amount ]]-Table12117[[#This Row],[Reinsurance Everest Re]],Table12117[[#This Row],[Total Amount]])</f>
        <v>0</v>
      </c>
      <c r="AY61" s="212">
        <f t="shared" si="1"/>
        <v>0</v>
      </c>
      <c r="BC61" s="212">
        <v>0</v>
      </c>
      <c r="BD61" s="212">
        <v>0</v>
      </c>
      <c r="BE61" s="212">
        <v>0</v>
      </c>
      <c r="BF61" s="212">
        <v>0</v>
      </c>
      <c r="BG61" s="212">
        <v>0</v>
      </c>
      <c r="BH61" s="212">
        <v>0</v>
      </c>
      <c r="BI61" s="226">
        <v>0</v>
      </c>
      <c r="BJ61" s="226"/>
      <c r="BL61" s="58" t="s">
        <v>998</v>
      </c>
      <c r="BM61" s="112"/>
      <c r="BN61" s="58"/>
    </row>
    <row r="62" spans="1:66" ht="39.950000000000003" customHeight="1" x14ac:dyDescent="0.2">
      <c r="A62" s="13" t="s">
        <v>493</v>
      </c>
      <c r="B62" s="69" t="s">
        <v>243</v>
      </c>
      <c r="C62" s="65" t="s">
        <v>1144</v>
      </c>
      <c r="D62" s="66" t="s">
        <v>87</v>
      </c>
      <c r="E62" s="14" t="s">
        <v>542</v>
      </c>
      <c r="F62" s="130" t="s">
        <v>308</v>
      </c>
      <c r="G62" s="14" t="s">
        <v>102</v>
      </c>
      <c r="H62" s="14" t="s">
        <v>102</v>
      </c>
      <c r="I62" s="130" t="s">
        <v>473</v>
      </c>
      <c r="J62" s="66" t="s">
        <v>298</v>
      </c>
      <c r="K62" s="66" t="s">
        <v>218</v>
      </c>
      <c r="L62" s="128" t="s">
        <v>101</v>
      </c>
      <c r="M62" s="65" t="s">
        <v>191</v>
      </c>
      <c r="N62" s="65" t="s">
        <v>59</v>
      </c>
      <c r="O62" s="13" t="s">
        <v>43</v>
      </c>
      <c r="P62" s="13" t="s">
        <v>533</v>
      </c>
      <c r="Q62" s="65" t="s">
        <v>534</v>
      </c>
      <c r="R62" s="64" t="s">
        <v>487</v>
      </c>
      <c r="S62" s="62" t="e" cm="1">
        <f t="array" ref="S62">160500/NOK</f>
        <v>#REF!</v>
      </c>
      <c r="T62" s="62">
        <v>160500</v>
      </c>
      <c r="U62" s="62" t="e">
        <f>Table12117[[#This Row],[Original Limit (A$)]]</f>
        <v>#REF!</v>
      </c>
      <c r="V62" s="62" t="e">
        <f>990000/NOK</f>
        <v>#REF!</v>
      </c>
      <c r="W62" s="62" t="e">
        <f>9508234/NOK</f>
        <v>#REF!</v>
      </c>
      <c r="X62" s="61" t="s">
        <v>11</v>
      </c>
      <c r="Y62" s="181">
        <v>2.5000000000000001E-2</v>
      </c>
      <c r="Z62" s="60">
        <v>44091</v>
      </c>
      <c r="AA62" s="60">
        <v>45595</v>
      </c>
      <c r="AB62" s="60">
        <v>45595</v>
      </c>
      <c r="AC62" s="58">
        <f t="shared" si="3"/>
        <v>1505</v>
      </c>
      <c r="AD62" s="59" t="e">
        <f t="shared" si="9"/>
        <v>#REF!</v>
      </c>
      <c r="AE62" s="58" t="e">
        <f>AB62-#REF!</f>
        <v>#REF!</v>
      </c>
      <c r="AF62" s="57" t="e">
        <f t="shared" si="5"/>
        <v>#REF!</v>
      </c>
      <c r="AG62" s="56" t="s">
        <v>436</v>
      </c>
      <c r="AH62" s="55" t="s">
        <v>1</v>
      </c>
      <c r="AI62" s="55" t="s">
        <v>1</v>
      </c>
      <c r="AJ62" s="54" t="s">
        <v>0</v>
      </c>
      <c r="AK62" s="11" t="e">
        <f t="shared" si="2"/>
        <v>#REF!</v>
      </c>
      <c r="AL62" s="53" t="s">
        <v>271</v>
      </c>
      <c r="AM62" s="13" t="s">
        <v>483</v>
      </c>
      <c r="AN62" s="11">
        <v>900</v>
      </c>
      <c r="AO62" s="52"/>
      <c r="AP62" s="197" t="str">
        <f>Table12117[[#This Row],[Risk Location ]]</f>
        <v>Norway</v>
      </c>
      <c r="AQ62" s="198" t="str">
        <f>Table12117[[#This Row],[Sector (GICS Industry Group)]]</f>
        <v>Real Estate Investment</v>
      </c>
      <c r="AR62" s="201"/>
      <c r="AT62" s="212" t="e">
        <f>Table12117[[#This Row],[Percentage Impact]]*Table12117[[#This Row],[Amortised Limit A$ Balance]]</f>
        <v>#REF!</v>
      </c>
      <c r="AU62" s="212" t="e">
        <f>Table12117[[#This Row],[Amortised Limit A$ Balance]]*12%</f>
        <v>#REF!</v>
      </c>
      <c r="AV62" s="212" t="e">
        <f>IF(Table12117[[#This Row],[Everest]]="Everest",Table12117[[#This Row],[Assetinsure Amount ]]*0.2)</f>
        <v>#REF!</v>
      </c>
      <c r="AW62" s="212"/>
      <c r="AX62" s="212" t="e">
        <f>MIN(Table12117[[#This Row],[Assetinsure Amount ]]-Table12117[[#This Row],[Reinsurance Everest Re]],Table12117[[#This Row],[Total Amount]])</f>
        <v>#REF!</v>
      </c>
      <c r="AY62" s="212">
        <f t="shared" si="1"/>
        <v>0</v>
      </c>
      <c r="BC62" s="212">
        <v>0</v>
      </c>
      <c r="BD62" s="212">
        <v>0</v>
      </c>
      <c r="BE62" s="212">
        <v>0</v>
      </c>
      <c r="BF62" s="212">
        <v>0</v>
      </c>
      <c r="BG62" s="212">
        <v>0</v>
      </c>
      <c r="BH62" s="212">
        <v>0</v>
      </c>
      <c r="BI62" s="226">
        <v>0</v>
      </c>
      <c r="BJ62" s="226"/>
      <c r="BL62" s="58" t="s">
        <v>999</v>
      </c>
      <c r="BM62" s="112"/>
      <c r="BN62" s="58"/>
    </row>
    <row r="63" spans="1:66" ht="39.950000000000003" customHeight="1" x14ac:dyDescent="0.2">
      <c r="A63" s="13" t="s">
        <v>497</v>
      </c>
      <c r="B63" s="69" t="s">
        <v>24</v>
      </c>
      <c r="C63" s="65" t="s">
        <v>1142</v>
      </c>
      <c r="D63" s="66" t="s">
        <v>34</v>
      </c>
      <c r="E63" s="14" t="s">
        <v>34</v>
      </c>
      <c r="F63" s="14" t="s">
        <v>34</v>
      </c>
      <c r="G63" s="14" t="s">
        <v>92</v>
      </c>
      <c r="H63" s="131" t="s">
        <v>100</v>
      </c>
      <c r="I63" s="14" t="s">
        <v>100</v>
      </c>
      <c r="J63" s="66" t="s">
        <v>232</v>
      </c>
      <c r="K63" s="66" t="s">
        <v>21</v>
      </c>
      <c r="L63" s="65" t="s">
        <v>44</v>
      </c>
      <c r="M63" s="65" t="s">
        <v>191</v>
      </c>
      <c r="N63" s="65" t="s">
        <v>323</v>
      </c>
      <c r="O63" s="13" t="s">
        <v>43</v>
      </c>
      <c r="P63" s="13" t="s">
        <v>531</v>
      </c>
      <c r="Q63" s="65" t="s">
        <v>534</v>
      </c>
      <c r="R63" s="64" t="s">
        <v>8</v>
      </c>
      <c r="S63" s="62">
        <f>25000-7420.739</f>
        <v>17579.260999999999</v>
      </c>
      <c r="T63" s="62">
        <f>25000-7420.739</f>
        <v>17579.260999999999</v>
      </c>
      <c r="U63" s="62">
        <f>25000-7420.739</f>
        <v>17579.260999999999</v>
      </c>
      <c r="V63" s="62">
        <v>93608.577000000005</v>
      </c>
      <c r="W63" s="296">
        <f>954545+185000-76262.16-10541.41</f>
        <v>1052741.4300000002</v>
      </c>
      <c r="X63" s="61" t="s">
        <v>551</v>
      </c>
      <c r="Y63" s="181">
        <v>3.5000000000000003E-2</v>
      </c>
      <c r="Z63" s="60">
        <v>44097</v>
      </c>
      <c r="AA63" s="60">
        <v>45277</v>
      </c>
      <c r="AB63" s="60">
        <v>45277</v>
      </c>
      <c r="AC63" s="58">
        <f t="shared" si="3"/>
        <v>1181</v>
      </c>
      <c r="AD63" s="59" t="e">
        <f t="shared" si="9"/>
        <v>#REF!</v>
      </c>
      <c r="AE63" s="58" t="e">
        <f>AB63-#REF!</f>
        <v>#REF!</v>
      </c>
      <c r="AF63" s="57" t="e">
        <f t="shared" si="5"/>
        <v>#REF!</v>
      </c>
      <c r="AG63" s="56"/>
      <c r="AH63" s="55" t="s">
        <v>1</v>
      </c>
      <c r="AI63" s="55" t="s">
        <v>1</v>
      </c>
      <c r="AJ63" s="54" t="s">
        <v>0</v>
      </c>
      <c r="AK63" s="11" t="e">
        <f t="shared" si="2"/>
        <v>#REF!</v>
      </c>
      <c r="AL63" s="53" t="s">
        <v>271</v>
      </c>
      <c r="AM63" s="13" t="s">
        <v>486</v>
      </c>
      <c r="AN63" s="11">
        <v>17910</v>
      </c>
      <c r="AO63" s="52">
        <v>35000</v>
      </c>
      <c r="AP63" s="197" t="str">
        <f>Table12117[[#This Row],[Risk Location ]]</f>
        <v>Australia</v>
      </c>
      <c r="AQ63" s="198" t="str">
        <f>Table12117[[#This Row],[Sector (GICS Industry Group)]]</f>
        <v>Transportation</v>
      </c>
      <c r="AR63" s="199">
        <v>1</v>
      </c>
      <c r="AS63" s="214">
        <v>2.5000000000000001E-2</v>
      </c>
      <c r="AT63" s="212">
        <f>Table12117[[#This Row],[Percentage Impact]]*Table12117[[#This Row],[Amortised Limit A$ Balance]]</f>
        <v>439.48152499999998</v>
      </c>
      <c r="AU63" s="212">
        <f>Table12117[[#This Row],[Amortised Limit A$ Balance]]*12%</f>
        <v>2109.5113199999996</v>
      </c>
      <c r="AV63" s="212" t="b">
        <f>IF(Table12117[[#This Row],[Everest]]="Everest",Table12117[[#This Row],[Assetinsure Amount ]]*0.2)</f>
        <v>0</v>
      </c>
      <c r="AW63" s="212"/>
      <c r="AX63" s="212">
        <f>MIN(Table12117[[#This Row],[Assetinsure Amount ]]-Table12117[[#This Row],[Reinsurance Everest Re]],Table12117[[#This Row],[Total Amount]])</f>
        <v>439.48152499999998</v>
      </c>
      <c r="AY63" s="212">
        <f t="shared" si="1"/>
        <v>439.48152499999998</v>
      </c>
      <c r="AZ63" s="12"/>
      <c r="BC63" s="212">
        <v>439.48152499999998</v>
      </c>
      <c r="BD63" s="212">
        <v>439.48152499999998</v>
      </c>
      <c r="BE63" s="212">
        <v>625</v>
      </c>
      <c r="BF63" s="212">
        <v>625</v>
      </c>
      <c r="BG63" s="212">
        <v>1250</v>
      </c>
      <c r="BH63" s="212">
        <v>1250</v>
      </c>
      <c r="BI63" s="226">
        <v>1250</v>
      </c>
      <c r="BJ63" s="226">
        <v>1250</v>
      </c>
      <c r="BL63" s="58" t="s">
        <v>1000</v>
      </c>
      <c r="BM63" s="112"/>
      <c r="BN63" s="58"/>
    </row>
    <row r="64" spans="1:66" ht="39.950000000000003" customHeight="1" x14ac:dyDescent="0.2">
      <c r="A64" s="131" t="s">
        <v>511</v>
      </c>
      <c r="B64" s="132" t="s">
        <v>67</v>
      </c>
      <c r="C64" s="65" t="s">
        <v>1144</v>
      </c>
      <c r="D64" s="133" t="s">
        <v>127</v>
      </c>
      <c r="E64" s="14" t="s">
        <v>542</v>
      </c>
      <c r="F64" s="161" t="s">
        <v>127</v>
      </c>
      <c r="G64" s="14" t="s">
        <v>892</v>
      </c>
      <c r="H64" s="131" t="s">
        <v>259</v>
      </c>
      <c r="I64" s="14" t="s">
        <v>258</v>
      </c>
      <c r="J64" s="66" t="s">
        <v>158</v>
      </c>
      <c r="K64" s="66" t="s">
        <v>220</v>
      </c>
      <c r="L64" s="13" t="s">
        <v>45</v>
      </c>
      <c r="M64" s="65" t="s">
        <v>191</v>
      </c>
      <c r="N64" s="134" t="s">
        <v>59</v>
      </c>
      <c r="O64" s="132" t="s">
        <v>43</v>
      </c>
      <c r="P64" s="132" t="s">
        <v>533</v>
      </c>
      <c r="Q64" s="13" t="s">
        <v>548</v>
      </c>
      <c r="R64" s="135" t="s">
        <v>59</v>
      </c>
      <c r="S64" s="136" t="e">
        <f>15000/EUR</f>
        <v>#REF!</v>
      </c>
      <c r="T64" s="62">
        <v>15000</v>
      </c>
      <c r="U64" s="136" t="e">
        <f>15000/EUR</f>
        <v>#REF!</v>
      </c>
      <c r="V64" s="136" t="e">
        <f>212000/EUR</f>
        <v>#REF!</v>
      </c>
      <c r="W64" s="136" t="e">
        <f>685134.98/EUR</f>
        <v>#REF!</v>
      </c>
      <c r="X64" s="61" t="s">
        <v>11</v>
      </c>
      <c r="Y64" s="181">
        <v>1.17E-2</v>
      </c>
      <c r="Z64" s="137">
        <v>44146</v>
      </c>
      <c r="AA64" s="137">
        <v>46640</v>
      </c>
      <c r="AB64" s="137">
        <v>46640</v>
      </c>
      <c r="AC64" s="138">
        <f t="shared" si="3"/>
        <v>2495</v>
      </c>
      <c r="AD64" s="59" t="e">
        <f t="shared" si="9"/>
        <v>#REF!</v>
      </c>
      <c r="AE64" s="138" t="e">
        <f>AB64-#REF!</f>
        <v>#REF!</v>
      </c>
      <c r="AF64" s="140" t="e">
        <f t="shared" si="5"/>
        <v>#REF!</v>
      </c>
      <c r="AG64" s="56"/>
      <c r="AH64" s="141" t="s">
        <v>1</v>
      </c>
      <c r="AI64" s="141" t="s">
        <v>1</v>
      </c>
      <c r="AJ64" s="142" t="s">
        <v>0</v>
      </c>
      <c r="AK64" s="11" t="e">
        <f t="shared" si="2"/>
        <v>#REF!</v>
      </c>
      <c r="AL64" s="144" t="s">
        <v>271</v>
      </c>
      <c r="AM64" s="132" t="s">
        <v>512</v>
      </c>
      <c r="AO64" s="52"/>
      <c r="AP64" s="197" t="str">
        <f>Table12117[[#This Row],[Risk Location ]]</f>
        <v>Germany</v>
      </c>
      <c r="AQ64" s="198" t="str">
        <f>Table12117[[#This Row],[Sector (GICS Industry Group)]]</f>
        <v>Information Technology - Software &amp; Services</v>
      </c>
      <c r="AR64" s="201"/>
      <c r="AT64" s="212" t="e">
        <f>Table12117[[#This Row],[Percentage Impact]]*Table12117[[#This Row],[Amortised Limit A$ Balance]]</f>
        <v>#REF!</v>
      </c>
      <c r="AU64" s="212" t="e">
        <f>Table12117[[#This Row],[Amortised Limit A$ Balance]]*12%</f>
        <v>#REF!</v>
      </c>
      <c r="AV64" s="212" t="b">
        <f>IF(Table12117[[#This Row],[Everest]]="Everest",Table12117[[#This Row],[Assetinsure Amount ]]*0.2)</f>
        <v>0</v>
      </c>
      <c r="AW64" s="212"/>
      <c r="AX64" s="212" t="e">
        <f>MIN(Table12117[[#This Row],[Assetinsure Amount ]]-Table12117[[#This Row],[Reinsurance Everest Re]],Table12117[[#This Row],[Total Amount]])</f>
        <v>#REF!</v>
      </c>
      <c r="AY64" s="212">
        <f t="shared" si="1"/>
        <v>0</v>
      </c>
      <c r="BC64" s="212">
        <v>0</v>
      </c>
      <c r="BD64" s="212">
        <v>0</v>
      </c>
      <c r="BE64" s="212">
        <v>0</v>
      </c>
      <c r="BF64" s="212">
        <v>0</v>
      </c>
      <c r="BG64" s="212">
        <v>0</v>
      </c>
      <c r="BH64" s="212">
        <v>0</v>
      </c>
      <c r="BI64" s="226">
        <v>0</v>
      </c>
      <c r="BJ64" s="226"/>
      <c r="BL64" s="138" t="s">
        <v>935</v>
      </c>
      <c r="BM64" s="112"/>
      <c r="BN64" s="58"/>
    </row>
    <row r="65" spans="1:66" ht="39.950000000000003" customHeight="1" x14ac:dyDescent="0.2">
      <c r="A65" s="131" t="s">
        <v>508</v>
      </c>
      <c r="B65" s="132" t="s">
        <v>243</v>
      </c>
      <c r="C65" s="65" t="s">
        <v>1141</v>
      </c>
      <c r="D65" s="66" t="s">
        <v>162</v>
      </c>
      <c r="E65" s="14" t="s">
        <v>499</v>
      </c>
      <c r="F65" s="130" t="s">
        <v>162</v>
      </c>
      <c r="G65" s="14" t="s">
        <v>102</v>
      </c>
      <c r="H65" s="14" t="s">
        <v>102</v>
      </c>
      <c r="I65" s="130" t="s">
        <v>103</v>
      </c>
      <c r="J65" s="131" t="s">
        <v>509</v>
      </c>
      <c r="K65" s="133" t="s">
        <v>222</v>
      </c>
      <c r="L65" s="65" t="s">
        <v>101</v>
      </c>
      <c r="M65" s="134" t="s">
        <v>191</v>
      </c>
      <c r="N65" s="134" t="s">
        <v>59</v>
      </c>
      <c r="O65" s="132" t="s">
        <v>43</v>
      </c>
      <c r="P65" s="132" t="s">
        <v>531</v>
      </c>
      <c r="Q65" s="65" t="s">
        <v>534</v>
      </c>
      <c r="R65" s="135" t="s">
        <v>9</v>
      </c>
      <c r="S65" s="136" t="e">
        <f>20000/USD</f>
        <v>#REF!</v>
      </c>
      <c r="T65" s="62">
        <v>20000</v>
      </c>
      <c r="U65" s="136" t="e">
        <f>20000/USD</f>
        <v>#REF!</v>
      </c>
      <c r="V65" s="136" t="e">
        <f>75000/USD</f>
        <v>#REF!</v>
      </c>
      <c r="W65" s="136">
        <v>764347</v>
      </c>
      <c r="X65" s="61" t="s">
        <v>11</v>
      </c>
      <c r="Y65" s="181">
        <v>1.6E-2</v>
      </c>
      <c r="Z65" s="137">
        <v>44148</v>
      </c>
      <c r="AA65" s="137">
        <v>45734</v>
      </c>
      <c r="AB65" s="137">
        <v>45734</v>
      </c>
      <c r="AC65" s="58">
        <f t="shared" si="3"/>
        <v>1587</v>
      </c>
      <c r="AD65" s="59" t="e">
        <f t="shared" si="9"/>
        <v>#REF!</v>
      </c>
      <c r="AE65" s="138" t="e">
        <f>AB65-#REF!</f>
        <v>#REF!</v>
      </c>
      <c r="AF65" s="140" t="e">
        <f t="shared" si="5"/>
        <v>#REF!</v>
      </c>
      <c r="AG65" s="56" t="s">
        <v>436</v>
      </c>
      <c r="AH65" s="141" t="s">
        <v>1</v>
      </c>
      <c r="AI65" s="141" t="s">
        <v>1</v>
      </c>
      <c r="AJ65" s="142" t="s">
        <v>0</v>
      </c>
      <c r="AK65" s="11" t="e">
        <f t="shared" si="2"/>
        <v>#REF!</v>
      </c>
      <c r="AL65" s="144" t="s">
        <v>271</v>
      </c>
      <c r="AM65" s="132" t="s">
        <v>510</v>
      </c>
      <c r="AO65" s="52"/>
      <c r="AP65" s="197" t="str">
        <f>Table12117[[#This Row],[Risk Location ]]</f>
        <v>United States</v>
      </c>
      <c r="AQ65" s="198" t="str">
        <f>Table12117[[#This Row],[Sector (GICS Industry Group)]]</f>
        <v>Real Estate Investment</v>
      </c>
      <c r="AR65" s="201"/>
      <c r="AT65" s="212" t="e">
        <f>Table12117[[#This Row],[Percentage Impact]]*Table12117[[#This Row],[Amortised Limit A$ Balance]]</f>
        <v>#REF!</v>
      </c>
      <c r="AU65" s="212" t="e">
        <f>Table12117[[#This Row],[Amortised Limit A$ Balance]]*12%</f>
        <v>#REF!</v>
      </c>
      <c r="AV65" s="212" t="e">
        <f>IF(Table12117[[#This Row],[Everest]]="Everest",Table12117[[#This Row],[Assetinsure Amount ]]*0.2)</f>
        <v>#REF!</v>
      </c>
      <c r="AW65" s="212"/>
      <c r="AX65" s="212" t="e">
        <f>MIN(Table12117[[#This Row],[Assetinsure Amount ]]-Table12117[[#This Row],[Reinsurance Everest Re]],Table12117[[#This Row],[Total Amount]])</f>
        <v>#REF!</v>
      </c>
      <c r="AY65" s="212">
        <f t="shared" si="1"/>
        <v>0</v>
      </c>
      <c r="BC65" s="212">
        <v>0</v>
      </c>
      <c r="BD65" s="212">
        <v>0</v>
      </c>
      <c r="BE65" s="212">
        <v>0</v>
      </c>
      <c r="BF65" s="212">
        <v>0</v>
      </c>
      <c r="BG65" s="212">
        <v>0</v>
      </c>
      <c r="BH65" s="212">
        <v>0</v>
      </c>
      <c r="BI65" s="226">
        <v>0</v>
      </c>
      <c r="BJ65" s="226"/>
      <c r="BL65" s="138" t="s">
        <v>1001</v>
      </c>
      <c r="BM65" s="112"/>
      <c r="BN65" s="58"/>
    </row>
    <row r="66" spans="1:66" ht="39.950000000000003" customHeight="1" x14ac:dyDescent="0.2">
      <c r="A66" s="132" t="s">
        <v>513</v>
      </c>
      <c r="B66" s="132" t="s">
        <v>51</v>
      </c>
      <c r="C66" s="65" t="s">
        <v>1144</v>
      </c>
      <c r="D66" s="133" t="s">
        <v>88</v>
      </c>
      <c r="E66" s="14" t="s">
        <v>542</v>
      </c>
      <c r="F66" s="145" t="s">
        <v>88</v>
      </c>
      <c r="G66" s="66" t="s">
        <v>106</v>
      </c>
      <c r="H66" s="66" t="s">
        <v>106</v>
      </c>
      <c r="I66" s="66" t="s">
        <v>107</v>
      </c>
      <c r="J66" s="133" t="s">
        <v>61</v>
      </c>
      <c r="K66" s="133" t="s">
        <v>220</v>
      </c>
      <c r="L66" s="14" t="s">
        <v>101</v>
      </c>
      <c r="M66" s="134" t="s">
        <v>191</v>
      </c>
      <c r="N66" s="134" t="s">
        <v>59</v>
      </c>
      <c r="O66" s="132" t="s">
        <v>43</v>
      </c>
      <c r="P66" s="132" t="s">
        <v>533</v>
      </c>
      <c r="Q66" s="13" t="s">
        <v>548</v>
      </c>
      <c r="R66" s="135" t="s">
        <v>59</v>
      </c>
      <c r="S66" s="136" t="e">
        <f>3000/EUR</f>
        <v>#REF!</v>
      </c>
      <c r="T66" s="62">
        <v>3000</v>
      </c>
      <c r="U66" s="136" t="e">
        <f>3000/EUR</f>
        <v>#REF!</v>
      </c>
      <c r="V66" s="136" t="e">
        <f>20000/EUR</f>
        <v>#REF!</v>
      </c>
      <c r="W66" s="136" t="e">
        <f>115993/EUR</f>
        <v>#REF!</v>
      </c>
      <c r="X66" s="61" t="s">
        <v>11</v>
      </c>
      <c r="Y66" s="181">
        <v>0.01</v>
      </c>
      <c r="Z66" s="137">
        <v>44159</v>
      </c>
      <c r="AA66" s="137">
        <v>45792</v>
      </c>
      <c r="AB66" s="137">
        <v>45792</v>
      </c>
      <c r="AC66" s="138">
        <f t="shared" si="3"/>
        <v>1634</v>
      </c>
      <c r="AD66" s="139" t="e">
        <f t="shared" si="9"/>
        <v>#REF!</v>
      </c>
      <c r="AE66" s="138" t="e">
        <f>AB66-#REF!</f>
        <v>#REF!</v>
      </c>
      <c r="AF66" s="140" t="e">
        <f t="shared" si="5"/>
        <v>#REF!</v>
      </c>
      <c r="AG66" s="56"/>
      <c r="AH66" s="141" t="s">
        <v>1</v>
      </c>
      <c r="AI66" s="141" t="s">
        <v>1</v>
      </c>
      <c r="AJ66" s="187" t="s">
        <v>0</v>
      </c>
      <c r="AK66" s="11" t="e">
        <f t="shared" si="2"/>
        <v>#REF!</v>
      </c>
      <c r="AL66" s="144" t="s">
        <v>271</v>
      </c>
      <c r="AM66" s="132" t="s">
        <v>514</v>
      </c>
      <c r="AO66" s="52"/>
      <c r="AP66" s="197" t="str">
        <f>Table12117[[#This Row],[Risk Location ]]</f>
        <v>Belgium</v>
      </c>
      <c r="AQ66" s="198" t="str">
        <f>Table12117[[#This Row],[Sector (GICS Industry Group)]]</f>
        <v>Real Estate Management &amp; Development</v>
      </c>
      <c r="AR66" s="201"/>
      <c r="AT66" s="212" t="e">
        <f>Table12117[[#This Row],[Percentage Impact]]*Table12117[[#This Row],[Amortised Limit A$ Balance]]</f>
        <v>#REF!</v>
      </c>
      <c r="AU66" s="212" t="e">
        <f>Table12117[[#This Row],[Amortised Limit A$ Balance]]*12%</f>
        <v>#REF!</v>
      </c>
      <c r="AV66" s="212" t="b">
        <f>IF(Table12117[[#This Row],[Everest]]="Everest",Table12117[[#This Row],[Assetinsure Amount ]]*0.2)</f>
        <v>0</v>
      </c>
      <c r="AW66" s="212"/>
      <c r="AX66" s="212" t="e">
        <f>MIN(Table12117[[#This Row],[Assetinsure Amount ]]-Table12117[[#This Row],[Reinsurance Everest Re]],Table12117[[#This Row],[Total Amount]])</f>
        <v>#REF!</v>
      </c>
      <c r="AY66" s="212">
        <f t="shared" si="1"/>
        <v>0</v>
      </c>
      <c r="BC66" s="212">
        <v>0</v>
      </c>
      <c r="BD66" s="212">
        <v>0</v>
      </c>
      <c r="BE66" s="212">
        <v>0</v>
      </c>
      <c r="BF66" s="212">
        <v>0</v>
      </c>
      <c r="BG66" s="212">
        <v>0</v>
      </c>
      <c r="BH66" s="212">
        <v>0</v>
      </c>
      <c r="BI66" s="226">
        <v>0</v>
      </c>
      <c r="BJ66" s="226"/>
      <c r="BL66" s="138" t="s">
        <v>1002</v>
      </c>
      <c r="BM66" s="112"/>
      <c r="BN66" s="58" t="s">
        <v>103</v>
      </c>
    </row>
    <row r="67" spans="1:66" ht="39.950000000000003" customHeight="1" x14ac:dyDescent="0.2">
      <c r="A67" s="132" t="s">
        <v>524</v>
      </c>
      <c r="B67" s="132" t="s">
        <v>24</v>
      </c>
      <c r="C67" s="65" t="s">
        <v>1141</v>
      </c>
      <c r="D67" s="133" t="s">
        <v>37</v>
      </c>
      <c r="E67" s="14" t="s">
        <v>541</v>
      </c>
      <c r="F67" s="145" t="s">
        <v>152</v>
      </c>
      <c r="G67" s="14" t="s">
        <v>102</v>
      </c>
      <c r="H67" s="14" t="s">
        <v>102</v>
      </c>
      <c r="I67" s="130" t="s">
        <v>473</v>
      </c>
      <c r="J67" s="146" t="s">
        <v>526</v>
      </c>
      <c r="K67" s="133" t="s">
        <v>221</v>
      </c>
      <c r="L67" s="14" t="s">
        <v>101</v>
      </c>
      <c r="M67" s="134" t="s">
        <v>191</v>
      </c>
      <c r="N67" s="134" t="s">
        <v>323</v>
      </c>
      <c r="O67" s="132" t="s">
        <v>43</v>
      </c>
      <c r="P67" s="132" t="s">
        <v>533</v>
      </c>
      <c r="Q67" s="65" t="s">
        <v>534</v>
      </c>
      <c r="R67" s="135" t="s">
        <v>488</v>
      </c>
      <c r="S67" s="136" t="e">
        <f>Table12117[[#This Row],[Amortised Limit in Original Currency]]/JPY</f>
        <v>#REF!</v>
      </c>
      <c r="T67" s="62">
        <v>2600000</v>
      </c>
      <c r="U67" s="136" t="e">
        <f>2600000/JPY</f>
        <v>#REF!</v>
      </c>
      <c r="V67" s="136" t="e">
        <f>7000000/JPY</f>
        <v>#REF!</v>
      </c>
      <c r="W67" s="136" t="e">
        <f>55011388/JPY</f>
        <v>#REF!</v>
      </c>
      <c r="X67" s="147" t="s">
        <v>11</v>
      </c>
      <c r="Y67" s="181">
        <v>0.01</v>
      </c>
      <c r="Z67" s="137">
        <v>44166</v>
      </c>
      <c r="AA67" s="137">
        <v>45504</v>
      </c>
      <c r="AB67" s="137">
        <v>45504</v>
      </c>
      <c r="AC67" s="138">
        <f t="shared" si="3"/>
        <v>1339</v>
      </c>
      <c r="AD67" s="139" t="s">
        <v>10</v>
      </c>
      <c r="AE67" s="138" t="e">
        <f>AB67-#REF!</f>
        <v>#REF!</v>
      </c>
      <c r="AF67" s="140" t="e">
        <f t="shared" si="5"/>
        <v>#REF!</v>
      </c>
      <c r="AG67" s="56" t="s">
        <v>436</v>
      </c>
      <c r="AH67" s="141" t="s">
        <v>1</v>
      </c>
      <c r="AI67" s="141" t="s">
        <v>1</v>
      </c>
      <c r="AJ67" s="187" t="s">
        <v>0</v>
      </c>
      <c r="AK67" s="11" t="e">
        <f t="shared" si="2"/>
        <v>#REF!</v>
      </c>
      <c r="AL67" s="164" t="s">
        <v>271</v>
      </c>
      <c r="AM67" s="132" t="s">
        <v>525</v>
      </c>
      <c r="AO67" s="52"/>
      <c r="AP67" s="197" t="str">
        <f>Table12117[[#This Row],[Risk Location ]]</f>
        <v>Japan</v>
      </c>
      <c r="AQ67" s="198" t="str">
        <f>Table12117[[#This Row],[Sector (GICS Industry Group)]]</f>
        <v>Real Estate Investment</v>
      </c>
      <c r="AR67" s="201"/>
      <c r="AT67" s="212" t="e">
        <f>Table12117[[#This Row],[Percentage Impact]]*Table12117[[#This Row],[Amortised Limit A$ Balance]]</f>
        <v>#REF!</v>
      </c>
      <c r="AU67" s="212" t="e">
        <f>Table12117[[#This Row],[Amortised Limit A$ Balance]]*12%</f>
        <v>#REF!</v>
      </c>
      <c r="AV67" s="212" t="e">
        <f>IF(Table12117[[#This Row],[Everest]]="Everest",Table12117[[#This Row],[Assetinsure Amount ]]*0.2)</f>
        <v>#REF!</v>
      </c>
      <c r="AW67" s="212"/>
      <c r="AX67" s="212" t="e">
        <f>MIN(Table12117[[#This Row],[Assetinsure Amount ]]-Table12117[[#This Row],[Reinsurance Everest Re]],Table12117[[#This Row],[Total Amount]])</f>
        <v>#REF!</v>
      </c>
      <c r="AY67" s="212">
        <f t="shared" ref="AY67:AY130" si="10">+BD67</f>
        <v>0</v>
      </c>
      <c r="BC67" s="212">
        <v>0</v>
      </c>
      <c r="BD67" s="212">
        <v>0</v>
      </c>
      <c r="BE67" s="212">
        <v>0</v>
      </c>
      <c r="BF67" s="212">
        <v>0</v>
      </c>
      <c r="BG67" s="212">
        <v>0</v>
      </c>
      <c r="BH67" s="212">
        <v>0</v>
      </c>
      <c r="BI67" s="226">
        <v>0</v>
      </c>
      <c r="BJ67" s="226"/>
      <c r="BL67" s="138" t="s">
        <v>1003</v>
      </c>
      <c r="BM67" s="112"/>
      <c r="BN67" s="58"/>
    </row>
    <row r="68" spans="1:66" ht="39.950000000000003" customHeight="1" x14ac:dyDescent="0.2">
      <c r="A68" s="131" t="s">
        <v>155</v>
      </c>
      <c r="B68" s="132" t="s">
        <v>51</v>
      </c>
      <c r="C68" s="65" t="s">
        <v>1141</v>
      </c>
      <c r="D68" s="133" t="s">
        <v>87</v>
      </c>
      <c r="E68" s="14" t="s">
        <v>542</v>
      </c>
      <c r="F68" s="145" t="s">
        <v>87</v>
      </c>
      <c r="G68" s="14" t="s">
        <v>102</v>
      </c>
      <c r="H68" s="14" t="s">
        <v>102</v>
      </c>
      <c r="I68" s="66" t="s">
        <v>122</v>
      </c>
      <c r="J68" s="133" t="s">
        <v>705</v>
      </c>
      <c r="K68" s="133" t="s">
        <v>220</v>
      </c>
      <c r="L68" s="66" t="s">
        <v>101</v>
      </c>
      <c r="M68" s="134" t="s">
        <v>191</v>
      </c>
      <c r="N68" s="134" t="s">
        <v>59</v>
      </c>
      <c r="O68" s="132" t="s">
        <v>43</v>
      </c>
      <c r="P68" s="132" t="s">
        <v>533</v>
      </c>
      <c r="Q68" s="65" t="s">
        <v>534</v>
      </c>
      <c r="R68" s="135" t="s">
        <v>156</v>
      </c>
      <c r="S68" s="136" t="e">
        <f>5000/GBP</f>
        <v>#REF!</v>
      </c>
      <c r="T68" s="62">
        <v>5000</v>
      </c>
      <c r="U68" s="136" t="e">
        <f>T68/GBP</f>
        <v>#REF!</v>
      </c>
      <c r="V68" s="136" t="e">
        <f>36000/GBP</f>
        <v>#REF!</v>
      </c>
      <c r="W68" s="136" t="e">
        <f>196370/GBP+42000/GBP</f>
        <v>#REF!</v>
      </c>
      <c r="X68" s="147" t="s">
        <v>11</v>
      </c>
      <c r="Y68" s="181">
        <v>1.7999999999999999E-2</v>
      </c>
      <c r="Z68" s="137">
        <v>44211</v>
      </c>
      <c r="AA68" s="137">
        <v>46029</v>
      </c>
      <c r="AB68" s="137">
        <v>46029</v>
      </c>
      <c r="AC68" s="138">
        <f t="shared" si="3"/>
        <v>1819</v>
      </c>
      <c r="AD68" s="172" t="e">
        <f>IF(AB68-$A$1&gt;60,"No","Yes")</f>
        <v>#REF!</v>
      </c>
      <c r="AE68" s="138" t="e">
        <f>AB68-#REF!</f>
        <v>#REF!</v>
      </c>
      <c r="AF68" s="140" t="e">
        <f t="shared" si="5"/>
        <v>#REF!</v>
      </c>
      <c r="AG68" s="56"/>
      <c r="AH68" s="162" t="s">
        <v>1</v>
      </c>
      <c r="AI68" s="162" t="s">
        <v>1</v>
      </c>
      <c r="AJ68" s="187" t="s">
        <v>0</v>
      </c>
      <c r="AK68" s="11" t="e">
        <f t="shared" ref="AK68:AK117" si="11">+IF(AB68-60&lt;$A$1, "SEND NOTICE", "N/A")</f>
        <v>#REF!</v>
      </c>
      <c r="AL68" s="164" t="s">
        <v>271</v>
      </c>
      <c r="AM68" s="131" t="s">
        <v>348</v>
      </c>
      <c r="AN68" s="11">
        <v>6807.5</v>
      </c>
      <c r="AP68" s="197" t="str">
        <f>Table12117[[#This Row],[Risk Location ]]</f>
        <v>United Kingdom</v>
      </c>
      <c r="AQ68" s="198" t="str">
        <f>Table12117[[#This Row],[Sector (GICS Industry Group)]]</f>
        <v>Real Estate Investment</v>
      </c>
      <c r="AT68" s="212" t="e">
        <f>Table12117[[#This Row],[Percentage Impact]]*Table12117[[#This Row],[Amortised Limit A$ Balance]]</f>
        <v>#REF!</v>
      </c>
      <c r="AU68" s="212" t="e">
        <f>Table12117[[#This Row],[Amortised Limit A$ Balance]]*12%</f>
        <v>#REF!</v>
      </c>
      <c r="AV68" s="212" t="b">
        <f>IF(Table12117[[#This Row],[Everest]]="Everest",Table12117[[#This Row],[Assetinsure Amount ]]*0.2)</f>
        <v>0</v>
      </c>
      <c r="AW68" s="212"/>
      <c r="AX68" s="212" t="e">
        <f>MIN(Table12117[[#This Row],[Assetinsure Amount ]]-Table12117[[#This Row],[Reinsurance Everest Re]],Table12117[[#This Row],[Total Amount]])</f>
        <v>#REF!</v>
      </c>
      <c r="AY68" s="212">
        <f t="shared" si="10"/>
        <v>0</v>
      </c>
      <c r="BC68" s="212">
        <v>0</v>
      </c>
      <c r="BD68" s="212">
        <v>0</v>
      </c>
      <c r="BE68" s="212">
        <v>0</v>
      </c>
      <c r="BF68" s="212">
        <v>0</v>
      </c>
      <c r="BG68" s="212">
        <v>0</v>
      </c>
      <c r="BH68" s="212">
        <v>0</v>
      </c>
      <c r="BI68" s="226">
        <v>0</v>
      </c>
      <c r="BJ68" s="226"/>
      <c r="BL68" s="138" t="s">
        <v>1004</v>
      </c>
      <c r="BM68" s="112"/>
      <c r="BN68" s="58"/>
    </row>
    <row r="69" spans="1:66" ht="39.950000000000003" customHeight="1" x14ac:dyDescent="0.2">
      <c r="A69" s="132" t="s">
        <v>528</v>
      </c>
      <c r="B69" s="132" t="s">
        <v>24</v>
      </c>
      <c r="C69" s="65" t="s">
        <v>243</v>
      </c>
      <c r="D69" s="133" t="s">
        <v>34</v>
      </c>
      <c r="E69" s="14" t="s">
        <v>34</v>
      </c>
      <c r="F69" s="161" t="s">
        <v>34</v>
      </c>
      <c r="G69" s="14" t="s">
        <v>102</v>
      </c>
      <c r="H69" s="14" t="s">
        <v>102</v>
      </c>
      <c r="I69" s="130" t="s">
        <v>103</v>
      </c>
      <c r="J69" s="66" t="s">
        <v>70</v>
      </c>
      <c r="K69" s="66" t="s">
        <v>218</v>
      </c>
      <c r="L69" s="13" t="s">
        <v>101</v>
      </c>
      <c r="M69" s="65" t="s">
        <v>191</v>
      </c>
      <c r="N69" s="65" t="s">
        <v>323</v>
      </c>
      <c r="O69" s="13" t="s">
        <v>43</v>
      </c>
      <c r="P69" s="13" t="s">
        <v>533</v>
      </c>
      <c r="Q69" s="65" t="s">
        <v>534</v>
      </c>
      <c r="R69" s="64" t="s">
        <v>8</v>
      </c>
      <c r="S69" s="136">
        <v>30000</v>
      </c>
      <c r="T69" s="62">
        <v>29059.561000000002</v>
      </c>
      <c r="U69" s="136">
        <f>+Table12117[[#This Row],[Amortised Limit in Original Currency]]</f>
        <v>29059.561000000002</v>
      </c>
      <c r="V69" s="136">
        <v>319000</v>
      </c>
      <c r="W69" s="136">
        <f>1021098+1077911.86</f>
        <v>2099009.8600000003</v>
      </c>
      <c r="X69" s="61" t="s">
        <v>11</v>
      </c>
      <c r="Y69" s="181">
        <v>3.15E-2</v>
      </c>
      <c r="Z69" s="137">
        <v>44218</v>
      </c>
      <c r="AA69" s="137">
        <v>45693</v>
      </c>
      <c r="AB69" s="137">
        <v>45693</v>
      </c>
      <c r="AC69" s="58">
        <f t="shared" si="3"/>
        <v>1476</v>
      </c>
      <c r="AD69" s="59" t="e">
        <f>IF(AB69-$A$1&gt;60,"No","Yes")</f>
        <v>#REF!</v>
      </c>
      <c r="AE69" s="138" t="e">
        <f>AB69-#REF!</f>
        <v>#REF!</v>
      </c>
      <c r="AF69" s="140" t="e">
        <f t="shared" si="5"/>
        <v>#REF!</v>
      </c>
      <c r="AG69" s="56" t="s">
        <v>436</v>
      </c>
      <c r="AH69" s="141" t="s">
        <v>1</v>
      </c>
      <c r="AI69" s="141" t="s">
        <v>1</v>
      </c>
      <c r="AJ69" s="142" t="s">
        <v>764</v>
      </c>
      <c r="AK69" s="11" t="e">
        <f t="shared" si="11"/>
        <v>#REF!</v>
      </c>
      <c r="AL69" s="164" t="s">
        <v>271</v>
      </c>
      <c r="AM69" s="132" t="s">
        <v>529</v>
      </c>
      <c r="AO69" s="52"/>
      <c r="AP69" s="197" t="str">
        <f>Table12117[[#This Row],[Risk Location ]]</f>
        <v>Australia</v>
      </c>
      <c r="AQ69" s="198" t="str">
        <f>Table12117[[#This Row],[Sector (GICS Industry Group)]]</f>
        <v>Real Estate Investment</v>
      </c>
      <c r="AR69" s="201"/>
      <c r="AT69" s="212">
        <f>Table12117[[#This Row],[Percentage Impact]]*Table12117[[#This Row],[Amortised Limit A$ Balance]]</f>
        <v>0</v>
      </c>
      <c r="AU69" s="212">
        <f>Table12117[[#This Row],[Amortised Limit A$ Balance]]*12%</f>
        <v>3487.14732</v>
      </c>
      <c r="AV69" s="212">
        <f>IF(Table12117[[#This Row],[Everest]]="Everest",Table12117[[#This Row],[Assetinsure Amount ]]*0.2)</f>
        <v>697.42946400000005</v>
      </c>
      <c r="AW69" s="212"/>
      <c r="AX69" s="212">
        <f>MIN(Table12117[[#This Row],[Assetinsure Amount ]]-Table12117[[#This Row],[Reinsurance Everest Re]],Table12117[[#This Row],[Total Amount]])</f>
        <v>0</v>
      </c>
      <c r="AY69" s="212">
        <f t="shared" si="10"/>
        <v>0</v>
      </c>
      <c r="BC69" s="212">
        <v>0</v>
      </c>
      <c r="BD69" s="212">
        <v>0</v>
      </c>
      <c r="BE69" s="212">
        <v>0</v>
      </c>
      <c r="BF69" s="212">
        <v>0</v>
      </c>
      <c r="BG69" s="212">
        <v>0</v>
      </c>
      <c r="BH69" s="212">
        <v>0</v>
      </c>
      <c r="BI69" s="226">
        <v>0</v>
      </c>
      <c r="BJ69" s="226"/>
      <c r="BL69" s="138" t="s">
        <v>911</v>
      </c>
      <c r="BM69" s="112"/>
      <c r="BN69" s="58"/>
    </row>
    <row r="70" spans="1:66" ht="39.950000000000003" customHeight="1" x14ac:dyDescent="0.2">
      <c r="A70" s="131" t="s">
        <v>554</v>
      </c>
      <c r="B70" s="132" t="s">
        <v>51</v>
      </c>
      <c r="C70" s="65" t="s">
        <v>1143</v>
      </c>
      <c r="D70" s="133" t="s">
        <v>88</v>
      </c>
      <c r="E70" s="14" t="s">
        <v>542</v>
      </c>
      <c r="F70" s="133" t="s">
        <v>88</v>
      </c>
      <c r="G70" s="14" t="s">
        <v>102</v>
      </c>
      <c r="H70" s="14" t="s">
        <v>102</v>
      </c>
      <c r="I70" s="14" t="s">
        <v>474</v>
      </c>
      <c r="J70" s="133" t="s">
        <v>555</v>
      </c>
      <c r="K70" s="133" t="s">
        <v>220</v>
      </c>
      <c r="L70" s="14" t="s">
        <v>101</v>
      </c>
      <c r="M70" s="134" t="s">
        <v>191</v>
      </c>
      <c r="N70" s="134" t="s">
        <v>59</v>
      </c>
      <c r="O70" s="132" t="s">
        <v>43</v>
      </c>
      <c r="P70" s="132" t="s">
        <v>533</v>
      </c>
      <c r="Q70" s="13" t="s">
        <v>548</v>
      </c>
      <c r="R70" s="135" t="s">
        <v>59</v>
      </c>
      <c r="S70" s="136" t="e">
        <f>10000/EUR</f>
        <v>#REF!</v>
      </c>
      <c r="T70" s="62">
        <f>10000</f>
        <v>10000</v>
      </c>
      <c r="U70" s="136" t="e">
        <f>Table12117[[#This Row],[Original Limit (A$)]]</f>
        <v>#REF!</v>
      </c>
      <c r="V70" s="136">
        <f>25000</f>
        <v>25000</v>
      </c>
      <c r="W70" s="136" t="e">
        <f>264662.5/EUR</f>
        <v>#REF!</v>
      </c>
      <c r="X70" s="147" t="s">
        <v>11</v>
      </c>
      <c r="Y70" s="181">
        <v>1.35E-2</v>
      </c>
      <c r="Z70" s="137">
        <v>44225</v>
      </c>
      <c r="AA70" s="137">
        <v>45337</v>
      </c>
      <c r="AB70" s="137">
        <f>Table12117[[#This Row],[Expiry Date]]</f>
        <v>45337</v>
      </c>
      <c r="AC70" s="138">
        <f t="shared" si="3"/>
        <v>1113</v>
      </c>
      <c r="AD70" s="139" t="e">
        <f>IF(AB70-$A$1&gt;60,"No","Yes")</f>
        <v>#REF!</v>
      </c>
      <c r="AE70" s="138" t="e">
        <f>AB70-#REF!</f>
        <v>#REF!</v>
      </c>
      <c r="AF70" s="140" t="e">
        <f t="shared" si="5"/>
        <v>#REF!</v>
      </c>
      <c r="AG70" s="56"/>
      <c r="AH70" s="162" t="s">
        <v>1</v>
      </c>
      <c r="AI70" s="162" t="s">
        <v>1</v>
      </c>
      <c r="AJ70" s="187" t="s">
        <v>0</v>
      </c>
      <c r="AK70" s="11" t="e">
        <f t="shared" si="11"/>
        <v>#REF!</v>
      </c>
      <c r="AL70" s="164" t="s">
        <v>271</v>
      </c>
      <c r="AM70" s="131" t="s">
        <v>556</v>
      </c>
      <c r="AP70" s="197" t="str">
        <f>Table12117[[#This Row],[Risk Location ]]</f>
        <v>Belgium</v>
      </c>
      <c r="AQ70" s="198" t="str">
        <f>Table12117[[#This Row],[Sector (GICS Industry Group)]]</f>
        <v>Real Estate Investment</v>
      </c>
      <c r="AT70" s="212" t="e">
        <f>Table12117[[#This Row],[Percentage Impact]]*Table12117[[#This Row],[Amortised Limit A$ Balance]]</f>
        <v>#REF!</v>
      </c>
      <c r="AU70" s="212" t="e">
        <f>Table12117[[#This Row],[Amortised Limit A$ Balance]]*12%</f>
        <v>#REF!</v>
      </c>
      <c r="AV70" s="212" t="b">
        <f>IF(Table12117[[#This Row],[Everest]]="Everest",Table12117[[#This Row],[Assetinsure Amount ]]*0.2)</f>
        <v>0</v>
      </c>
      <c r="AW70" s="212"/>
      <c r="AX70" s="212" t="e">
        <f>MIN(Table12117[[#This Row],[Assetinsure Amount ]]-Table12117[[#This Row],[Reinsurance Everest Re]],Table12117[[#This Row],[Total Amount]])</f>
        <v>#REF!</v>
      </c>
      <c r="AY70" s="212">
        <f t="shared" si="10"/>
        <v>0</v>
      </c>
      <c r="BC70" s="212">
        <v>0</v>
      </c>
      <c r="BD70" s="212">
        <v>0</v>
      </c>
      <c r="BE70" s="212">
        <v>0</v>
      </c>
      <c r="BF70" s="212">
        <v>0</v>
      </c>
      <c r="BG70" s="212">
        <v>0</v>
      </c>
      <c r="BH70" s="212">
        <v>0</v>
      </c>
      <c r="BI70" s="226">
        <v>0</v>
      </c>
      <c r="BJ70" s="226"/>
      <c r="BL70" s="138" t="s">
        <v>1005</v>
      </c>
      <c r="BM70" s="112"/>
      <c r="BN70" s="58"/>
    </row>
    <row r="71" spans="1:66" s="229" customFormat="1" ht="39.950000000000003" customHeight="1" x14ac:dyDescent="0.2">
      <c r="A71" s="131" t="s">
        <v>557</v>
      </c>
      <c r="B71" s="132" t="s">
        <v>51</v>
      </c>
      <c r="C71" s="65" t="s">
        <v>1144</v>
      </c>
      <c r="D71" s="133" t="s">
        <v>89</v>
      </c>
      <c r="E71" s="131" t="s">
        <v>542</v>
      </c>
      <c r="F71" s="161" t="s">
        <v>89</v>
      </c>
      <c r="G71" s="131" t="s">
        <v>547</v>
      </c>
      <c r="H71" s="131" t="s">
        <v>124</v>
      </c>
      <c r="I71" s="145" t="s">
        <v>123</v>
      </c>
      <c r="J71" s="133" t="s">
        <v>220</v>
      </c>
      <c r="K71" s="133" t="s">
        <v>220</v>
      </c>
      <c r="L71" s="131" t="s">
        <v>29</v>
      </c>
      <c r="M71" s="134" t="s">
        <v>191</v>
      </c>
      <c r="N71" s="134" t="s">
        <v>59</v>
      </c>
      <c r="O71" s="132" t="s">
        <v>43</v>
      </c>
      <c r="P71" s="167" t="s">
        <v>538</v>
      </c>
      <c r="Q71" s="270" t="s">
        <v>534</v>
      </c>
      <c r="R71" s="135" t="s">
        <v>59</v>
      </c>
      <c r="S71" s="136" t="e">
        <f>10000/EUR</f>
        <v>#REF!</v>
      </c>
      <c r="T71" s="62">
        <v>6464.65</v>
      </c>
      <c r="U71" s="136" t="e">
        <f>Table12117[[#This Row],[Amortised Limit in Original Currency]]/EUR</f>
        <v>#REF!</v>
      </c>
      <c r="V71" s="136" t="e">
        <f>55700/EUR</f>
        <v>#REF!</v>
      </c>
      <c r="W71" s="136" t="e">
        <f>234266.96/EUR</f>
        <v>#REF!</v>
      </c>
      <c r="X71" s="147" t="s">
        <v>11</v>
      </c>
      <c r="Y71" s="181">
        <v>1.2999999999999999E-2</v>
      </c>
      <c r="Z71" s="137">
        <v>44236</v>
      </c>
      <c r="AA71" s="137">
        <v>46021</v>
      </c>
      <c r="AB71" s="137">
        <v>46053</v>
      </c>
      <c r="AC71" s="138">
        <f t="shared" ref="AC71" si="12">AB71-Z71+1</f>
        <v>1818</v>
      </c>
      <c r="AD71" s="139" t="e">
        <f>IF(AB71-$A$1&gt;60,"No","Yes")</f>
        <v>#REF!</v>
      </c>
      <c r="AE71" s="138" t="e">
        <f>AB71-#REF!</f>
        <v>#REF!</v>
      </c>
      <c r="AF71" s="140" t="e">
        <f t="shared" si="5"/>
        <v>#REF!</v>
      </c>
      <c r="AG71" s="274"/>
      <c r="AH71" s="162" t="s">
        <v>1</v>
      </c>
      <c r="AI71" s="162" t="s">
        <v>1</v>
      </c>
      <c r="AJ71" s="187" t="s">
        <v>1118</v>
      </c>
      <c r="AK71" s="229" t="e">
        <f t="shared" si="11"/>
        <v>#REF!</v>
      </c>
      <c r="AL71" s="164" t="s">
        <v>271</v>
      </c>
      <c r="AM71" s="131" t="s">
        <v>558</v>
      </c>
      <c r="AP71" s="197" t="str">
        <f>Table12117[[#This Row],[Risk Location ]]</f>
        <v>Netherlands</v>
      </c>
      <c r="AQ71" s="198" t="str">
        <f>Table12117[[#This Row],[Sector (GICS Industry Group)]]</f>
        <v>Consumer Staples</v>
      </c>
      <c r="AT71" s="212" t="e">
        <f>Table12117[[#This Row],[Percentage Impact]]*Table12117[[#This Row],[Amortised Limit A$ Balance]]</f>
        <v>#REF!</v>
      </c>
      <c r="AU71" s="212" t="e">
        <f>Table12117[[#This Row],[Amortised Limit A$ Balance]]*12%</f>
        <v>#REF!</v>
      </c>
      <c r="AV71" s="212" t="b">
        <f>IF(Table12117[[#This Row],[Everest]]="Everest",Table12117[[#This Row],[Assetinsure Amount ]]*0.2)</f>
        <v>0</v>
      </c>
      <c r="AW71" s="278"/>
      <c r="AX71" s="212" t="e">
        <f>MIN(Table12117[[#This Row],[Assetinsure Amount ]]-Table12117[[#This Row],[Reinsurance Everest Re]],Table12117[[#This Row],[Total Amount]])</f>
        <v>#REF!</v>
      </c>
      <c r="AY71" s="212">
        <f t="shared" si="10"/>
        <v>0</v>
      </c>
      <c r="BC71" s="278">
        <v>0</v>
      </c>
      <c r="BD71" s="278">
        <v>0</v>
      </c>
      <c r="BE71" s="278">
        <v>0</v>
      </c>
      <c r="BF71" s="278">
        <v>0</v>
      </c>
      <c r="BG71" s="278">
        <v>0</v>
      </c>
      <c r="BH71" s="278">
        <v>0</v>
      </c>
      <c r="BI71" s="226">
        <v>0</v>
      </c>
      <c r="BJ71" s="226"/>
      <c r="BL71" s="138" t="s">
        <v>1006</v>
      </c>
      <c r="BM71" s="276"/>
      <c r="BN71" s="272"/>
    </row>
    <row r="72" spans="1:66" ht="39.950000000000003" customHeight="1" x14ac:dyDescent="0.2">
      <c r="A72" s="131" t="s">
        <v>559</v>
      </c>
      <c r="B72" s="132" t="s">
        <v>243</v>
      </c>
      <c r="C72" s="65" t="s">
        <v>1142</v>
      </c>
      <c r="D72" s="133" t="s">
        <v>560</v>
      </c>
      <c r="E72" s="131" t="s">
        <v>499</v>
      </c>
      <c r="F72" s="161" t="s">
        <v>162</v>
      </c>
      <c r="G72" s="131" t="s">
        <v>48</v>
      </c>
      <c r="H72" s="131" t="s">
        <v>120</v>
      </c>
      <c r="I72" s="66" t="s">
        <v>121</v>
      </c>
      <c r="J72" s="133" t="s">
        <v>561</v>
      </c>
      <c r="K72" s="133" t="s">
        <v>220</v>
      </c>
      <c r="L72" s="14" t="s">
        <v>29</v>
      </c>
      <c r="M72" s="134" t="s">
        <v>191</v>
      </c>
      <c r="N72" s="134" t="s">
        <v>59</v>
      </c>
      <c r="O72" s="132" t="s">
        <v>43</v>
      </c>
      <c r="P72" s="167" t="s">
        <v>533</v>
      </c>
      <c r="Q72" s="65" t="s">
        <v>534</v>
      </c>
      <c r="R72" s="135" t="s">
        <v>9</v>
      </c>
      <c r="S72" s="136" t="e">
        <f>10000/USD</f>
        <v>#REF!</v>
      </c>
      <c r="T72" s="62">
        <v>13234.65</v>
      </c>
      <c r="U72" s="136" t="e">
        <f>Table12117[[#This Row],[Amortised Limit in Original Currency]]/USD</f>
        <v>#REF!</v>
      </c>
      <c r="V72" s="136" t="e">
        <f>(61000+20257)/USD</f>
        <v>#REF!</v>
      </c>
      <c r="W72" s="136" t="e">
        <f>1241766.56/USD</f>
        <v>#REF!</v>
      </c>
      <c r="X72" s="147" t="s">
        <v>11</v>
      </c>
      <c r="Y72" s="181">
        <v>3.5000000000000003E-2</v>
      </c>
      <c r="Z72" s="137">
        <v>44246</v>
      </c>
      <c r="AA72" s="137">
        <v>46079</v>
      </c>
      <c r="AB72" s="137">
        <v>46079</v>
      </c>
      <c r="AC72" s="138">
        <f>AB72-Z72+1</f>
        <v>1834</v>
      </c>
      <c r="AD72" s="139" t="e">
        <f>IF(AB72-$A$1&gt;60,"No","Yes")</f>
        <v>#REF!</v>
      </c>
      <c r="AE72" s="138" t="e">
        <f>AB72-#REF!</f>
        <v>#REF!</v>
      </c>
      <c r="AF72" s="140" t="e">
        <f>AE72/365</f>
        <v>#REF!</v>
      </c>
      <c r="AG72" s="56"/>
      <c r="AH72" s="162" t="s">
        <v>1</v>
      </c>
      <c r="AI72" s="162" t="s">
        <v>1</v>
      </c>
      <c r="AJ72" s="187" t="s">
        <v>784</v>
      </c>
      <c r="AK72" s="11" t="e">
        <f t="shared" si="11"/>
        <v>#REF!</v>
      </c>
      <c r="AL72" s="164" t="s">
        <v>271</v>
      </c>
      <c r="AM72" s="131" t="s">
        <v>562</v>
      </c>
      <c r="AP72" s="197" t="str">
        <f>Table12117[[#This Row],[Risk Location ]]</f>
        <v>United States</v>
      </c>
      <c r="AQ72" s="198" t="str">
        <f>Table12117[[#This Row],[Sector (GICS Industry Group)]]</f>
        <v>Energy</v>
      </c>
      <c r="AT72" s="212" t="e">
        <f>Table12117[[#This Row],[Percentage Impact]]*Table12117[[#This Row],[Amortised Limit A$ Balance]]</f>
        <v>#REF!</v>
      </c>
      <c r="AU72" s="212" t="e">
        <f>Table12117[[#This Row],[Amortised Limit A$ Balance]]*12%</f>
        <v>#REF!</v>
      </c>
      <c r="AV72" s="212" t="b">
        <f>IF(Table12117[[#This Row],[Everest]]="Everest",Table12117[[#This Row],[Assetinsure Amount ]]*0.2)</f>
        <v>0</v>
      </c>
      <c r="AW72" s="212"/>
      <c r="AX72" s="212" t="e">
        <f>MIN(Table12117[[#This Row],[Assetinsure Amount ]]-Table12117[[#This Row],[Reinsurance Everest Re]],Table12117[[#This Row],[Total Amount]])</f>
        <v>#REF!</v>
      </c>
      <c r="AY72" s="212">
        <f t="shared" si="10"/>
        <v>0</v>
      </c>
      <c r="BC72" s="212">
        <v>0</v>
      </c>
      <c r="BD72" s="212">
        <v>0</v>
      </c>
      <c r="BE72" s="212">
        <v>0</v>
      </c>
      <c r="BF72" s="212">
        <v>0</v>
      </c>
      <c r="BG72" s="212">
        <v>0</v>
      </c>
      <c r="BH72" s="212">
        <v>0</v>
      </c>
      <c r="BI72" s="226">
        <v>0</v>
      </c>
      <c r="BJ72" s="226"/>
      <c r="BL72" s="138" t="s">
        <v>1007</v>
      </c>
      <c r="BM72" s="112"/>
      <c r="BN72" s="58"/>
    </row>
    <row r="73" spans="1:66" ht="39.950000000000003" customHeight="1" x14ac:dyDescent="0.2">
      <c r="A73" s="131" t="s">
        <v>566</v>
      </c>
      <c r="B73" s="132" t="s">
        <v>23</v>
      </c>
      <c r="C73" s="65" t="s">
        <v>243</v>
      </c>
      <c r="D73" s="133" t="s">
        <v>88</v>
      </c>
      <c r="E73" s="131" t="s">
        <v>542</v>
      </c>
      <c r="F73" s="161" t="s">
        <v>166</v>
      </c>
      <c r="G73" s="131" t="s">
        <v>92</v>
      </c>
      <c r="H73" s="131" t="s">
        <v>134</v>
      </c>
      <c r="I73" s="66" t="s">
        <v>134</v>
      </c>
      <c r="J73" s="133" t="s">
        <v>61</v>
      </c>
      <c r="K73" s="133" t="s">
        <v>220</v>
      </c>
      <c r="L73" s="14" t="s">
        <v>68</v>
      </c>
      <c r="M73" s="134" t="s">
        <v>191</v>
      </c>
      <c r="N73" s="134" t="s">
        <v>59</v>
      </c>
      <c r="O73" s="132" t="s">
        <v>43</v>
      </c>
      <c r="P73" s="167" t="s">
        <v>538</v>
      </c>
      <c r="Q73" s="167" t="s">
        <v>548</v>
      </c>
      <c r="R73" s="135" t="s">
        <v>9</v>
      </c>
      <c r="S73" s="136" t="e">
        <f>5000/USD</f>
        <v>#REF!</v>
      </c>
      <c r="T73" s="62">
        <f>5000</f>
        <v>5000</v>
      </c>
      <c r="U73" s="136" t="e">
        <f>Table12117[[#This Row],[Original Limit (A$)]]</f>
        <v>#REF!</v>
      </c>
      <c r="V73" s="136" t="e">
        <f>95000/USD</f>
        <v>#REF!</v>
      </c>
      <c r="W73" s="136" t="e">
        <f>116302.02/USD+50000/USD</f>
        <v>#REF!</v>
      </c>
      <c r="X73" s="147" t="s">
        <v>11</v>
      </c>
      <c r="Y73" s="181">
        <v>3.4000000000000002E-2</v>
      </c>
      <c r="Z73" s="137">
        <v>44274</v>
      </c>
      <c r="AA73" s="137">
        <v>45545</v>
      </c>
      <c r="AB73" s="137">
        <v>45545</v>
      </c>
      <c r="AC73" s="175">
        <f>AB73-Z73+1</f>
        <v>1272</v>
      </c>
      <c r="AD73" s="176" t="e">
        <f t="shared" ref="AD73:AD82" si="13">IF(AB73-$A$1&gt;60,"No","Yes")</f>
        <v>#REF!</v>
      </c>
      <c r="AE73" s="175" t="e">
        <f>AB73-#REF!</f>
        <v>#REF!</v>
      </c>
      <c r="AF73" s="177" t="e">
        <f>AE73/365</f>
        <v>#REF!</v>
      </c>
      <c r="AG73" s="173"/>
      <c r="AH73" s="178" t="s">
        <v>1</v>
      </c>
      <c r="AI73" s="178" t="s">
        <v>1</v>
      </c>
      <c r="AJ73" s="187" t="s">
        <v>0</v>
      </c>
      <c r="AK73" s="11" t="e">
        <f t="shared" si="11"/>
        <v>#REF!</v>
      </c>
      <c r="AL73" s="164" t="s">
        <v>271</v>
      </c>
      <c r="AM73" s="168" t="s">
        <v>567</v>
      </c>
      <c r="AN73" s="11">
        <v>6000</v>
      </c>
      <c r="AP73" s="197" t="str">
        <f>Table12117[[#This Row],[Risk Location ]]</f>
        <v>France</v>
      </c>
      <c r="AQ73" s="198" t="str">
        <f>Table12117[[#This Row],[Sector (GICS Industry Group)]]</f>
        <v>Transportation</v>
      </c>
      <c r="AT73" s="212" t="e">
        <f>Table12117[[#This Row],[Percentage Impact]]*Table12117[[#This Row],[Amortised Limit A$ Balance]]</f>
        <v>#REF!</v>
      </c>
      <c r="AU73" s="212" t="e">
        <f>Table12117[[#This Row],[Amortised Limit A$ Balance]]*12%</f>
        <v>#REF!</v>
      </c>
      <c r="AV73" s="212" t="b">
        <f>IF(Table12117[[#This Row],[Everest]]="Everest",Table12117[[#This Row],[Assetinsure Amount ]]*0.2)</f>
        <v>0</v>
      </c>
      <c r="AW73" s="212"/>
      <c r="AX73" s="212" t="e">
        <f>MIN(Table12117[[#This Row],[Assetinsure Amount ]]-Table12117[[#This Row],[Reinsurance Everest Re]],Table12117[[#This Row],[Total Amount]])</f>
        <v>#REF!</v>
      </c>
      <c r="AY73" s="212">
        <f t="shared" si="10"/>
        <v>0</v>
      </c>
      <c r="BC73" s="212">
        <v>0</v>
      </c>
      <c r="BD73" s="212">
        <v>0</v>
      </c>
      <c r="BE73" s="212">
        <v>0</v>
      </c>
      <c r="BF73" s="212">
        <v>0</v>
      </c>
      <c r="BG73" s="212">
        <v>0</v>
      </c>
      <c r="BH73" s="212">
        <v>0</v>
      </c>
      <c r="BI73" s="226">
        <v>0</v>
      </c>
      <c r="BJ73" s="226"/>
      <c r="BL73" s="175" t="s">
        <v>936</v>
      </c>
      <c r="BM73" s="112"/>
      <c r="BN73" s="58"/>
    </row>
    <row r="74" spans="1:66" ht="39.950000000000003" customHeight="1" x14ac:dyDescent="0.2">
      <c r="A74" s="131" t="s">
        <v>575</v>
      </c>
      <c r="B74" s="132" t="s">
        <v>23</v>
      </c>
      <c r="C74" s="65" t="s">
        <v>1141</v>
      </c>
      <c r="D74" s="133" t="s">
        <v>37</v>
      </c>
      <c r="E74" s="14" t="s">
        <v>540</v>
      </c>
      <c r="F74" s="161" t="s">
        <v>36</v>
      </c>
      <c r="G74" s="131" t="s">
        <v>104</v>
      </c>
      <c r="H74" s="14" t="s">
        <v>111</v>
      </c>
      <c r="I74" s="66" t="s">
        <v>135</v>
      </c>
      <c r="J74" s="133" t="s">
        <v>77</v>
      </c>
      <c r="K74" s="133" t="s">
        <v>220</v>
      </c>
      <c r="L74" s="14" t="s">
        <v>29</v>
      </c>
      <c r="M74" s="134" t="s">
        <v>191</v>
      </c>
      <c r="N74" s="134" t="s">
        <v>323</v>
      </c>
      <c r="O74" s="132" t="s">
        <v>43</v>
      </c>
      <c r="P74" s="167" t="s">
        <v>531</v>
      </c>
      <c r="Q74" s="167" t="s">
        <v>548</v>
      </c>
      <c r="R74" s="135" t="s">
        <v>9</v>
      </c>
      <c r="S74" s="136" t="e">
        <f>11000/USD</f>
        <v>#REF!</v>
      </c>
      <c r="T74" s="62">
        <v>4000</v>
      </c>
      <c r="U74" s="136" t="e">
        <f>Table12117[[#This Row],[Amortised Limit in Original Currency]]/USD</f>
        <v>#REF!</v>
      </c>
      <c r="V74" s="136" t="e">
        <f>50000/USD</f>
        <v>#REF!</v>
      </c>
      <c r="W74" s="136" t="e">
        <f>674902/USD</f>
        <v>#REF!</v>
      </c>
      <c r="X74" s="147" t="s">
        <v>11</v>
      </c>
      <c r="Y74" s="181">
        <v>3.7999999999999999E-2</v>
      </c>
      <c r="Z74" s="137">
        <v>44285</v>
      </c>
      <c r="AA74" s="137">
        <v>45413</v>
      </c>
      <c r="AB74" s="174">
        <v>45413</v>
      </c>
      <c r="AC74" s="175">
        <f t="shared" ref="AC74:AC82" si="14">AB74-Z74+1</f>
        <v>1129</v>
      </c>
      <c r="AD74" s="176" t="e">
        <f t="shared" si="13"/>
        <v>#REF!</v>
      </c>
      <c r="AE74" s="175" t="e">
        <f>AB74-#REF!</f>
        <v>#REF!</v>
      </c>
      <c r="AF74" s="177" t="e">
        <f>AE74/365</f>
        <v>#REF!</v>
      </c>
      <c r="AG74" s="173"/>
      <c r="AH74" s="178" t="s">
        <v>1</v>
      </c>
      <c r="AI74" s="178" t="s">
        <v>1</v>
      </c>
      <c r="AJ74" s="179" t="s">
        <v>817</v>
      </c>
      <c r="AK74" s="11" t="e">
        <f t="shared" si="11"/>
        <v>#REF!</v>
      </c>
      <c r="AL74" s="164" t="s">
        <v>1206</v>
      </c>
      <c r="AM74" s="168" t="s">
        <v>576</v>
      </c>
      <c r="AN74" s="11">
        <f>11000+1225</f>
        <v>12225</v>
      </c>
      <c r="AP74" s="197" t="str">
        <f>Table12117[[#This Row],[Risk Location ]]</f>
        <v>China</v>
      </c>
      <c r="AQ74" s="198" t="str">
        <f>Table12117[[#This Row],[Sector (GICS Industry Group)]]</f>
        <v>Materials</v>
      </c>
      <c r="AT74" s="212" t="e">
        <f>Table12117[[#This Row],[Percentage Impact]]*Table12117[[#This Row],[Amortised Limit A$ Balance]]</f>
        <v>#REF!</v>
      </c>
      <c r="AU74" s="212" t="e">
        <f>Table12117[[#This Row],[Amortised Limit A$ Balance]]*12%</f>
        <v>#REF!</v>
      </c>
      <c r="AV74" s="212" t="b">
        <f>IF(Table12117[[#This Row],[Everest]]="Everest",Table12117[[#This Row],[Assetinsure Amount ]]*0.2)</f>
        <v>0</v>
      </c>
      <c r="AW74" s="212"/>
      <c r="AX74" s="212" t="e">
        <f>MIN(Table12117[[#This Row],[Assetinsure Amount ]]-Table12117[[#This Row],[Reinsurance Everest Re]],Table12117[[#This Row],[Total Amount]])</f>
        <v>#REF!</v>
      </c>
      <c r="AY74" s="212">
        <f t="shared" si="10"/>
        <v>0</v>
      </c>
      <c r="BC74" s="212">
        <v>0</v>
      </c>
      <c r="BD74" s="212">
        <v>0</v>
      </c>
      <c r="BE74" s="212">
        <v>0</v>
      </c>
      <c r="BF74" s="212">
        <v>0</v>
      </c>
      <c r="BG74" s="212">
        <v>0</v>
      </c>
      <c r="BH74" s="212">
        <v>0</v>
      </c>
      <c r="BI74" s="226">
        <v>0</v>
      </c>
      <c r="BJ74" s="226"/>
      <c r="BL74" s="175" t="s">
        <v>982</v>
      </c>
      <c r="BM74" s="112"/>
      <c r="BN74" s="58"/>
    </row>
    <row r="75" spans="1:66" ht="39.950000000000003" customHeight="1" x14ac:dyDescent="0.2">
      <c r="A75" s="131" t="s">
        <v>578</v>
      </c>
      <c r="B75" s="132" t="s">
        <v>23</v>
      </c>
      <c r="C75" s="65" t="s">
        <v>1144</v>
      </c>
      <c r="D75" s="133" t="s">
        <v>149</v>
      </c>
      <c r="E75" s="131" t="s">
        <v>496</v>
      </c>
      <c r="F75" s="161" t="s">
        <v>125</v>
      </c>
      <c r="G75" s="131" t="s">
        <v>104</v>
      </c>
      <c r="H75" s="14" t="s">
        <v>111</v>
      </c>
      <c r="I75" s="66" t="s">
        <v>450</v>
      </c>
      <c r="J75" s="133" t="s">
        <v>283</v>
      </c>
      <c r="K75" s="133" t="s">
        <v>148</v>
      </c>
      <c r="L75" s="14" t="s">
        <v>209</v>
      </c>
      <c r="M75" s="134" t="s">
        <v>191</v>
      </c>
      <c r="N75" s="134" t="s">
        <v>59</v>
      </c>
      <c r="O75" s="132" t="s">
        <v>43</v>
      </c>
      <c r="P75" s="167" t="s">
        <v>531</v>
      </c>
      <c r="Q75" s="167" t="s">
        <v>548</v>
      </c>
      <c r="R75" s="135" t="s">
        <v>9</v>
      </c>
      <c r="S75" s="136" t="e">
        <f>15000/USD</f>
        <v>#REF!</v>
      </c>
      <c r="T75" s="62">
        <v>15000</v>
      </c>
      <c r="U75" s="136" t="e">
        <f>Table12117[[#This Row],[Original Limit (A$)]]</f>
        <v>#REF!</v>
      </c>
      <c r="V75" s="136" t="e">
        <f>80000/USD</f>
        <v>#REF!</v>
      </c>
      <c r="W75" s="136" t="e">
        <f>787739.16/USD</f>
        <v>#REF!</v>
      </c>
      <c r="X75" s="147" t="s">
        <v>11</v>
      </c>
      <c r="Y75" s="185">
        <v>0.03</v>
      </c>
      <c r="Z75" s="137">
        <v>44328</v>
      </c>
      <c r="AA75" s="137">
        <v>46505</v>
      </c>
      <c r="AB75" s="137">
        <v>46505</v>
      </c>
      <c r="AC75" s="175">
        <f t="shared" si="14"/>
        <v>2178</v>
      </c>
      <c r="AD75" s="176" t="e">
        <f t="shared" si="13"/>
        <v>#REF!</v>
      </c>
      <c r="AE75" s="138" t="e">
        <f>AB75-#REF!</f>
        <v>#REF!</v>
      </c>
      <c r="AF75" s="140" t="e">
        <f t="shared" ref="AF75:AF82" si="15">AE75/365</f>
        <v>#REF!</v>
      </c>
      <c r="AG75" s="184"/>
      <c r="AH75" s="186" t="s">
        <v>1</v>
      </c>
      <c r="AI75" s="186" t="s">
        <v>1</v>
      </c>
      <c r="AJ75" s="187" t="s">
        <v>0</v>
      </c>
      <c r="AK75" s="11" t="e">
        <f t="shared" si="11"/>
        <v>#REF!</v>
      </c>
      <c r="AL75" s="164" t="s">
        <v>271</v>
      </c>
      <c r="AM75" s="188" t="s">
        <v>579</v>
      </c>
      <c r="AP75" s="197" t="str">
        <f>Table12117[[#This Row],[Risk Location ]]</f>
        <v>Turkey</v>
      </c>
      <c r="AQ75" s="198" t="str">
        <f>Table12117[[#This Row],[Sector (GICS Industry Group)]]</f>
        <v>Materials</v>
      </c>
      <c r="AT75" s="212" t="e">
        <f>Table12117[[#This Row],[Percentage Impact]]*Table12117[[#This Row],[Amortised Limit A$ Balance]]</f>
        <v>#REF!</v>
      </c>
      <c r="AU75" s="212" t="e">
        <f>Table12117[[#This Row],[Amortised Limit A$ Balance]]*12%</f>
        <v>#REF!</v>
      </c>
      <c r="AV75" s="212" t="b">
        <f>IF(Table12117[[#This Row],[Everest]]="Everest",Table12117[[#This Row],[Assetinsure Amount ]]*0.2)</f>
        <v>0</v>
      </c>
      <c r="AW75" s="212"/>
      <c r="AX75" s="212" t="e">
        <f>MIN(Table12117[[#This Row],[Assetinsure Amount ]]-Table12117[[#This Row],[Reinsurance Everest Re]],Table12117[[#This Row],[Total Amount]])</f>
        <v>#REF!</v>
      </c>
      <c r="AY75" s="212">
        <f t="shared" si="10"/>
        <v>0</v>
      </c>
      <c r="BC75" s="212">
        <v>0</v>
      </c>
      <c r="BD75" s="212">
        <v>0</v>
      </c>
      <c r="BE75" s="212">
        <v>0</v>
      </c>
      <c r="BF75" s="212">
        <v>0</v>
      </c>
      <c r="BG75" s="212">
        <v>0</v>
      </c>
      <c r="BH75" s="212">
        <v>0</v>
      </c>
      <c r="BI75" s="226">
        <v>0</v>
      </c>
      <c r="BJ75" s="226"/>
      <c r="BL75" s="138" t="s">
        <v>983</v>
      </c>
      <c r="BM75" s="112"/>
      <c r="BN75" s="58"/>
    </row>
    <row r="76" spans="1:66" ht="39.950000000000003" customHeight="1" x14ac:dyDescent="0.2">
      <c r="A76" s="131" t="s">
        <v>586</v>
      </c>
      <c r="B76" s="132" t="s">
        <v>67</v>
      </c>
      <c r="C76" s="65" t="s">
        <v>1141</v>
      </c>
      <c r="D76" s="133" t="s">
        <v>38</v>
      </c>
      <c r="E76" s="14" t="s">
        <v>540</v>
      </c>
      <c r="F76" s="161" t="s">
        <v>229</v>
      </c>
      <c r="G76" s="14" t="s">
        <v>102</v>
      </c>
      <c r="H76" s="14" t="s">
        <v>102</v>
      </c>
      <c r="I76" s="14" t="s">
        <v>474</v>
      </c>
      <c r="J76" s="133" t="s">
        <v>142</v>
      </c>
      <c r="K76" s="66" t="s">
        <v>218</v>
      </c>
      <c r="L76" s="14" t="s">
        <v>209</v>
      </c>
      <c r="M76" s="134" t="s">
        <v>191</v>
      </c>
      <c r="N76" s="134" t="s">
        <v>323</v>
      </c>
      <c r="O76" s="132" t="s">
        <v>43</v>
      </c>
      <c r="P76" s="167" t="s">
        <v>531</v>
      </c>
      <c r="Q76" s="65" t="s">
        <v>534</v>
      </c>
      <c r="R76" s="135" t="s">
        <v>9</v>
      </c>
      <c r="S76" s="136" t="e">
        <f>7500/USD</f>
        <v>#REF!</v>
      </c>
      <c r="T76" s="62">
        <v>7500</v>
      </c>
      <c r="U76" s="136" t="e">
        <f>Table12117[[#This Row],[Original Limit (A$)]]</f>
        <v>#REF!</v>
      </c>
      <c r="V76" s="136" t="e">
        <f>9375/USD</f>
        <v>#REF!</v>
      </c>
      <c r="W76" s="136" t="e">
        <f>693656.25/USD</f>
        <v>#REF!</v>
      </c>
      <c r="X76" s="147" t="s">
        <v>11</v>
      </c>
      <c r="Y76" s="185">
        <v>0.06</v>
      </c>
      <c r="Z76" s="137">
        <v>44349</v>
      </c>
      <c r="AA76" s="137">
        <v>45419</v>
      </c>
      <c r="AB76" s="137">
        <v>45419</v>
      </c>
      <c r="AC76" s="175">
        <f>AB76-Z76+1</f>
        <v>1071</v>
      </c>
      <c r="AD76" s="176" t="e">
        <f t="shared" si="13"/>
        <v>#REF!</v>
      </c>
      <c r="AE76" s="138" t="e">
        <f>AB76-#REF!</f>
        <v>#REF!</v>
      </c>
      <c r="AF76" s="140" t="e">
        <f t="shared" si="15"/>
        <v>#REF!</v>
      </c>
      <c r="AG76" s="184"/>
      <c r="AH76" s="186" t="s">
        <v>1</v>
      </c>
      <c r="AI76" s="186" t="s">
        <v>1</v>
      </c>
      <c r="AJ76" s="187" t="s">
        <v>0</v>
      </c>
      <c r="AK76" s="11" t="e">
        <f t="shared" si="11"/>
        <v>#REF!</v>
      </c>
      <c r="AL76" s="164" t="s">
        <v>271</v>
      </c>
      <c r="AM76" s="188" t="s">
        <v>580</v>
      </c>
      <c r="AP76" s="197" t="str">
        <f>Table12117[[#This Row],[Risk Location ]]</f>
        <v>Vietnam</v>
      </c>
      <c r="AQ76" s="198" t="str">
        <f>Table12117[[#This Row],[Sector (GICS Industry Group)]]</f>
        <v>Real Estate Investment</v>
      </c>
      <c r="AT76" s="212" t="e">
        <f>Table12117[[#This Row],[Percentage Impact]]*Table12117[[#This Row],[Amortised Limit A$ Balance]]</f>
        <v>#REF!</v>
      </c>
      <c r="AU76" s="212" t="e">
        <f>Table12117[[#This Row],[Amortised Limit A$ Balance]]*12%</f>
        <v>#REF!</v>
      </c>
      <c r="AV76" s="212" t="b">
        <f>IF(Table12117[[#This Row],[Everest]]="Everest",Table12117[[#This Row],[Assetinsure Amount ]]*0.2)</f>
        <v>0</v>
      </c>
      <c r="AW76" s="212"/>
      <c r="AX76" s="212" t="e">
        <f>MIN(Table12117[[#This Row],[Assetinsure Amount ]]-Table12117[[#This Row],[Reinsurance Everest Re]],Table12117[[#This Row],[Total Amount]])</f>
        <v>#REF!</v>
      </c>
      <c r="AY76" s="212">
        <f t="shared" si="10"/>
        <v>0</v>
      </c>
      <c r="BC76" s="212">
        <v>0</v>
      </c>
      <c r="BD76" s="212">
        <v>0</v>
      </c>
      <c r="BE76" s="212">
        <v>0</v>
      </c>
      <c r="BF76" s="212">
        <v>0</v>
      </c>
      <c r="BG76" s="212">
        <v>0</v>
      </c>
      <c r="BH76" s="212">
        <v>0</v>
      </c>
      <c r="BI76" s="226">
        <v>0</v>
      </c>
      <c r="BJ76" s="226"/>
      <c r="BL76" s="138" t="s">
        <v>984</v>
      </c>
      <c r="BM76" s="112"/>
      <c r="BN76" s="58"/>
    </row>
    <row r="77" spans="1:66" ht="39.950000000000003" customHeight="1" x14ac:dyDescent="0.2">
      <c r="A77" s="131" t="s">
        <v>587</v>
      </c>
      <c r="B77" s="132" t="s">
        <v>67</v>
      </c>
      <c r="C77" s="65" t="s">
        <v>1142</v>
      </c>
      <c r="D77" s="133" t="s">
        <v>588</v>
      </c>
      <c r="E77" s="131" t="s">
        <v>499</v>
      </c>
      <c r="F77" s="161" t="s">
        <v>162</v>
      </c>
      <c r="G77" s="131" t="s">
        <v>233</v>
      </c>
      <c r="H77" s="131" t="s">
        <v>443</v>
      </c>
      <c r="I77" s="131" t="s">
        <v>234</v>
      </c>
      <c r="J77" s="133" t="s">
        <v>589</v>
      </c>
      <c r="K77" s="66" t="s">
        <v>218</v>
      </c>
      <c r="L77" s="14" t="s">
        <v>209</v>
      </c>
      <c r="M77" s="134" t="s">
        <v>191</v>
      </c>
      <c r="N77" s="134" t="s">
        <v>59</v>
      </c>
      <c r="O77" s="132" t="s">
        <v>43</v>
      </c>
      <c r="P77" s="167" t="s">
        <v>531</v>
      </c>
      <c r="Q77" s="65" t="s">
        <v>534</v>
      </c>
      <c r="R77" s="135" t="s">
        <v>9</v>
      </c>
      <c r="S77" s="136" t="e">
        <f>15000/USD</f>
        <v>#REF!</v>
      </c>
      <c r="T77" s="62">
        <f>15000+2500</f>
        <v>17500</v>
      </c>
      <c r="U77" s="136" t="e">
        <f>Table12117[[#This Row],[Amortised Limit in Original Currency]]/USD</f>
        <v>#REF!</v>
      </c>
      <c r="V77" s="136" t="e">
        <f>30000/USD</f>
        <v>#REF!</v>
      </c>
      <c r="W77" s="136" t="e">
        <f>1963963.71/USD</f>
        <v>#REF!</v>
      </c>
      <c r="X77" s="147" t="s">
        <v>11</v>
      </c>
      <c r="Y77" s="185">
        <v>5.7500000000000002E-2</v>
      </c>
      <c r="Z77" s="137">
        <v>44365</v>
      </c>
      <c r="AA77" s="137">
        <v>46107</v>
      </c>
      <c r="AB77" s="137">
        <v>46107</v>
      </c>
      <c r="AC77" s="175">
        <f t="shared" si="14"/>
        <v>1743</v>
      </c>
      <c r="AD77" s="176" t="e">
        <f t="shared" si="13"/>
        <v>#REF!</v>
      </c>
      <c r="AE77" s="138" t="e">
        <f>AB77-#REF!</f>
        <v>#REF!</v>
      </c>
      <c r="AF77" s="140" t="e">
        <f t="shared" si="15"/>
        <v>#REF!</v>
      </c>
      <c r="AG77" s="184" t="s">
        <v>436</v>
      </c>
      <c r="AH77" s="186" t="s">
        <v>1</v>
      </c>
      <c r="AI77" s="186" t="s">
        <v>1</v>
      </c>
      <c r="AJ77" s="187" t="s">
        <v>0</v>
      </c>
      <c r="AK77" s="11" t="e">
        <f t="shared" si="11"/>
        <v>#REF!</v>
      </c>
      <c r="AL77" s="164" t="s">
        <v>271</v>
      </c>
      <c r="AM77" s="188" t="s">
        <v>581</v>
      </c>
      <c r="AP77" s="197" t="str">
        <f>Table12117[[#This Row],[Risk Location ]]</f>
        <v>United States</v>
      </c>
      <c r="AQ77" s="198" t="str">
        <f>Table12117[[#This Row],[Sector (GICS Industry Group)]]</f>
        <v>Telecommunication Services</v>
      </c>
      <c r="AT77" s="212" t="e">
        <f>Table12117[[#This Row],[Percentage Impact]]*Table12117[[#This Row],[Amortised Limit A$ Balance]]</f>
        <v>#REF!</v>
      </c>
      <c r="AU77" s="212" t="e">
        <f>Table12117[[#This Row],[Amortised Limit A$ Balance]]*12%</f>
        <v>#REF!</v>
      </c>
      <c r="AV77" s="212" t="e">
        <f>IF(Table12117[[#This Row],[Everest]]="Everest",Table12117[[#This Row],[Assetinsure Amount ]]*0.2)</f>
        <v>#REF!</v>
      </c>
      <c r="AW77" s="212"/>
      <c r="AX77" s="212" t="e">
        <f>MIN(Table12117[[#This Row],[Assetinsure Amount ]]-Table12117[[#This Row],[Reinsurance Everest Re]],Table12117[[#This Row],[Total Amount]])</f>
        <v>#REF!</v>
      </c>
      <c r="AY77" s="212">
        <f t="shared" si="10"/>
        <v>0</v>
      </c>
      <c r="BC77" s="212">
        <v>0</v>
      </c>
      <c r="BD77" s="212">
        <v>0</v>
      </c>
      <c r="BE77" s="212">
        <v>0</v>
      </c>
      <c r="BF77" s="212">
        <v>0</v>
      </c>
      <c r="BG77" s="212">
        <v>0</v>
      </c>
      <c r="BH77" s="212">
        <v>0</v>
      </c>
      <c r="BI77" s="226">
        <v>0</v>
      </c>
      <c r="BJ77" s="226"/>
      <c r="BL77" s="138" t="s">
        <v>985</v>
      </c>
      <c r="BM77" s="112"/>
      <c r="BN77" s="58"/>
    </row>
    <row r="78" spans="1:66" ht="39.950000000000003" customHeight="1" x14ac:dyDescent="0.2">
      <c r="A78" s="131" t="s">
        <v>590</v>
      </c>
      <c r="B78" s="132" t="s">
        <v>24</v>
      </c>
      <c r="C78" s="65" t="s">
        <v>1141</v>
      </c>
      <c r="D78" s="192" t="s">
        <v>38</v>
      </c>
      <c r="E78" s="14" t="s">
        <v>540</v>
      </c>
      <c r="F78" s="161" t="s">
        <v>35</v>
      </c>
      <c r="G78" s="131" t="s">
        <v>104</v>
      </c>
      <c r="H78" s="14" t="s">
        <v>111</v>
      </c>
      <c r="I78" s="66" t="s">
        <v>450</v>
      </c>
      <c r="J78" s="133" t="s">
        <v>591</v>
      </c>
      <c r="K78" s="133" t="s">
        <v>218</v>
      </c>
      <c r="L78" s="168" t="s">
        <v>209</v>
      </c>
      <c r="M78" s="194" t="s">
        <v>191</v>
      </c>
      <c r="N78" s="134" t="s">
        <v>323</v>
      </c>
      <c r="O78" s="167" t="s">
        <v>43</v>
      </c>
      <c r="P78" s="167" t="s">
        <v>538</v>
      </c>
      <c r="Q78" s="65" t="s">
        <v>534</v>
      </c>
      <c r="R78" s="135" t="s">
        <v>66</v>
      </c>
      <c r="S78" s="136" t="e">
        <f>1112163/INR</f>
        <v>#REF!</v>
      </c>
      <c r="T78" s="62">
        <v>1112163</v>
      </c>
      <c r="U78" s="136" t="e">
        <f>Table12117[[#This Row],[Original Limit (A$)]]</f>
        <v>#REF!</v>
      </c>
      <c r="V78" s="136" t="e">
        <f>3367001/INR</f>
        <v>#REF!</v>
      </c>
      <c r="W78" s="136" t="e">
        <f>68489435.19/INR</f>
        <v>#REF!</v>
      </c>
      <c r="X78" s="147" t="s">
        <v>11</v>
      </c>
      <c r="Y78" s="185">
        <v>0.05</v>
      </c>
      <c r="Z78" s="137">
        <v>44369</v>
      </c>
      <c r="AA78" s="137">
        <v>45415</v>
      </c>
      <c r="AB78" s="137">
        <v>45415</v>
      </c>
      <c r="AC78" s="138">
        <f t="shared" si="14"/>
        <v>1047</v>
      </c>
      <c r="AD78" s="139" t="e">
        <f t="shared" si="13"/>
        <v>#REF!</v>
      </c>
      <c r="AE78" s="138" t="e">
        <f>AB78-#REF!</f>
        <v>#REF!</v>
      </c>
      <c r="AF78" s="140" t="e">
        <f t="shared" si="15"/>
        <v>#REF!</v>
      </c>
      <c r="AG78" s="184" t="s">
        <v>436</v>
      </c>
      <c r="AH78" s="186" t="s">
        <v>1</v>
      </c>
      <c r="AI78" s="186" t="s">
        <v>1</v>
      </c>
      <c r="AJ78" s="187" t="s">
        <v>0</v>
      </c>
      <c r="AK78" s="11" t="e">
        <f t="shared" si="11"/>
        <v>#REF!</v>
      </c>
      <c r="AL78" s="164" t="s">
        <v>271</v>
      </c>
      <c r="AM78" s="188" t="s">
        <v>592</v>
      </c>
      <c r="AP78" s="197" t="str">
        <f>Table12117[[#This Row],[Risk Location ]]</f>
        <v>India</v>
      </c>
      <c r="AQ78" s="198" t="str">
        <f>Table12117[[#This Row],[Sector (GICS Industry Group)]]</f>
        <v>Materials</v>
      </c>
      <c r="AT78" s="212" t="e">
        <f>Table12117[[#This Row],[Percentage Impact]]*Table12117[[#This Row],[Amortised Limit A$ Balance]]</f>
        <v>#REF!</v>
      </c>
      <c r="AU78" s="212" t="e">
        <f>Table12117[[#This Row],[Amortised Limit A$ Balance]]*12%</f>
        <v>#REF!</v>
      </c>
      <c r="AV78" s="212" t="e">
        <f>IF(Table12117[[#This Row],[Everest]]="Everest",Table12117[[#This Row],[Assetinsure Amount ]]*0.2)</f>
        <v>#REF!</v>
      </c>
      <c r="AW78" s="212"/>
      <c r="AX78" s="212" t="e">
        <f>MIN(Table12117[[#This Row],[Assetinsure Amount ]]-Table12117[[#This Row],[Reinsurance Everest Re]],Table12117[[#This Row],[Total Amount]])</f>
        <v>#REF!</v>
      </c>
      <c r="AY78" s="212">
        <f t="shared" si="10"/>
        <v>0</v>
      </c>
      <c r="BC78" s="212">
        <v>0</v>
      </c>
      <c r="BD78" s="212">
        <v>0</v>
      </c>
      <c r="BE78" s="212">
        <v>0</v>
      </c>
      <c r="BF78" s="212">
        <v>0</v>
      </c>
      <c r="BG78" s="212">
        <v>0</v>
      </c>
      <c r="BH78" s="212">
        <v>0</v>
      </c>
      <c r="BI78" s="226">
        <v>0</v>
      </c>
      <c r="BJ78" s="226"/>
      <c r="BL78" s="138" t="s">
        <v>986</v>
      </c>
      <c r="BM78" s="112"/>
      <c r="BN78" s="58"/>
    </row>
    <row r="79" spans="1:66" ht="39.950000000000003" customHeight="1" x14ac:dyDescent="0.2">
      <c r="A79" s="131" t="s">
        <v>593</v>
      </c>
      <c r="B79" s="132" t="s">
        <v>67</v>
      </c>
      <c r="C79" s="65" t="s">
        <v>243</v>
      </c>
      <c r="D79" s="133" t="s">
        <v>588</v>
      </c>
      <c r="E79" s="188" t="s">
        <v>542</v>
      </c>
      <c r="F79" s="161" t="s">
        <v>127</v>
      </c>
      <c r="G79" s="14" t="s">
        <v>891</v>
      </c>
      <c r="H79" s="66" t="s">
        <v>167</v>
      </c>
      <c r="I79" s="131" t="s">
        <v>167</v>
      </c>
      <c r="J79" s="133" t="s">
        <v>589</v>
      </c>
      <c r="K79" s="133" t="s">
        <v>218</v>
      </c>
      <c r="L79" s="14" t="s">
        <v>140</v>
      </c>
      <c r="M79" s="194" t="s">
        <v>191</v>
      </c>
      <c r="N79" s="134" t="s">
        <v>59</v>
      </c>
      <c r="O79" s="167" t="s">
        <v>43</v>
      </c>
      <c r="P79" s="167" t="s">
        <v>538</v>
      </c>
      <c r="Q79" s="65" t="s">
        <v>534</v>
      </c>
      <c r="R79" s="135" t="s">
        <v>59</v>
      </c>
      <c r="S79" s="136" t="e">
        <f>15000/EUR</f>
        <v>#REF!</v>
      </c>
      <c r="T79" s="62">
        <v>15000</v>
      </c>
      <c r="U79" s="136" t="e">
        <f>Table12117[[#This Row],[Original Limit (A$)]]</f>
        <v>#REF!</v>
      </c>
      <c r="V79" s="136" t="e">
        <f>100000/EUR</f>
        <v>#REF!</v>
      </c>
      <c r="W79" s="136" t="e">
        <f>1014049.83/EUR</f>
        <v>#REF!</v>
      </c>
      <c r="X79" s="147" t="s">
        <v>11</v>
      </c>
      <c r="Y79" s="185">
        <v>2.8500000000000001E-2</v>
      </c>
      <c r="Z79" s="137">
        <v>44372</v>
      </c>
      <c r="AA79" s="137">
        <v>46475</v>
      </c>
      <c r="AB79" s="137">
        <v>46475</v>
      </c>
      <c r="AC79" s="138">
        <f t="shared" si="14"/>
        <v>2104</v>
      </c>
      <c r="AD79" s="139" t="e">
        <f t="shared" si="13"/>
        <v>#REF!</v>
      </c>
      <c r="AE79" s="138" t="e">
        <f>AB79-#REF!</f>
        <v>#REF!</v>
      </c>
      <c r="AF79" s="140" t="e">
        <f t="shared" si="15"/>
        <v>#REF!</v>
      </c>
      <c r="AG79" s="184"/>
      <c r="AH79" s="186" t="s">
        <v>1</v>
      </c>
      <c r="AI79" s="186" t="s">
        <v>1</v>
      </c>
      <c r="AJ79" s="187" t="s">
        <v>0</v>
      </c>
      <c r="AK79" s="11" t="e">
        <f t="shared" si="11"/>
        <v>#REF!</v>
      </c>
      <c r="AL79" s="164" t="s">
        <v>271</v>
      </c>
      <c r="AM79" s="188" t="s">
        <v>582</v>
      </c>
      <c r="AP79" s="197" t="str">
        <f>Table12117[[#This Row],[Risk Location ]]</f>
        <v>Germany</v>
      </c>
      <c r="AQ79" s="198" t="str">
        <f>Table12117[[#This Row],[Sector (GICS Industry Group)]]</f>
        <v>Information Technology - Hardware &amp; Equipment</v>
      </c>
      <c r="AT79" s="212" t="e">
        <f>Table12117[[#This Row],[Percentage Impact]]*Table12117[[#This Row],[Amortised Limit A$ Balance]]</f>
        <v>#REF!</v>
      </c>
      <c r="AU79" s="212" t="e">
        <f>Table12117[[#This Row],[Amortised Limit A$ Balance]]*12%</f>
        <v>#REF!</v>
      </c>
      <c r="AV79" s="212" t="b">
        <f>IF(Table12117[[#This Row],[Everest]]="Everest",Table12117[[#This Row],[Assetinsure Amount ]]*0.2)</f>
        <v>0</v>
      </c>
      <c r="AW79" s="212"/>
      <c r="AX79" s="212" t="e">
        <f>MIN(Table12117[[#This Row],[Assetinsure Amount ]]-Table12117[[#This Row],[Reinsurance Everest Re]],Table12117[[#This Row],[Total Amount]])</f>
        <v>#REF!</v>
      </c>
      <c r="AY79" s="212">
        <f t="shared" si="10"/>
        <v>0</v>
      </c>
      <c r="BC79" s="212">
        <v>0</v>
      </c>
      <c r="BD79" s="212">
        <v>0</v>
      </c>
      <c r="BE79" s="212">
        <v>0</v>
      </c>
      <c r="BF79" s="212">
        <v>0</v>
      </c>
      <c r="BG79" s="212">
        <v>0</v>
      </c>
      <c r="BH79" s="212">
        <v>0</v>
      </c>
      <c r="BI79" s="226">
        <v>0</v>
      </c>
      <c r="BJ79" s="226"/>
      <c r="BL79" s="138" t="s">
        <v>1008</v>
      </c>
      <c r="BM79" s="112"/>
      <c r="BN79" s="58"/>
    </row>
    <row r="80" spans="1:66" ht="39.950000000000003" customHeight="1" x14ac:dyDescent="0.2">
      <c r="A80" s="131" t="s">
        <v>594</v>
      </c>
      <c r="B80" s="132" t="s">
        <v>67</v>
      </c>
      <c r="C80" s="65" t="s">
        <v>1144</v>
      </c>
      <c r="D80" s="133" t="s">
        <v>588</v>
      </c>
      <c r="E80" s="188" t="s">
        <v>499</v>
      </c>
      <c r="F80" s="193" t="s">
        <v>162</v>
      </c>
      <c r="G80" s="188" t="s">
        <v>233</v>
      </c>
      <c r="H80" s="131" t="s">
        <v>443</v>
      </c>
      <c r="I80" s="131" t="s">
        <v>234</v>
      </c>
      <c r="J80" s="133" t="s">
        <v>589</v>
      </c>
      <c r="K80" s="133" t="s">
        <v>218</v>
      </c>
      <c r="L80" s="168" t="s">
        <v>209</v>
      </c>
      <c r="M80" s="194" t="s">
        <v>191</v>
      </c>
      <c r="N80" s="134" t="s">
        <v>59</v>
      </c>
      <c r="O80" s="167" t="s">
        <v>43</v>
      </c>
      <c r="P80" s="167" t="s">
        <v>538</v>
      </c>
      <c r="Q80" s="65" t="s">
        <v>534</v>
      </c>
      <c r="R80" s="135" t="s">
        <v>9</v>
      </c>
      <c r="S80" s="136" t="e">
        <f>15000/USD</f>
        <v>#REF!</v>
      </c>
      <c r="T80" s="62">
        <v>15000</v>
      </c>
      <c r="U80" s="136" t="e">
        <f>Table12117[[#This Row],[Original Limit (A$)]]</f>
        <v>#REF!</v>
      </c>
      <c r="V80" s="136" t="e">
        <f>69800/USD</f>
        <v>#REF!</v>
      </c>
      <c r="W80" s="136" t="e">
        <f>1271367.15/USD</f>
        <v>#REF!</v>
      </c>
      <c r="X80" s="147" t="s">
        <v>11</v>
      </c>
      <c r="Y80" s="185">
        <v>4.4999999999999998E-2</v>
      </c>
      <c r="Z80" s="137">
        <v>44372</v>
      </c>
      <c r="AA80" s="137">
        <v>46112</v>
      </c>
      <c r="AB80" s="137">
        <v>46112</v>
      </c>
      <c r="AC80" s="138">
        <f t="shared" si="14"/>
        <v>1741</v>
      </c>
      <c r="AD80" s="139" t="e">
        <f t="shared" si="13"/>
        <v>#REF!</v>
      </c>
      <c r="AE80" s="138" t="e">
        <f>AB80-#REF!</f>
        <v>#REF!</v>
      </c>
      <c r="AF80" s="140" t="e">
        <f t="shared" si="15"/>
        <v>#REF!</v>
      </c>
      <c r="AG80" s="184"/>
      <c r="AH80" s="186" t="s">
        <v>1</v>
      </c>
      <c r="AI80" s="186" t="s">
        <v>1</v>
      </c>
      <c r="AJ80" s="187" t="s">
        <v>0</v>
      </c>
      <c r="AK80" s="11" t="e">
        <f t="shared" si="11"/>
        <v>#REF!</v>
      </c>
      <c r="AL80" s="164" t="s">
        <v>271</v>
      </c>
      <c r="AM80" s="188" t="s">
        <v>583</v>
      </c>
      <c r="AP80" s="197" t="str">
        <f>Table12117[[#This Row],[Risk Location ]]</f>
        <v>United States</v>
      </c>
      <c r="AQ80" s="198" t="str">
        <f>Table12117[[#This Row],[Sector (GICS Industry Group)]]</f>
        <v>Telecommunication Services</v>
      </c>
      <c r="AT80" s="212" t="e">
        <f>Table12117[[#This Row],[Percentage Impact]]*Table12117[[#This Row],[Amortised Limit A$ Balance]]</f>
        <v>#REF!</v>
      </c>
      <c r="AU80" s="212" t="e">
        <f>Table12117[[#This Row],[Amortised Limit A$ Balance]]*12%</f>
        <v>#REF!</v>
      </c>
      <c r="AV80" s="212" t="b">
        <f>IF(Table12117[[#This Row],[Everest]]="Everest",Table12117[[#This Row],[Assetinsure Amount ]]*0.2)</f>
        <v>0</v>
      </c>
      <c r="AW80" s="212"/>
      <c r="AX80" s="212" t="e">
        <f>MIN(Table12117[[#This Row],[Assetinsure Amount ]]-Table12117[[#This Row],[Reinsurance Everest Re]],Table12117[[#This Row],[Total Amount]])</f>
        <v>#REF!</v>
      </c>
      <c r="AY80" s="212">
        <f t="shared" si="10"/>
        <v>0</v>
      </c>
      <c r="BC80" s="212">
        <v>0</v>
      </c>
      <c r="BD80" s="212">
        <v>0</v>
      </c>
      <c r="BE80" s="212">
        <v>0</v>
      </c>
      <c r="BF80" s="212">
        <v>0</v>
      </c>
      <c r="BG80" s="212">
        <v>0</v>
      </c>
      <c r="BH80" s="212">
        <v>0</v>
      </c>
      <c r="BI80" s="226">
        <v>0</v>
      </c>
      <c r="BJ80" s="226"/>
      <c r="BL80" s="138" t="s">
        <v>1009</v>
      </c>
      <c r="BM80" s="112"/>
      <c r="BN80" s="58"/>
    </row>
    <row r="81" spans="1:66" ht="39.950000000000003" customHeight="1" x14ac:dyDescent="0.2">
      <c r="A81" s="131" t="s">
        <v>595</v>
      </c>
      <c r="B81" s="132" t="s">
        <v>51</v>
      </c>
      <c r="C81" s="65" t="s">
        <v>243</v>
      </c>
      <c r="D81" s="192" t="s">
        <v>38</v>
      </c>
      <c r="E81" s="14" t="s">
        <v>540</v>
      </c>
      <c r="F81" s="161" t="s">
        <v>36</v>
      </c>
      <c r="G81" s="14" t="s">
        <v>102</v>
      </c>
      <c r="H81" s="14" t="s">
        <v>102</v>
      </c>
      <c r="I81" s="14" t="s">
        <v>474</v>
      </c>
      <c r="J81" s="133" t="s">
        <v>142</v>
      </c>
      <c r="K81" s="133" t="s">
        <v>218</v>
      </c>
      <c r="L81" s="168" t="s">
        <v>209</v>
      </c>
      <c r="M81" s="194" t="s">
        <v>191</v>
      </c>
      <c r="N81" s="134" t="s">
        <v>323</v>
      </c>
      <c r="O81" s="167" t="s">
        <v>43</v>
      </c>
      <c r="P81" s="167" t="s">
        <v>538</v>
      </c>
      <c r="Q81" s="65" t="s">
        <v>534</v>
      </c>
      <c r="R81" s="135" t="s">
        <v>9</v>
      </c>
      <c r="S81" s="136" t="e">
        <f>15000/USD</f>
        <v>#REF!</v>
      </c>
      <c r="T81" s="62">
        <v>15000</v>
      </c>
      <c r="U81" s="136" t="e">
        <f>Table12117[[#This Row],[Original Limit (A$)]]</f>
        <v>#REF!</v>
      </c>
      <c r="V81" s="136" t="e">
        <f>30000/USD</f>
        <v>#REF!</v>
      </c>
      <c r="W81" s="136" t="e">
        <f>1827916.68/USD</f>
        <v>#REF!</v>
      </c>
      <c r="X81" s="147" t="s">
        <v>11</v>
      </c>
      <c r="Y81" s="185">
        <v>7.85E-2</v>
      </c>
      <c r="Z81" s="137">
        <v>44377</v>
      </c>
      <c r="AA81" s="137">
        <v>45460</v>
      </c>
      <c r="AB81" s="137">
        <v>45460</v>
      </c>
      <c r="AC81" s="138">
        <f t="shared" si="14"/>
        <v>1084</v>
      </c>
      <c r="AD81" s="139" t="e">
        <f t="shared" si="13"/>
        <v>#REF!</v>
      </c>
      <c r="AE81" s="138" t="e">
        <f>AB81-#REF!</f>
        <v>#REF!</v>
      </c>
      <c r="AF81" s="140" t="e">
        <f t="shared" si="15"/>
        <v>#REF!</v>
      </c>
      <c r="AG81" s="184"/>
      <c r="AH81" s="186" t="s">
        <v>1</v>
      </c>
      <c r="AI81" s="186" t="s">
        <v>1</v>
      </c>
      <c r="AJ81" s="187" t="s">
        <v>0</v>
      </c>
      <c r="AK81" s="11" t="e">
        <f t="shared" si="11"/>
        <v>#REF!</v>
      </c>
      <c r="AL81" s="164" t="s">
        <v>271</v>
      </c>
      <c r="AM81" s="188" t="s">
        <v>584</v>
      </c>
      <c r="AP81" s="197" t="str">
        <f>Table12117[[#This Row],[Risk Location ]]</f>
        <v>China</v>
      </c>
      <c r="AQ81" s="198" t="str">
        <f>Table12117[[#This Row],[Sector (GICS Industry Group)]]</f>
        <v>Real Estate Investment</v>
      </c>
      <c r="AT81" s="212" t="e">
        <f>Table12117[[#This Row],[Percentage Impact]]*Table12117[[#This Row],[Amortised Limit A$ Balance]]</f>
        <v>#REF!</v>
      </c>
      <c r="AU81" s="212" t="e">
        <f>Table12117[[#This Row],[Amortised Limit A$ Balance]]*12%</f>
        <v>#REF!</v>
      </c>
      <c r="AV81" s="212" t="b">
        <f>IF(Table12117[[#This Row],[Everest]]="Everest",Table12117[[#This Row],[Assetinsure Amount ]]*0.2)</f>
        <v>0</v>
      </c>
      <c r="AW81" s="212"/>
      <c r="AX81" s="212" t="e">
        <f>MIN(Table12117[[#This Row],[Assetinsure Amount ]]-Table12117[[#This Row],[Reinsurance Everest Re]],Table12117[[#This Row],[Total Amount]])</f>
        <v>#REF!</v>
      </c>
      <c r="AY81" s="212">
        <f t="shared" si="10"/>
        <v>0</v>
      </c>
      <c r="BC81" s="212">
        <v>0</v>
      </c>
      <c r="BD81" s="212">
        <v>0</v>
      </c>
      <c r="BE81" s="212">
        <v>0</v>
      </c>
      <c r="BF81" s="212">
        <v>0</v>
      </c>
      <c r="BG81" s="212">
        <v>0</v>
      </c>
      <c r="BH81" s="212">
        <v>0</v>
      </c>
      <c r="BI81" s="226">
        <v>0</v>
      </c>
      <c r="BJ81" s="226"/>
      <c r="BL81" s="138" t="s">
        <v>1010</v>
      </c>
      <c r="BM81" s="112"/>
      <c r="BN81" s="58"/>
    </row>
    <row r="82" spans="1:66" ht="39.950000000000003" customHeight="1" x14ac:dyDescent="0.2">
      <c r="A82" s="131" t="s">
        <v>596</v>
      </c>
      <c r="B82" s="132" t="s">
        <v>24</v>
      </c>
      <c r="C82" s="65" t="s">
        <v>1142</v>
      </c>
      <c r="D82" s="133" t="s">
        <v>166</v>
      </c>
      <c r="E82" s="14" t="s">
        <v>542</v>
      </c>
      <c r="F82" s="161" t="s">
        <v>166</v>
      </c>
      <c r="G82" s="14" t="s">
        <v>102</v>
      </c>
      <c r="H82" s="14" t="s">
        <v>102</v>
      </c>
      <c r="I82" s="130" t="s">
        <v>103</v>
      </c>
      <c r="J82" s="133" t="s">
        <v>597</v>
      </c>
      <c r="K82" s="192" t="s">
        <v>220</v>
      </c>
      <c r="L82" s="168" t="s">
        <v>101</v>
      </c>
      <c r="M82" s="194" t="s">
        <v>191</v>
      </c>
      <c r="N82" s="134" t="s">
        <v>59</v>
      </c>
      <c r="O82" s="167" t="s">
        <v>43</v>
      </c>
      <c r="P82" s="167" t="s">
        <v>538</v>
      </c>
      <c r="Q82" s="65" t="s">
        <v>534</v>
      </c>
      <c r="R82" s="135" t="s">
        <v>59</v>
      </c>
      <c r="S82" s="136" t="e">
        <f>22000/EUR</f>
        <v>#REF!</v>
      </c>
      <c r="T82" s="62">
        <v>22000</v>
      </c>
      <c r="U82" s="136" t="e">
        <f>Table12117[[#This Row],[Original Limit (A$)]]</f>
        <v>#REF!</v>
      </c>
      <c r="V82" s="136" t="e">
        <f>185600/EUR</f>
        <v>#REF!</v>
      </c>
      <c r="W82" s="136" t="e">
        <f>1193121.11/EUR-105402.92/EUR</f>
        <v>#REF!</v>
      </c>
      <c r="X82" s="147" t="s">
        <v>11</v>
      </c>
      <c r="Y82" s="185">
        <v>1.4500000000000001E-2</v>
      </c>
      <c r="Z82" s="137">
        <v>44376</v>
      </c>
      <c r="AA82" s="137">
        <v>46565</v>
      </c>
      <c r="AB82" s="137">
        <v>46565</v>
      </c>
      <c r="AC82" s="138">
        <f t="shared" si="14"/>
        <v>2190</v>
      </c>
      <c r="AD82" s="139" t="e">
        <f t="shared" si="13"/>
        <v>#REF!</v>
      </c>
      <c r="AE82" s="138" t="e">
        <f>AB82-#REF!</f>
        <v>#REF!</v>
      </c>
      <c r="AF82" s="140" t="e">
        <f t="shared" si="15"/>
        <v>#REF!</v>
      </c>
      <c r="AG82" s="184" t="s">
        <v>436</v>
      </c>
      <c r="AH82" s="186" t="s">
        <v>1</v>
      </c>
      <c r="AI82" s="186" t="s">
        <v>1</v>
      </c>
      <c r="AJ82" s="187" t="s">
        <v>0</v>
      </c>
      <c r="AK82" s="11" t="e">
        <f t="shared" si="11"/>
        <v>#REF!</v>
      </c>
      <c r="AL82" s="164" t="s">
        <v>271</v>
      </c>
      <c r="AM82" s="188" t="s">
        <v>585</v>
      </c>
      <c r="AP82" s="197" t="str">
        <f>Table12117[[#This Row],[Risk Location ]]</f>
        <v>France</v>
      </c>
      <c r="AQ82" s="198" t="str">
        <f>Table12117[[#This Row],[Sector (GICS Industry Group)]]</f>
        <v>Real Estate Investment</v>
      </c>
      <c r="AT82" s="212" t="e">
        <f>Table12117[[#This Row],[Percentage Impact]]*Table12117[[#This Row],[Amortised Limit A$ Balance]]</f>
        <v>#REF!</v>
      </c>
      <c r="AU82" s="212" t="e">
        <f>Table12117[[#This Row],[Amortised Limit A$ Balance]]*12%</f>
        <v>#REF!</v>
      </c>
      <c r="AV82" s="212" t="e">
        <f>IF(Table12117[[#This Row],[Everest]]="Everest",Table12117[[#This Row],[Assetinsure Amount ]]*0.2)</f>
        <v>#REF!</v>
      </c>
      <c r="AW82" s="212"/>
      <c r="AX82" s="212" t="e">
        <f>MIN(Table12117[[#This Row],[Assetinsure Amount ]]-Table12117[[#This Row],[Reinsurance Everest Re]],Table12117[[#This Row],[Total Amount]])</f>
        <v>#REF!</v>
      </c>
      <c r="AY82" s="212">
        <f t="shared" si="10"/>
        <v>0</v>
      </c>
      <c r="BC82" s="212">
        <v>0</v>
      </c>
      <c r="BD82" s="212">
        <v>0</v>
      </c>
      <c r="BE82" s="212">
        <v>0</v>
      </c>
      <c r="BF82" s="212">
        <v>0</v>
      </c>
      <c r="BG82" s="212">
        <v>0</v>
      </c>
      <c r="BH82" s="212">
        <v>0</v>
      </c>
      <c r="BI82" s="226">
        <v>0</v>
      </c>
      <c r="BJ82" s="226"/>
      <c r="BL82" s="138" t="s">
        <v>1011</v>
      </c>
      <c r="BM82" s="112"/>
      <c r="BN82" s="58"/>
    </row>
    <row r="83" spans="1:66" ht="39.950000000000003" customHeight="1" x14ac:dyDescent="0.2">
      <c r="A83" s="131" t="s">
        <v>625</v>
      </c>
      <c r="B83" s="132" t="s">
        <v>67</v>
      </c>
      <c r="C83" s="65" t="s">
        <v>1144</v>
      </c>
      <c r="D83" s="133" t="s">
        <v>127</v>
      </c>
      <c r="E83" s="188" t="s">
        <v>542</v>
      </c>
      <c r="F83" s="161" t="s">
        <v>88</v>
      </c>
      <c r="G83" s="131" t="s">
        <v>233</v>
      </c>
      <c r="H83" s="131" t="s">
        <v>443</v>
      </c>
      <c r="I83" s="131" t="s">
        <v>234</v>
      </c>
      <c r="J83" s="133" t="s">
        <v>165</v>
      </c>
      <c r="K83" s="192" t="s">
        <v>220</v>
      </c>
      <c r="L83" s="168" t="s">
        <v>140</v>
      </c>
      <c r="M83" s="194" t="s">
        <v>191</v>
      </c>
      <c r="N83" s="134" t="s">
        <v>59</v>
      </c>
      <c r="O83" s="167" t="s">
        <v>43</v>
      </c>
      <c r="P83" s="167" t="s">
        <v>538</v>
      </c>
      <c r="Q83" s="65" t="s">
        <v>534</v>
      </c>
      <c r="R83" s="135" t="s">
        <v>59</v>
      </c>
      <c r="S83" s="136" t="e">
        <f>10000/EUR</f>
        <v>#REF!</v>
      </c>
      <c r="T83" s="62">
        <v>10000</v>
      </c>
      <c r="U83" s="136" t="e">
        <f>Table12117[[#This Row],[Original Limit (A$)]]</f>
        <v>#REF!</v>
      </c>
      <c r="V83" s="136" t="e">
        <f>50000/EUR</f>
        <v>#REF!</v>
      </c>
      <c r="W83" s="136" t="e">
        <f>949357.63/EUR</f>
        <v>#REF!</v>
      </c>
      <c r="X83" s="147" t="s">
        <v>11</v>
      </c>
      <c r="Y83" s="185">
        <v>2.5000000000000001E-2</v>
      </c>
      <c r="Z83" s="137">
        <v>44341</v>
      </c>
      <c r="AA83" s="137">
        <v>46837</v>
      </c>
      <c r="AB83" s="137">
        <v>46853</v>
      </c>
      <c r="AC83" s="138">
        <f>AB83-Z83+1</f>
        <v>2513</v>
      </c>
      <c r="AD83" s="139" t="e">
        <f>IF(AB83-$A$1&gt;60,"No","Yes")</f>
        <v>#REF!</v>
      </c>
      <c r="AE83" s="138" t="e">
        <f>AB83-#REF!</f>
        <v>#REF!</v>
      </c>
      <c r="AF83" s="140" t="e">
        <f>AE83/365</f>
        <v>#REF!</v>
      </c>
      <c r="AG83" s="184"/>
      <c r="AH83" s="186" t="s">
        <v>1</v>
      </c>
      <c r="AI83" s="186" t="s">
        <v>1</v>
      </c>
      <c r="AJ83" s="187" t="s">
        <v>0</v>
      </c>
      <c r="AK83" s="11" t="e">
        <f t="shared" si="11"/>
        <v>#REF!</v>
      </c>
      <c r="AL83" s="164" t="s">
        <v>271</v>
      </c>
      <c r="AM83" s="188" t="s">
        <v>626</v>
      </c>
      <c r="AP83" s="197" t="str">
        <f>Table12117[[#This Row],[Risk Location ]]</f>
        <v>Belgium</v>
      </c>
      <c r="AQ83" s="198" t="str">
        <f>Table12117[[#This Row],[Sector (GICS Industry Group)]]</f>
        <v>Telecommunication Services</v>
      </c>
      <c r="AT83" s="212" t="e">
        <f>Table12117[[#This Row],[Percentage Impact]]*Table12117[[#This Row],[Amortised Limit A$ Balance]]</f>
        <v>#REF!</v>
      </c>
      <c r="AU83" s="212" t="e">
        <f>Table12117[[#This Row],[Amortised Limit A$ Balance]]*12%</f>
        <v>#REF!</v>
      </c>
      <c r="AV83" s="212" t="b">
        <f>IF(Table12117[[#This Row],[Everest]]="Everest",Table12117[[#This Row],[Assetinsure Amount ]]*0.2)</f>
        <v>0</v>
      </c>
      <c r="AW83" s="212"/>
      <c r="AX83" s="212" t="e">
        <f>MIN(Table12117[[#This Row],[Assetinsure Amount ]]-Table12117[[#This Row],[Reinsurance Everest Re]],Table12117[[#This Row],[Total Amount]])</f>
        <v>#REF!</v>
      </c>
      <c r="AY83" s="212">
        <f t="shared" si="10"/>
        <v>0</v>
      </c>
      <c r="BC83" s="212">
        <v>0</v>
      </c>
      <c r="BD83" s="212">
        <v>0</v>
      </c>
      <c r="BE83" s="212">
        <v>0</v>
      </c>
      <c r="BF83" s="212">
        <v>0</v>
      </c>
      <c r="BG83" s="212">
        <v>0</v>
      </c>
      <c r="BH83" s="212">
        <v>0</v>
      </c>
      <c r="BI83" s="226">
        <v>0</v>
      </c>
      <c r="BJ83" s="226"/>
      <c r="BL83" s="138" t="s">
        <v>937</v>
      </c>
      <c r="BM83" s="112"/>
      <c r="BN83" s="58"/>
    </row>
    <row r="84" spans="1:66" ht="39.950000000000003" customHeight="1" x14ac:dyDescent="0.2">
      <c r="A84" s="131" t="s">
        <v>630</v>
      </c>
      <c r="B84" s="132" t="s">
        <v>23</v>
      </c>
      <c r="C84" s="65" t="s">
        <v>1144</v>
      </c>
      <c r="D84" s="133" t="s">
        <v>89</v>
      </c>
      <c r="E84" s="188" t="s">
        <v>542</v>
      </c>
      <c r="F84" s="161" t="s">
        <v>87</v>
      </c>
      <c r="G84" s="188" t="s">
        <v>92</v>
      </c>
      <c r="H84" s="131" t="s">
        <v>134</v>
      </c>
      <c r="I84" s="66" t="s">
        <v>134</v>
      </c>
      <c r="J84" s="133" t="s">
        <v>631</v>
      </c>
      <c r="K84" s="192" t="s">
        <v>256</v>
      </c>
      <c r="L84" s="168" t="s">
        <v>140</v>
      </c>
      <c r="M84" s="194" t="s">
        <v>191</v>
      </c>
      <c r="N84" s="134" t="s">
        <v>59</v>
      </c>
      <c r="O84" s="167" t="s">
        <v>43</v>
      </c>
      <c r="P84" s="167" t="s">
        <v>533</v>
      </c>
      <c r="Q84" s="65" t="s">
        <v>534</v>
      </c>
      <c r="R84" s="135" t="s">
        <v>9</v>
      </c>
      <c r="S84" s="136" t="e">
        <f>15000/USD</f>
        <v>#REF!</v>
      </c>
      <c r="T84" s="62">
        <v>15000</v>
      </c>
      <c r="U84" s="136" t="e">
        <f>Table12117[[#This Row],[Original Limit (A$)]]</f>
        <v>#REF!</v>
      </c>
      <c r="V84" s="136" t="e">
        <f>125000/USD</f>
        <v>#REF!</v>
      </c>
      <c r="W84" s="136" t="e">
        <f>584064.98/USD-40060.16/USD</f>
        <v>#REF!</v>
      </c>
      <c r="X84" s="147" t="s">
        <v>11</v>
      </c>
      <c r="Y84" s="185">
        <v>1.9E-2</v>
      </c>
      <c r="Z84" s="137">
        <v>44385</v>
      </c>
      <c r="AA84" s="137">
        <v>46386</v>
      </c>
      <c r="AB84" s="137">
        <v>46386</v>
      </c>
      <c r="AC84" s="138">
        <f t="shared" ref="AC84:AC147" si="16">AB84-Z84+1</f>
        <v>2002</v>
      </c>
      <c r="AD84" s="139" t="e">
        <f t="shared" ref="AD84:AD147" si="17">IF(AB84-$A$1&gt;60,"No","Yes")</f>
        <v>#REF!</v>
      </c>
      <c r="AE84" s="138" t="e">
        <f>AB84-#REF!</f>
        <v>#REF!</v>
      </c>
      <c r="AF84" s="140" t="e">
        <f>AE84/365</f>
        <v>#REF!</v>
      </c>
      <c r="AG84" s="184"/>
      <c r="AH84" s="186" t="s">
        <v>1</v>
      </c>
      <c r="AI84" s="186" t="s">
        <v>1</v>
      </c>
      <c r="AJ84" s="187" t="s">
        <v>0</v>
      </c>
      <c r="AK84" s="11" t="e">
        <f t="shared" si="11"/>
        <v>#REF!</v>
      </c>
      <c r="AL84" s="164" t="s">
        <v>271</v>
      </c>
      <c r="AM84" s="188" t="s">
        <v>628</v>
      </c>
      <c r="AP84" s="197" t="str">
        <f>Table12117[[#This Row],[Risk Location ]]</f>
        <v>United Kingdom</v>
      </c>
      <c r="AQ84" s="198" t="str">
        <f>Table12117[[#This Row],[Sector (GICS Industry Group)]]</f>
        <v>Transportation</v>
      </c>
      <c r="AT84" s="212" t="e">
        <f>Table12117[[#This Row],[Percentage Impact]]*Table12117[[#This Row],[Amortised Limit A$ Balance]]</f>
        <v>#REF!</v>
      </c>
      <c r="AU84" s="212" t="e">
        <f>Table12117[[#This Row],[Amortised Limit A$ Balance]]*12%</f>
        <v>#REF!</v>
      </c>
      <c r="AV84" s="212" t="b">
        <f>IF(Table12117[[#This Row],[Everest]]="Everest",Table12117[[#This Row],[Assetinsure Amount ]]*0.2)</f>
        <v>0</v>
      </c>
      <c r="AW84" s="212"/>
      <c r="AX84" s="212" t="e">
        <f>MIN(Table12117[[#This Row],[Assetinsure Amount ]]-Table12117[[#This Row],[Reinsurance Everest Re]],Table12117[[#This Row],[Total Amount]])</f>
        <v>#REF!</v>
      </c>
      <c r="AY84" s="212">
        <f t="shared" si="10"/>
        <v>0</v>
      </c>
      <c r="BC84" s="212">
        <v>0</v>
      </c>
      <c r="BD84" s="212">
        <v>0</v>
      </c>
      <c r="BE84" s="212">
        <v>0</v>
      </c>
      <c r="BF84" s="212">
        <v>0</v>
      </c>
      <c r="BG84" s="212">
        <v>0</v>
      </c>
      <c r="BH84" s="212">
        <v>0</v>
      </c>
      <c r="BI84" s="226">
        <v>0</v>
      </c>
      <c r="BJ84" s="226"/>
      <c r="BL84" s="138" t="s">
        <v>1012</v>
      </c>
      <c r="BM84" s="112"/>
      <c r="BN84" s="58"/>
    </row>
    <row r="85" spans="1:66" ht="39.950000000000003" customHeight="1" x14ac:dyDescent="0.2">
      <c r="A85" s="131" t="s">
        <v>636</v>
      </c>
      <c r="B85" s="132" t="s">
        <v>243</v>
      </c>
      <c r="C85" s="65" t="s">
        <v>1144</v>
      </c>
      <c r="D85" s="133" t="s">
        <v>37</v>
      </c>
      <c r="E85" s="188" t="s">
        <v>541</v>
      </c>
      <c r="F85" s="161" t="s">
        <v>152</v>
      </c>
      <c r="G85" s="188" t="s">
        <v>439</v>
      </c>
      <c r="H85" s="131" t="s">
        <v>445</v>
      </c>
      <c r="I85" s="66" t="s">
        <v>463</v>
      </c>
      <c r="J85" s="133" t="s">
        <v>526</v>
      </c>
      <c r="K85" s="192" t="s">
        <v>221</v>
      </c>
      <c r="L85" s="168" t="s">
        <v>140</v>
      </c>
      <c r="M85" s="194" t="s">
        <v>191</v>
      </c>
      <c r="N85" s="134" t="s">
        <v>323</v>
      </c>
      <c r="O85" s="167" t="s">
        <v>43</v>
      </c>
      <c r="P85" s="167" t="s">
        <v>538</v>
      </c>
      <c r="Q85" s="65" t="s">
        <v>534</v>
      </c>
      <c r="R85" s="135" t="s">
        <v>488</v>
      </c>
      <c r="S85" s="136" t="e">
        <f>986842.10526/JPY</f>
        <v>#REF!</v>
      </c>
      <c r="T85" s="62">
        <v>986842.10525999998</v>
      </c>
      <c r="U85" s="136" t="e">
        <f>Table12117[[#This Row],[Amortised Limit in Original Currency]]/JPY</f>
        <v>#REF!</v>
      </c>
      <c r="V85" s="136" t="e">
        <f>221170032/JPY</f>
        <v>#REF!</v>
      </c>
      <c r="W85" s="136" t="e">
        <f>21030136.48/JPY</f>
        <v>#REF!</v>
      </c>
      <c r="X85" s="147" t="s">
        <v>11</v>
      </c>
      <c r="Y85" s="185">
        <v>2.2499999999999999E-2</v>
      </c>
      <c r="Z85" s="137">
        <v>44418</v>
      </c>
      <c r="AA85" s="137">
        <v>45290</v>
      </c>
      <c r="AB85" s="137">
        <v>45290</v>
      </c>
      <c r="AC85" s="138">
        <f t="shared" si="16"/>
        <v>873</v>
      </c>
      <c r="AD85" s="139" t="e">
        <f>IF(AB85-$A$1&gt;60,"No","Yes")</f>
        <v>#REF!</v>
      </c>
      <c r="AE85" s="138" t="e">
        <f>AB85-#REF!</f>
        <v>#REF!</v>
      </c>
      <c r="AF85" s="140" t="e">
        <f t="shared" ref="AF85:AF117" si="18">AE85/365</f>
        <v>#REF!</v>
      </c>
      <c r="AG85" s="184"/>
      <c r="AH85" s="186" t="s">
        <v>1</v>
      </c>
      <c r="AI85" s="186" t="s">
        <v>1</v>
      </c>
      <c r="AJ85" s="187" t="s">
        <v>0</v>
      </c>
      <c r="AK85" s="11" t="e">
        <f t="shared" si="11"/>
        <v>#REF!</v>
      </c>
      <c r="AL85" s="164" t="s">
        <v>271</v>
      </c>
      <c r="AM85" s="188" t="s">
        <v>632</v>
      </c>
      <c r="AP85" s="197" t="str">
        <f>Table12117[[#This Row],[Risk Location ]]</f>
        <v>Japan</v>
      </c>
      <c r="AQ85" s="198" t="str">
        <f>Table12117[[#This Row],[Sector (GICS Industry Group)]]</f>
        <v>Utilities</v>
      </c>
      <c r="AT85" s="212" t="e">
        <f>Table12117[[#This Row],[Percentage Impact]]*Table12117[[#This Row],[Amortised Limit A$ Balance]]</f>
        <v>#REF!</v>
      </c>
      <c r="AU85" s="212" t="e">
        <f>Table12117[[#This Row],[Amortised Limit A$ Balance]]*12%</f>
        <v>#REF!</v>
      </c>
      <c r="AV85" s="212" t="b">
        <f>IF(Table12117[[#This Row],[Everest]]="Everest",Table12117[[#This Row],[Assetinsure Amount ]]*0.2)</f>
        <v>0</v>
      </c>
      <c r="AW85" s="212"/>
      <c r="AX85" s="212" t="e">
        <f>MIN(Table12117[[#This Row],[Assetinsure Amount ]]-Table12117[[#This Row],[Reinsurance Everest Re]],Table12117[[#This Row],[Total Amount]])</f>
        <v>#REF!</v>
      </c>
      <c r="AY85" s="212">
        <f t="shared" si="10"/>
        <v>0</v>
      </c>
      <c r="BC85" s="212">
        <v>0</v>
      </c>
      <c r="BD85" s="212">
        <v>0</v>
      </c>
      <c r="BE85" s="212">
        <v>0</v>
      </c>
      <c r="BF85" s="212">
        <v>0</v>
      </c>
      <c r="BG85" s="212">
        <v>0</v>
      </c>
      <c r="BH85" s="212">
        <v>0</v>
      </c>
      <c r="BI85" s="226">
        <v>0</v>
      </c>
      <c r="BJ85" s="226"/>
      <c r="BL85" s="138" t="s">
        <v>1013</v>
      </c>
      <c r="BM85" s="112"/>
      <c r="BN85" s="58"/>
    </row>
    <row r="86" spans="1:66" s="229" customFormat="1" ht="39.950000000000003" customHeight="1" x14ac:dyDescent="0.2">
      <c r="A86" s="131" t="s">
        <v>637</v>
      </c>
      <c r="B86" s="132" t="s">
        <v>67</v>
      </c>
      <c r="C86" s="270" t="s">
        <v>243</v>
      </c>
      <c r="D86" s="133" t="s">
        <v>38</v>
      </c>
      <c r="E86" s="131" t="s">
        <v>540</v>
      </c>
      <c r="F86" s="161" t="s">
        <v>35</v>
      </c>
      <c r="G86" s="131" t="s">
        <v>892</v>
      </c>
      <c r="H86" s="188" t="s">
        <v>259</v>
      </c>
      <c r="I86" s="188" t="s">
        <v>258</v>
      </c>
      <c r="J86" s="133" t="s">
        <v>638</v>
      </c>
      <c r="K86" s="192" t="s">
        <v>687</v>
      </c>
      <c r="L86" s="168" t="s">
        <v>209</v>
      </c>
      <c r="M86" s="194" t="s">
        <v>191</v>
      </c>
      <c r="N86" s="134" t="s">
        <v>323</v>
      </c>
      <c r="O86" s="167" t="s">
        <v>43</v>
      </c>
      <c r="P86" s="167" t="s">
        <v>538</v>
      </c>
      <c r="Q86" s="270" t="s">
        <v>534</v>
      </c>
      <c r="R86" s="135" t="s">
        <v>9</v>
      </c>
      <c r="S86" s="136" t="e">
        <f>(10000-6851.94)/USD</f>
        <v>#REF!</v>
      </c>
      <c r="T86" s="62">
        <f>(10000-6851.94)</f>
        <v>3148.0600000000004</v>
      </c>
      <c r="U86" s="136" t="e">
        <f>Table12117[[#This Row],[Amortised Limit in Original Currency]]/USD</f>
        <v>#REF!</v>
      </c>
      <c r="V86" s="136" t="e">
        <f>20000/USD</f>
        <v>#REF!</v>
      </c>
      <c r="W86" s="136" t="e">
        <f>(565401.86-125283.29-37335.49)/USD</f>
        <v>#REF!</v>
      </c>
      <c r="X86" s="147" t="s">
        <v>11</v>
      </c>
      <c r="Y86" s="185">
        <v>0.04</v>
      </c>
      <c r="Z86" s="137">
        <v>44425</v>
      </c>
      <c r="AA86" s="137">
        <v>46233</v>
      </c>
      <c r="AB86" s="137">
        <v>46233</v>
      </c>
      <c r="AC86" s="138">
        <f>AB86-Z86+1</f>
        <v>1809</v>
      </c>
      <c r="AD86" s="139" t="e">
        <f t="shared" si="17"/>
        <v>#REF!</v>
      </c>
      <c r="AE86" s="138" t="e">
        <f>AB86-#REF!</f>
        <v>#REF!</v>
      </c>
      <c r="AF86" s="140" t="e">
        <f t="shared" si="18"/>
        <v>#REF!</v>
      </c>
      <c r="AG86" s="184"/>
      <c r="AH86" s="186" t="s">
        <v>1</v>
      </c>
      <c r="AI86" s="186" t="s">
        <v>1</v>
      </c>
      <c r="AJ86" s="187" t="s">
        <v>0</v>
      </c>
      <c r="AK86" s="229" t="e">
        <f t="shared" si="11"/>
        <v>#REF!</v>
      </c>
      <c r="AL86" s="164" t="s">
        <v>271</v>
      </c>
      <c r="AM86" s="188" t="s">
        <v>633</v>
      </c>
      <c r="AP86" s="323" t="str">
        <f>Table12117[[#This Row],[Risk Location ]]</f>
        <v>India</v>
      </c>
      <c r="AQ86" s="324" t="str">
        <f>Table12117[[#This Row],[Sector (GICS Industry Group)]]</f>
        <v>Information Technology - Software &amp; Services</v>
      </c>
      <c r="AT86" s="278" t="e">
        <f>Table12117[[#This Row],[Percentage Impact]]*Table12117[[#This Row],[Amortised Limit A$ Balance]]</f>
        <v>#REF!</v>
      </c>
      <c r="AU86" s="278" t="e">
        <f>Table12117[[#This Row],[Amortised Limit A$ Balance]]*12%</f>
        <v>#REF!</v>
      </c>
      <c r="AV86" s="278" t="b">
        <f>IF(Table12117[[#This Row],[Everest]]="Everest",Table12117[[#This Row],[Assetinsure Amount ]]*0.2)</f>
        <v>0</v>
      </c>
      <c r="AW86" s="278"/>
      <c r="AX86" s="278" t="e">
        <f>MIN(Table12117[[#This Row],[Assetinsure Amount ]]-Table12117[[#This Row],[Reinsurance Everest Re]],Table12117[[#This Row],[Total Amount]])</f>
        <v>#REF!</v>
      </c>
      <c r="AY86" s="278">
        <f t="shared" si="10"/>
        <v>0</v>
      </c>
      <c r="BC86" s="278">
        <v>0</v>
      </c>
      <c r="BD86" s="278">
        <v>0</v>
      </c>
      <c r="BE86" s="278">
        <v>0</v>
      </c>
      <c r="BF86" s="278">
        <v>0</v>
      </c>
      <c r="BG86" s="278">
        <v>0</v>
      </c>
      <c r="BH86" s="278">
        <v>0</v>
      </c>
      <c r="BI86" s="226">
        <v>0</v>
      </c>
      <c r="BJ86" s="226"/>
      <c r="BL86" s="138" t="s">
        <v>1014</v>
      </c>
      <c r="BM86" s="276"/>
      <c r="BN86" s="272"/>
    </row>
    <row r="87" spans="1:66" ht="39.950000000000003" customHeight="1" x14ac:dyDescent="0.2">
      <c r="A87" s="131" t="s">
        <v>639</v>
      </c>
      <c r="B87" s="132" t="s">
        <v>24</v>
      </c>
      <c r="C87" s="65" t="s">
        <v>243</v>
      </c>
      <c r="D87" s="133" t="s">
        <v>38</v>
      </c>
      <c r="E87" s="14" t="s">
        <v>540</v>
      </c>
      <c r="F87" s="161" t="s">
        <v>35</v>
      </c>
      <c r="G87" s="14" t="s">
        <v>892</v>
      </c>
      <c r="H87" s="188" t="s">
        <v>259</v>
      </c>
      <c r="I87" s="188" t="s">
        <v>258</v>
      </c>
      <c r="J87" s="133" t="s">
        <v>638</v>
      </c>
      <c r="K87" s="192" t="s">
        <v>687</v>
      </c>
      <c r="L87" s="168" t="s">
        <v>139</v>
      </c>
      <c r="M87" s="194" t="s">
        <v>191</v>
      </c>
      <c r="N87" s="134" t="s">
        <v>323</v>
      </c>
      <c r="O87" s="167" t="s">
        <v>43</v>
      </c>
      <c r="P87" s="167" t="s">
        <v>538</v>
      </c>
      <c r="Q87" s="65" t="s">
        <v>534</v>
      </c>
      <c r="R87" s="135" t="s">
        <v>9</v>
      </c>
      <c r="S87" s="136" t="e">
        <f>20000/USD</f>
        <v>#REF!</v>
      </c>
      <c r="T87" s="62" t="e">
        <f>Table12117[[#This Row],[Amortised Limit A$ Balance]]*USD</f>
        <v>#REF!</v>
      </c>
      <c r="U87" s="136" t="e">
        <f>15000/USD</f>
        <v>#REF!</v>
      </c>
      <c r="V87" s="136" t="e">
        <f>40000/USD</f>
        <v>#REF!</v>
      </c>
      <c r="W87" s="136" t="e">
        <f>1806917.2/USD-407722/USD</f>
        <v>#REF!</v>
      </c>
      <c r="X87" s="147" t="s">
        <v>11</v>
      </c>
      <c r="Y87" s="185">
        <v>3.3300000000000003E-2</v>
      </c>
      <c r="Z87" s="137">
        <v>44425</v>
      </c>
      <c r="AA87" s="137">
        <v>46240</v>
      </c>
      <c r="AB87" s="137">
        <v>46270</v>
      </c>
      <c r="AC87" s="138">
        <f t="shared" si="16"/>
        <v>1846</v>
      </c>
      <c r="AD87" s="139" t="e">
        <f>IF(AB87-$A$1&gt;60,"No","Yes")</f>
        <v>#REF!</v>
      </c>
      <c r="AE87" s="138" t="e">
        <f>AB87-#REF!</f>
        <v>#REF!</v>
      </c>
      <c r="AF87" s="140" t="e">
        <f t="shared" si="18"/>
        <v>#REF!</v>
      </c>
      <c r="AG87" s="184" t="s">
        <v>436</v>
      </c>
      <c r="AH87" s="186" t="s">
        <v>1</v>
      </c>
      <c r="AI87" s="186" t="s">
        <v>1</v>
      </c>
      <c r="AJ87" s="187" t="s">
        <v>0</v>
      </c>
      <c r="AK87" s="11" t="e">
        <f t="shared" si="11"/>
        <v>#REF!</v>
      </c>
      <c r="AL87" s="164" t="s">
        <v>271</v>
      </c>
      <c r="AM87" s="188" t="s">
        <v>640</v>
      </c>
      <c r="AP87" s="197" t="str">
        <f>Table12117[[#This Row],[Risk Location ]]</f>
        <v>India</v>
      </c>
      <c r="AQ87" s="198" t="str">
        <f>Table12117[[#This Row],[Sector (GICS Industry Group)]]</f>
        <v>Information Technology - Software &amp; Services</v>
      </c>
      <c r="AT87" s="212" t="e">
        <f>Table12117[[#This Row],[Percentage Impact]]*Table12117[[#This Row],[Amortised Limit A$ Balance]]</f>
        <v>#REF!</v>
      </c>
      <c r="AU87" s="212" t="e">
        <f>Table12117[[#This Row],[Amortised Limit A$ Balance]]*12%</f>
        <v>#REF!</v>
      </c>
      <c r="AV87" s="212" t="e">
        <f>IF(Table12117[[#This Row],[Everest]]="Everest",Table12117[[#This Row],[Assetinsure Amount ]]*0.2)</f>
        <v>#REF!</v>
      </c>
      <c r="AW87" s="212"/>
      <c r="AX87" s="212" t="e">
        <f>MIN(Table12117[[#This Row],[Assetinsure Amount ]]-Table12117[[#This Row],[Reinsurance Everest Re]],Table12117[[#This Row],[Total Amount]])</f>
        <v>#REF!</v>
      </c>
      <c r="AY87" s="212">
        <f t="shared" si="10"/>
        <v>0</v>
      </c>
      <c r="BC87" s="212">
        <v>0</v>
      </c>
      <c r="BD87" s="212">
        <v>0</v>
      </c>
      <c r="BE87" s="212">
        <v>0</v>
      </c>
      <c r="BF87" s="212">
        <v>0</v>
      </c>
      <c r="BG87" s="212">
        <v>0</v>
      </c>
      <c r="BH87" s="212">
        <v>0</v>
      </c>
      <c r="BI87" s="226">
        <v>0</v>
      </c>
      <c r="BJ87" s="226"/>
      <c r="BL87" s="138" t="s">
        <v>1015</v>
      </c>
      <c r="BM87" s="112"/>
      <c r="BN87" s="58"/>
    </row>
    <row r="88" spans="1:66" ht="39.950000000000003" customHeight="1" x14ac:dyDescent="0.2">
      <c r="A88" s="131" t="s">
        <v>641</v>
      </c>
      <c r="B88" s="132" t="s">
        <v>51</v>
      </c>
      <c r="C88" s="65" t="s">
        <v>1144</v>
      </c>
      <c r="D88" s="133" t="s">
        <v>38</v>
      </c>
      <c r="E88" s="14" t="s">
        <v>540</v>
      </c>
      <c r="F88" s="161" t="s">
        <v>35</v>
      </c>
      <c r="G88" s="188" t="s">
        <v>475</v>
      </c>
      <c r="H88" s="131" t="s">
        <v>138</v>
      </c>
      <c r="I88" s="66" t="s">
        <v>138</v>
      </c>
      <c r="J88" s="133" t="s">
        <v>638</v>
      </c>
      <c r="K88" s="192" t="s">
        <v>687</v>
      </c>
      <c r="L88" s="168" t="s">
        <v>209</v>
      </c>
      <c r="M88" s="194" t="s">
        <v>191</v>
      </c>
      <c r="N88" s="134" t="s">
        <v>323</v>
      </c>
      <c r="O88" s="167" t="s">
        <v>43</v>
      </c>
      <c r="P88" s="167" t="s">
        <v>538</v>
      </c>
      <c r="Q88" s="65" t="s">
        <v>534</v>
      </c>
      <c r="R88" s="135" t="s">
        <v>9</v>
      </c>
      <c r="S88" s="136" t="e">
        <f>7500/USD</f>
        <v>#REF!</v>
      </c>
      <c r="T88" s="62">
        <v>7500</v>
      </c>
      <c r="U88" s="136" t="e">
        <f>Table12117[[#This Row],[Original Limit (A$)]]</f>
        <v>#REF!</v>
      </c>
      <c r="V88" s="136" t="e">
        <f>15000/USD</f>
        <v>#REF!</v>
      </c>
      <c r="W88" s="136" t="e">
        <f>1083687/USD</f>
        <v>#REF!</v>
      </c>
      <c r="X88" s="147" t="s">
        <v>11</v>
      </c>
      <c r="Y88" s="185">
        <v>6.7500000000000004E-2</v>
      </c>
      <c r="Z88" s="137">
        <v>44434</v>
      </c>
      <c r="AA88" s="137">
        <v>45791</v>
      </c>
      <c r="AB88" s="137">
        <v>45821</v>
      </c>
      <c r="AC88" s="138">
        <f t="shared" si="16"/>
        <v>1388</v>
      </c>
      <c r="AD88" s="139" t="e">
        <f t="shared" si="17"/>
        <v>#REF!</v>
      </c>
      <c r="AE88" s="138" t="e">
        <f>AB88-#REF!</f>
        <v>#REF!</v>
      </c>
      <c r="AF88" s="140" t="e">
        <f t="shared" si="18"/>
        <v>#REF!</v>
      </c>
      <c r="AG88" s="184"/>
      <c r="AH88" s="186" t="s">
        <v>1</v>
      </c>
      <c r="AI88" s="186" t="s">
        <v>1</v>
      </c>
      <c r="AJ88" s="187" t="s">
        <v>0</v>
      </c>
      <c r="AK88" s="11" t="e">
        <f t="shared" si="11"/>
        <v>#REF!</v>
      </c>
      <c r="AL88" s="164" t="s">
        <v>271</v>
      </c>
      <c r="AM88" s="188" t="s">
        <v>634</v>
      </c>
      <c r="AP88" s="197" t="str">
        <f>Table12117[[#This Row],[Risk Location ]]</f>
        <v>India</v>
      </c>
      <c r="AQ88" s="198" t="str">
        <f>Table12117[[#This Row],[Sector (GICS Industry Group)]]</f>
        <v>Health Care</v>
      </c>
      <c r="AT88" s="212" t="e">
        <f>Table12117[[#This Row],[Percentage Impact]]*Table12117[[#This Row],[Amortised Limit A$ Balance]]</f>
        <v>#REF!</v>
      </c>
      <c r="AU88" s="212" t="e">
        <f>Table12117[[#This Row],[Amortised Limit A$ Balance]]*12%</f>
        <v>#REF!</v>
      </c>
      <c r="AV88" s="212" t="b">
        <f>IF(Table12117[[#This Row],[Everest]]="Everest",Table12117[[#This Row],[Assetinsure Amount ]]*0.2)</f>
        <v>0</v>
      </c>
      <c r="AW88" s="212"/>
      <c r="AX88" s="212" t="e">
        <f>MIN(Table12117[[#This Row],[Assetinsure Amount ]]-Table12117[[#This Row],[Reinsurance Everest Re]],Table12117[[#This Row],[Total Amount]])</f>
        <v>#REF!</v>
      </c>
      <c r="AY88" s="212">
        <f t="shared" si="10"/>
        <v>0</v>
      </c>
      <c r="BC88" s="212">
        <v>0</v>
      </c>
      <c r="BD88" s="212">
        <v>0</v>
      </c>
      <c r="BE88" s="212">
        <v>0</v>
      </c>
      <c r="BF88" s="212">
        <v>0</v>
      </c>
      <c r="BG88" s="212">
        <v>0</v>
      </c>
      <c r="BH88" s="212">
        <v>0</v>
      </c>
      <c r="BI88" s="226">
        <v>0</v>
      </c>
      <c r="BJ88" s="226"/>
      <c r="BL88" s="138" t="s">
        <v>1018</v>
      </c>
      <c r="BM88" s="112"/>
      <c r="BN88" s="58"/>
    </row>
    <row r="89" spans="1:66" s="229" customFormat="1" ht="39.950000000000003" customHeight="1" x14ac:dyDescent="0.2">
      <c r="A89" s="131" t="s">
        <v>642</v>
      </c>
      <c r="B89" s="132" t="s">
        <v>67</v>
      </c>
      <c r="C89" s="270" t="s">
        <v>1142</v>
      </c>
      <c r="D89" s="133" t="s">
        <v>588</v>
      </c>
      <c r="E89" s="188" t="s">
        <v>499</v>
      </c>
      <c r="F89" s="161" t="s">
        <v>643</v>
      </c>
      <c r="G89" s="131" t="s">
        <v>891</v>
      </c>
      <c r="H89" s="133" t="s">
        <v>167</v>
      </c>
      <c r="I89" s="131" t="s">
        <v>167</v>
      </c>
      <c r="J89" s="133" t="s">
        <v>589</v>
      </c>
      <c r="K89" s="192" t="s">
        <v>218</v>
      </c>
      <c r="L89" s="168" t="s">
        <v>209</v>
      </c>
      <c r="M89" s="194" t="s">
        <v>191</v>
      </c>
      <c r="N89" s="134" t="s">
        <v>59</v>
      </c>
      <c r="O89" s="167" t="s">
        <v>43</v>
      </c>
      <c r="P89" s="167" t="s">
        <v>538</v>
      </c>
      <c r="Q89" s="270" t="s">
        <v>534</v>
      </c>
      <c r="R89" s="135" t="s">
        <v>644</v>
      </c>
      <c r="S89" s="136" t="e">
        <f>(15000+12000)/CAD</f>
        <v>#REF!</v>
      </c>
      <c r="T89" s="62">
        <f>15000+12000</f>
        <v>27000</v>
      </c>
      <c r="U89" s="136" t="e">
        <f>Table12117[[#This Row],[Original Limit (A$)]]</f>
        <v>#REF!</v>
      </c>
      <c r="V89" s="136" t="e">
        <f>(30000+22000)/CAD</f>
        <v>#REF!</v>
      </c>
      <c r="W89" s="136" t="e">
        <f>(2011126.25+875540.98)/CAD</f>
        <v>#REF!</v>
      </c>
      <c r="X89" s="147" t="s">
        <v>11</v>
      </c>
      <c r="Y89" s="185">
        <v>5.7500000000000002E-2</v>
      </c>
      <c r="Z89" s="137">
        <v>44433</v>
      </c>
      <c r="AA89" s="137">
        <v>46142</v>
      </c>
      <c r="AB89" s="137">
        <v>46142</v>
      </c>
      <c r="AC89" s="138">
        <f t="shared" si="16"/>
        <v>1710</v>
      </c>
      <c r="AD89" s="139" t="e">
        <f t="shared" si="17"/>
        <v>#REF!</v>
      </c>
      <c r="AE89" s="138" t="e">
        <f>AB89-#REF!</f>
        <v>#REF!</v>
      </c>
      <c r="AF89" s="140" t="e">
        <f t="shared" si="18"/>
        <v>#REF!</v>
      </c>
      <c r="AG89" s="184" t="s">
        <v>436</v>
      </c>
      <c r="AH89" s="186" t="s">
        <v>1</v>
      </c>
      <c r="AI89" s="186" t="s">
        <v>1</v>
      </c>
      <c r="AJ89" s="187" t="s">
        <v>1170</v>
      </c>
      <c r="AK89" s="229" t="e">
        <f t="shared" si="11"/>
        <v>#REF!</v>
      </c>
      <c r="AL89" s="164" t="s">
        <v>271</v>
      </c>
      <c r="AM89" s="188" t="s">
        <v>635</v>
      </c>
      <c r="AP89" s="323" t="str">
        <f>Table12117[[#This Row],[Risk Location ]]</f>
        <v>Canada</v>
      </c>
      <c r="AQ89" s="324" t="str">
        <f>Table12117[[#This Row],[Sector (GICS Industry Group)]]</f>
        <v>Information Technology - Hardware &amp; Equipment</v>
      </c>
      <c r="AT89" s="212" t="e">
        <f>Table12117[[#This Row],[Percentage Impact]]*Table12117[[#This Row],[Amortised Limit A$ Balance]]</f>
        <v>#REF!</v>
      </c>
      <c r="AU89" s="212" t="e">
        <f>Table12117[[#This Row],[Amortised Limit A$ Balance]]*12%</f>
        <v>#REF!</v>
      </c>
      <c r="AV89" s="212" t="e">
        <f>IF(Table12117[[#This Row],[Everest]]="Everest",Table12117[[#This Row],[Assetinsure Amount ]]*0.2)</f>
        <v>#REF!</v>
      </c>
      <c r="AW89" s="278"/>
      <c r="AX89" s="212" t="e">
        <f>MIN(Table12117[[#This Row],[Assetinsure Amount ]]-Table12117[[#This Row],[Reinsurance Everest Re]],Table12117[[#This Row],[Total Amount]])</f>
        <v>#REF!</v>
      </c>
      <c r="AY89" s="212">
        <f t="shared" si="10"/>
        <v>0</v>
      </c>
      <c r="BC89" s="278">
        <v>0</v>
      </c>
      <c r="BD89" s="278">
        <v>0</v>
      </c>
      <c r="BE89" s="278">
        <v>0</v>
      </c>
      <c r="BF89" s="278">
        <v>0</v>
      </c>
      <c r="BG89" s="278">
        <v>0</v>
      </c>
      <c r="BH89" s="278">
        <v>0</v>
      </c>
      <c r="BI89" s="226">
        <v>0</v>
      </c>
      <c r="BJ89" s="226"/>
      <c r="BL89" s="138" t="s">
        <v>1019</v>
      </c>
      <c r="BM89" s="276"/>
      <c r="BN89" s="272"/>
    </row>
    <row r="90" spans="1:66" ht="39.950000000000003" customHeight="1" x14ac:dyDescent="0.2">
      <c r="A90" s="131" t="s">
        <v>646</v>
      </c>
      <c r="B90" s="132" t="s">
        <v>67</v>
      </c>
      <c r="C90" s="65" t="s">
        <v>243</v>
      </c>
      <c r="D90" s="133" t="s">
        <v>38</v>
      </c>
      <c r="E90" s="14" t="s">
        <v>540</v>
      </c>
      <c r="F90" s="161" t="s">
        <v>35</v>
      </c>
      <c r="G90" s="14" t="s">
        <v>892</v>
      </c>
      <c r="H90" s="188" t="s">
        <v>259</v>
      </c>
      <c r="I90" s="188" t="s">
        <v>258</v>
      </c>
      <c r="J90" s="133" t="s">
        <v>142</v>
      </c>
      <c r="K90" s="192" t="s">
        <v>218</v>
      </c>
      <c r="L90" s="168" t="s">
        <v>209</v>
      </c>
      <c r="M90" s="194" t="s">
        <v>191</v>
      </c>
      <c r="N90" s="134" t="s">
        <v>323</v>
      </c>
      <c r="O90" s="167" t="s">
        <v>43</v>
      </c>
      <c r="P90" s="167" t="s">
        <v>538</v>
      </c>
      <c r="Q90" s="65" t="s">
        <v>534</v>
      </c>
      <c r="R90" s="135" t="s">
        <v>9</v>
      </c>
      <c r="S90" s="136" t="e">
        <f>6900/USD</f>
        <v>#REF!</v>
      </c>
      <c r="T90" s="62">
        <v>6146.2755399999996</v>
      </c>
      <c r="U90" s="136" t="e">
        <f>Table12117[[#This Row],[Amortised Limit in Original Currency]]/USD</f>
        <v>#REF!</v>
      </c>
      <c r="V90" s="136" t="e">
        <f>13800/USD</f>
        <v>#REF!</v>
      </c>
      <c r="W90" s="136" t="e">
        <f>579263.43/USD</f>
        <v>#REF!</v>
      </c>
      <c r="X90" s="147" t="s">
        <v>11</v>
      </c>
      <c r="Y90" s="185">
        <v>0.04</v>
      </c>
      <c r="Z90" s="137">
        <v>44441</v>
      </c>
      <c r="AA90" s="137">
        <v>46217</v>
      </c>
      <c r="AB90" s="137">
        <v>46217</v>
      </c>
      <c r="AC90" s="138">
        <f t="shared" si="16"/>
        <v>1777</v>
      </c>
      <c r="AD90" s="139" t="e">
        <f t="shared" si="17"/>
        <v>#REF!</v>
      </c>
      <c r="AE90" s="138" t="e">
        <f>AB90-#REF!</f>
        <v>#REF!</v>
      </c>
      <c r="AF90" s="140" t="e">
        <f t="shared" si="18"/>
        <v>#REF!</v>
      </c>
      <c r="AG90" s="184"/>
      <c r="AH90" s="186" t="s">
        <v>1</v>
      </c>
      <c r="AI90" s="186" t="s">
        <v>1</v>
      </c>
      <c r="AJ90" s="187" t="s">
        <v>0</v>
      </c>
      <c r="AK90" s="11" t="e">
        <f t="shared" si="11"/>
        <v>#REF!</v>
      </c>
      <c r="AL90" s="164" t="s">
        <v>271</v>
      </c>
      <c r="AM90" s="188" t="s">
        <v>645</v>
      </c>
      <c r="AP90" s="197" t="str">
        <f>Table12117[[#This Row],[Risk Location ]]</f>
        <v>India</v>
      </c>
      <c r="AQ90" s="198" t="str">
        <f>Table12117[[#This Row],[Sector (GICS Industry Group)]]</f>
        <v>Information Technology - Software &amp; Services</v>
      </c>
      <c r="AT90" s="212" t="e">
        <f>Table12117[[#This Row],[Percentage Impact]]*Table12117[[#This Row],[Amortised Limit A$ Balance]]</f>
        <v>#REF!</v>
      </c>
      <c r="AU90" s="212" t="e">
        <f>Table12117[[#This Row],[Amortised Limit A$ Balance]]*12%</f>
        <v>#REF!</v>
      </c>
      <c r="AV90" s="212" t="b">
        <f>IF(Table12117[[#This Row],[Everest]]="Everest",Table12117[[#This Row],[Assetinsure Amount ]]*0.2)</f>
        <v>0</v>
      </c>
      <c r="AW90" s="212"/>
      <c r="AX90" s="212" t="e">
        <f>MIN(Table12117[[#This Row],[Assetinsure Amount ]]-Table12117[[#This Row],[Reinsurance Everest Re]],Table12117[[#This Row],[Total Amount]])</f>
        <v>#REF!</v>
      </c>
      <c r="AY90" s="212">
        <f t="shared" si="10"/>
        <v>0</v>
      </c>
      <c r="BC90" s="212">
        <v>0</v>
      </c>
      <c r="BD90" s="212">
        <v>0</v>
      </c>
      <c r="BE90" s="212">
        <v>0</v>
      </c>
      <c r="BF90" s="212">
        <v>0</v>
      </c>
      <c r="BG90" s="212">
        <v>0</v>
      </c>
      <c r="BH90" s="212">
        <v>0</v>
      </c>
      <c r="BI90" s="226">
        <v>0</v>
      </c>
      <c r="BJ90" s="226"/>
      <c r="BL90" s="138" t="s">
        <v>1020</v>
      </c>
      <c r="BM90" s="112"/>
      <c r="BN90" s="58"/>
    </row>
    <row r="91" spans="1:66" ht="39.950000000000003" customHeight="1" x14ac:dyDescent="0.2">
      <c r="A91" s="131" t="s">
        <v>647</v>
      </c>
      <c r="B91" s="132" t="s">
        <v>243</v>
      </c>
      <c r="C91" s="65" t="s">
        <v>1141</v>
      </c>
      <c r="D91" s="133" t="s">
        <v>38</v>
      </c>
      <c r="E91" s="14" t="s">
        <v>540</v>
      </c>
      <c r="F91" s="161" t="s">
        <v>36</v>
      </c>
      <c r="G91" s="14" t="s">
        <v>102</v>
      </c>
      <c r="H91" s="14" t="s">
        <v>102</v>
      </c>
      <c r="I91" s="130" t="s">
        <v>473</v>
      </c>
      <c r="J91" s="133" t="s">
        <v>142</v>
      </c>
      <c r="K91" s="192" t="s">
        <v>218</v>
      </c>
      <c r="L91" s="168" t="s">
        <v>101</v>
      </c>
      <c r="M91" s="194" t="s">
        <v>191</v>
      </c>
      <c r="N91" s="134" t="s">
        <v>323</v>
      </c>
      <c r="O91" s="167" t="s">
        <v>43</v>
      </c>
      <c r="P91" s="167" t="s">
        <v>538</v>
      </c>
      <c r="Q91" s="65" t="s">
        <v>534</v>
      </c>
      <c r="R91" s="135" t="s">
        <v>9</v>
      </c>
      <c r="S91" s="136" t="e">
        <f>15000/USD</f>
        <v>#REF!</v>
      </c>
      <c r="T91" s="62">
        <v>15000</v>
      </c>
      <c r="U91" s="136" t="e">
        <f>Table12117[[#This Row],[Original Limit (A$)]]</f>
        <v>#REF!</v>
      </c>
      <c r="V91" s="136" t="e">
        <f>103000/USD</f>
        <v>#REF!</v>
      </c>
      <c r="W91" s="136" t="e">
        <f>552604.16/USD</f>
        <v>#REF!</v>
      </c>
      <c r="X91" s="147" t="s">
        <v>11</v>
      </c>
      <c r="Y91" s="185">
        <v>2.5000000000000001E-2</v>
      </c>
      <c r="Z91" s="137">
        <v>44441</v>
      </c>
      <c r="AA91" s="137">
        <v>45516</v>
      </c>
      <c r="AB91" s="137">
        <v>45516</v>
      </c>
      <c r="AC91" s="138">
        <f t="shared" si="16"/>
        <v>1076</v>
      </c>
      <c r="AD91" s="139" t="e">
        <f t="shared" si="17"/>
        <v>#REF!</v>
      </c>
      <c r="AE91" s="138" t="e">
        <f>AB91-#REF!</f>
        <v>#REF!</v>
      </c>
      <c r="AF91" s="140" t="e">
        <f t="shared" si="18"/>
        <v>#REF!</v>
      </c>
      <c r="AG91" s="184"/>
      <c r="AH91" s="186" t="s">
        <v>1</v>
      </c>
      <c r="AI91" s="186" t="s">
        <v>1</v>
      </c>
      <c r="AJ91" s="187" t="s">
        <v>0</v>
      </c>
      <c r="AK91" s="11" t="e">
        <f t="shared" si="11"/>
        <v>#REF!</v>
      </c>
      <c r="AL91" s="164" t="s">
        <v>271</v>
      </c>
      <c r="AM91" s="188" t="s">
        <v>648</v>
      </c>
      <c r="AP91" s="197" t="str">
        <f>Table12117[[#This Row],[Risk Location ]]</f>
        <v>China</v>
      </c>
      <c r="AQ91" s="198" t="str">
        <f>Table12117[[#This Row],[Sector (GICS Industry Group)]]</f>
        <v>Real Estate Investment</v>
      </c>
      <c r="AT91" s="212" t="e">
        <f>Table12117[[#This Row],[Percentage Impact]]*Table12117[[#This Row],[Amortised Limit A$ Balance]]</f>
        <v>#REF!</v>
      </c>
      <c r="AU91" s="212" t="e">
        <f>Table12117[[#This Row],[Amortised Limit A$ Balance]]*12%</f>
        <v>#REF!</v>
      </c>
      <c r="AV91" s="212" t="b">
        <f>IF(Table12117[[#This Row],[Everest]]="Everest",Table12117[[#This Row],[Assetinsure Amount ]]*0.2)</f>
        <v>0</v>
      </c>
      <c r="AW91" s="212"/>
      <c r="AX91" s="212" t="e">
        <f>MIN(Table12117[[#This Row],[Assetinsure Amount ]]-Table12117[[#This Row],[Reinsurance Everest Re]],Table12117[[#This Row],[Total Amount]])</f>
        <v>#REF!</v>
      </c>
      <c r="AY91" s="212">
        <f t="shared" si="10"/>
        <v>0</v>
      </c>
      <c r="BC91" s="212">
        <v>0</v>
      </c>
      <c r="BD91" s="212">
        <v>0</v>
      </c>
      <c r="BE91" s="212">
        <v>0</v>
      </c>
      <c r="BF91" s="212">
        <v>0</v>
      </c>
      <c r="BG91" s="212">
        <v>0</v>
      </c>
      <c r="BH91" s="212">
        <v>0</v>
      </c>
      <c r="BI91" s="226">
        <v>0</v>
      </c>
      <c r="BJ91" s="226"/>
      <c r="BL91" s="138" t="s">
        <v>1021</v>
      </c>
      <c r="BM91" s="112"/>
      <c r="BN91" s="58"/>
    </row>
    <row r="92" spans="1:66" ht="39.950000000000003" customHeight="1" x14ac:dyDescent="0.2">
      <c r="A92" s="131" t="s">
        <v>655</v>
      </c>
      <c r="B92" s="132" t="s">
        <v>23</v>
      </c>
      <c r="C92" s="65" t="s">
        <v>1142</v>
      </c>
      <c r="D92" s="133" t="s">
        <v>34</v>
      </c>
      <c r="E92" s="188" t="s">
        <v>34</v>
      </c>
      <c r="F92" s="161" t="s">
        <v>34</v>
      </c>
      <c r="G92" s="188" t="s">
        <v>475</v>
      </c>
      <c r="H92" s="131" t="s">
        <v>227</v>
      </c>
      <c r="I92" s="14" t="s">
        <v>228</v>
      </c>
      <c r="J92" s="133" t="s">
        <v>656</v>
      </c>
      <c r="K92" s="192" t="s">
        <v>656</v>
      </c>
      <c r="L92" s="168" t="s">
        <v>209</v>
      </c>
      <c r="M92" s="194" t="s">
        <v>191</v>
      </c>
      <c r="N92" s="134" t="s">
        <v>323</v>
      </c>
      <c r="O92" s="167" t="s">
        <v>43</v>
      </c>
      <c r="P92" s="167" t="s">
        <v>531</v>
      </c>
      <c r="Q92" s="65" t="s">
        <v>534</v>
      </c>
      <c r="R92" s="135" t="s">
        <v>8</v>
      </c>
      <c r="S92" s="136">
        <v>15000</v>
      </c>
      <c r="T92" s="62">
        <f>15000+10000</f>
        <v>25000</v>
      </c>
      <c r="U92" s="136">
        <f>Table12117[[#This Row],[Amortised Limit in Original Currency]]</f>
        <v>25000</v>
      </c>
      <c r="V92" s="136">
        <v>72688</v>
      </c>
      <c r="W92" s="136">
        <v>1465806.08</v>
      </c>
      <c r="X92" s="147" t="s">
        <v>11</v>
      </c>
      <c r="Y92" s="185">
        <v>3.5000000000000003E-2</v>
      </c>
      <c r="Z92" s="137">
        <v>44466</v>
      </c>
      <c r="AA92" s="137">
        <v>45473</v>
      </c>
      <c r="AB92" s="137">
        <v>45473</v>
      </c>
      <c r="AC92" s="138">
        <f t="shared" si="16"/>
        <v>1008</v>
      </c>
      <c r="AD92" s="139" t="e">
        <f t="shared" si="17"/>
        <v>#REF!</v>
      </c>
      <c r="AE92" s="138" t="e">
        <f>AB92-#REF!</f>
        <v>#REF!</v>
      </c>
      <c r="AF92" s="140" t="e">
        <f t="shared" si="18"/>
        <v>#REF!</v>
      </c>
      <c r="AG92" s="184" t="s">
        <v>436</v>
      </c>
      <c r="AH92" s="186" t="s">
        <v>1</v>
      </c>
      <c r="AI92" s="186" t="s">
        <v>1</v>
      </c>
      <c r="AJ92" s="187" t="s">
        <v>0</v>
      </c>
      <c r="AK92" s="143" t="e">
        <f t="shared" si="11"/>
        <v>#REF!</v>
      </c>
      <c r="AL92" s="164" t="s">
        <v>271</v>
      </c>
      <c r="AM92" s="188" t="s">
        <v>650</v>
      </c>
      <c r="AP92" s="197" t="str">
        <f>Table12117[[#This Row],[Risk Location ]]</f>
        <v>Australia</v>
      </c>
      <c r="AQ92" s="198" t="str">
        <f>Table12117[[#This Row],[Sector (GICS Industry Group)]]</f>
        <v>Health Care</v>
      </c>
      <c r="AT92" s="212">
        <f>Table12117[[#This Row],[Percentage Impact]]*Table12117[[#This Row],[Amortised Limit A$ Balance]]</f>
        <v>0</v>
      </c>
      <c r="AU92" s="212">
        <f>Table12117[[#This Row],[Amortised Limit A$ Balance]]*12%</f>
        <v>3000</v>
      </c>
      <c r="AV92" s="212">
        <f>IF(Table12117[[#This Row],[Everest]]="Everest",Table12117[[#This Row],[Assetinsure Amount ]]*0.2)</f>
        <v>600</v>
      </c>
      <c r="AW92" s="212"/>
      <c r="AX92" s="212">
        <f>MIN(Table12117[[#This Row],[Assetinsure Amount ]]-Table12117[[#This Row],[Reinsurance Everest Re]],Table12117[[#This Row],[Total Amount]])</f>
        <v>0</v>
      </c>
      <c r="AY92" s="212">
        <f t="shared" si="10"/>
        <v>0</v>
      </c>
      <c r="BC92" s="212">
        <v>0</v>
      </c>
      <c r="BD92" s="212">
        <v>0</v>
      </c>
      <c r="BE92" s="212">
        <v>0</v>
      </c>
      <c r="BF92" s="212">
        <v>0</v>
      </c>
      <c r="BG92" s="212">
        <v>0</v>
      </c>
      <c r="BH92" s="212">
        <v>0</v>
      </c>
      <c r="BI92" s="226">
        <v>0</v>
      </c>
      <c r="BJ92" s="226"/>
      <c r="BL92" s="138" t="s">
        <v>1022</v>
      </c>
      <c r="BM92" s="112"/>
      <c r="BN92" s="58"/>
    </row>
    <row r="93" spans="1:66" s="229" customFormat="1" ht="39.950000000000003" customHeight="1" x14ac:dyDescent="0.2">
      <c r="A93" s="131" t="s">
        <v>76</v>
      </c>
      <c r="B93" s="270" t="s">
        <v>51</v>
      </c>
      <c r="C93" s="65" t="s">
        <v>1142</v>
      </c>
      <c r="D93" s="133" t="s">
        <v>34</v>
      </c>
      <c r="E93" s="131" t="s">
        <v>34</v>
      </c>
      <c r="F93" s="161" t="s">
        <v>34</v>
      </c>
      <c r="G93" s="131" t="s">
        <v>104</v>
      </c>
      <c r="H93" s="131" t="s">
        <v>111</v>
      </c>
      <c r="I93" s="133" t="s">
        <v>112</v>
      </c>
      <c r="J93" s="133" t="s">
        <v>232</v>
      </c>
      <c r="K93" s="131" t="s">
        <v>21</v>
      </c>
      <c r="L93" s="269" t="s">
        <v>29</v>
      </c>
      <c r="M93" s="270" t="s">
        <v>191</v>
      </c>
      <c r="N93" s="269" t="s">
        <v>323</v>
      </c>
      <c r="O93" s="269" t="s">
        <v>43</v>
      </c>
      <c r="P93" s="167" t="s">
        <v>533</v>
      </c>
      <c r="Q93" s="167" t="s">
        <v>548</v>
      </c>
      <c r="R93" s="135" t="s">
        <v>9</v>
      </c>
      <c r="S93" s="136" t="e">
        <f>(20000+10000)/USD</f>
        <v>#REF!</v>
      </c>
      <c r="T93" s="62">
        <f>20000+10000</f>
        <v>30000</v>
      </c>
      <c r="U93" s="136" t="e">
        <f>Table12117[[#This Row],[Original Limit (A$)]]</f>
        <v>#REF!</v>
      </c>
      <c r="V93" s="136" t="e">
        <f>(74300+70000)/USD</f>
        <v>#REF!</v>
      </c>
      <c r="W93" s="136" t="e">
        <f>(818102.59+421269.37)/USD</f>
        <v>#REF!</v>
      </c>
      <c r="X93" s="147" t="s">
        <v>11</v>
      </c>
      <c r="Y93" s="185">
        <v>1.9E-2</v>
      </c>
      <c r="Z93" s="137">
        <v>44470</v>
      </c>
      <c r="AA93" s="137">
        <v>46203</v>
      </c>
      <c r="AB93" s="315">
        <v>46598</v>
      </c>
      <c r="AC93" s="138">
        <f t="shared" si="16"/>
        <v>2129</v>
      </c>
      <c r="AD93" s="139" t="e">
        <f t="shared" si="17"/>
        <v>#REF!</v>
      </c>
      <c r="AE93" s="138" t="e">
        <f>AB93-#REF!</f>
        <v>#REF!</v>
      </c>
      <c r="AF93" s="140" t="e">
        <f t="shared" si="18"/>
        <v>#REF!</v>
      </c>
      <c r="AG93" s="184" t="s">
        <v>436</v>
      </c>
      <c r="AH93" s="186" t="s">
        <v>1</v>
      </c>
      <c r="AI93" s="186" t="s">
        <v>1</v>
      </c>
      <c r="AJ93" s="187" t="s">
        <v>0</v>
      </c>
      <c r="AK93" s="164" t="e">
        <f t="shared" si="11"/>
        <v>#REF!</v>
      </c>
      <c r="AL93" s="164" t="s">
        <v>271</v>
      </c>
      <c r="AM93" s="188" t="s">
        <v>651</v>
      </c>
      <c r="AP93" s="197" t="str">
        <f>Table12117[[#This Row],[Risk Location ]]</f>
        <v>Australia</v>
      </c>
      <c r="AQ93" s="198" t="str">
        <f>Table12117[[#This Row],[Sector (GICS Industry Group)]]</f>
        <v>Materials</v>
      </c>
      <c r="AT93" s="212" t="e">
        <f>Table12117[[#This Row],[Percentage Impact]]*Table12117[[#This Row],[Amortised Limit A$ Balance]]</f>
        <v>#REF!</v>
      </c>
      <c r="AU93" s="212" t="e">
        <f>Table12117[[#This Row],[Amortised Limit A$ Balance]]*12%</f>
        <v>#REF!</v>
      </c>
      <c r="AV93" s="212" t="e">
        <f>IF(Table12117[[#This Row],[Everest]]="Everest",Table12117[[#This Row],[Assetinsure Amount ]]*0.2)</f>
        <v>#REF!</v>
      </c>
      <c r="AW93" s="278"/>
      <c r="AX93" s="212" t="e">
        <f>MIN(Table12117[[#This Row],[Assetinsure Amount ]]-Table12117[[#This Row],[Reinsurance Everest Re]],Table12117[[#This Row],[Total Amount]])</f>
        <v>#REF!</v>
      </c>
      <c r="AY93" s="212">
        <f t="shared" si="10"/>
        <v>0</v>
      </c>
      <c r="BC93" s="278">
        <v>0</v>
      </c>
      <c r="BD93" s="278">
        <v>0</v>
      </c>
      <c r="BE93" s="278">
        <v>0</v>
      </c>
      <c r="BF93" s="278">
        <v>0</v>
      </c>
      <c r="BG93" s="278">
        <v>0</v>
      </c>
      <c r="BH93" s="278">
        <v>0</v>
      </c>
      <c r="BI93" s="226">
        <v>0</v>
      </c>
      <c r="BJ93" s="226"/>
      <c r="BL93" s="138" t="s">
        <v>1138</v>
      </c>
      <c r="BM93" s="276"/>
      <c r="BN93" s="272"/>
    </row>
    <row r="94" spans="1:66" ht="39.950000000000003" customHeight="1" x14ac:dyDescent="0.2">
      <c r="A94" s="131" t="s">
        <v>678</v>
      </c>
      <c r="B94" s="132" t="s">
        <v>67</v>
      </c>
      <c r="C94" s="65" t="s">
        <v>1141</v>
      </c>
      <c r="D94" s="133" t="s">
        <v>127</v>
      </c>
      <c r="E94" s="131" t="s">
        <v>542</v>
      </c>
      <c r="F94" s="161" t="s">
        <v>308</v>
      </c>
      <c r="G94" s="14" t="s">
        <v>891</v>
      </c>
      <c r="H94" s="66" t="s">
        <v>167</v>
      </c>
      <c r="I94" s="131" t="s">
        <v>167</v>
      </c>
      <c r="J94" s="133" t="s">
        <v>677</v>
      </c>
      <c r="K94" s="192" t="s">
        <v>218</v>
      </c>
      <c r="L94" s="168" t="s">
        <v>209</v>
      </c>
      <c r="M94" s="65" t="s">
        <v>191</v>
      </c>
      <c r="N94" s="134" t="s">
        <v>59</v>
      </c>
      <c r="O94" s="13" t="s">
        <v>43</v>
      </c>
      <c r="P94" s="167" t="s">
        <v>538</v>
      </c>
      <c r="Q94" s="65" t="s">
        <v>534</v>
      </c>
      <c r="R94" s="135" t="s">
        <v>487</v>
      </c>
      <c r="S94" s="136" t="e">
        <f>(141285.69235+28257.15382)/NOK + 28914.29694/SEK</f>
        <v>#REF!</v>
      </c>
      <c r="T94" s="62">
        <f>(141285.69235+28257.15382) + 28914.29694</f>
        <v>198457.14311</v>
      </c>
      <c r="U94" s="136" t="e">
        <f>Table12117[[#This Row],[Original Limit (A$)]]</f>
        <v>#REF!</v>
      </c>
      <c r="V94" s="136" t="e">
        <f>(282571.38471+56514.30765)/NOK+57828.59387/SEK</f>
        <v>#REF!</v>
      </c>
      <c r="W94" s="136" t="e">
        <f>12175517.3625891/NOK+728511.61/SEK</f>
        <v>#REF!</v>
      </c>
      <c r="X94" s="147" t="s">
        <v>11</v>
      </c>
      <c r="Y94" s="185">
        <v>0.03</v>
      </c>
      <c r="Z94" s="137">
        <v>44476</v>
      </c>
      <c r="AA94" s="137">
        <v>46251</v>
      </c>
      <c r="AB94" s="137">
        <f>Table12117[[#This Row],[Expiry Date]]+5</f>
        <v>46256</v>
      </c>
      <c r="AC94" s="138">
        <f t="shared" si="16"/>
        <v>1781</v>
      </c>
      <c r="AD94" s="139" t="e">
        <f t="shared" si="17"/>
        <v>#REF!</v>
      </c>
      <c r="AE94" s="138" t="e">
        <f>AB94-#REF!</f>
        <v>#REF!</v>
      </c>
      <c r="AF94" s="140" t="e">
        <f t="shared" si="18"/>
        <v>#REF!</v>
      </c>
      <c r="AG94" s="184" t="s">
        <v>436</v>
      </c>
      <c r="AH94" s="186" t="s">
        <v>1</v>
      </c>
      <c r="AI94" s="186" t="s">
        <v>1</v>
      </c>
      <c r="AJ94" s="187" t="s">
        <v>0</v>
      </c>
      <c r="AK94" s="143" t="e">
        <f t="shared" si="11"/>
        <v>#REF!</v>
      </c>
      <c r="AL94" s="164" t="s">
        <v>271</v>
      </c>
      <c r="AM94" s="188" t="s">
        <v>673</v>
      </c>
      <c r="AP94" s="197" t="str">
        <f>Table12117[[#This Row],[Risk Location ]]</f>
        <v>Norway</v>
      </c>
      <c r="AQ94" s="198" t="str">
        <f>Table12117[[#This Row],[Sector (GICS Industry Group)]]</f>
        <v>Information Technology - Hardware &amp; Equipment</v>
      </c>
      <c r="AT94" s="212" t="e">
        <f>Table12117[[#This Row],[Percentage Impact]]*Table12117[[#This Row],[Amortised Limit A$ Balance]]</f>
        <v>#REF!</v>
      </c>
      <c r="AU94" s="212" t="e">
        <f>Table12117[[#This Row],[Amortised Limit A$ Balance]]*12%</f>
        <v>#REF!</v>
      </c>
      <c r="AV94" s="212" t="e">
        <f>IF(Table12117[[#This Row],[Everest]]="Everest",Table12117[[#This Row],[Assetinsure Amount ]]*0.2)</f>
        <v>#REF!</v>
      </c>
      <c r="AW94" s="212"/>
      <c r="AX94" s="212" t="e">
        <f>MIN(Table12117[[#This Row],[Assetinsure Amount ]]-Table12117[[#This Row],[Reinsurance Everest Re]],Table12117[[#This Row],[Total Amount]])</f>
        <v>#REF!</v>
      </c>
      <c r="AY94" s="212">
        <f t="shared" si="10"/>
        <v>0</v>
      </c>
      <c r="BC94" s="212">
        <v>0</v>
      </c>
      <c r="BD94" s="212">
        <v>0</v>
      </c>
      <c r="BE94" s="212">
        <v>0</v>
      </c>
      <c r="BF94" s="212">
        <v>0</v>
      </c>
      <c r="BG94" s="212">
        <v>0</v>
      </c>
      <c r="BH94" s="212">
        <v>0</v>
      </c>
      <c r="BI94" s="226"/>
      <c r="BJ94" s="226"/>
      <c r="BL94" s="138" t="s">
        <v>1024</v>
      </c>
      <c r="BM94" s="112"/>
      <c r="BN94" s="58"/>
    </row>
    <row r="95" spans="1:66" ht="39.950000000000003" customHeight="1" x14ac:dyDescent="0.2">
      <c r="A95" s="131" t="s">
        <v>679</v>
      </c>
      <c r="B95" s="132" t="s">
        <v>243</v>
      </c>
      <c r="C95" s="65" t="s">
        <v>243</v>
      </c>
      <c r="D95" s="133" t="s">
        <v>588</v>
      </c>
      <c r="E95" s="131" t="s">
        <v>542</v>
      </c>
      <c r="F95" s="161" t="s">
        <v>87</v>
      </c>
      <c r="G95" s="131" t="s">
        <v>48</v>
      </c>
      <c r="H95" s="131" t="s">
        <v>95</v>
      </c>
      <c r="I95" s="130" t="s">
        <v>447</v>
      </c>
      <c r="J95" s="133" t="s">
        <v>681</v>
      </c>
      <c r="K95" s="133" t="s">
        <v>680</v>
      </c>
      <c r="L95" s="168" t="s">
        <v>209</v>
      </c>
      <c r="M95" s="65" t="s">
        <v>191</v>
      </c>
      <c r="N95" s="134" t="s">
        <v>59</v>
      </c>
      <c r="O95" s="13" t="s">
        <v>43</v>
      </c>
      <c r="P95" s="167" t="s">
        <v>538</v>
      </c>
      <c r="Q95" s="65" t="s">
        <v>534</v>
      </c>
      <c r="R95" s="135" t="s">
        <v>9</v>
      </c>
      <c r="S95" s="136" t="e">
        <f>10000/USD</f>
        <v>#REF!</v>
      </c>
      <c r="T95" s="62">
        <v>13636.362999999999</v>
      </c>
      <c r="U95" s="136" t="e">
        <f>Table12117[[#This Row],[Amortised Limit in Original Currency]]/USD</f>
        <v>#REF!</v>
      </c>
      <c r="V95" s="136" t="e">
        <f>285000/USD</f>
        <v>#REF!</v>
      </c>
      <c r="W95" s="136" t="e">
        <f>659367.81/USD</f>
        <v>#REF!</v>
      </c>
      <c r="X95" s="147" t="s">
        <v>11</v>
      </c>
      <c r="Y95" s="185">
        <v>3.2500000000000001E-2</v>
      </c>
      <c r="Z95" s="137">
        <v>44491</v>
      </c>
      <c r="AA95" s="137">
        <v>46714</v>
      </c>
      <c r="AB95" s="137">
        <v>46714</v>
      </c>
      <c r="AC95" s="138">
        <f t="shared" si="16"/>
        <v>2224</v>
      </c>
      <c r="AD95" s="139" t="e">
        <f t="shared" si="17"/>
        <v>#REF!</v>
      </c>
      <c r="AE95" s="138" t="e">
        <f>AB95-#REF!</f>
        <v>#REF!</v>
      </c>
      <c r="AF95" s="140" t="e">
        <f t="shared" si="18"/>
        <v>#REF!</v>
      </c>
      <c r="AG95" s="184"/>
      <c r="AH95" s="186" t="s">
        <v>1</v>
      </c>
      <c r="AI95" s="186" t="s">
        <v>1</v>
      </c>
      <c r="AJ95" s="187" t="s">
        <v>818</v>
      </c>
      <c r="AK95" s="143" t="e">
        <f t="shared" si="11"/>
        <v>#REF!</v>
      </c>
      <c r="AL95" s="164" t="s">
        <v>1207</v>
      </c>
      <c r="AM95" s="188" t="s">
        <v>674</v>
      </c>
      <c r="AP95" s="197" t="str">
        <f>Table12117[[#This Row],[Risk Location ]]</f>
        <v>United Kingdom</v>
      </c>
      <c r="AQ95" s="198" t="str">
        <f>Table12117[[#This Row],[Sector (GICS Industry Group)]]</f>
        <v>Energy</v>
      </c>
      <c r="AT95" s="212" t="e">
        <f>Table12117[[#This Row],[Percentage Impact]]*Table12117[[#This Row],[Amortised Limit A$ Balance]]</f>
        <v>#REF!</v>
      </c>
      <c r="AU95" s="212" t="e">
        <f>Table12117[[#This Row],[Amortised Limit A$ Balance]]*12%</f>
        <v>#REF!</v>
      </c>
      <c r="AV95" s="212" t="b">
        <f>IF(Table12117[[#This Row],[Everest]]="Everest",Table12117[[#This Row],[Assetinsure Amount ]]*0.2)</f>
        <v>0</v>
      </c>
      <c r="AW95" s="212"/>
      <c r="AX95" s="212" t="e">
        <f>MIN(Table12117[[#This Row],[Assetinsure Amount ]]-Table12117[[#This Row],[Reinsurance Everest Re]],Table12117[[#This Row],[Total Amount]])</f>
        <v>#REF!</v>
      </c>
      <c r="AY95" s="212">
        <f t="shared" si="10"/>
        <v>0</v>
      </c>
      <c r="BC95" s="212">
        <v>0</v>
      </c>
      <c r="BD95" s="212">
        <v>0</v>
      </c>
      <c r="BE95" s="212">
        <v>0</v>
      </c>
      <c r="BF95" s="212">
        <v>0</v>
      </c>
      <c r="BG95" s="212">
        <v>0</v>
      </c>
      <c r="BH95" s="212">
        <v>0</v>
      </c>
      <c r="BI95" s="226"/>
      <c r="BJ95" s="226"/>
      <c r="BL95" s="138" t="s">
        <v>1025</v>
      </c>
      <c r="BM95" s="112"/>
      <c r="BN95" s="58"/>
    </row>
    <row r="96" spans="1:66" ht="39.950000000000003" customHeight="1" x14ac:dyDescent="0.2">
      <c r="A96" s="131" t="s">
        <v>693</v>
      </c>
      <c r="B96" s="132" t="s">
        <v>24</v>
      </c>
      <c r="C96" s="65" t="s">
        <v>243</v>
      </c>
      <c r="D96" s="133" t="s">
        <v>34</v>
      </c>
      <c r="E96" s="131" t="s">
        <v>34</v>
      </c>
      <c r="F96" s="161" t="s">
        <v>34</v>
      </c>
      <c r="G96" s="131" t="s">
        <v>475</v>
      </c>
      <c r="H96" s="131" t="s">
        <v>227</v>
      </c>
      <c r="I96" s="14" t="s">
        <v>228</v>
      </c>
      <c r="J96" s="133" t="s">
        <v>70</v>
      </c>
      <c r="K96" s="192" t="s">
        <v>218</v>
      </c>
      <c r="L96" s="168" t="s">
        <v>209</v>
      </c>
      <c r="M96" s="65" t="s">
        <v>191</v>
      </c>
      <c r="N96" s="134" t="s">
        <v>323</v>
      </c>
      <c r="O96" s="13" t="s">
        <v>43</v>
      </c>
      <c r="P96" s="167" t="s">
        <v>538</v>
      </c>
      <c r="Q96" s="65" t="s">
        <v>534</v>
      </c>
      <c r="R96" s="135" t="s">
        <v>8</v>
      </c>
      <c r="S96" s="136">
        <v>15000</v>
      </c>
      <c r="T96" s="62">
        <v>15000</v>
      </c>
      <c r="U96" s="136">
        <f>Table12117[[#This Row],[Original Limit (A$)]]</f>
        <v>15000</v>
      </c>
      <c r="V96" s="136">
        <v>41500</v>
      </c>
      <c r="W96" s="136">
        <v>1397273.98</v>
      </c>
      <c r="X96" s="147" t="s">
        <v>11</v>
      </c>
      <c r="Y96" s="185">
        <v>0.04</v>
      </c>
      <c r="Z96" s="137">
        <v>44515</v>
      </c>
      <c r="AA96" s="137">
        <v>46309</v>
      </c>
      <c r="AB96" s="137">
        <v>46320</v>
      </c>
      <c r="AC96" s="138">
        <f t="shared" si="16"/>
        <v>1806</v>
      </c>
      <c r="AD96" s="139" t="e">
        <f t="shared" si="17"/>
        <v>#REF!</v>
      </c>
      <c r="AE96" s="138" t="e">
        <f>AB96-#REF!</f>
        <v>#REF!</v>
      </c>
      <c r="AF96" s="140" t="e">
        <f t="shared" si="18"/>
        <v>#REF!</v>
      </c>
      <c r="AG96" s="184"/>
      <c r="AH96" s="186" t="s">
        <v>1</v>
      </c>
      <c r="AI96" s="186" t="s">
        <v>1</v>
      </c>
      <c r="AJ96" s="187" t="s">
        <v>0</v>
      </c>
      <c r="AK96" s="143" t="e">
        <f t="shared" si="11"/>
        <v>#REF!</v>
      </c>
      <c r="AL96" s="164" t="s">
        <v>271</v>
      </c>
      <c r="AM96" s="188" t="s">
        <v>689</v>
      </c>
      <c r="AP96" s="197" t="str">
        <f>Table12117[[#This Row],[Risk Location ]]</f>
        <v>Australia</v>
      </c>
      <c r="AQ96" s="198" t="str">
        <f>Table12117[[#This Row],[Sector (GICS Industry Group)]]</f>
        <v>Health Care</v>
      </c>
      <c r="AT96" s="212">
        <f>Table12117[[#This Row],[Percentage Impact]]*Table12117[[#This Row],[Amortised Limit A$ Balance]]</f>
        <v>0</v>
      </c>
      <c r="AU96" s="212">
        <f>Table12117[[#This Row],[Amortised Limit A$ Balance]]*12%</f>
        <v>1800</v>
      </c>
      <c r="AV96" s="212" t="b">
        <f>IF(Table12117[[#This Row],[Everest]]="Everest",Table12117[[#This Row],[Assetinsure Amount ]]*0.2)</f>
        <v>0</v>
      </c>
      <c r="AW96" s="212"/>
      <c r="AX96" s="212">
        <f>MIN(Table12117[[#This Row],[Assetinsure Amount ]]-Table12117[[#This Row],[Reinsurance Everest Re]],Table12117[[#This Row],[Total Amount]])</f>
        <v>0</v>
      </c>
      <c r="AY96" s="212">
        <f t="shared" si="10"/>
        <v>0</v>
      </c>
      <c r="BC96" s="212">
        <v>0</v>
      </c>
      <c r="BD96" s="212">
        <v>0</v>
      </c>
      <c r="BE96" s="212">
        <v>0</v>
      </c>
      <c r="BF96" s="212">
        <v>0</v>
      </c>
      <c r="BG96" s="212">
        <v>0</v>
      </c>
      <c r="BH96" s="212">
        <v>0</v>
      </c>
      <c r="BI96" s="226"/>
      <c r="BJ96" s="226"/>
      <c r="BL96" s="138" t="s">
        <v>1026</v>
      </c>
      <c r="BM96" s="112"/>
      <c r="BN96" s="58"/>
    </row>
    <row r="97" spans="1:67" s="229" customFormat="1" ht="39.950000000000003" customHeight="1" x14ac:dyDescent="0.2">
      <c r="A97" s="131" t="s">
        <v>694</v>
      </c>
      <c r="B97" s="132" t="s">
        <v>51</v>
      </c>
      <c r="C97" s="270" t="s">
        <v>243</v>
      </c>
      <c r="D97" s="133" t="s">
        <v>38</v>
      </c>
      <c r="E97" s="131" t="s">
        <v>541</v>
      </c>
      <c r="F97" s="161" t="s">
        <v>38</v>
      </c>
      <c r="G97" s="131" t="s">
        <v>173</v>
      </c>
      <c r="H97" s="133" t="s">
        <v>316</v>
      </c>
      <c r="I97" s="133" t="s">
        <v>197</v>
      </c>
      <c r="J97" s="131" t="s">
        <v>50</v>
      </c>
      <c r="K97" s="161" t="s">
        <v>21</v>
      </c>
      <c r="L97" s="168" t="s">
        <v>209</v>
      </c>
      <c r="M97" s="270" t="s">
        <v>191</v>
      </c>
      <c r="N97" s="134" t="s">
        <v>323</v>
      </c>
      <c r="O97" s="269" t="s">
        <v>43</v>
      </c>
      <c r="P97" s="167" t="s">
        <v>531</v>
      </c>
      <c r="Q97" s="270" t="s">
        <v>534</v>
      </c>
      <c r="R97" s="135" t="s">
        <v>9</v>
      </c>
      <c r="S97" s="136" t="e">
        <f>(4750-610.71428)/USD</f>
        <v>#REF!</v>
      </c>
      <c r="T97" s="62">
        <f>4750-610.71428</f>
        <v>4139.2857199999999</v>
      </c>
      <c r="U97" s="136" t="e">
        <f>+Table12117[[#This Row],[Amortised Limit in Original Currency]]/USD</f>
        <v>#REF!</v>
      </c>
      <c r="V97" s="136" t="e">
        <f>(9500)/USD</f>
        <v>#REF!</v>
      </c>
      <c r="W97" s="136" t="e">
        <f>(394680.75-32365.39-127714.13-155.62)/USD</f>
        <v>#REF!</v>
      </c>
      <c r="X97" s="147" t="s">
        <v>11</v>
      </c>
      <c r="Y97" s="185">
        <v>3.2500000000000001E-2</v>
      </c>
      <c r="Z97" s="137">
        <v>44511</v>
      </c>
      <c r="AA97" s="137">
        <v>44511</v>
      </c>
      <c r="AB97" s="137">
        <v>46277</v>
      </c>
      <c r="AC97" s="138">
        <f t="shared" si="16"/>
        <v>1767</v>
      </c>
      <c r="AD97" s="139" t="e">
        <f t="shared" si="17"/>
        <v>#REF!</v>
      </c>
      <c r="AE97" s="138" t="e">
        <f>AB97-#REF!</f>
        <v>#REF!</v>
      </c>
      <c r="AF97" s="140" t="e">
        <f t="shared" si="18"/>
        <v>#REF!</v>
      </c>
      <c r="AG97" s="184"/>
      <c r="AH97" s="186" t="s">
        <v>1</v>
      </c>
      <c r="AI97" s="186" t="s">
        <v>1</v>
      </c>
      <c r="AJ97" s="187" t="s">
        <v>0</v>
      </c>
      <c r="AK97" s="164" t="e">
        <f t="shared" si="11"/>
        <v>#REF!</v>
      </c>
      <c r="AL97" s="164" t="s">
        <v>271</v>
      </c>
      <c r="AM97" s="188" t="s">
        <v>690</v>
      </c>
      <c r="AP97" s="323" t="str">
        <f>Table12117[[#This Row],[Risk Location ]]</f>
        <v>Singapore</v>
      </c>
      <c r="AQ97" s="324" t="str">
        <f>Table12117[[#This Row],[Sector (GICS Industry Group)]]</f>
        <v>Automobiles &amp; Components</v>
      </c>
      <c r="AT97" s="212" t="e">
        <f>Table12117[[#This Row],[Percentage Impact]]*Table12117[[#This Row],[Amortised Limit A$ Balance]]</f>
        <v>#REF!</v>
      </c>
      <c r="AU97" s="212" t="e">
        <f>Table12117[[#This Row],[Amortised Limit A$ Balance]]*12%</f>
        <v>#REF!</v>
      </c>
      <c r="AV97" s="212" t="b">
        <f>IF(Table12117[[#This Row],[Everest]]="Everest",Table12117[[#This Row],[Assetinsure Amount ]]*0.2)</f>
        <v>0</v>
      </c>
      <c r="AW97" s="278"/>
      <c r="AX97" s="212" t="e">
        <f>MIN(Table12117[[#This Row],[Assetinsure Amount ]]-Table12117[[#This Row],[Reinsurance Everest Re]],Table12117[[#This Row],[Total Amount]])</f>
        <v>#REF!</v>
      </c>
      <c r="AY97" s="212">
        <f t="shared" si="10"/>
        <v>0</v>
      </c>
      <c r="BC97" s="278">
        <v>0</v>
      </c>
      <c r="BD97" s="278">
        <v>0</v>
      </c>
      <c r="BE97" s="278">
        <v>0</v>
      </c>
      <c r="BF97" s="278">
        <v>0</v>
      </c>
      <c r="BG97" s="278">
        <v>0</v>
      </c>
      <c r="BH97" s="278">
        <v>0</v>
      </c>
      <c r="BI97" s="226"/>
      <c r="BJ97" s="226"/>
      <c r="BL97" s="138" t="s">
        <v>1027</v>
      </c>
      <c r="BM97" s="276"/>
      <c r="BN97" s="272"/>
    </row>
    <row r="98" spans="1:67" ht="39.950000000000003" customHeight="1" x14ac:dyDescent="0.2">
      <c r="A98" s="131" t="s">
        <v>695</v>
      </c>
      <c r="B98" s="132" t="s">
        <v>23</v>
      </c>
      <c r="C98" s="65" t="s">
        <v>1144</v>
      </c>
      <c r="D98" s="133" t="s">
        <v>149</v>
      </c>
      <c r="E98" s="14" t="s">
        <v>542</v>
      </c>
      <c r="F98" s="161" t="s">
        <v>166</v>
      </c>
      <c r="G98" s="14" t="s">
        <v>102</v>
      </c>
      <c r="H98" s="14" t="s">
        <v>102</v>
      </c>
      <c r="I98" s="130" t="s">
        <v>103</v>
      </c>
      <c r="J98" s="133" t="s">
        <v>148</v>
      </c>
      <c r="K98" s="133" t="s">
        <v>148</v>
      </c>
      <c r="L98" s="168" t="s">
        <v>101</v>
      </c>
      <c r="M98" s="65" t="s">
        <v>191</v>
      </c>
      <c r="N98" s="134" t="s">
        <v>59</v>
      </c>
      <c r="O98" s="13" t="s">
        <v>43</v>
      </c>
      <c r="P98" s="167" t="s">
        <v>538</v>
      </c>
      <c r="Q98" s="65" t="s">
        <v>534</v>
      </c>
      <c r="R98" s="135" t="s">
        <v>59</v>
      </c>
      <c r="S98" s="136" t="e">
        <f>6250/EUR</f>
        <v>#REF!</v>
      </c>
      <c r="T98" s="62">
        <v>6250</v>
      </c>
      <c r="U98" s="136" t="e">
        <f>Table12117[[#This Row],[Original Limit (A$)]]</f>
        <v>#REF!</v>
      </c>
      <c r="V98" s="136" t="e">
        <f>70000/EUR</f>
        <v>#REF!</v>
      </c>
      <c r="W98" s="136" t="e">
        <f>451171.84/EUR</f>
        <v>#REF!</v>
      </c>
      <c r="X98" s="147" t="s">
        <v>11</v>
      </c>
      <c r="Y98" s="185">
        <v>1.6500000000000001E-2</v>
      </c>
      <c r="Z98" s="137">
        <v>44498</v>
      </c>
      <c r="AA98" s="137">
        <v>46920</v>
      </c>
      <c r="AB98" s="137">
        <v>46920</v>
      </c>
      <c r="AC98" s="138">
        <f t="shared" si="16"/>
        <v>2423</v>
      </c>
      <c r="AD98" s="139" t="e">
        <f t="shared" si="17"/>
        <v>#REF!</v>
      </c>
      <c r="AE98" s="138" t="e">
        <f>AB98-#REF!</f>
        <v>#REF!</v>
      </c>
      <c r="AF98" s="140" t="e">
        <f t="shared" si="18"/>
        <v>#REF!</v>
      </c>
      <c r="AG98" s="184"/>
      <c r="AH98" s="186" t="s">
        <v>1</v>
      </c>
      <c r="AI98" s="186" t="s">
        <v>188</v>
      </c>
      <c r="AJ98" s="187" t="s">
        <v>0</v>
      </c>
      <c r="AK98" s="143" t="e">
        <f t="shared" si="11"/>
        <v>#REF!</v>
      </c>
      <c r="AL98" s="164" t="s">
        <v>271</v>
      </c>
      <c r="AM98" s="188" t="s">
        <v>691</v>
      </c>
      <c r="AP98" s="197" t="str">
        <f>Table12117[[#This Row],[Risk Location ]]</f>
        <v>France</v>
      </c>
      <c r="AQ98" s="198" t="str">
        <f>Table12117[[#This Row],[Sector (GICS Industry Group)]]</f>
        <v>Real Estate Investment</v>
      </c>
      <c r="AT98" s="212" t="e">
        <f>Table12117[[#This Row],[Percentage Impact]]*Table12117[[#This Row],[Amortised Limit A$ Balance]]</f>
        <v>#REF!</v>
      </c>
      <c r="AU98" s="212" t="e">
        <f>Table12117[[#This Row],[Amortised Limit A$ Balance]]*12%</f>
        <v>#REF!</v>
      </c>
      <c r="AV98" s="212" t="b">
        <f>IF(Table12117[[#This Row],[Everest]]="Everest",Table12117[[#This Row],[Assetinsure Amount ]]*0.2)</f>
        <v>0</v>
      </c>
      <c r="AW98" s="212"/>
      <c r="AX98" s="212" t="e">
        <f>MIN(Table12117[[#This Row],[Assetinsure Amount ]]-Table12117[[#This Row],[Reinsurance Everest Re]],Table12117[[#This Row],[Total Amount]])</f>
        <v>#REF!</v>
      </c>
      <c r="AY98" s="212">
        <f t="shared" si="10"/>
        <v>0</v>
      </c>
      <c r="BC98" s="212">
        <v>0</v>
      </c>
      <c r="BD98" s="212">
        <v>0</v>
      </c>
      <c r="BE98" s="212">
        <v>0</v>
      </c>
      <c r="BF98" s="212">
        <v>0</v>
      </c>
      <c r="BG98" s="212">
        <v>0</v>
      </c>
      <c r="BH98" s="212">
        <v>0</v>
      </c>
      <c r="BI98" s="226"/>
      <c r="BJ98" s="226"/>
      <c r="BL98" s="138" t="s">
        <v>1028</v>
      </c>
      <c r="BM98" s="112"/>
      <c r="BN98" s="58"/>
    </row>
    <row r="99" spans="1:67" ht="39.950000000000003" customHeight="1" x14ac:dyDescent="0.2">
      <c r="A99" s="131" t="s">
        <v>696</v>
      </c>
      <c r="B99" s="132" t="s">
        <v>24</v>
      </c>
      <c r="C99" s="65" t="s">
        <v>1144</v>
      </c>
      <c r="D99" s="133" t="s">
        <v>38</v>
      </c>
      <c r="E99" s="14" t="s">
        <v>540</v>
      </c>
      <c r="F99" s="161" t="s">
        <v>49</v>
      </c>
      <c r="G99" s="131" t="s">
        <v>48</v>
      </c>
      <c r="H99" s="131" t="s">
        <v>95</v>
      </c>
      <c r="I99" s="130" t="s">
        <v>447</v>
      </c>
      <c r="J99" s="133" t="s">
        <v>142</v>
      </c>
      <c r="K99" s="192" t="s">
        <v>218</v>
      </c>
      <c r="L99" s="13" t="s">
        <v>29</v>
      </c>
      <c r="M99" s="65" t="s">
        <v>191</v>
      </c>
      <c r="N99" s="134" t="s">
        <v>323</v>
      </c>
      <c r="O99" s="13" t="s">
        <v>43</v>
      </c>
      <c r="P99" s="167" t="s">
        <v>531</v>
      </c>
      <c r="Q99" s="65" t="s">
        <v>534</v>
      </c>
      <c r="R99" s="135" t="s">
        <v>9</v>
      </c>
      <c r="S99" s="136" t="e">
        <f>10000/USD</f>
        <v>#REF!</v>
      </c>
      <c r="T99" s="62">
        <v>8725</v>
      </c>
      <c r="U99" s="136" t="e">
        <f>Table12117[[#This Row],[Amortised Limit in Original Currency]]/USD</f>
        <v>#REF!</v>
      </c>
      <c r="V99" s="136" t="e">
        <f>15714.28571/USD</f>
        <v>#REF!</v>
      </c>
      <c r="W99" s="136" t="e">
        <f>(597507.6+335418.55)/USD</f>
        <v>#REF!</v>
      </c>
      <c r="X99" s="147" t="s">
        <v>11</v>
      </c>
      <c r="Y99" s="185">
        <v>0.06</v>
      </c>
      <c r="Z99" s="137">
        <v>44519</v>
      </c>
      <c r="AA99" s="137">
        <v>46125</v>
      </c>
      <c r="AB99" s="137">
        <v>46125</v>
      </c>
      <c r="AC99" s="138">
        <f t="shared" si="16"/>
        <v>1607</v>
      </c>
      <c r="AD99" s="139" t="e">
        <f t="shared" si="17"/>
        <v>#REF!</v>
      </c>
      <c r="AE99" s="138" t="e">
        <f>AB99-#REF!</f>
        <v>#REF!</v>
      </c>
      <c r="AF99" s="140" t="e">
        <f t="shared" si="18"/>
        <v>#REF!</v>
      </c>
      <c r="AG99" s="184"/>
      <c r="AH99" s="186" t="s">
        <v>1</v>
      </c>
      <c r="AI99" s="186" t="s">
        <v>1</v>
      </c>
      <c r="AJ99" s="187" t="s">
        <v>697</v>
      </c>
      <c r="AK99" s="143" t="e">
        <f t="shared" si="11"/>
        <v>#REF!</v>
      </c>
      <c r="AL99" s="164" t="s">
        <v>271</v>
      </c>
      <c r="AM99" s="188" t="s">
        <v>748</v>
      </c>
      <c r="AP99" s="197" t="str">
        <f>Table12117[[#This Row],[Risk Location ]]</f>
        <v>Indonesia</v>
      </c>
      <c r="AQ99" s="198" t="str">
        <f>Table12117[[#This Row],[Sector (GICS Industry Group)]]</f>
        <v>Energy</v>
      </c>
      <c r="AT99" s="212" t="e">
        <f>Table12117[[#This Row],[Percentage Impact]]*Table12117[[#This Row],[Amortised Limit A$ Balance]]</f>
        <v>#REF!</v>
      </c>
      <c r="AU99" s="212" t="e">
        <f>Table12117[[#This Row],[Amortised Limit A$ Balance]]*12%</f>
        <v>#REF!</v>
      </c>
      <c r="AV99" s="212" t="b">
        <f>IF(Table12117[[#This Row],[Everest]]="Everest",Table12117[[#This Row],[Assetinsure Amount ]]*0.2)</f>
        <v>0</v>
      </c>
      <c r="AW99" s="212"/>
      <c r="AX99" s="212" t="e">
        <f>MIN(Table12117[[#This Row],[Assetinsure Amount ]]-Table12117[[#This Row],[Reinsurance Everest Re]],Table12117[[#This Row],[Total Amount]])</f>
        <v>#REF!</v>
      </c>
      <c r="AY99" s="212">
        <f t="shared" si="10"/>
        <v>0</v>
      </c>
      <c r="BC99" s="212">
        <v>0</v>
      </c>
      <c r="BD99" s="212">
        <v>0</v>
      </c>
      <c r="BE99" s="212">
        <v>0</v>
      </c>
      <c r="BF99" s="212">
        <v>0</v>
      </c>
      <c r="BG99" s="212">
        <v>0</v>
      </c>
      <c r="BH99" s="212">
        <v>0</v>
      </c>
      <c r="BI99" s="226"/>
      <c r="BJ99" s="226"/>
      <c r="BL99" s="138" t="s">
        <v>1029</v>
      </c>
      <c r="BM99" s="112"/>
      <c r="BN99" s="58"/>
    </row>
    <row r="100" spans="1:67" ht="39.950000000000003" customHeight="1" x14ac:dyDescent="0.2">
      <c r="A100" s="131" t="s">
        <v>698</v>
      </c>
      <c r="B100" s="132" t="s">
        <v>23</v>
      </c>
      <c r="C100" s="65" t="s">
        <v>1143</v>
      </c>
      <c r="D100" s="133" t="s">
        <v>37</v>
      </c>
      <c r="E100" s="14" t="s">
        <v>540</v>
      </c>
      <c r="F100" s="161" t="s">
        <v>36</v>
      </c>
      <c r="G100" s="131" t="s">
        <v>543</v>
      </c>
      <c r="H100" s="131" t="s">
        <v>133</v>
      </c>
      <c r="I100" s="131" t="s">
        <v>133</v>
      </c>
      <c r="J100" s="133" t="s">
        <v>236</v>
      </c>
      <c r="K100" s="192" t="s">
        <v>21</v>
      </c>
      <c r="L100" s="13" t="s">
        <v>29</v>
      </c>
      <c r="M100" s="65" t="s">
        <v>191</v>
      </c>
      <c r="N100" s="134" t="s">
        <v>323</v>
      </c>
      <c r="O100" s="13" t="s">
        <v>43</v>
      </c>
      <c r="P100" s="167" t="s">
        <v>538</v>
      </c>
      <c r="Q100" s="167" t="s">
        <v>548</v>
      </c>
      <c r="R100" s="135" t="s">
        <v>9</v>
      </c>
      <c r="S100" s="136" t="e">
        <f>15000/USD</f>
        <v>#REF!</v>
      </c>
      <c r="T100" s="62">
        <v>15000</v>
      </c>
      <c r="U100" s="136" t="e">
        <f>Table12117[[#This Row],[Amortised Limit in Original Currency]]/USD</f>
        <v>#REF!</v>
      </c>
      <c r="V100" s="136" t="e">
        <f>45000/USD</f>
        <v>#REF!</v>
      </c>
      <c r="W100" s="136" t="e">
        <f>516090/USD</f>
        <v>#REF!</v>
      </c>
      <c r="X100" s="147" t="s">
        <v>11</v>
      </c>
      <c r="Y100" s="185">
        <v>1.4E-2</v>
      </c>
      <c r="Z100" s="137">
        <v>44524</v>
      </c>
      <c r="AA100" s="137">
        <v>46493</v>
      </c>
      <c r="AB100" s="137">
        <v>46493</v>
      </c>
      <c r="AC100" s="138">
        <f t="shared" si="16"/>
        <v>1970</v>
      </c>
      <c r="AD100" s="139" t="e">
        <f t="shared" si="17"/>
        <v>#REF!</v>
      </c>
      <c r="AE100" s="138" t="e">
        <f>AB100-#REF!</f>
        <v>#REF!</v>
      </c>
      <c r="AF100" s="140" t="e">
        <f t="shared" si="18"/>
        <v>#REF!</v>
      </c>
      <c r="AG100" s="184"/>
      <c r="AH100" s="186" t="s">
        <v>1</v>
      </c>
      <c r="AI100" s="186" t="s">
        <v>1</v>
      </c>
      <c r="AJ100" s="187" t="s">
        <v>0</v>
      </c>
      <c r="AK100" s="143" t="e">
        <f t="shared" si="11"/>
        <v>#REF!</v>
      </c>
      <c r="AL100" s="164" t="s">
        <v>271</v>
      </c>
      <c r="AM100" s="188" t="s">
        <v>699</v>
      </c>
      <c r="AP100" s="197" t="str">
        <f>Table12117[[#This Row],[Risk Location ]]</f>
        <v>China</v>
      </c>
      <c r="AQ100" s="198" t="str">
        <f>Table12117[[#This Row],[Sector (GICS Industry Group)]]</f>
        <v>Industrials</v>
      </c>
      <c r="AT100" s="212" t="e">
        <f>Table12117[[#This Row],[Percentage Impact]]*Table12117[[#This Row],[Amortised Limit A$ Balance]]</f>
        <v>#REF!</v>
      </c>
      <c r="AU100" s="212" t="e">
        <f>Table12117[[#This Row],[Amortised Limit A$ Balance]]*12%</f>
        <v>#REF!</v>
      </c>
      <c r="AV100" s="212" t="b">
        <f>IF(Table12117[[#This Row],[Everest]]="Everest",Table12117[[#This Row],[Assetinsure Amount ]]*0.2)</f>
        <v>0</v>
      </c>
      <c r="AW100" s="212"/>
      <c r="AX100" s="212" t="e">
        <f>MIN(Table12117[[#This Row],[Assetinsure Amount ]]-Table12117[[#This Row],[Reinsurance Everest Re]],Table12117[[#This Row],[Total Amount]])</f>
        <v>#REF!</v>
      </c>
      <c r="AY100" s="212">
        <f t="shared" si="10"/>
        <v>0</v>
      </c>
      <c r="BC100" s="212">
        <v>0</v>
      </c>
      <c r="BD100" s="212">
        <v>0</v>
      </c>
      <c r="BE100" s="212">
        <v>0</v>
      </c>
      <c r="BF100" s="212">
        <v>0</v>
      </c>
      <c r="BG100" s="212">
        <v>0</v>
      </c>
      <c r="BH100" s="212">
        <v>0</v>
      </c>
      <c r="BI100" s="226"/>
      <c r="BJ100" s="226"/>
      <c r="BL100" s="138" t="s">
        <v>1030</v>
      </c>
      <c r="BM100" s="112"/>
      <c r="BN100" s="58"/>
    </row>
    <row r="101" spans="1:67" ht="39.950000000000003" customHeight="1" x14ac:dyDescent="0.2">
      <c r="A101" s="131" t="s">
        <v>701</v>
      </c>
      <c r="B101" s="132" t="s">
        <v>24</v>
      </c>
      <c r="C101" s="65" t="s">
        <v>243</v>
      </c>
      <c r="D101" s="133" t="s">
        <v>38</v>
      </c>
      <c r="E101" s="14" t="s">
        <v>540</v>
      </c>
      <c r="F101" s="161" t="s">
        <v>35</v>
      </c>
      <c r="G101" s="14" t="s">
        <v>892</v>
      </c>
      <c r="H101" s="188" t="s">
        <v>259</v>
      </c>
      <c r="I101" s="188" t="s">
        <v>258</v>
      </c>
      <c r="J101" s="133" t="s">
        <v>50</v>
      </c>
      <c r="K101" s="192" t="s">
        <v>21</v>
      </c>
      <c r="L101" s="168" t="s">
        <v>139</v>
      </c>
      <c r="M101" s="194" t="s">
        <v>191</v>
      </c>
      <c r="N101" s="134" t="s">
        <v>323</v>
      </c>
      <c r="O101" s="167" t="s">
        <v>43</v>
      </c>
      <c r="P101" s="167" t="s">
        <v>538</v>
      </c>
      <c r="Q101" s="65" t="s">
        <v>534</v>
      </c>
      <c r="R101" s="135" t="s">
        <v>9</v>
      </c>
      <c r="S101" s="136" t="e">
        <f>5000/USD</f>
        <v>#REF!</v>
      </c>
      <c r="T101" s="62">
        <f>5000-245</f>
        <v>4755</v>
      </c>
      <c r="U101" s="136" t="e">
        <f>Table12117[[#This Row],[Amortised Limit in Original Currency]]/USD</f>
        <v>#REF!</v>
      </c>
      <c r="V101" s="136" t="e">
        <f>35000/USD</f>
        <v>#REF!</v>
      </c>
      <c r="W101" s="136" t="e">
        <f>(464793.08-157771.82)/USD</f>
        <v>#REF!</v>
      </c>
      <c r="X101" s="147" t="s">
        <v>11</v>
      </c>
      <c r="Y101" s="185">
        <v>3.3300000000000003E-2</v>
      </c>
      <c r="Z101" s="137">
        <v>44526</v>
      </c>
      <c r="AA101" s="137">
        <v>46271</v>
      </c>
      <c r="AB101" s="137">
        <v>46271</v>
      </c>
      <c r="AC101" s="138">
        <f t="shared" si="16"/>
        <v>1746</v>
      </c>
      <c r="AD101" s="139" t="e">
        <f t="shared" si="17"/>
        <v>#REF!</v>
      </c>
      <c r="AE101" s="138" t="e">
        <f>AB101-#REF!</f>
        <v>#REF!</v>
      </c>
      <c r="AF101" s="140" t="e">
        <f t="shared" si="18"/>
        <v>#REF!</v>
      </c>
      <c r="AG101" s="184"/>
      <c r="AH101" s="186" t="s">
        <v>1</v>
      </c>
      <c r="AI101" s="186" t="s">
        <v>1</v>
      </c>
      <c r="AJ101" s="187" t="s">
        <v>0</v>
      </c>
      <c r="AK101" s="11" t="e">
        <f t="shared" si="11"/>
        <v>#REF!</v>
      </c>
      <c r="AL101" s="164" t="s">
        <v>271</v>
      </c>
      <c r="AM101" s="188" t="s">
        <v>700</v>
      </c>
      <c r="AP101" s="197" t="str">
        <f>Table12117[[#This Row],[Risk Location ]]</f>
        <v>India</v>
      </c>
      <c r="AQ101" s="198" t="str">
        <f>Table12117[[#This Row],[Sector (GICS Industry Group)]]</f>
        <v>Information Technology - Software &amp; Services</v>
      </c>
      <c r="AT101" s="212" t="e">
        <f>Table12117[[#This Row],[Percentage Impact]]*Table12117[[#This Row],[Amortised Limit A$ Balance]]</f>
        <v>#REF!</v>
      </c>
      <c r="AU101" s="212" t="e">
        <f>Table12117[[#This Row],[Amortised Limit A$ Balance]]*12%</f>
        <v>#REF!</v>
      </c>
      <c r="AV101" s="212" t="b">
        <f>IF(Table12117[[#This Row],[Everest]]="Everest",Table12117[[#This Row],[Assetinsure Amount ]]*0.2)</f>
        <v>0</v>
      </c>
      <c r="AW101" s="212"/>
      <c r="AX101" s="212" t="e">
        <f>MIN(Table12117[[#This Row],[Assetinsure Amount ]]-Table12117[[#This Row],[Reinsurance Everest Re]],Table12117[[#This Row],[Total Amount]])</f>
        <v>#REF!</v>
      </c>
      <c r="AY101" s="212">
        <f t="shared" si="10"/>
        <v>0</v>
      </c>
      <c r="BC101" s="212">
        <v>0</v>
      </c>
      <c r="BD101" s="212">
        <v>0</v>
      </c>
      <c r="BE101" s="212">
        <v>0</v>
      </c>
      <c r="BF101" s="212">
        <v>0</v>
      </c>
      <c r="BG101" s="212">
        <v>0</v>
      </c>
      <c r="BH101" s="212">
        <v>0</v>
      </c>
      <c r="BI101" s="226"/>
      <c r="BJ101" s="226"/>
      <c r="BL101" s="138" t="s">
        <v>1016</v>
      </c>
      <c r="BM101" s="112"/>
      <c r="BN101" s="58"/>
    </row>
    <row r="102" spans="1:67" ht="39.950000000000003" customHeight="1" x14ac:dyDescent="0.2">
      <c r="A102" s="131" t="s">
        <v>702</v>
      </c>
      <c r="B102" s="132" t="s">
        <v>67</v>
      </c>
      <c r="C102" s="65" t="s">
        <v>243</v>
      </c>
      <c r="D102" s="133" t="s">
        <v>38</v>
      </c>
      <c r="E102" s="131" t="s">
        <v>34</v>
      </c>
      <c r="F102" s="161" t="s">
        <v>34</v>
      </c>
      <c r="G102" s="14" t="s">
        <v>891</v>
      </c>
      <c r="H102" s="66" t="s">
        <v>167</v>
      </c>
      <c r="I102" s="131" t="s">
        <v>167</v>
      </c>
      <c r="J102" s="133" t="s">
        <v>706</v>
      </c>
      <c r="K102" s="192" t="s">
        <v>220</v>
      </c>
      <c r="L102" s="168" t="s">
        <v>209</v>
      </c>
      <c r="M102" s="194" t="s">
        <v>191</v>
      </c>
      <c r="N102" s="134" t="s">
        <v>323</v>
      </c>
      <c r="O102" s="167" t="s">
        <v>43</v>
      </c>
      <c r="P102" s="167" t="s">
        <v>538</v>
      </c>
      <c r="Q102" s="65" t="s">
        <v>534</v>
      </c>
      <c r="R102" s="135" t="s">
        <v>8</v>
      </c>
      <c r="S102" s="136">
        <v>20000</v>
      </c>
      <c r="T102" s="62">
        <v>20000</v>
      </c>
      <c r="U102" s="136">
        <f>Table12117[[#This Row],[Original Limit (A$)]]</f>
        <v>20000</v>
      </c>
      <c r="V102" s="136">
        <v>155000</v>
      </c>
      <c r="W102" s="136">
        <f>1137586.84</f>
        <v>1137586.8400000001</v>
      </c>
      <c r="X102" s="147" t="s">
        <v>11</v>
      </c>
      <c r="Y102" s="185">
        <v>1.9E-2</v>
      </c>
      <c r="Z102" s="137">
        <v>44533</v>
      </c>
      <c r="AA102" s="137">
        <v>46359</v>
      </c>
      <c r="AB102" s="137">
        <v>46359</v>
      </c>
      <c r="AC102" s="138">
        <f t="shared" si="16"/>
        <v>1827</v>
      </c>
      <c r="AD102" s="139" t="e">
        <f t="shared" si="17"/>
        <v>#REF!</v>
      </c>
      <c r="AE102" s="138" t="e">
        <f>AB102-#REF!</f>
        <v>#REF!</v>
      </c>
      <c r="AF102" s="140" t="e">
        <f t="shared" si="18"/>
        <v>#REF!</v>
      </c>
      <c r="AG102" s="184"/>
      <c r="AH102" s="186" t="s">
        <v>1</v>
      </c>
      <c r="AI102" s="186" t="s">
        <v>1</v>
      </c>
      <c r="AJ102" s="187" t="s">
        <v>0</v>
      </c>
      <c r="AK102" s="143" t="e">
        <f t="shared" si="11"/>
        <v>#REF!</v>
      </c>
      <c r="AL102" s="164" t="s">
        <v>271</v>
      </c>
      <c r="AM102" s="188" t="s">
        <v>703</v>
      </c>
      <c r="AP102" s="197" t="str">
        <f>Table12117[[#This Row],[Risk Location ]]</f>
        <v>Australia</v>
      </c>
      <c r="AQ102" s="198" t="str">
        <f>Table12117[[#This Row],[Sector (GICS Industry Group)]]</f>
        <v>Information Technology - Hardware &amp; Equipment</v>
      </c>
      <c r="AT102" s="212">
        <f>Table12117[[#This Row],[Percentage Impact]]*Table12117[[#This Row],[Amortised Limit A$ Balance]]</f>
        <v>0</v>
      </c>
      <c r="AU102" s="212">
        <f>Table12117[[#This Row],[Amortised Limit A$ Balance]]*12%</f>
        <v>2400</v>
      </c>
      <c r="AV102" s="212" t="b">
        <f>IF(Table12117[[#This Row],[Everest]]="Everest",Table12117[[#This Row],[Assetinsure Amount ]]*0.2)</f>
        <v>0</v>
      </c>
      <c r="AW102" s="212"/>
      <c r="AX102" s="212">
        <f>MIN(Table12117[[#This Row],[Assetinsure Amount ]]-Table12117[[#This Row],[Reinsurance Everest Re]],Table12117[[#This Row],[Total Amount]])</f>
        <v>0</v>
      </c>
      <c r="AY102" s="212">
        <f t="shared" si="10"/>
        <v>0</v>
      </c>
      <c r="BC102" s="212">
        <v>0</v>
      </c>
      <c r="BD102" s="212">
        <v>0</v>
      </c>
      <c r="BE102" s="212">
        <v>0</v>
      </c>
      <c r="BF102" s="212">
        <v>0</v>
      </c>
      <c r="BG102" s="212">
        <v>0</v>
      </c>
      <c r="BH102" s="212">
        <v>0</v>
      </c>
      <c r="BI102" s="226"/>
      <c r="BJ102" s="226"/>
      <c r="BL102" s="138" t="s">
        <v>1017</v>
      </c>
      <c r="BM102" s="112"/>
      <c r="BN102" s="58"/>
    </row>
    <row r="103" spans="1:67" ht="39.950000000000003" customHeight="1" x14ac:dyDescent="0.2">
      <c r="A103" s="131" t="s">
        <v>713</v>
      </c>
      <c r="B103" s="132" t="s">
        <v>24</v>
      </c>
      <c r="C103" s="65" t="s">
        <v>243</v>
      </c>
      <c r="D103" s="133" t="s">
        <v>38</v>
      </c>
      <c r="E103" s="131" t="s">
        <v>34</v>
      </c>
      <c r="F103" s="161" t="s">
        <v>295</v>
      </c>
      <c r="G103" s="131" t="s">
        <v>544</v>
      </c>
      <c r="H103" s="131" t="s">
        <v>201</v>
      </c>
      <c r="I103" s="130" t="s">
        <v>200</v>
      </c>
      <c r="J103" s="133" t="s">
        <v>1088</v>
      </c>
      <c r="K103" s="192" t="s">
        <v>687</v>
      </c>
      <c r="L103" s="168" t="s">
        <v>209</v>
      </c>
      <c r="M103" s="194" t="s">
        <v>191</v>
      </c>
      <c r="N103" s="134" t="s">
        <v>323</v>
      </c>
      <c r="O103" s="167" t="s">
        <v>43</v>
      </c>
      <c r="P103" s="167" t="s">
        <v>538</v>
      </c>
      <c r="Q103" s="65" t="s">
        <v>534</v>
      </c>
      <c r="R103" s="135" t="s">
        <v>297</v>
      </c>
      <c r="S103" s="136">
        <f>12083.1486</f>
        <v>12083.1486</v>
      </c>
      <c r="T103" s="62">
        <f>Table12117[[#This Row],[Original Limit (A$)]]</f>
        <v>12083.1486</v>
      </c>
      <c r="U103" s="136">
        <f>Table12117[[#This Row],[Amortised Limit in Original Currency]]</f>
        <v>12083.1486</v>
      </c>
      <c r="V103" s="136">
        <v>24166.296999999999</v>
      </c>
      <c r="W103" s="136">
        <v>1652428.53</v>
      </c>
      <c r="X103" s="147" t="s">
        <v>11</v>
      </c>
      <c r="Y103" s="185">
        <v>4.2500000000000003E-2</v>
      </c>
      <c r="Z103" s="137">
        <v>44540</v>
      </c>
      <c r="AA103" s="137">
        <v>46691</v>
      </c>
      <c r="AB103" s="137">
        <v>46691</v>
      </c>
      <c r="AC103" s="138">
        <f t="shared" si="16"/>
        <v>2152</v>
      </c>
      <c r="AD103" s="139" t="e">
        <f t="shared" si="17"/>
        <v>#REF!</v>
      </c>
      <c r="AE103" s="138" t="e">
        <f>AB103-#REF!</f>
        <v>#REF!</v>
      </c>
      <c r="AF103" s="140" t="e">
        <f t="shared" si="18"/>
        <v>#REF!</v>
      </c>
      <c r="AG103" s="184"/>
      <c r="AH103" s="186" t="s">
        <v>1</v>
      </c>
      <c r="AI103" s="186" t="s">
        <v>1</v>
      </c>
      <c r="AJ103" s="187" t="s">
        <v>0</v>
      </c>
      <c r="AK103" s="143" t="e">
        <f t="shared" si="11"/>
        <v>#REF!</v>
      </c>
      <c r="AL103" s="164" t="s">
        <v>563</v>
      </c>
      <c r="AM103" s="188" t="s">
        <v>707</v>
      </c>
      <c r="AP103" s="197" t="str">
        <f>Table12117[[#This Row],[Risk Location ]]</f>
        <v>New Zealand</v>
      </c>
      <c r="AQ103" s="198" t="str">
        <f>Table12117[[#This Row],[Sector (GICS Industry Group)]]</f>
        <v>Consumer Discretionary</v>
      </c>
      <c r="AT103" s="212">
        <f>Table12117[[#This Row],[Percentage Impact]]*Table12117[[#This Row],[Amortised Limit A$ Balance]]</f>
        <v>0</v>
      </c>
      <c r="AU103" s="212">
        <f>Table12117[[#This Row],[Amortised Limit A$ Balance]]*12%</f>
        <v>1449.977832</v>
      </c>
      <c r="AV103" s="212" t="b">
        <f>IF(Table12117[[#This Row],[Everest]]="Everest",Table12117[[#This Row],[Assetinsure Amount ]]*0.2)</f>
        <v>0</v>
      </c>
      <c r="AW103" s="212"/>
      <c r="AX103" s="212">
        <f>MIN(Table12117[[#This Row],[Assetinsure Amount ]]-Table12117[[#This Row],[Reinsurance Everest Re]],Table12117[[#This Row],[Total Amount]])</f>
        <v>0</v>
      </c>
      <c r="AY103" s="212">
        <f t="shared" si="10"/>
        <v>0</v>
      </c>
      <c r="BC103" s="212">
        <v>0</v>
      </c>
      <c r="BD103" s="212">
        <v>0</v>
      </c>
      <c r="BE103" s="212">
        <v>0</v>
      </c>
      <c r="BF103" s="212">
        <v>0</v>
      </c>
      <c r="BG103" s="212">
        <v>0</v>
      </c>
      <c r="BH103" s="212">
        <v>0</v>
      </c>
      <c r="BI103" s="226"/>
      <c r="BJ103" s="226"/>
      <c r="BL103" s="138" t="s">
        <v>1031</v>
      </c>
      <c r="BM103" s="112"/>
      <c r="BN103" s="58"/>
    </row>
    <row r="104" spans="1:67" ht="39.950000000000003" customHeight="1" x14ac:dyDescent="0.2">
      <c r="A104" s="131" t="s">
        <v>718</v>
      </c>
      <c r="B104" s="132" t="s">
        <v>23</v>
      </c>
      <c r="C104" s="65" t="s">
        <v>1144</v>
      </c>
      <c r="D104" s="133" t="s">
        <v>88</v>
      </c>
      <c r="E104" s="131" t="s">
        <v>499</v>
      </c>
      <c r="F104" s="161" t="s">
        <v>162</v>
      </c>
      <c r="G104" s="131" t="s">
        <v>92</v>
      </c>
      <c r="H104" s="131" t="s">
        <v>134</v>
      </c>
      <c r="I104" s="130" t="s">
        <v>134</v>
      </c>
      <c r="J104" s="133" t="s">
        <v>61</v>
      </c>
      <c r="K104" s="192" t="s">
        <v>220</v>
      </c>
      <c r="L104" s="13" t="s">
        <v>68</v>
      </c>
      <c r="M104" s="194" t="s">
        <v>191</v>
      </c>
      <c r="N104" s="134" t="s">
        <v>59</v>
      </c>
      <c r="O104" s="167" t="s">
        <v>43</v>
      </c>
      <c r="P104" s="167" t="s">
        <v>533</v>
      </c>
      <c r="Q104" s="167" t="s">
        <v>548</v>
      </c>
      <c r="R104" s="135" t="s">
        <v>9</v>
      </c>
      <c r="S104" s="136" t="e">
        <f>7500/USD</f>
        <v>#REF!</v>
      </c>
      <c r="T104" s="62">
        <v>6600</v>
      </c>
      <c r="U104" s="136" t="e">
        <f>Table12117[[#This Row],[Amortised Limit in Original Currency]]/USD</f>
        <v>#REF!</v>
      </c>
      <c r="V104" s="136" t="e">
        <f>150000/USD</f>
        <v>#REF!</v>
      </c>
      <c r="W104" s="136" t="e">
        <f>230671.02/USD</f>
        <v>#REF!</v>
      </c>
      <c r="X104" s="147" t="s">
        <v>11</v>
      </c>
      <c r="Y104" s="185">
        <v>1.375E-2</v>
      </c>
      <c r="Z104" s="137">
        <v>44550</v>
      </c>
      <c r="AA104" s="137">
        <v>46200</v>
      </c>
      <c r="AB104" s="137">
        <v>46200</v>
      </c>
      <c r="AC104" s="138">
        <f t="shared" si="16"/>
        <v>1651</v>
      </c>
      <c r="AD104" s="139" t="e">
        <f t="shared" si="17"/>
        <v>#REF!</v>
      </c>
      <c r="AE104" s="138" t="e">
        <f>AB104-#REF!</f>
        <v>#REF!</v>
      </c>
      <c r="AF104" s="140" t="e">
        <f t="shared" si="18"/>
        <v>#REF!</v>
      </c>
      <c r="AG104" s="184"/>
      <c r="AH104" s="186" t="s">
        <v>1</v>
      </c>
      <c r="AI104" s="186" t="s">
        <v>1</v>
      </c>
      <c r="AJ104" s="187" t="s">
        <v>784</v>
      </c>
      <c r="AK104" s="143" t="e">
        <f t="shared" si="11"/>
        <v>#REF!</v>
      </c>
      <c r="AL104" s="164" t="s">
        <v>563</v>
      </c>
      <c r="AM104" s="188" t="s">
        <v>708</v>
      </c>
      <c r="AP104" s="197" t="str">
        <f>Table12117[[#This Row],[Risk Location ]]</f>
        <v>United States</v>
      </c>
      <c r="AQ104" s="198" t="str">
        <f>Table12117[[#This Row],[Sector (GICS Industry Group)]]</f>
        <v>Transportation</v>
      </c>
      <c r="AT104" s="212" t="e">
        <f>Table12117[[#This Row],[Percentage Impact]]*Table12117[[#This Row],[Amortised Limit A$ Balance]]</f>
        <v>#REF!</v>
      </c>
      <c r="AU104" s="212" t="e">
        <f>Table12117[[#This Row],[Amortised Limit A$ Balance]]*12%</f>
        <v>#REF!</v>
      </c>
      <c r="AV104" s="212" t="b">
        <f>IF(Table12117[[#This Row],[Everest]]="Everest",Table12117[[#This Row],[Assetinsure Amount ]]*0.2)</f>
        <v>0</v>
      </c>
      <c r="AW104" s="212"/>
      <c r="AX104" s="212" t="e">
        <f>MIN(Table12117[[#This Row],[Assetinsure Amount ]]-Table12117[[#This Row],[Reinsurance Everest Re]],Table12117[[#This Row],[Total Amount]])</f>
        <v>#REF!</v>
      </c>
      <c r="AY104" s="212">
        <f t="shared" si="10"/>
        <v>0</v>
      </c>
      <c r="BC104" s="212">
        <v>0</v>
      </c>
      <c r="BD104" s="212">
        <v>0</v>
      </c>
      <c r="BE104" s="212">
        <v>0</v>
      </c>
      <c r="BF104" s="212">
        <v>0</v>
      </c>
      <c r="BG104" s="212">
        <v>0</v>
      </c>
      <c r="BH104" s="212">
        <v>0</v>
      </c>
      <c r="BI104" s="226"/>
      <c r="BJ104" s="226"/>
      <c r="BL104" s="138" t="s">
        <v>1032</v>
      </c>
      <c r="BM104" s="112"/>
      <c r="BN104" s="58"/>
    </row>
    <row r="105" spans="1:67" ht="39.950000000000003" customHeight="1" x14ac:dyDescent="0.2">
      <c r="A105" s="131" t="s">
        <v>720</v>
      </c>
      <c r="B105" s="132" t="s">
        <v>67</v>
      </c>
      <c r="C105" s="65" t="s">
        <v>1144</v>
      </c>
      <c r="D105" s="133" t="s">
        <v>127</v>
      </c>
      <c r="E105" s="131" t="s">
        <v>499</v>
      </c>
      <c r="F105" s="161" t="s">
        <v>162</v>
      </c>
      <c r="G105" s="131" t="s">
        <v>233</v>
      </c>
      <c r="H105" s="131" t="s">
        <v>443</v>
      </c>
      <c r="I105" s="131" t="s">
        <v>234</v>
      </c>
      <c r="J105" s="133" t="s">
        <v>218</v>
      </c>
      <c r="K105" s="192" t="s">
        <v>218</v>
      </c>
      <c r="L105" s="168" t="s">
        <v>209</v>
      </c>
      <c r="M105" s="194" t="s">
        <v>191</v>
      </c>
      <c r="N105" s="134" t="s">
        <v>59</v>
      </c>
      <c r="O105" s="167" t="s">
        <v>43</v>
      </c>
      <c r="P105" s="167" t="s">
        <v>538</v>
      </c>
      <c r="Q105" s="65" t="s">
        <v>534</v>
      </c>
      <c r="R105" s="135" t="s">
        <v>59</v>
      </c>
      <c r="S105" s="136" t="e">
        <f>20000/EUR</f>
        <v>#REF!</v>
      </c>
      <c r="T105" s="62">
        <v>20000</v>
      </c>
      <c r="U105" s="136" t="e">
        <f>Table12117[[#This Row],[Amortised Limit in Original Currency]]/EUR</f>
        <v>#REF!</v>
      </c>
      <c r="V105" s="136" t="e">
        <f>15551.613/USD+9109.078/EUR+12416.215/EUR</f>
        <v>#REF!</v>
      </c>
      <c r="W105" s="136" t="e">
        <f>917159.78/EUR</f>
        <v>#REF!</v>
      </c>
      <c r="X105" s="147" t="s">
        <v>11</v>
      </c>
      <c r="Y105" s="185">
        <v>0.03</v>
      </c>
      <c r="Z105" s="137">
        <v>44547</v>
      </c>
      <c r="AA105" s="137">
        <v>46280</v>
      </c>
      <c r="AB105" s="137">
        <f>Table12117[[#This Row],[Expiry Date]]+5</f>
        <v>46285</v>
      </c>
      <c r="AC105" s="138">
        <f t="shared" si="16"/>
        <v>1739</v>
      </c>
      <c r="AD105" s="139" t="e">
        <f t="shared" si="17"/>
        <v>#REF!</v>
      </c>
      <c r="AE105" s="138" t="e">
        <f>AB105-#REF!</f>
        <v>#REF!</v>
      </c>
      <c r="AF105" s="140" t="e">
        <f t="shared" si="18"/>
        <v>#REF!</v>
      </c>
      <c r="AG105" s="184"/>
      <c r="AH105" s="186" t="s">
        <v>1</v>
      </c>
      <c r="AI105" s="186" t="s">
        <v>1</v>
      </c>
      <c r="AJ105" s="187" t="s">
        <v>0</v>
      </c>
      <c r="AK105" s="143" t="e">
        <f t="shared" si="11"/>
        <v>#REF!</v>
      </c>
      <c r="AL105" s="164" t="s">
        <v>271</v>
      </c>
      <c r="AM105" s="188" t="s">
        <v>709</v>
      </c>
      <c r="AP105" s="197" t="str">
        <f>Table12117[[#This Row],[Risk Location ]]</f>
        <v>United States</v>
      </c>
      <c r="AQ105" s="198" t="str">
        <f>Table12117[[#This Row],[Sector (GICS Industry Group)]]</f>
        <v>Telecommunication Services</v>
      </c>
      <c r="AT105" s="212" t="e">
        <f>Table12117[[#This Row],[Percentage Impact]]*Table12117[[#This Row],[Amortised Limit A$ Balance]]</f>
        <v>#REF!</v>
      </c>
      <c r="AU105" s="212" t="e">
        <f>Table12117[[#This Row],[Amortised Limit A$ Balance]]*12%</f>
        <v>#REF!</v>
      </c>
      <c r="AV105" s="212" t="b">
        <f>IF(Table12117[[#This Row],[Everest]]="Everest",Table12117[[#This Row],[Assetinsure Amount ]]*0.2)</f>
        <v>0</v>
      </c>
      <c r="AW105" s="212"/>
      <c r="AX105" s="212" t="e">
        <f>MIN(Table12117[[#This Row],[Assetinsure Amount ]]-Table12117[[#This Row],[Reinsurance Everest Re]],Table12117[[#This Row],[Total Amount]])</f>
        <v>#REF!</v>
      </c>
      <c r="AY105" s="212">
        <f t="shared" si="10"/>
        <v>0</v>
      </c>
      <c r="BC105" s="212">
        <v>0</v>
      </c>
      <c r="BD105" s="212">
        <v>0</v>
      </c>
      <c r="BE105" s="212">
        <v>0</v>
      </c>
      <c r="BF105" s="212">
        <v>0</v>
      </c>
      <c r="BG105" s="212">
        <v>0</v>
      </c>
      <c r="BH105" s="212">
        <v>0</v>
      </c>
      <c r="BI105" s="226"/>
      <c r="BJ105" s="226"/>
      <c r="BL105" s="138" t="s">
        <v>1033</v>
      </c>
      <c r="BM105" s="112"/>
      <c r="BN105" s="58"/>
    </row>
    <row r="106" spans="1:67" ht="39.950000000000003" customHeight="1" x14ac:dyDescent="0.2">
      <c r="A106" s="131" t="s">
        <v>721</v>
      </c>
      <c r="B106" s="132" t="s">
        <v>24</v>
      </c>
      <c r="C106" s="65" t="s">
        <v>1144</v>
      </c>
      <c r="D106" s="133" t="s">
        <v>38</v>
      </c>
      <c r="E106" s="14" t="s">
        <v>541</v>
      </c>
      <c r="F106" s="161" t="s">
        <v>37</v>
      </c>
      <c r="G106" s="131" t="s">
        <v>233</v>
      </c>
      <c r="H106" s="131" t="s">
        <v>443</v>
      </c>
      <c r="I106" s="131" t="s">
        <v>234</v>
      </c>
      <c r="J106" s="133" t="s">
        <v>142</v>
      </c>
      <c r="K106" s="192" t="s">
        <v>218</v>
      </c>
      <c r="L106" s="168" t="s">
        <v>209</v>
      </c>
      <c r="M106" s="194" t="s">
        <v>191</v>
      </c>
      <c r="N106" s="134" t="s">
        <v>323</v>
      </c>
      <c r="O106" s="167" t="s">
        <v>43</v>
      </c>
      <c r="P106" s="167" t="s">
        <v>538</v>
      </c>
      <c r="Q106" s="65" t="s">
        <v>534</v>
      </c>
      <c r="R106" s="135" t="s">
        <v>54</v>
      </c>
      <c r="S106" s="136" t="e">
        <f>120000/HKD</f>
        <v>#REF!</v>
      </c>
      <c r="T106" s="62">
        <v>120000</v>
      </c>
      <c r="U106" s="136" t="e">
        <f>Table12117[[#This Row],[Amortised Limit in Original Currency]]/HKD</f>
        <v>#REF!</v>
      </c>
      <c r="V106" s="136" t="e">
        <f>171428.571/HKD</f>
        <v>#REF!</v>
      </c>
      <c r="W106" s="136" t="e">
        <f>6427666.69/HKD</f>
        <v>#REF!</v>
      </c>
      <c r="X106" s="147" t="s">
        <v>11</v>
      </c>
      <c r="Y106" s="185">
        <v>2.1999999999999999E-2</v>
      </c>
      <c r="Z106" s="137">
        <v>44550</v>
      </c>
      <c r="AA106" s="137">
        <v>46316</v>
      </c>
      <c r="AB106" s="137">
        <v>46316</v>
      </c>
      <c r="AC106" s="138">
        <f t="shared" si="16"/>
        <v>1767</v>
      </c>
      <c r="AD106" s="139" t="e">
        <f t="shared" si="17"/>
        <v>#REF!</v>
      </c>
      <c r="AE106" s="138" t="e">
        <f>AB106-#REF!</f>
        <v>#REF!</v>
      </c>
      <c r="AF106" s="140" t="e">
        <f t="shared" si="18"/>
        <v>#REF!</v>
      </c>
      <c r="AG106" s="184"/>
      <c r="AH106" s="186" t="s">
        <v>1</v>
      </c>
      <c r="AI106" s="186" t="s">
        <v>1</v>
      </c>
      <c r="AJ106" s="187" t="s">
        <v>0</v>
      </c>
      <c r="AK106" s="143" t="e">
        <f t="shared" si="11"/>
        <v>#REF!</v>
      </c>
      <c r="AL106" s="164" t="s">
        <v>563</v>
      </c>
      <c r="AM106" s="188" t="s">
        <v>722</v>
      </c>
      <c r="AP106" s="197" t="str">
        <f>Table12117[[#This Row],[Risk Location ]]</f>
        <v>Hong Kong</v>
      </c>
      <c r="AQ106" s="198" t="str">
        <f>Table12117[[#This Row],[Sector (GICS Industry Group)]]</f>
        <v>Telecommunication Services</v>
      </c>
      <c r="AT106" s="212" t="e">
        <f>Table12117[[#This Row],[Percentage Impact]]*Table12117[[#This Row],[Amortised Limit A$ Balance]]</f>
        <v>#REF!</v>
      </c>
      <c r="AU106" s="212" t="e">
        <f>Table12117[[#This Row],[Amortised Limit A$ Balance]]*12%</f>
        <v>#REF!</v>
      </c>
      <c r="AV106" s="212" t="b">
        <f>IF(Table12117[[#This Row],[Everest]]="Everest",Table12117[[#This Row],[Assetinsure Amount ]]*0.2)</f>
        <v>0</v>
      </c>
      <c r="AW106" s="212"/>
      <c r="AX106" s="212" t="e">
        <f>MIN(Table12117[[#This Row],[Assetinsure Amount ]]-Table12117[[#This Row],[Reinsurance Everest Re]],Table12117[[#This Row],[Total Amount]])</f>
        <v>#REF!</v>
      </c>
      <c r="AY106" s="212">
        <f t="shared" si="10"/>
        <v>0</v>
      </c>
      <c r="BC106" s="212">
        <v>0</v>
      </c>
      <c r="BD106" s="212">
        <v>0</v>
      </c>
      <c r="BE106" s="212">
        <v>0</v>
      </c>
      <c r="BF106" s="212">
        <v>0</v>
      </c>
      <c r="BG106" s="212">
        <v>0</v>
      </c>
      <c r="BH106" s="212">
        <v>0</v>
      </c>
      <c r="BI106" s="226"/>
      <c r="BJ106" s="226"/>
      <c r="BL106" s="138" t="s">
        <v>938</v>
      </c>
      <c r="BM106" s="112"/>
      <c r="BN106" s="58"/>
    </row>
    <row r="107" spans="1:67" ht="39.950000000000003" customHeight="1" x14ac:dyDescent="0.2">
      <c r="A107" s="131" t="s">
        <v>723</v>
      </c>
      <c r="B107" s="132" t="s">
        <v>23</v>
      </c>
      <c r="C107" s="65" t="s">
        <v>1143</v>
      </c>
      <c r="D107" s="133" t="s">
        <v>127</v>
      </c>
      <c r="E107" s="131" t="s">
        <v>542</v>
      </c>
      <c r="F107" s="161" t="s">
        <v>91</v>
      </c>
      <c r="G107" s="131" t="s">
        <v>233</v>
      </c>
      <c r="H107" s="131" t="s">
        <v>443</v>
      </c>
      <c r="I107" s="131" t="s">
        <v>234</v>
      </c>
      <c r="J107" s="133" t="s">
        <v>165</v>
      </c>
      <c r="K107" s="192" t="s">
        <v>220</v>
      </c>
      <c r="L107" s="223" t="s">
        <v>140</v>
      </c>
      <c r="M107" s="194" t="s">
        <v>191</v>
      </c>
      <c r="N107" s="134" t="s">
        <v>59</v>
      </c>
      <c r="O107" s="167" t="s">
        <v>43</v>
      </c>
      <c r="P107" s="167" t="s">
        <v>538</v>
      </c>
      <c r="Q107" s="65" t="s">
        <v>534</v>
      </c>
      <c r="R107" s="135" t="s">
        <v>59</v>
      </c>
      <c r="S107" s="136" t="e">
        <f>(7500+12500)/EUR</f>
        <v>#REF!</v>
      </c>
      <c r="T107" s="62">
        <f>7500+12500</f>
        <v>20000</v>
      </c>
      <c r="U107" s="136" t="e">
        <f>Table12117[[#This Row],[Amortised Limit in Original Currency]]/EUR</f>
        <v>#REF!</v>
      </c>
      <c r="V107" s="136" t="e">
        <f>(86000+254700)/EUR</f>
        <v>#REF!</v>
      </c>
      <c r="W107" s="136" t="e">
        <f>3301108.34650667/6.48+2710423.81865933/6.4414+1553668.73129233/4.7056+928791.99/EUR</f>
        <v>#REF!</v>
      </c>
      <c r="X107" s="147" t="s">
        <v>11</v>
      </c>
      <c r="Y107" s="185">
        <v>2.5000000000000001E-2</v>
      </c>
      <c r="Z107" s="137">
        <v>44545</v>
      </c>
      <c r="AA107" s="137">
        <v>46951</v>
      </c>
      <c r="AB107" s="137">
        <v>46951</v>
      </c>
      <c r="AC107" s="138">
        <f t="shared" si="16"/>
        <v>2407</v>
      </c>
      <c r="AD107" s="139" t="e">
        <f t="shared" si="17"/>
        <v>#REF!</v>
      </c>
      <c r="AE107" s="138" t="e">
        <f>AB107-#REF!</f>
        <v>#REF!</v>
      </c>
      <c r="AF107" s="140" t="e">
        <f t="shared" si="18"/>
        <v>#REF!</v>
      </c>
      <c r="AG107" s="56" t="s">
        <v>436</v>
      </c>
      <c r="AH107" s="186" t="s">
        <v>1</v>
      </c>
      <c r="AI107" s="186" t="s">
        <v>1</v>
      </c>
      <c r="AJ107" s="187" t="s">
        <v>0</v>
      </c>
      <c r="AK107" s="143" t="e">
        <f t="shared" si="11"/>
        <v>#REF!</v>
      </c>
      <c r="AL107" s="164" t="s">
        <v>563</v>
      </c>
      <c r="AM107" s="188" t="s">
        <v>710</v>
      </c>
      <c r="AP107" s="197" t="str">
        <f>Table12117[[#This Row],[Risk Location ]]</f>
        <v>Sweden</v>
      </c>
      <c r="AQ107" s="198" t="str">
        <f>Table12117[[#This Row],[Sector (GICS Industry Group)]]</f>
        <v>Telecommunication Services</v>
      </c>
      <c r="AT107" s="212" t="e">
        <f>Table12117[[#This Row],[Percentage Impact]]*Table12117[[#This Row],[Amortised Limit A$ Balance]]</f>
        <v>#REF!</v>
      </c>
      <c r="AU107" s="212" t="e">
        <f>Table12117[[#This Row],[Amortised Limit A$ Balance]]*12%</f>
        <v>#REF!</v>
      </c>
      <c r="AV107" s="212" t="e">
        <f>IF(Table12117[[#This Row],[Everest]]="Everest",Table12117[[#This Row],[Assetinsure Amount ]]*0.2)</f>
        <v>#REF!</v>
      </c>
      <c r="AW107" s="212"/>
      <c r="AX107" s="212" t="e">
        <f>MIN(Table12117[[#This Row],[Assetinsure Amount ]]-Table12117[[#This Row],[Reinsurance Everest Re]],Table12117[[#This Row],[Total Amount]])</f>
        <v>#REF!</v>
      </c>
      <c r="AY107" s="212">
        <f t="shared" si="10"/>
        <v>0</v>
      </c>
      <c r="BC107" s="212">
        <v>0</v>
      </c>
      <c r="BD107" s="212">
        <v>0</v>
      </c>
      <c r="BE107" s="212">
        <v>0</v>
      </c>
      <c r="BF107" s="212">
        <v>0</v>
      </c>
      <c r="BG107" s="212">
        <v>0</v>
      </c>
      <c r="BH107" s="212">
        <v>0</v>
      </c>
      <c r="BI107" s="226"/>
      <c r="BJ107" s="226"/>
      <c r="BL107" s="138" t="s">
        <v>1163</v>
      </c>
      <c r="BM107" s="112"/>
      <c r="BN107" s="58"/>
    </row>
    <row r="108" spans="1:67" ht="39.950000000000003" customHeight="1" x14ac:dyDescent="0.2">
      <c r="A108" s="14" t="s">
        <v>725</v>
      </c>
      <c r="B108" s="65" t="s">
        <v>23</v>
      </c>
      <c r="C108" s="65" t="s">
        <v>243</v>
      </c>
      <c r="D108" s="66" t="s">
        <v>37</v>
      </c>
      <c r="E108" s="14" t="s">
        <v>542</v>
      </c>
      <c r="F108" s="77" t="s">
        <v>87</v>
      </c>
      <c r="G108" s="14" t="s">
        <v>102</v>
      </c>
      <c r="H108" s="14" t="s">
        <v>102</v>
      </c>
      <c r="I108" s="14" t="s">
        <v>474</v>
      </c>
      <c r="J108" s="14" t="s">
        <v>79</v>
      </c>
      <c r="K108" s="14" t="s">
        <v>222</v>
      </c>
      <c r="L108" s="168" t="s">
        <v>209</v>
      </c>
      <c r="M108" s="65" t="s">
        <v>191</v>
      </c>
      <c r="N108" s="13" t="s">
        <v>323</v>
      </c>
      <c r="O108" s="13" t="s">
        <v>43</v>
      </c>
      <c r="P108" s="13" t="s">
        <v>531</v>
      </c>
      <c r="Q108" s="13" t="s">
        <v>548</v>
      </c>
      <c r="R108" s="64" t="s">
        <v>9</v>
      </c>
      <c r="S108" s="62" t="e">
        <f>20000/USD</f>
        <v>#REF!</v>
      </c>
      <c r="T108" s="62">
        <v>20000</v>
      </c>
      <c r="U108" s="62" t="e">
        <f>Table12117[[#This Row],[Amortised Limit in Original Currency]]/USD</f>
        <v>#REF!</v>
      </c>
      <c r="V108" s="62" t="e">
        <f>150000/USD</f>
        <v>#REF!</v>
      </c>
      <c r="W108" s="62" t="e">
        <f>1168088.89/USD</f>
        <v>#REF!</v>
      </c>
      <c r="X108" s="61" t="s">
        <v>11</v>
      </c>
      <c r="Y108" s="181">
        <v>2.0799999999999999E-2</v>
      </c>
      <c r="Z108" s="60">
        <v>44560</v>
      </c>
      <c r="AA108" s="60">
        <v>46350</v>
      </c>
      <c r="AB108" s="60">
        <v>46350</v>
      </c>
      <c r="AC108" s="58">
        <f>AB108-Z108+1</f>
        <v>1791</v>
      </c>
      <c r="AD108" s="59" t="e">
        <f>IF(AB108-$A$1&gt;60,"No","Yes")</f>
        <v>#REF!</v>
      </c>
      <c r="AE108" s="58" t="e">
        <f>AB108-#REF!</f>
        <v>#REF!</v>
      </c>
      <c r="AF108" s="57" t="e">
        <f>AE108/365</f>
        <v>#REF!</v>
      </c>
      <c r="AG108" s="56" t="s">
        <v>436</v>
      </c>
      <c r="AH108" s="71" t="s">
        <v>1</v>
      </c>
      <c r="AI108" s="71" t="s">
        <v>1</v>
      </c>
      <c r="AJ108" s="70" t="s">
        <v>0</v>
      </c>
      <c r="AK108" s="11" t="e">
        <f>+IF(AB108-60&lt;$A$1, "SEND NOTICE", "N/A")</f>
        <v>#REF!</v>
      </c>
      <c r="AL108" s="164" t="s">
        <v>271</v>
      </c>
      <c r="AM108" s="14" t="s">
        <v>724</v>
      </c>
      <c r="AN108" s="11">
        <v>5000</v>
      </c>
      <c r="AO108" s="11">
        <v>75000</v>
      </c>
      <c r="AP108" s="197" t="str">
        <f>Table12117[[#This Row],[Risk Location ]]</f>
        <v>United Kingdom</v>
      </c>
      <c r="AQ108" s="198" t="str">
        <f>Table12117[[#This Row],[Sector (GICS Industry Group)]]</f>
        <v>Real Estate Investment</v>
      </c>
      <c r="AT108" s="212" t="e">
        <f>Table12117[[#This Row],[Percentage Impact]]*Table12117[[#This Row],[Amortised Limit A$ Balance]]</f>
        <v>#REF!</v>
      </c>
      <c r="AU108" s="212" t="e">
        <f>Table12117[[#This Row],[Amortised Limit A$ Balance]]*12%</f>
        <v>#REF!</v>
      </c>
      <c r="AV108" s="212" t="e">
        <f>IF(Table12117[[#This Row],[Everest]]="Everest",Table12117[[#This Row],[Assetinsure Amount ]]*0.2)</f>
        <v>#REF!</v>
      </c>
      <c r="AW108" s="212"/>
      <c r="AX108" s="212" t="e">
        <f>MIN(Table12117[[#This Row],[Assetinsure Amount ]]-Table12117[[#This Row],[Reinsurance Everest Re]],Table12117[[#This Row],[Total Amount]])</f>
        <v>#REF!</v>
      </c>
      <c r="AY108" s="212">
        <f t="shared" si="10"/>
        <v>0</v>
      </c>
      <c r="BC108" s="212">
        <v>0</v>
      </c>
      <c r="BD108" s="212">
        <v>0</v>
      </c>
      <c r="BE108" s="212">
        <v>0</v>
      </c>
      <c r="BF108" s="212">
        <v>0</v>
      </c>
      <c r="BG108" s="212">
        <v>0</v>
      </c>
      <c r="BH108" s="212">
        <v>0</v>
      </c>
      <c r="BI108" s="226">
        <v>0</v>
      </c>
      <c r="BJ108" s="226"/>
      <c r="BL108" s="58" t="s">
        <v>1034</v>
      </c>
      <c r="BM108" s="112"/>
      <c r="BN108" s="58"/>
    </row>
    <row r="109" spans="1:67" s="229" customFormat="1" ht="39.950000000000003" customHeight="1" x14ac:dyDescent="0.2">
      <c r="A109" s="131" t="s">
        <v>726</v>
      </c>
      <c r="B109" s="132" t="s">
        <v>243</v>
      </c>
      <c r="C109" s="270" t="s">
        <v>1142</v>
      </c>
      <c r="D109" s="133" t="s">
        <v>38</v>
      </c>
      <c r="E109" s="131" t="s">
        <v>540</v>
      </c>
      <c r="F109" s="161" t="s">
        <v>35</v>
      </c>
      <c r="G109" s="131" t="s">
        <v>892</v>
      </c>
      <c r="H109" s="188" t="s">
        <v>259</v>
      </c>
      <c r="I109" s="188" t="s">
        <v>459</v>
      </c>
      <c r="J109" s="133" t="s">
        <v>142</v>
      </c>
      <c r="K109" s="192" t="s">
        <v>218</v>
      </c>
      <c r="L109" s="168" t="s">
        <v>209</v>
      </c>
      <c r="M109" s="194" t="s">
        <v>191</v>
      </c>
      <c r="N109" s="134" t="s">
        <v>323</v>
      </c>
      <c r="O109" s="167" t="s">
        <v>43</v>
      </c>
      <c r="P109" s="167" t="s">
        <v>538</v>
      </c>
      <c r="Q109" s="270" t="s">
        <v>534</v>
      </c>
      <c r="R109" s="135" t="s">
        <v>9</v>
      </c>
      <c r="S109" s="136" t="e">
        <f>(10000+5000)/USD</f>
        <v>#REF!</v>
      </c>
      <c r="T109" s="62">
        <f>10000+5000</f>
        <v>15000</v>
      </c>
      <c r="U109" s="62" t="e">
        <f>Table12117[[#This Row],[Amortised Limit in Original Currency]]/USD</f>
        <v>#REF!</v>
      </c>
      <c r="V109" s="62" t="e">
        <f>20000/USD</f>
        <v>#REF!</v>
      </c>
      <c r="W109" s="62" t="e">
        <f>(1137761.11+449373.61)/USD</f>
        <v>#REF!</v>
      </c>
      <c r="X109" s="61" t="s">
        <v>11</v>
      </c>
      <c r="Y109" s="181">
        <v>0.04</v>
      </c>
      <c r="Z109" s="271">
        <v>44559</v>
      </c>
      <c r="AA109" s="271">
        <v>46705</v>
      </c>
      <c r="AB109" s="271">
        <v>46705</v>
      </c>
      <c r="AC109" s="138">
        <f t="shared" si="16"/>
        <v>2147</v>
      </c>
      <c r="AD109" s="139" t="e">
        <f t="shared" si="17"/>
        <v>#REF!</v>
      </c>
      <c r="AE109" s="138" t="e">
        <f>AB109-#REF!</f>
        <v>#REF!</v>
      </c>
      <c r="AF109" s="140" t="e">
        <f t="shared" si="18"/>
        <v>#REF!</v>
      </c>
      <c r="AG109" s="184"/>
      <c r="AH109" s="186" t="s">
        <v>1</v>
      </c>
      <c r="AI109" s="186" t="s">
        <v>1</v>
      </c>
      <c r="AJ109" s="187" t="s">
        <v>1180</v>
      </c>
      <c r="AK109" s="164" t="e">
        <f t="shared" si="11"/>
        <v>#REF!</v>
      </c>
      <c r="AL109" s="164" t="s">
        <v>271</v>
      </c>
      <c r="AM109" s="188" t="s">
        <v>711</v>
      </c>
      <c r="AP109" s="323" t="str">
        <f>Table12117[[#This Row],[Risk Location ]]</f>
        <v>India</v>
      </c>
      <c r="AQ109" s="324" t="str">
        <f>Table12117[[#This Row],[Sector (GICS Industry Group)]]</f>
        <v>Information Technology - Software &amp; Services</v>
      </c>
      <c r="AT109" s="212" t="e">
        <f>Table12117[[#This Row],[Percentage Impact]]*Table12117[[#This Row],[Amortised Limit A$ Balance]]</f>
        <v>#REF!</v>
      </c>
      <c r="AU109" s="212" t="e">
        <f>Table12117[[#This Row],[Amortised Limit A$ Balance]]*12%</f>
        <v>#REF!</v>
      </c>
      <c r="AV109" s="212" t="b">
        <f>IF(Table12117[[#This Row],[Everest]]="Everest",Table12117[[#This Row],[Assetinsure Amount ]]*0.2)</f>
        <v>0</v>
      </c>
      <c r="AW109" s="278"/>
      <c r="AX109" s="212" t="e">
        <f>MIN(Table12117[[#This Row],[Assetinsure Amount ]]-Table12117[[#This Row],[Reinsurance Everest Re]],Table12117[[#This Row],[Total Amount]])</f>
        <v>#REF!</v>
      </c>
      <c r="AY109" s="212">
        <f t="shared" si="10"/>
        <v>0</v>
      </c>
      <c r="BC109" s="278">
        <v>0</v>
      </c>
      <c r="BD109" s="278">
        <v>0</v>
      </c>
      <c r="BE109" s="278">
        <v>0</v>
      </c>
      <c r="BF109" s="278">
        <v>0</v>
      </c>
      <c r="BG109" s="278">
        <v>0</v>
      </c>
      <c r="BH109" s="278">
        <v>0</v>
      </c>
      <c r="BI109" s="226"/>
      <c r="BJ109" s="226"/>
      <c r="BL109" s="138" t="s">
        <v>1035</v>
      </c>
      <c r="BM109" s="276"/>
      <c r="BN109" s="272"/>
    </row>
    <row r="110" spans="1:67" ht="39.950000000000003" customHeight="1" x14ac:dyDescent="0.2">
      <c r="A110" s="13" t="s">
        <v>729</v>
      </c>
      <c r="B110" s="65" t="s">
        <v>23</v>
      </c>
      <c r="C110" s="65" t="s">
        <v>1141</v>
      </c>
      <c r="D110" s="66" t="s">
        <v>37</v>
      </c>
      <c r="E110" s="14" t="s">
        <v>540</v>
      </c>
      <c r="F110" s="161" t="s">
        <v>36</v>
      </c>
      <c r="G110" s="66" t="s">
        <v>106</v>
      </c>
      <c r="H110" s="66" t="s">
        <v>106</v>
      </c>
      <c r="I110" s="66" t="s">
        <v>107</v>
      </c>
      <c r="J110" s="14" t="s">
        <v>72</v>
      </c>
      <c r="K110" s="66" t="s">
        <v>219</v>
      </c>
      <c r="L110" s="13" t="s">
        <v>29</v>
      </c>
      <c r="M110" s="65" t="s">
        <v>191</v>
      </c>
      <c r="N110" s="13" t="s">
        <v>323</v>
      </c>
      <c r="O110" s="13" t="s">
        <v>43</v>
      </c>
      <c r="P110" s="167" t="s">
        <v>538</v>
      </c>
      <c r="Q110" s="13" t="s">
        <v>548</v>
      </c>
      <c r="R110" s="64" t="s">
        <v>9</v>
      </c>
      <c r="S110" s="62" t="e">
        <f>15000/USD</f>
        <v>#REF!</v>
      </c>
      <c r="T110" s="62">
        <v>15000</v>
      </c>
      <c r="U110" s="150" t="e">
        <f>Table12117[[#This Row],[Amortised Limit in Original Currency]]/USD</f>
        <v>#REF!</v>
      </c>
      <c r="V110" s="62" t="e">
        <f>120000/USD</f>
        <v>#REF!</v>
      </c>
      <c r="W110" s="150" t="e">
        <f>748489.58/USD</f>
        <v>#REF!</v>
      </c>
      <c r="X110" s="61" t="s">
        <v>551</v>
      </c>
      <c r="Y110" s="181">
        <v>2.5000000000000001E-2</v>
      </c>
      <c r="Z110" s="60">
        <v>44554</v>
      </c>
      <c r="AA110" s="60">
        <v>45799</v>
      </c>
      <c r="AB110" s="60">
        <v>45799</v>
      </c>
      <c r="AC110" s="58">
        <f>AB110-Z110+1</f>
        <v>1246</v>
      </c>
      <c r="AD110" s="59" t="e">
        <f>IF(AB110-$A$1&gt;60,"No","Yes")</f>
        <v>#REF!</v>
      </c>
      <c r="AE110" s="58" t="e">
        <f>AB110-#REF!</f>
        <v>#REF!</v>
      </c>
      <c r="AF110" s="57" t="e">
        <f>AE110/365</f>
        <v>#REF!</v>
      </c>
      <c r="AG110" s="56"/>
      <c r="AH110" s="71" t="s">
        <v>1</v>
      </c>
      <c r="AI110" s="71" t="s">
        <v>1</v>
      </c>
      <c r="AJ110" s="70" t="s">
        <v>730</v>
      </c>
      <c r="AK110" s="11" t="e">
        <f>+IF(AB110-60&lt;$A$1, "SEND NOTICE", "N/A")</f>
        <v>#REF!</v>
      </c>
      <c r="AL110" s="164" t="s">
        <v>271</v>
      </c>
      <c r="AM110" s="13" t="s">
        <v>728</v>
      </c>
      <c r="AN110" s="11">
        <v>8921</v>
      </c>
      <c r="AP110" s="197" t="str">
        <f>Table12117[[#This Row],[Risk Location ]]</f>
        <v>China</v>
      </c>
      <c r="AQ110" s="198" t="str">
        <f>Table12117[[#This Row],[Sector (GICS Industry Group)]]</f>
        <v>Real Estate Management &amp; Development</v>
      </c>
      <c r="AR110" s="11">
        <v>1</v>
      </c>
      <c r="AS110" s="214">
        <v>0.25</v>
      </c>
      <c r="AT110" s="212" t="e">
        <f>Table12117[[#This Row],[Percentage Impact]]*Table12117[[#This Row],[Amortised Limit A$ Balance]]</f>
        <v>#REF!</v>
      </c>
      <c r="AU110" s="212" t="e">
        <f>Table12117[[#This Row],[Amortised Limit A$ Balance]]*12%</f>
        <v>#REF!</v>
      </c>
      <c r="AV110" s="212" t="b">
        <f>IF(Table12117[[#This Row],[Everest]]="Everest",Table12117[[#This Row],[Assetinsure Amount ]]*0.2)</f>
        <v>0</v>
      </c>
      <c r="AW110" s="212"/>
      <c r="AX110" s="212" t="e">
        <f>MIN(Table12117[[#This Row],[Assetinsure Amount ]]-Table12117[[#This Row],[Reinsurance Everest Re]],Table12117[[#This Row],[Total Amount]])</f>
        <v>#REF!</v>
      </c>
      <c r="AY110" s="212">
        <f t="shared" si="10"/>
        <v>2615.3156604636802</v>
      </c>
      <c r="AZ110" s="12"/>
      <c r="BC110" s="212">
        <v>2700.0845126452459</v>
      </c>
      <c r="BD110" s="212">
        <v>2615.3156604636802</v>
      </c>
      <c r="BE110" s="212">
        <v>2832.9503604142401</v>
      </c>
      <c r="BF110" s="212">
        <v>2649.8645624779178</v>
      </c>
      <c r="BG110" s="212">
        <v>2420.2006077392639</v>
      </c>
      <c r="BH110" s="212">
        <v>1567.354445017206</v>
      </c>
      <c r="BI110" s="226">
        <v>1044.9029633448042</v>
      </c>
      <c r="BJ110" s="226">
        <v>0</v>
      </c>
      <c r="BL110" s="58" t="s">
        <v>939</v>
      </c>
      <c r="BM110" s="112"/>
      <c r="BN110" s="58" t="s">
        <v>476</v>
      </c>
    </row>
    <row r="111" spans="1:67" ht="39.950000000000003" customHeight="1" x14ac:dyDescent="0.2">
      <c r="A111" s="131" t="s">
        <v>732</v>
      </c>
      <c r="B111" s="132" t="s">
        <v>67</v>
      </c>
      <c r="C111" s="65" t="s">
        <v>1142</v>
      </c>
      <c r="D111" s="133" t="s">
        <v>89</v>
      </c>
      <c r="E111" s="131" t="s">
        <v>542</v>
      </c>
      <c r="F111" s="161" t="s">
        <v>211</v>
      </c>
      <c r="G111" s="131" t="s">
        <v>233</v>
      </c>
      <c r="H111" s="131" t="s">
        <v>443</v>
      </c>
      <c r="I111" s="131" t="s">
        <v>234</v>
      </c>
      <c r="J111" s="133" t="s">
        <v>60</v>
      </c>
      <c r="K111" s="192" t="s">
        <v>220</v>
      </c>
      <c r="L111" s="168" t="s">
        <v>209</v>
      </c>
      <c r="M111" s="194" t="s">
        <v>191</v>
      </c>
      <c r="N111" s="134" t="s">
        <v>59</v>
      </c>
      <c r="O111" s="167" t="s">
        <v>43</v>
      </c>
      <c r="P111" s="167" t="s">
        <v>538</v>
      </c>
      <c r="Q111" s="65" t="s">
        <v>534</v>
      </c>
      <c r="R111" s="135" t="s">
        <v>59</v>
      </c>
      <c r="S111" s="136" t="e">
        <f>10000/EUR</f>
        <v>#REF!</v>
      </c>
      <c r="T111" s="62">
        <v>10000</v>
      </c>
      <c r="U111" s="136" t="e">
        <f>Table12117[[#This Row],[Amortised Limit in Original Currency]]/EUR</f>
        <v>#REF!</v>
      </c>
      <c r="V111" s="136" t="e">
        <f>40000/EUR</f>
        <v>#REF!</v>
      </c>
      <c r="W111" s="136" t="e">
        <f>1148504.44/EUR</f>
        <v>#REF!</v>
      </c>
      <c r="X111" s="147" t="s">
        <v>11</v>
      </c>
      <c r="Y111" s="185">
        <v>3.2500000000000001E-2</v>
      </c>
      <c r="Z111" s="137">
        <v>44487</v>
      </c>
      <c r="AA111" s="137">
        <v>46929</v>
      </c>
      <c r="AB111" s="137">
        <v>46929</v>
      </c>
      <c r="AC111" s="138">
        <f t="shared" si="16"/>
        <v>2443</v>
      </c>
      <c r="AD111" s="139" t="e">
        <f t="shared" si="17"/>
        <v>#REF!</v>
      </c>
      <c r="AE111" s="138" t="e">
        <f>AB111-#REF!</f>
        <v>#REF!</v>
      </c>
      <c r="AF111" s="140" t="e">
        <f t="shared" si="18"/>
        <v>#REF!</v>
      </c>
      <c r="AG111" s="184"/>
      <c r="AH111" s="186" t="s">
        <v>1</v>
      </c>
      <c r="AI111" s="186" t="s">
        <v>1</v>
      </c>
      <c r="AJ111" s="187" t="s">
        <v>0</v>
      </c>
      <c r="AK111" s="143" t="e">
        <f t="shared" si="11"/>
        <v>#REF!</v>
      </c>
      <c r="AL111" s="164" t="s">
        <v>271</v>
      </c>
      <c r="AM111" s="188" t="s">
        <v>712</v>
      </c>
      <c r="AP111" s="197" t="str">
        <f>Table12117[[#This Row],[Risk Location ]]</f>
        <v>Spain</v>
      </c>
      <c r="AQ111" s="198" t="str">
        <f>Table12117[[#This Row],[Sector (GICS Industry Group)]]</f>
        <v>Telecommunication Services</v>
      </c>
      <c r="AT111" s="212" t="e">
        <f>Table12117[[#This Row],[Percentage Impact]]*Table12117[[#This Row],[Amortised Limit A$ Balance]]</f>
        <v>#REF!</v>
      </c>
      <c r="AU111" s="212" t="e">
        <f>Table12117[[#This Row],[Amortised Limit A$ Balance]]*12%</f>
        <v>#REF!</v>
      </c>
      <c r="AV111" s="212" t="b">
        <f>IF(Table12117[[#This Row],[Everest]]="Everest",Table12117[[#This Row],[Assetinsure Amount ]]*0.2)</f>
        <v>0</v>
      </c>
      <c r="AW111" s="212"/>
      <c r="AX111" s="212" t="e">
        <f>MIN(Table12117[[#This Row],[Assetinsure Amount ]]-Table12117[[#This Row],[Reinsurance Everest Re]],Table12117[[#This Row],[Total Amount]])</f>
        <v>#REF!</v>
      </c>
      <c r="AY111" s="212">
        <f t="shared" si="10"/>
        <v>0</v>
      </c>
      <c r="BC111" s="212">
        <v>0</v>
      </c>
      <c r="BD111" s="212">
        <v>0</v>
      </c>
      <c r="BE111" s="212">
        <v>0</v>
      </c>
      <c r="BF111" s="212">
        <v>0</v>
      </c>
      <c r="BG111" s="212">
        <v>0</v>
      </c>
      <c r="BH111" s="212">
        <v>0</v>
      </c>
      <c r="BI111" s="226"/>
      <c r="BL111" s="138" t="s">
        <v>940</v>
      </c>
      <c r="BM111" s="112"/>
      <c r="BN111" s="58"/>
    </row>
    <row r="112" spans="1:67" ht="39.950000000000003" customHeight="1" x14ac:dyDescent="0.2">
      <c r="A112" s="131" t="s">
        <v>744</v>
      </c>
      <c r="B112" s="132" t="s">
        <v>51</v>
      </c>
      <c r="C112" s="65" t="s">
        <v>1141</v>
      </c>
      <c r="D112" s="133" t="s">
        <v>119</v>
      </c>
      <c r="E112" s="14" t="s">
        <v>542</v>
      </c>
      <c r="F112" s="161" t="s">
        <v>119</v>
      </c>
      <c r="G112" s="14" t="s">
        <v>102</v>
      </c>
      <c r="H112" s="14" t="s">
        <v>102</v>
      </c>
      <c r="I112" s="66" t="s">
        <v>122</v>
      </c>
      <c r="J112" s="133" t="s">
        <v>745</v>
      </c>
      <c r="K112" s="192" t="s">
        <v>220</v>
      </c>
      <c r="L112" s="168" t="s">
        <v>101</v>
      </c>
      <c r="M112" s="194" t="s">
        <v>191</v>
      </c>
      <c r="N112" s="134" t="s">
        <v>59</v>
      </c>
      <c r="O112" s="167" t="s">
        <v>43</v>
      </c>
      <c r="P112" s="167" t="s">
        <v>538</v>
      </c>
      <c r="Q112" s="65" t="s">
        <v>534</v>
      </c>
      <c r="R112" s="135" t="s">
        <v>59</v>
      </c>
      <c r="S112" s="136" t="e">
        <f>(10000-1989.74)/EUR</f>
        <v>#REF!</v>
      </c>
      <c r="T112" s="62">
        <f>10000-1989.74</f>
        <v>8010.26</v>
      </c>
      <c r="U112" s="136" t="e">
        <f>Table12117[[#This Row],[Amortised Limit in Original Currency]]/EUR</f>
        <v>#REF!</v>
      </c>
      <c r="V112" s="136" t="e">
        <f>30000/EUR</f>
        <v>#REF!</v>
      </c>
      <c r="W112" s="136" t="e">
        <f>(502800-94433.18)/EUR</f>
        <v>#REF!</v>
      </c>
      <c r="X112" s="147" t="s">
        <v>11</v>
      </c>
      <c r="Y112" s="185">
        <v>1.7999999999999999E-2</v>
      </c>
      <c r="Z112" s="137">
        <v>44591</v>
      </c>
      <c r="AA112" s="137">
        <v>46416</v>
      </c>
      <c r="AB112" s="137">
        <v>46416</v>
      </c>
      <c r="AC112" s="138">
        <f t="shared" si="16"/>
        <v>1826</v>
      </c>
      <c r="AD112" s="139" t="e">
        <f t="shared" si="17"/>
        <v>#REF!</v>
      </c>
      <c r="AE112" s="138" t="e">
        <f>AB112-#REF!</f>
        <v>#REF!</v>
      </c>
      <c r="AF112" s="140" t="e">
        <f t="shared" si="18"/>
        <v>#REF!</v>
      </c>
      <c r="AG112" s="184"/>
      <c r="AH112" s="186" t="s">
        <v>1</v>
      </c>
      <c r="AI112" s="186" t="s">
        <v>1</v>
      </c>
      <c r="AJ112" s="187" t="s">
        <v>0</v>
      </c>
      <c r="AK112" s="143" t="e">
        <f t="shared" si="11"/>
        <v>#REF!</v>
      </c>
      <c r="AL112" s="164" t="s">
        <v>271</v>
      </c>
      <c r="AM112" s="188" t="s">
        <v>742</v>
      </c>
      <c r="AP112" s="197" t="str">
        <f>Table12117[[#This Row],[Risk Location ]]</f>
        <v>Italy</v>
      </c>
      <c r="AQ112" s="198" t="str">
        <f>Table12117[[#This Row],[Sector (GICS Industry Group)]]</f>
        <v>Real Estate Investment</v>
      </c>
      <c r="AT112" s="212" t="e">
        <f>Table12117[[#This Row],[Percentage Impact]]*Table12117[[#This Row],[Amortised Limit A$ Balance]]</f>
        <v>#REF!</v>
      </c>
      <c r="AU112" s="212" t="e">
        <f>Table12117[[#This Row],[Amortised Limit A$ Balance]]*12%</f>
        <v>#REF!</v>
      </c>
      <c r="AV112" s="212" t="b">
        <f>IF(Table12117[[#This Row],[Everest]]="Everest",Table12117[[#This Row],[Assetinsure Amount ]]*0.2)</f>
        <v>0</v>
      </c>
      <c r="AW112" s="212"/>
      <c r="AX112" s="212" t="e">
        <f>MIN(Table12117[[#This Row],[Assetinsure Amount ]]-Table12117[[#This Row],[Reinsurance Everest Re]],Table12117[[#This Row],[Total Amount]])</f>
        <v>#REF!</v>
      </c>
      <c r="AY112" s="212">
        <f t="shared" si="10"/>
        <v>0</v>
      </c>
      <c r="BC112" s="212">
        <v>0</v>
      </c>
      <c r="BD112" s="212">
        <v>0</v>
      </c>
      <c r="BE112" s="212">
        <v>0</v>
      </c>
      <c r="BF112" s="212">
        <v>0</v>
      </c>
      <c r="BG112" s="212">
        <v>0</v>
      </c>
      <c r="BH112" s="212">
        <v>0</v>
      </c>
      <c r="BI112" s="226"/>
      <c r="BL112" s="138" t="s">
        <v>1036</v>
      </c>
      <c r="BM112" s="112"/>
      <c r="BN112" s="58"/>
      <c r="BO112" s="18"/>
    </row>
    <row r="113" spans="1:66" ht="39.950000000000003" customHeight="1" x14ac:dyDescent="0.2">
      <c r="A113" s="131" t="s">
        <v>751</v>
      </c>
      <c r="B113" s="132" t="s">
        <v>51</v>
      </c>
      <c r="C113" s="65" t="s">
        <v>243</v>
      </c>
      <c r="D113" s="133" t="s">
        <v>746</v>
      </c>
      <c r="E113" s="131" t="s">
        <v>806</v>
      </c>
      <c r="F113" s="133" t="s">
        <v>749</v>
      </c>
      <c r="G113" s="66" t="s">
        <v>106</v>
      </c>
      <c r="H113" s="66" t="s">
        <v>106</v>
      </c>
      <c r="I113" s="14" t="s">
        <v>263</v>
      </c>
      <c r="J113" s="133" t="s">
        <v>747</v>
      </c>
      <c r="K113" s="192" t="s">
        <v>221</v>
      </c>
      <c r="L113" s="168" t="s">
        <v>101</v>
      </c>
      <c r="M113" s="194" t="s">
        <v>191</v>
      </c>
      <c r="N113" s="134" t="s">
        <v>59</v>
      </c>
      <c r="O113" s="167" t="s">
        <v>43</v>
      </c>
      <c r="P113" s="167" t="s">
        <v>538</v>
      </c>
      <c r="Q113" s="65" t="s">
        <v>534</v>
      </c>
      <c r="R113" s="135" t="s">
        <v>59</v>
      </c>
      <c r="S113" s="136" t="e">
        <f>7800/EUR</f>
        <v>#REF!</v>
      </c>
      <c r="T113" s="62">
        <v>7800</v>
      </c>
      <c r="U113" s="230" t="e">
        <f>Table12117[[#This Row],[Amortised Limit in Original Currency]]/EUR</f>
        <v>#REF!</v>
      </c>
      <c r="V113" s="136" t="e">
        <f>65000/EUR</f>
        <v>#REF!</v>
      </c>
      <c r="W113" s="136" t="e">
        <f>386294.5/EUR</f>
        <v>#REF!</v>
      </c>
      <c r="X113" s="147" t="s">
        <v>11</v>
      </c>
      <c r="Y113" s="185">
        <v>1.8499999999999999E-2</v>
      </c>
      <c r="Z113" s="137">
        <v>44592</v>
      </c>
      <c r="AA113" s="137">
        <v>46472</v>
      </c>
      <c r="AB113" s="137">
        <v>46472</v>
      </c>
      <c r="AC113" s="138">
        <f t="shared" si="16"/>
        <v>1881</v>
      </c>
      <c r="AD113" s="139" t="e">
        <f t="shared" si="17"/>
        <v>#REF!</v>
      </c>
      <c r="AE113" s="138" t="e">
        <f>AB113-#REF!</f>
        <v>#REF!</v>
      </c>
      <c r="AF113" s="140" t="e">
        <f t="shared" si="18"/>
        <v>#REF!</v>
      </c>
      <c r="AG113" s="184"/>
      <c r="AH113" s="186" t="s">
        <v>1</v>
      </c>
      <c r="AI113" s="186" t="s">
        <v>1</v>
      </c>
      <c r="AJ113" s="187" t="s">
        <v>0</v>
      </c>
      <c r="AK113" s="180" t="e">
        <f t="shared" si="11"/>
        <v>#REF!</v>
      </c>
      <c r="AL113" s="164" t="s">
        <v>271</v>
      </c>
      <c r="AM113" s="188" t="s">
        <v>743</v>
      </c>
      <c r="AP113" s="197" t="str">
        <f>Table12117[[#This Row],[Risk Location ]]</f>
        <v>Slovak Republic</v>
      </c>
      <c r="AQ113" s="198" t="str">
        <f>Table12117[[#This Row],[Sector (GICS Industry Group)]]</f>
        <v>Real Estate Management &amp; Development</v>
      </c>
      <c r="AT113" s="212" t="e">
        <f>Table12117[[#This Row],[Percentage Impact]]*Table12117[[#This Row],[Amortised Limit A$ Balance]]</f>
        <v>#REF!</v>
      </c>
      <c r="AU113" s="212" t="e">
        <f>Table12117[[#This Row],[Amortised Limit A$ Balance]]*12%</f>
        <v>#REF!</v>
      </c>
      <c r="AV113" s="212" t="b">
        <f>IF(Table12117[[#This Row],[Everest]]="Everest",Table12117[[#This Row],[Assetinsure Amount ]]*0.2)</f>
        <v>0</v>
      </c>
      <c r="AW113" s="212"/>
      <c r="AX113" s="212" t="e">
        <f>MIN(Table12117[[#This Row],[Assetinsure Amount ]]-Table12117[[#This Row],[Reinsurance Everest Re]],Table12117[[#This Row],[Total Amount]])</f>
        <v>#REF!</v>
      </c>
      <c r="AY113" s="212">
        <f t="shared" si="10"/>
        <v>0</v>
      </c>
      <c r="BC113" s="212">
        <v>0</v>
      </c>
      <c r="BD113" s="212">
        <v>0</v>
      </c>
      <c r="BE113" s="212">
        <v>0</v>
      </c>
      <c r="BF113" s="212">
        <v>0</v>
      </c>
      <c r="BG113" s="212">
        <v>0</v>
      </c>
      <c r="BH113" s="212">
        <v>0</v>
      </c>
      <c r="BI113" s="226"/>
      <c r="BL113" s="138" t="s">
        <v>1037</v>
      </c>
      <c r="BM113" s="112"/>
      <c r="BN113" s="58" t="s">
        <v>474</v>
      </c>
    </row>
    <row r="114" spans="1:66" ht="39.950000000000003" customHeight="1" x14ac:dyDescent="0.2">
      <c r="A114" s="131" t="s">
        <v>750</v>
      </c>
      <c r="B114" s="132" t="s">
        <v>51</v>
      </c>
      <c r="C114" s="65" t="s">
        <v>243</v>
      </c>
      <c r="D114" s="133" t="s">
        <v>746</v>
      </c>
      <c r="E114" s="14" t="s">
        <v>542</v>
      </c>
      <c r="F114" s="133" t="s">
        <v>746</v>
      </c>
      <c r="G114" s="66" t="s">
        <v>106</v>
      </c>
      <c r="H114" s="66" t="s">
        <v>106</v>
      </c>
      <c r="I114" s="14" t="s">
        <v>263</v>
      </c>
      <c r="J114" s="133" t="s">
        <v>747</v>
      </c>
      <c r="K114" s="192" t="s">
        <v>221</v>
      </c>
      <c r="L114" s="168" t="s">
        <v>101</v>
      </c>
      <c r="M114" s="194" t="s">
        <v>191</v>
      </c>
      <c r="N114" s="134" t="s">
        <v>59</v>
      </c>
      <c r="O114" s="167" t="s">
        <v>43</v>
      </c>
      <c r="P114" s="167" t="s">
        <v>538</v>
      </c>
      <c r="Q114" s="65" t="s">
        <v>534</v>
      </c>
      <c r="R114" s="135" t="s">
        <v>59</v>
      </c>
      <c r="S114" s="136" t="e">
        <f>7200/EUR</f>
        <v>#REF!</v>
      </c>
      <c r="T114" s="62">
        <v>7200</v>
      </c>
      <c r="U114" s="136" t="e">
        <f>Table12117[[#This Row],[Amortised Limit in Original Currency]]/EUR</f>
        <v>#REF!</v>
      </c>
      <c r="V114" s="136" t="e">
        <f>60000/EUR</f>
        <v>#REF!</v>
      </c>
      <c r="W114" s="136" t="e">
        <f>378486.28/EUR</f>
        <v>#REF!</v>
      </c>
      <c r="X114" s="147" t="s">
        <v>11</v>
      </c>
      <c r="Y114" s="185">
        <v>1.8499999999999999E-2</v>
      </c>
      <c r="Z114" s="137">
        <v>44592</v>
      </c>
      <c r="AA114" s="137">
        <v>46472</v>
      </c>
      <c r="AB114" s="137">
        <v>46472</v>
      </c>
      <c r="AC114" s="138">
        <f t="shared" si="16"/>
        <v>1881</v>
      </c>
      <c r="AD114" s="139" t="e">
        <f t="shared" si="17"/>
        <v>#REF!</v>
      </c>
      <c r="AE114" s="138" t="e">
        <f>AB114-#REF!</f>
        <v>#REF!</v>
      </c>
      <c r="AF114" s="140" t="e">
        <f t="shared" si="18"/>
        <v>#REF!</v>
      </c>
      <c r="AG114" s="184"/>
      <c r="AH114" s="186" t="s">
        <v>1</v>
      </c>
      <c r="AI114" s="186" t="s">
        <v>1</v>
      </c>
      <c r="AJ114" s="187" t="s">
        <v>0</v>
      </c>
      <c r="AK114" s="143" t="e">
        <f t="shared" si="11"/>
        <v>#REF!</v>
      </c>
      <c r="AL114" s="164" t="s">
        <v>271</v>
      </c>
      <c r="AM114" s="188" t="s">
        <v>743</v>
      </c>
      <c r="AP114" s="197" t="str">
        <f>Table12117[[#This Row],[Risk Location ]]</f>
        <v>Czech Republic</v>
      </c>
      <c r="AQ114" s="198" t="str">
        <f>Table12117[[#This Row],[Sector (GICS Industry Group)]]</f>
        <v>Real Estate Management &amp; Development</v>
      </c>
      <c r="AT114" s="212" t="e">
        <f>Table12117[[#This Row],[Percentage Impact]]*Table12117[[#This Row],[Amortised Limit A$ Balance]]</f>
        <v>#REF!</v>
      </c>
      <c r="AU114" s="212" t="e">
        <f>Table12117[[#This Row],[Amortised Limit A$ Balance]]*12%</f>
        <v>#REF!</v>
      </c>
      <c r="AV114" s="212" t="b">
        <f>IF(Table12117[[#This Row],[Everest]]="Everest",Table12117[[#This Row],[Assetinsure Amount ]]*0.2)</f>
        <v>0</v>
      </c>
      <c r="AW114" s="212"/>
      <c r="AX114" s="212" t="e">
        <f>MIN(Table12117[[#This Row],[Assetinsure Amount ]]-Table12117[[#This Row],[Reinsurance Everest Re]],Table12117[[#This Row],[Total Amount]])</f>
        <v>#REF!</v>
      </c>
      <c r="AY114" s="212">
        <f t="shared" si="10"/>
        <v>0</v>
      </c>
      <c r="BC114" s="212">
        <v>0</v>
      </c>
      <c r="BD114" s="212">
        <v>0</v>
      </c>
      <c r="BE114" s="212">
        <v>0</v>
      </c>
      <c r="BF114" s="212">
        <v>0</v>
      </c>
      <c r="BG114" s="212">
        <v>0</v>
      </c>
      <c r="BH114" s="212">
        <v>0</v>
      </c>
      <c r="BI114" s="226"/>
      <c r="BL114" s="138" t="s">
        <v>1038</v>
      </c>
      <c r="BM114" s="112"/>
      <c r="BN114" s="58" t="s">
        <v>474</v>
      </c>
    </row>
    <row r="115" spans="1:66" ht="39.950000000000003" customHeight="1" x14ac:dyDescent="0.2">
      <c r="A115" s="131" t="s">
        <v>753</v>
      </c>
      <c r="B115" s="132" t="s">
        <v>67</v>
      </c>
      <c r="C115" s="65" t="s">
        <v>243</v>
      </c>
      <c r="D115" s="133" t="s">
        <v>588</v>
      </c>
      <c r="E115" s="131" t="s">
        <v>499</v>
      </c>
      <c r="F115" s="133" t="s">
        <v>162</v>
      </c>
      <c r="G115" s="14" t="s">
        <v>891</v>
      </c>
      <c r="H115" s="66" t="s">
        <v>167</v>
      </c>
      <c r="I115" s="131" t="s">
        <v>167</v>
      </c>
      <c r="J115" s="14" t="s">
        <v>298</v>
      </c>
      <c r="K115" s="192" t="s">
        <v>218</v>
      </c>
      <c r="L115" s="168" t="s">
        <v>209</v>
      </c>
      <c r="M115" s="194" t="s">
        <v>191</v>
      </c>
      <c r="N115" s="134" t="s">
        <v>59</v>
      </c>
      <c r="O115" s="167" t="s">
        <v>43</v>
      </c>
      <c r="P115" s="167" t="s">
        <v>531</v>
      </c>
      <c r="Q115" s="65" t="s">
        <v>534</v>
      </c>
      <c r="R115" s="135" t="s">
        <v>9</v>
      </c>
      <c r="S115" s="136" t="e">
        <f>20000/USD</f>
        <v>#REF!</v>
      </c>
      <c r="T115" s="62">
        <v>20000</v>
      </c>
      <c r="U115" s="136" t="e">
        <f>Table12117[[#This Row],[Amortised Limit in Original Currency]]/USD</f>
        <v>#REF!</v>
      </c>
      <c r="V115" s="136" t="e">
        <f>40000/USD</f>
        <v>#REF!</v>
      </c>
      <c r="W115" s="136" t="e">
        <f>720239.34/USD</f>
        <v>#REF!</v>
      </c>
      <c r="X115" s="147" t="s">
        <v>11</v>
      </c>
      <c r="Y115" s="185">
        <v>3.4849999999999999E-2</v>
      </c>
      <c r="Z115" s="137">
        <v>44634</v>
      </c>
      <c r="AA115" s="137">
        <v>45316</v>
      </c>
      <c r="AB115" s="137">
        <f>Table12117[[#This Row],[Expiry Date]]+21</f>
        <v>45337</v>
      </c>
      <c r="AC115" s="138">
        <f t="shared" si="16"/>
        <v>704</v>
      </c>
      <c r="AD115" s="139" t="e">
        <f t="shared" si="17"/>
        <v>#REF!</v>
      </c>
      <c r="AE115" s="138" t="e">
        <f>AB115-#REF!</f>
        <v>#REF!</v>
      </c>
      <c r="AF115" s="140" t="e">
        <f t="shared" si="18"/>
        <v>#REF!</v>
      </c>
      <c r="AG115" s="184" t="s">
        <v>436</v>
      </c>
      <c r="AH115" s="186" t="s">
        <v>1</v>
      </c>
      <c r="AI115" s="186" t="s">
        <v>1</v>
      </c>
      <c r="AJ115" s="187" t="s">
        <v>0</v>
      </c>
      <c r="AK115" s="143" t="e">
        <f t="shared" si="11"/>
        <v>#REF!</v>
      </c>
      <c r="AL115" s="164" t="s">
        <v>271</v>
      </c>
      <c r="AM115" s="188" t="s">
        <v>755</v>
      </c>
      <c r="AP115" s="197" t="str">
        <f>Table12117[[#This Row],[Risk Location ]]</f>
        <v>United States</v>
      </c>
      <c r="AQ115" s="198" t="str">
        <f>Table12117[[#This Row],[Sector (GICS Industry Group)]]</f>
        <v>Information Technology - Hardware &amp; Equipment</v>
      </c>
      <c r="AT115" s="212" t="e">
        <f>Table12117[[#This Row],[Percentage Impact]]*Table12117[[#This Row],[Amortised Limit A$ Balance]]</f>
        <v>#REF!</v>
      </c>
      <c r="AU115" s="212" t="e">
        <f>Table12117[[#This Row],[Amortised Limit A$ Balance]]*12%</f>
        <v>#REF!</v>
      </c>
      <c r="AV115" s="212" t="e">
        <f>IF(Table12117[[#This Row],[Everest]]="Everest",Table12117[[#This Row],[Assetinsure Amount ]]*0.2)</f>
        <v>#REF!</v>
      </c>
      <c r="AW115" s="212"/>
      <c r="AX115" s="212" t="e">
        <f>MIN(Table12117[[#This Row],[Assetinsure Amount ]]-Table12117[[#This Row],[Reinsurance Everest Re]],Table12117[[#This Row],[Total Amount]])</f>
        <v>#REF!</v>
      </c>
      <c r="AY115" s="212">
        <f t="shared" si="10"/>
        <v>0</v>
      </c>
      <c r="BC115" s="212">
        <v>0</v>
      </c>
      <c r="BD115" s="212">
        <v>0</v>
      </c>
      <c r="BE115" s="212">
        <v>0</v>
      </c>
      <c r="BF115" s="212">
        <v>0</v>
      </c>
      <c r="BG115" s="212">
        <v>0</v>
      </c>
      <c r="BH115" s="212">
        <v>0</v>
      </c>
      <c r="BI115" s="226"/>
      <c r="BL115" s="138" t="s">
        <v>941</v>
      </c>
      <c r="BM115" s="112"/>
      <c r="BN115" s="58"/>
    </row>
    <row r="116" spans="1:66" ht="39.950000000000003" customHeight="1" x14ac:dyDescent="0.2">
      <c r="A116" s="131" t="s">
        <v>756</v>
      </c>
      <c r="B116" s="132" t="s">
        <v>67</v>
      </c>
      <c r="C116" s="65" t="s">
        <v>1144</v>
      </c>
      <c r="D116" s="133" t="s">
        <v>684</v>
      </c>
      <c r="E116" s="131" t="s">
        <v>542</v>
      </c>
      <c r="F116" s="133" t="s">
        <v>308</v>
      </c>
      <c r="G116" s="14" t="s">
        <v>891</v>
      </c>
      <c r="H116" s="66" t="s">
        <v>167</v>
      </c>
      <c r="I116" s="131" t="s">
        <v>167</v>
      </c>
      <c r="J116" s="133" t="s">
        <v>677</v>
      </c>
      <c r="K116" s="192" t="s">
        <v>218</v>
      </c>
      <c r="L116" s="168" t="s">
        <v>209</v>
      </c>
      <c r="M116" s="194" t="s">
        <v>191</v>
      </c>
      <c r="N116" s="134" t="s">
        <v>59</v>
      </c>
      <c r="O116" s="167" t="s">
        <v>43</v>
      </c>
      <c r="P116" s="167" t="s">
        <v>533</v>
      </c>
      <c r="Q116" s="65" t="s">
        <v>534</v>
      </c>
      <c r="R116" s="135" t="s">
        <v>487</v>
      </c>
      <c r="S116" s="136" t="e">
        <f>155787.273/NOK</f>
        <v>#REF!</v>
      </c>
      <c r="T116" s="62">
        <v>155787.27299999999</v>
      </c>
      <c r="U116" s="136" t="e">
        <f>Table12117[[#This Row],[Amortised Limit in Original Currency]]/NOK</f>
        <v>#REF!</v>
      </c>
      <c r="V116" s="136" t="e">
        <f>311574.546/NOK</f>
        <v>#REF!</v>
      </c>
      <c r="W116" s="136" t="e">
        <f>10425037.06/NOK</f>
        <v>#REF!</v>
      </c>
      <c r="X116" s="147" t="s">
        <v>11</v>
      </c>
      <c r="Y116" s="185">
        <f>0.0285</f>
        <v>2.8500000000000001E-2</v>
      </c>
      <c r="Z116" s="137">
        <v>44651</v>
      </c>
      <c r="AA116" s="137">
        <v>46418</v>
      </c>
      <c r="AB116" s="137">
        <f>Table12117[[#This Row],[Expiry Date]]+15</f>
        <v>46433</v>
      </c>
      <c r="AC116" s="138">
        <f t="shared" si="16"/>
        <v>1783</v>
      </c>
      <c r="AD116" s="139" t="e">
        <f t="shared" si="17"/>
        <v>#REF!</v>
      </c>
      <c r="AE116" s="138" t="e">
        <f>AB116-#REF!</f>
        <v>#REF!</v>
      </c>
      <c r="AF116" s="140" t="e">
        <f t="shared" si="18"/>
        <v>#REF!</v>
      </c>
      <c r="AG116" s="184" t="s">
        <v>436</v>
      </c>
      <c r="AH116" s="186" t="s">
        <v>1</v>
      </c>
      <c r="AI116" s="186" t="s">
        <v>1</v>
      </c>
      <c r="AJ116" s="187" t="s">
        <v>0</v>
      </c>
      <c r="AK116" s="143" t="e">
        <f t="shared" si="11"/>
        <v>#REF!</v>
      </c>
      <c r="AL116" s="164" t="s">
        <v>271</v>
      </c>
      <c r="AM116" s="188" t="s">
        <v>757</v>
      </c>
      <c r="AP116" s="197" t="str">
        <f>Table12117[[#This Row],[Risk Location ]]</f>
        <v>Norway</v>
      </c>
      <c r="AQ116" s="198" t="str">
        <f>Table12117[[#This Row],[Sector (GICS Industry Group)]]</f>
        <v>Information Technology - Hardware &amp; Equipment</v>
      </c>
      <c r="AT116" s="212" t="e">
        <f>Table12117[[#This Row],[Percentage Impact]]*Table12117[[#This Row],[Amortised Limit A$ Balance]]</f>
        <v>#REF!</v>
      </c>
      <c r="AU116" s="212" t="e">
        <f>Table12117[[#This Row],[Amortised Limit A$ Balance]]*12%</f>
        <v>#REF!</v>
      </c>
      <c r="AV116" s="212" t="e">
        <f>IF(Table12117[[#This Row],[Everest]]="Everest",Table12117[[#This Row],[Assetinsure Amount ]]*0.2)</f>
        <v>#REF!</v>
      </c>
      <c r="AW116" s="212"/>
      <c r="AX116" s="212" t="e">
        <f>MIN(Table12117[[#This Row],[Assetinsure Amount ]]-Table12117[[#This Row],[Reinsurance Everest Re]],Table12117[[#This Row],[Total Amount]])</f>
        <v>#REF!</v>
      </c>
      <c r="AY116" s="212">
        <f t="shared" si="10"/>
        <v>0</v>
      </c>
      <c r="BC116" s="212">
        <v>0</v>
      </c>
      <c r="BD116" s="212">
        <v>0</v>
      </c>
      <c r="BE116" s="212">
        <v>0</v>
      </c>
      <c r="BF116" s="212">
        <v>0</v>
      </c>
      <c r="BG116" s="212">
        <v>0</v>
      </c>
      <c r="BH116" s="212">
        <v>0</v>
      </c>
      <c r="BI116" s="226"/>
      <c r="BL116" s="138" t="s">
        <v>1039</v>
      </c>
      <c r="BM116" s="112"/>
      <c r="BN116" s="58"/>
    </row>
    <row r="117" spans="1:66" ht="39.950000000000003" customHeight="1" x14ac:dyDescent="0.2">
      <c r="A117" s="131" t="s">
        <v>758</v>
      </c>
      <c r="B117" s="132" t="s">
        <v>23</v>
      </c>
      <c r="C117" s="65" t="s">
        <v>1141</v>
      </c>
      <c r="D117" s="133" t="s">
        <v>34</v>
      </c>
      <c r="E117" s="14" t="s">
        <v>34</v>
      </c>
      <c r="F117" s="133" t="s">
        <v>34</v>
      </c>
      <c r="G117" s="14" t="s">
        <v>102</v>
      </c>
      <c r="H117" s="14" t="s">
        <v>102</v>
      </c>
      <c r="I117" s="131" t="s">
        <v>477</v>
      </c>
      <c r="J117" s="133" t="s">
        <v>760</v>
      </c>
      <c r="K117" s="192" t="s">
        <v>33</v>
      </c>
      <c r="L117" s="168" t="s">
        <v>101</v>
      </c>
      <c r="M117" s="194" t="s">
        <v>191</v>
      </c>
      <c r="N117" s="134" t="s">
        <v>323</v>
      </c>
      <c r="O117" s="167" t="s">
        <v>43</v>
      </c>
      <c r="P117" s="167" t="s">
        <v>533</v>
      </c>
      <c r="Q117" s="65" t="s">
        <v>534</v>
      </c>
      <c r="R117" s="135" t="s">
        <v>8</v>
      </c>
      <c r="S117" s="136">
        <v>11100</v>
      </c>
      <c r="T117" s="62">
        <v>11100</v>
      </c>
      <c r="U117" s="136">
        <v>11100</v>
      </c>
      <c r="V117" s="136">
        <v>48000</v>
      </c>
      <c r="W117" s="136">
        <v>417129.53</v>
      </c>
      <c r="X117" s="147" t="s">
        <v>11</v>
      </c>
      <c r="Y117" s="185">
        <v>2.1499999999999998E-2</v>
      </c>
      <c r="Z117" s="137">
        <v>44651</v>
      </c>
      <c r="AA117" s="137">
        <v>46386</v>
      </c>
      <c r="AB117" s="137">
        <v>46386</v>
      </c>
      <c r="AC117" s="138">
        <f t="shared" si="16"/>
        <v>1736</v>
      </c>
      <c r="AD117" s="139" t="e">
        <f t="shared" si="17"/>
        <v>#REF!</v>
      </c>
      <c r="AE117" s="138" t="e">
        <f>AB117-#REF!</f>
        <v>#REF!</v>
      </c>
      <c r="AF117" s="140" t="e">
        <f t="shared" si="18"/>
        <v>#REF!</v>
      </c>
      <c r="AG117" s="184"/>
      <c r="AH117" s="186" t="s">
        <v>1</v>
      </c>
      <c r="AI117" s="186" t="s">
        <v>1</v>
      </c>
      <c r="AJ117" s="187" t="s">
        <v>0</v>
      </c>
      <c r="AK117" s="143" t="e">
        <f t="shared" si="11"/>
        <v>#REF!</v>
      </c>
      <c r="AL117" s="164" t="s">
        <v>563</v>
      </c>
      <c r="AM117" s="188" t="s">
        <v>761</v>
      </c>
      <c r="AP117" s="197" t="str">
        <f>Table12117[[#This Row],[Risk Location ]]</f>
        <v>Australia</v>
      </c>
      <c r="AQ117" s="198" t="str">
        <f>Table12117[[#This Row],[Sector (GICS Industry Group)]]</f>
        <v>Real Estate Investment</v>
      </c>
      <c r="AT117" s="212">
        <f>Table12117[[#This Row],[Percentage Impact]]*Table12117[[#This Row],[Amortised Limit A$ Balance]]</f>
        <v>0</v>
      </c>
      <c r="AU117" s="212">
        <f>Table12117[[#This Row],[Amortised Limit A$ Balance]]*12%</f>
        <v>1332</v>
      </c>
      <c r="AV117" s="212" t="b">
        <f>IF(Table12117[[#This Row],[Everest]]="Everest",Table12117[[#This Row],[Assetinsure Amount ]]*0.2)</f>
        <v>0</v>
      </c>
      <c r="AW117" s="212"/>
      <c r="AX117" s="212">
        <f>MIN(Table12117[[#This Row],[Assetinsure Amount ]]-Table12117[[#This Row],[Reinsurance Everest Re]],Table12117[[#This Row],[Total Amount]])</f>
        <v>0</v>
      </c>
      <c r="AY117" s="212">
        <f t="shared" si="10"/>
        <v>0</v>
      </c>
      <c r="BC117" s="212">
        <v>0</v>
      </c>
      <c r="BD117" s="212">
        <v>0</v>
      </c>
      <c r="BE117" s="212">
        <v>0</v>
      </c>
      <c r="BF117" s="212">
        <v>0</v>
      </c>
      <c r="BG117" s="212">
        <v>0</v>
      </c>
      <c r="BH117" s="212">
        <v>0</v>
      </c>
      <c r="BI117" s="226"/>
      <c r="BL117" s="138" t="s">
        <v>1040</v>
      </c>
      <c r="BM117" s="112"/>
      <c r="BN117" s="58"/>
    </row>
    <row r="118" spans="1:66" ht="39.950000000000003" customHeight="1" x14ac:dyDescent="0.2">
      <c r="A118" s="131" t="s">
        <v>780</v>
      </c>
      <c r="B118" s="132" t="s">
        <v>23</v>
      </c>
      <c r="C118" s="65" t="s">
        <v>1143</v>
      </c>
      <c r="D118" s="133" t="s">
        <v>34</v>
      </c>
      <c r="E118" s="131" t="s">
        <v>34</v>
      </c>
      <c r="F118" s="133" t="s">
        <v>34</v>
      </c>
      <c r="G118" s="131" t="s">
        <v>544</v>
      </c>
      <c r="H118" s="66" t="s">
        <v>117</v>
      </c>
      <c r="I118" s="131" t="s">
        <v>273</v>
      </c>
      <c r="J118" s="133" t="s">
        <v>232</v>
      </c>
      <c r="K118" s="192" t="s">
        <v>21</v>
      </c>
      <c r="L118" s="168" t="s">
        <v>209</v>
      </c>
      <c r="M118" s="194" t="s">
        <v>191</v>
      </c>
      <c r="N118" s="134" t="s">
        <v>323</v>
      </c>
      <c r="O118" s="167" t="s">
        <v>43</v>
      </c>
      <c r="P118" s="167" t="s">
        <v>538</v>
      </c>
      <c r="Q118" s="65" t="s">
        <v>534</v>
      </c>
      <c r="R118" s="135" t="s">
        <v>8</v>
      </c>
      <c r="S118" s="136">
        <f>20000</f>
        <v>20000</v>
      </c>
      <c r="T118" s="62">
        <v>20000</v>
      </c>
      <c r="U118" s="136">
        <f>Table12117[[#This Row],[Amortised Limit in Original Currency]]</f>
        <v>20000</v>
      </c>
      <c r="V118" s="136">
        <v>172250</v>
      </c>
      <c r="W118" s="136">
        <v>528467.09</v>
      </c>
      <c r="X118" s="147" t="s">
        <v>11</v>
      </c>
      <c r="Y118" s="185">
        <v>2.2499999999999999E-2</v>
      </c>
      <c r="Z118" s="137">
        <v>44658</v>
      </c>
      <c r="AA118" s="137">
        <v>45594</v>
      </c>
      <c r="AB118" s="137">
        <v>45625</v>
      </c>
      <c r="AC118" s="138">
        <f t="shared" si="16"/>
        <v>968</v>
      </c>
      <c r="AD118" s="139" t="e">
        <f t="shared" si="17"/>
        <v>#REF!</v>
      </c>
      <c r="AE118" s="138" t="e">
        <f>AB118-#REF!</f>
        <v>#REF!</v>
      </c>
      <c r="AF118" s="140" t="e">
        <f>AE118/365</f>
        <v>#REF!</v>
      </c>
      <c r="AG118" s="184"/>
      <c r="AH118" s="186" t="s">
        <v>1</v>
      </c>
      <c r="AI118" s="186" t="s">
        <v>1</v>
      </c>
      <c r="AJ118" s="187" t="s">
        <v>0</v>
      </c>
      <c r="AK118" s="143" t="e">
        <f>+IF(AB118-60&lt;$A$1, "SEND NOTICE", "N/A")</f>
        <v>#REF!</v>
      </c>
      <c r="AL118" s="164" t="s">
        <v>563</v>
      </c>
      <c r="AM118" s="188" t="s">
        <v>776</v>
      </c>
      <c r="AP118" s="197" t="str">
        <f>Table12117[[#This Row],[Risk Location ]]</f>
        <v>Australia</v>
      </c>
      <c r="AQ118" s="198" t="str">
        <f>Table12117[[#This Row],[Sector (GICS Industry Group)]]</f>
        <v>Consumer Discretionary</v>
      </c>
      <c r="AT118" s="212">
        <f>Table12117[[#This Row],[Percentage Impact]]*Table12117[[#This Row],[Amortised Limit A$ Balance]]</f>
        <v>0</v>
      </c>
      <c r="AU118" s="212">
        <f>Table12117[[#This Row],[Amortised Limit A$ Balance]]*12%</f>
        <v>2400</v>
      </c>
      <c r="AV118" s="212" t="b">
        <f>IF(Table12117[[#This Row],[Everest]]="Everest",Table12117[[#This Row],[Assetinsure Amount ]]*0.2)</f>
        <v>0</v>
      </c>
      <c r="AW118" s="212"/>
      <c r="AX118" s="212">
        <f>MIN(Table12117[[#This Row],[Assetinsure Amount ]]-Table12117[[#This Row],[Reinsurance Everest Re]],Table12117[[#This Row],[Total Amount]])</f>
        <v>0</v>
      </c>
      <c r="AY118" s="212">
        <f t="shared" si="10"/>
        <v>0</v>
      </c>
      <c r="BC118" s="212">
        <v>0</v>
      </c>
      <c r="BD118" s="212">
        <v>0</v>
      </c>
      <c r="BE118" s="212">
        <v>0</v>
      </c>
      <c r="BF118" s="212">
        <v>0</v>
      </c>
      <c r="BG118" s="212">
        <v>0</v>
      </c>
      <c r="BH118" s="212">
        <v>0</v>
      </c>
      <c r="BI118" s="226"/>
      <c r="BL118" s="138" t="s">
        <v>1041</v>
      </c>
      <c r="BM118" s="112"/>
      <c r="BN118" s="58"/>
    </row>
    <row r="119" spans="1:66" ht="39.950000000000003" customHeight="1" x14ac:dyDescent="0.2">
      <c r="A119" s="131" t="s">
        <v>781</v>
      </c>
      <c r="B119" s="132" t="s">
        <v>243</v>
      </c>
      <c r="C119" s="65" t="s">
        <v>1144</v>
      </c>
      <c r="D119" s="133" t="s">
        <v>588</v>
      </c>
      <c r="E119" s="14" t="s">
        <v>542</v>
      </c>
      <c r="F119" s="133" t="s">
        <v>87</v>
      </c>
      <c r="G119" s="14" t="s">
        <v>102</v>
      </c>
      <c r="H119" s="14" t="s">
        <v>102</v>
      </c>
      <c r="I119" s="131" t="s">
        <v>477</v>
      </c>
      <c r="J119" s="133" t="s">
        <v>298</v>
      </c>
      <c r="K119" s="192" t="s">
        <v>218</v>
      </c>
      <c r="L119" s="168" t="s">
        <v>209</v>
      </c>
      <c r="M119" s="194" t="s">
        <v>191</v>
      </c>
      <c r="N119" s="134" t="s">
        <v>59</v>
      </c>
      <c r="O119" s="167" t="s">
        <v>43</v>
      </c>
      <c r="P119" s="167" t="s">
        <v>533</v>
      </c>
      <c r="Q119" s="65" t="s">
        <v>534</v>
      </c>
      <c r="R119" s="135" t="s">
        <v>156</v>
      </c>
      <c r="S119" s="136" t="e">
        <f>10000/GBP</f>
        <v>#REF!</v>
      </c>
      <c r="T119" s="62">
        <v>10000</v>
      </c>
      <c r="U119" s="136" t="e">
        <f>Table12117[[#This Row],[Amortised Limit in Original Currency]]/GBP</f>
        <v>#REF!</v>
      </c>
      <c r="V119" s="136" t="e">
        <f>40000/GBP</f>
        <v>#REF!</v>
      </c>
      <c r="W119" s="136" t="e">
        <f>411159.58/GBP</f>
        <v>#REF!</v>
      </c>
      <c r="X119" s="147" t="s">
        <v>11</v>
      </c>
      <c r="Y119" s="185">
        <v>0.03</v>
      </c>
      <c r="Z119" s="137">
        <v>44663</v>
      </c>
      <c r="AA119" s="137">
        <v>45749</v>
      </c>
      <c r="AB119" s="137">
        <f>Table12117[[#This Row],[Expiry Date]]+15</f>
        <v>45764</v>
      </c>
      <c r="AC119" s="138">
        <f t="shared" si="16"/>
        <v>1102</v>
      </c>
      <c r="AD119" s="139" t="e">
        <f t="shared" si="17"/>
        <v>#REF!</v>
      </c>
      <c r="AE119" s="138" t="e">
        <f>AB119-#REF!</f>
        <v>#REF!</v>
      </c>
      <c r="AF119" s="140" t="e">
        <f>AE119/365</f>
        <v>#REF!</v>
      </c>
      <c r="AG119" s="184"/>
      <c r="AH119" s="186" t="s">
        <v>1</v>
      </c>
      <c r="AI119" s="186" t="s">
        <v>1</v>
      </c>
      <c r="AJ119" s="187" t="s">
        <v>0</v>
      </c>
      <c r="AK119" s="143" t="e">
        <f>+IF(AB119-60&lt;$A$1, "SEND NOTICE", "N/A")</f>
        <v>#REF!</v>
      </c>
      <c r="AL119" s="164" t="s">
        <v>563</v>
      </c>
      <c r="AM119" s="188" t="s">
        <v>777</v>
      </c>
      <c r="AP119" s="197" t="str">
        <f>Table12117[[#This Row],[Risk Location ]]</f>
        <v>United Kingdom</v>
      </c>
      <c r="AQ119" s="198" t="str">
        <f>Table12117[[#This Row],[Sector (GICS Industry Group)]]</f>
        <v>Real Estate Investment</v>
      </c>
      <c r="AT119" s="212" t="e">
        <f>Table12117[[#This Row],[Percentage Impact]]*Table12117[[#This Row],[Amortised Limit A$ Balance]]</f>
        <v>#REF!</v>
      </c>
      <c r="AU119" s="212" t="e">
        <f>Table12117[[#This Row],[Amortised Limit A$ Balance]]*12%</f>
        <v>#REF!</v>
      </c>
      <c r="AV119" s="212" t="b">
        <f>IF(Table12117[[#This Row],[Everest]]="Everest",Table12117[[#This Row],[Assetinsure Amount ]]*0.2)</f>
        <v>0</v>
      </c>
      <c r="AW119" s="212"/>
      <c r="AX119" s="212" t="e">
        <f>MIN(Table12117[[#This Row],[Assetinsure Amount ]]-Table12117[[#This Row],[Reinsurance Everest Re]],Table12117[[#This Row],[Total Amount]])</f>
        <v>#REF!</v>
      </c>
      <c r="AY119" s="212">
        <f t="shared" si="10"/>
        <v>0</v>
      </c>
      <c r="BC119" s="212">
        <v>0</v>
      </c>
      <c r="BD119" s="212">
        <v>0</v>
      </c>
      <c r="BE119" s="212">
        <v>0</v>
      </c>
      <c r="BF119" s="212">
        <v>0</v>
      </c>
      <c r="BG119" s="212">
        <v>0</v>
      </c>
      <c r="BH119" s="212">
        <v>0</v>
      </c>
      <c r="BI119" s="226"/>
      <c r="BL119" s="138" t="s">
        <v>1042</v>
      </c>
      <c r="BM119" s="112"/>
      <c r="BN119" s="58"/>
    </row>
    <row r="120" spans="1:66" ht="39.950000000000003" customHeight="1" x14ac:dyDescent="0.2">
      <c r="A120" s="131" t="s">
        <v>782</v>
      </c>
      <c r="B120" s="132" t="s">
        <v>23</v>
      </c>
      <c r="C120" s="65" t="s">
        <v>1143</v>
      </c>
      <c r="D120" s="133" t="s">
        <v>88</v>
      </c>
      <c r="E120" s="131" t="s">
        <v>542</v>
      </c>
      <c r="F120" s="133" t="s">
        <v>193</v>
      </c>
      <c r="G120" s="131" t="s">
        <v>92</v>
      </c>
      <c r="H120" s="66" t="s">
        <v>134</v>
      </c>
      <c r="I120" s="131" t="s">
        <v>134</v>
      </c>
      <c r="J120" s="133" t="s">
        <v>286</v>
      </c>
      <c r="K120" s="192" t="s">
        <v>220</v>
      </c>
      <c r="L120" s="168" t="s">
        <v>209</v>
      </c>
      <c r="M120" s="194" t="s">
        <v>191</v>
      </c>
      <c r="N120" s="134" t="s">
        <v>59</v>
      </c>
      <c r="O120" s="167" t="s">
        <v>43</v>
      </c>
      <c r="P120" s="167" t="s">
        <v>531</v>
      </c>
      <c r="Q120" s="65" t="s">
        <v>534</v>
      </c>
      <c r="R120" s="135" t="s">
        <v>9</v>
      </c>
      <c r="S120" s="136" t="e">
        <f>7500/USD</f>
        <v>#REF!</v>
      </c>
      <c r="T120" s="62">
        <v>6429.1930000000002</v>
      </c>
      <c r="U120" s="136" t="e">
        <f>Table12117[[#This Row],[Amortised Limit in Original Currency]]/USD</f>
        <v>#REF!</v>
      </c>
      <c r="V120" s="136" t="e">
        <f>107254.32511/USD</f>
        <v>#REF!</v>
      </c>
      <c r="W120" s="136" t="e">
        <f>418014.94/USD</f>
        <v>#REF!</v>
      </c>
      <c r="X120" s="147" t="s">
        <v>11</v>
      </c>
      <c r="Y120" s="185">
        <v>2.5000000000000001E-2</v>
      </c>
      <c r="Z120" s="137">
        <v>44650</v>
      </c>
      <c r="AA120" s="137">
        <v>47421</v>
      </c>
      <c r="AB120" s="137">
        <v>47421</v>
      </c>
      <c r="AC120" s="138">
        <f t="shared" si="16"/>
        <v>2772</v>
      </c>
      <c r="AD120" s="139" t="e">
        <f t="shared" si="17"/>
        <v>#REF!</v>
      </c>
      <c r="AE120" s="138" t="e">
        <f>AB120-#REF!</f>
        <v>#REF!</v>
      </c>
      <c r="AF120" s="140" t="e">
        <f>AE120/365</f>
        <v>#REF!</v>
      </c>
      <c r="AG120" s="184"/>
      <c r="AH120" s="186" t="s">
        <v>1</v>
      </c>
      <c r="AI120" s="186" t="s">
        <v>1</v>
      </c>
      <c r="AJ120" s="187" t="s">
        <v>784</v>
      </c>
      <c r="AK120" s="143" t="e">
        <f>+IF(AB120-60&lt;$A$1, "SEND NOTICE", "N/A")</f>
        <v>#REF!</v>
      </c>
      <c r="AL120" s="164" t="s">
        <v>563</v>
      </c>
      <c r="AM120" s="188" t="s">
        <v>778</v>
      </c>
      <c r="AP120" s="197" t="str">
        <f>Table12117[[#This Row],[Risk Location ]]</f>
        <v>Switzerland</v>
      </c>
      <c r="AQ120" s="198" t="str">
        <f>Table12117[[#This Row],[Sector (GICS Industry Group)]]</f>
        <v>Transportation</v>
      </c>
      <c r="AT120" s="212" t="e">
        <f>Table12117[[#This Row],[Percentage Impact]]*Table12117[[#This Row],[Amortised Limit A$ Balance]]</f>
        <v>#REF!</v>
      </c>
      <c r="AU120" s="212" t="e">
        <f>Table12117[[#This Row],[Amortised Limit A$ Balance]]*12%</f>
        <v>#REF!</v>
      </c>
      <c r="AV120" s="212" t="b">
        <f>IF(Table12117[[#This Row],[Everest]]="Everest",Table12117[[#This Row],[Assetinsure Amount ]]*0.2)</f>
        <v>0</v>
      </c>
      <c r="AW120" s="212"/>
      <c r="AX120" s="212" t="e">
        <f>MIN(Table12117[[#This Row],[Assetinsure Amount ]]-Table12117[[#This Row],[Reinsurance Everest Re]],Table12117[[#This Row],[Total Amount]])</f>
        <v>#REF!</v>
      </c>
      <c r="AY120" s="212">
        <f t="shared" si="10"/>
        <v>0</v>
      </c>
      <c r="BC120" s="212">
        <v>0</v>
      </c>
      <c r="BD120" s="212">
        <v>0</v>
      </c>
      <c r="BE120" s="212">
        <v>0</v>
      </c>
      <c r="BF120" s="212">
        <v>0</v>
      </c>
      <c r="BG120" s="212">
        <v>0</v>
      </c>
      <c r="BH120" s="212">
        <v>0</v>
      </c>
      <c r="BI120" s="226"/>
      <c r="BL120" s="138" t="s">
        <v>1043</v>
      </c>
      <c r="BM120" s="112"/>
      <c r="BN120" s="58"/>
    </row>
    <row r="121" spans="1:66" s="229" customFormat="1" ht="39.950000000000003" customHeight="1" x14ac:dyDescent="0.2">
      <c r="A121" s="131" t="s">
        <v>785</v>
      </c>
      <c r="B121" s="132" t="s">
        <v>51</v>
      </c>
      <c r="C121" s="65" t="s">
        <v>243</v>
      </c>
      <c r="D121" s="133" t="s">
        <v>746</v>
      </c>
      <c r="E121" s="131" t="s">
        <v>542</v>
      </c>
      <c r="F121" s="133" t="s">
        <v>746</v>
      </c>
      <c r="G121" s="133" t="s">
        <v>106</v>
      </c>
      <c r="H121" s="133" t="s">
        <v>106</v>
      </c>
      <c r="I121" s="131" t="s">
        <v>263</v>
      </c>
      <c r="J121" s="133" t="s">
        <v>747</v>
      </c>
      <c r="K121" s="192" t="s">
        <v>221</v>
      </c>
      <c r="L121" s="168" t="s">
        <v>101</v>
      </c>
      <c r="M121" s="194" t="s">
        <v>191</v>
      </c>
      <c r="N121" s="134" t="s">
        <v>59</v>
      </c>
      <c r="O121" s="167" t="s">
        <v>43</v>
      </c>
      <c r="P121" s="167" t="s">
        <v>533</v>
      </c>
      <c r="Q121" s="270" t="s">
        <v>534</v>
      </c>
      <c r="R121" s="135" t="s">
        <v>59</v>
      </c>
      <c r="S121" s="136" t="e">
        <f>10000/EUR</f>
        <v>#REF!</v>
      </c>
      <c r="T121" s="62">
        <v>19864.514999999999</v>
      </c>
      <c r="U121" s="136" t="e">
        <f>Table12117[[#This Row],[Amortised Limit in Original Currency]]/EUR</f>
        <v>#REF!</v>
      </c>
      <c r="V121" s="136" t="e">
        <f>199100/EUR</f>
        <v>#REF!</v>
      </c>
      <c r="W121" s="136" t="e">
        <f>1400294.59/EUR</f>
        <v>#REF!</v>
      </c>
      <c r="X121" s="147" t="s">
        <v>11</v>
      </c>
      <c r="Y121" s="185">
        <v>1.55E-2</v>
      </c>
      <c r="Z121" s="137">
        <v>44678</v>
      </c>
      <c r="AA121" s="137">
        <v>48096</v>
      </c>
      <c r="AB121" s="137">
        <v>48113</v>
      </c>
      <c r="AC121" s="138">
        <f t="shared" si="16"/>
        <v>3436</v>
      </c>
      <c r="AD121" s="139" t="e">
        <f t="shared" si="17"/>
        <v>#REF!</v>
      </c>
      <c r="AE121" s="138" t="e">
        <f>AB121-#REF!</f>
        <v>#REF!</v>
      </c>
      <c r="AF121" s="140" t="e">
        <f t="shared" ref="AF121:AF184" si="19">AE121/365</f>
        <v>#REF!</v>
      </c>
      <c r="AG121" s="184" t="s">
        <v>436</v>
      </c>
      <c r="AH121" s="186" t="s">
        <v>1</v>
      </c>
      <c r="AI121" s="186" t="s">
        <v>1</v>
      </c>
      <c r="AJ121" s="187" t="s">
        <v>784</v>
      </c>
      <c r="AK121" s="164" t="e">
        <f t="shared" ref="AK121:AK184" si="20">+IF(AB121-60&lt;$A$1, "SEND NOTICE", "N/A")</f>
        <v>#REF!</v>
      </c>
      <c r="AL121" s="164" t="s">
        <v>271</v>
      </c>
      <c r="AM121" s="188" t="s">
        <v>779</v>
      </c>
      <c r="AP121" s="197" t="str">
        <f>Table12117[[#This Row],[Risk Location ]]</f>
        <v>Czech Republic</v>
      </c>
      <c r="AQ121" s="198" t="str">
        <f>Table12117[[#This Row],[Sector (GICS Industry Group)]]</f>
        <v>Real Estate Management &amp; Development</v>
      </c>
      <c r="AT121" s="212" t="e">
        <f>Table12117[[#This Row],[Percentage Impact]]*Table12117[[#This Row],[Amortised Limit A$ Balance]]</f>
        <v>#REF!</v>
      </c>
      <c r="AU121" s="212" t="e">
        <f>Table12117[[#This Row],[Amortised Limit A$ Balance]]*12%</f>
        <v>#REF!</v>
      </c>
      <c r="AV121" s="212" t="e">
        <f>IF(Table12117[[#This Row],[Everest]]="Everest",Table12117[[#This Row],[Assetinsure Amount ]]*0.2)</f>
        <v>#REF!</v>
      </c>
      <c r="AW121" s="278"/>
      <c r="AX121" s="212" t="e">
        <f>MIN(Table12117[[#This Row],[Assetinsure Amount ]]-Table12117[[#This Row],[Reinsurance Everest Re]],Table12117[[#This Row],[Total Amount]])</f>
        <v>#REF!</v>
      </c>
      <c r="AY121" s="212">
        <f t="shared" si="10"/>
        <v>0</v>
      </c>
      <c r="BC121" s="278">
        <v>0</v>
      </c>
      <c r="BD121" s="278">
        <v>0</v>
      </c>
      <c r="BE121" s="278">
        <v>0</v>
      </c>
      <c r="BF121" s="278">
        <v>0</v>
      </c>
      <c r="BG121" s="278">
        <v>0</v>
      </c>
      <c r="BH121" s="278">
        <v>0</v>
      </c>
      <c r="BI121" s="226"/>
      <c r="BL121" s="138" t="s">
        <v>1044</v>
      </c>
      <c r="BM121" s="276"/>
      <c r="BN121" s="272" t="s">
        <v>474</v>
      </c>
    </row>
    <row r="122" spans="1:66" ht="39.950000000000003" customHeight="1" x14ac:dyDescent="0.2">
      <c r="A122" s="131" t="s">
        <v>786</v>
      </c>
      <c r="B122" s="132" t="s">
        <v>23</v>
      </c>
      <c r="C122" s="65" t="s">
        <v>1141</v>
      </c>
      <c r="D122" s="133" t="s">
        <v>797</v>
      </c>
      <c r="E122" s="131" t="s">
        <v>541</v>
      </c>
      <c r="F122" s="133" t="s">
        <v>38</v>
      </c>
      <c r="G122" s="131" t="s">
        <v>543</v>
      </c>
      <c r="H122" s="66" t="s">
        <v>133</v>
      </c>
      <c r="I122" s="131" t="s">
        <v>133</v>
      </c>
      <c r="J122" s="133" t="s">
        <v>50</v>
      </c>
      <c r="K122" s="192" t="s">
        <v>21</v>
      </c>
      <c r="L122" s="168" t="s">
        <v>209</v>
      </c>
      <c r="M122" s="194" t="s">
        <v>191</v>
      </c>
      <c r="N122" s="134" t="s">
        <v>323</v>
      </c>
      <c r="O122" s="167" t="s">
        <v>43</v>
      </c>
      <c r="P122" s="167" t="s">
        <v>538</v>
      </c>
      <c r="Q122" s="65" t="s">
        <v>534</v>
      </c>
      <c r="R122" s="135" t="s">
        <v>9</v>
      </c>
      <c r="S122" s="136" t="e">
        <f>20000/USD</f>
        <v>#REF!</v>
      </c>
      <c r="T122" s="62">
        <v>20000</v>
      </c>
      <c r="U122" s="136" t="e">
        <f>Table12117[[#This Row],[Amortised Limit in Original Currency]]/USD</f>
        <v>#REF!</v>
      </c>
      <c r="V122" s="136" t="e">
        <f>60000/USD</f>
        <v>#REF!</v>
      </c>
      <c r="W122" s="136" t="e">
        <f>2065267.72/USD</f>
        <v>#REF!</v>
      </c>
      <c r="X122" s="147" t="s">
        <v>11</v>
      </c>
      <c r="Y122" s="185">
        <v>3.7499999999999999E-2</v>
      </c>
      <c r="Z122" s="137">
        <v>44686</v>
      </c>
      <c r="AA122" s="137">
        <v>46437</v>
      </c>
      <c r="AB122" s="137">
        <v>46465</v>
      </c>
      <c r="AC122" s="138">
        <f t="shared" si="16"/>
        <v>1780</v>
      </c>
      <c r="AD122" s="139" t="e">
        <f t="shared" si="17"/>
        <v>#REF!</v>
      </c>
      <c r="AE122" s="138" t="e">
        <f>AB122-#REF!</f>
        <v>#REF!</v>
      </c>
      <c r="AF122" s="140" t="e">
        <f t="shared" si="19"/>
        <v>#REF!</v>
      </c>
      <c r="AG122" s="184" t="s">
        <v>436</v>
      </c>
      <c r="AH122" s="186" t="s">
        <v>1</v>
      </c>
      <c r="AI122" s="186" t="s">
        <v>1</v>
      </c>
      <c r="AJ122" s="187" t="s">
        <v>803</v>
      </c>
      <c r="AK122" s="143" t="e">
        <f t="shared" si="20"/>
        <v>#REF!</v>
      </c>
      <c r="AL122" s="164" t="s">
        <v>563</v>
      </c>
      <c r="AM122" s="188" t="s">
        <v>792</v>
      </c>
      <c r="AP122" s="197" t="str">
        <f>Table12117[[#This Row],[Risk Location ]]</f>
        <v>Singapore</v>
      </c>
      <c r="AQ122" s="198" t="str">
        <f>Table12117[[#This Row],[Sector (GICS Industry Group)]]</f>
        <v>Industrials</v>
      </c>
      <c r="AT122" s="212" t="e">
        <f>Table12117[[#This Row],[Percentage Impact]]*Table12117[[#This Row],[Amortised Limit A$ Balance]]</f>
        <v>#REF!</v>
      </c>
      <c r="AU122" s="212" t="e">
        <f>Table12117[[#This Row],[Amortised Limit A$ Balance]]*12%</f>
        <v>#REF!</v>
      </c>
      <c r="AV122" s="212" t="e">
        <f>IF(Table12117[[#This Row],[Everest]]="Everest",Table12117[[#This Row],[Assetinsure Amount ]]*0.2)</f>
        <v>#REF!</v>
      </c>
      <c r="AW122" s="212"/>
      <c r="AX122" s="212" t="e">
        <f>MIN(Table12117[[#This Row],[Assetinsure Amount ]]-Table12117[[#This Row],[Reinsurance Everest Re]],Table12117[[#This Row],[Total Amount]])</f>
        <v>#REF!</v>
      </c>
      <c r="AY122" s="212">
        <f t="shared" si="10"/>
        <v>0</v>
      </c>
      <c r="BC122" s="212">
        <v>0</v>
      </c>
      <c r="BD122" s="212">
        <v>0</v>
      </c>
      <c r="BE122" s="212">
        <v>0</v>
      </c>
      <c r="BF122" s="212">
        <v>0</v>
      </c>
      <c r="BG122" s="212">
        <v>0</v>
      </c>
      <c r="BH122" s="212">
        <v>0</v>
      </c>
      <c r="BI122" s="226"/>
      <c r="BL122" s="138" t="s">
        <v>1045</v>
      </c>
      <c r="BM122" s="112"/>
      <c r="BN122" s="58"/>
    </row>
    <row r="123" spans="1:66" ht="39.950000000000003" customHeight="1" x14ac:dyDescent="0.2">
      <c r="A123" s="131" t="s">
        <v>787</v>
      </c>
      <c r="B123" s="132" t="s">
        <v>67</v>
      </c>
      <c r="C123" s="65" t="s">
        <v>1142</v>
      </c>
      <c r="D123" s="133" t="s">
        <v>34</v>
      </c>
      <c r="E123" s="131" t="s">
        <v>34</v>
      </c>
      <c r="F123" s="133" t="s">
        <v>34</v>
      </c>
      <c r="G123" s="131" t="s">
        <v>547</v>
      </c>
      <c r="H123" s="66" t="s">
        <v>265</v>
      </c>
      <c r="I123" s="131" t="s">
        <v>456</v>
      </c>
      <c r="J123" s="133" t="s">
        <v>656</v>
      </c>
      <c r="K123" s="192" t="s">
        <v>656</v>
      </c>
      <c r="L123" s="168" t="s">
        <v>140</v>
      </c>
      <c r="M123" s="194" t="s">
        <v>191</v>
      </c>
      <c r="N123" s="134" t="s">
        <v>323</v>
      </c>
      <c r="O123" s="167" t="s">
        <v>43</v>
      </c>
      <c r="P123" s="167" t="s">
        <v>533</v>
      </c>
      <c r="Q123" s="65" t="s">
        <v>534</v>
      </c>
      <c r="R123" s="135" t="s">
        <v>8</v>
      </c>
      <c r="S123" s="136">
        <v>10000</v>
      </c>
      <c r="T123" s="62">
        <v>9263.39</v>
      </c>
      <c r="U123" s="136">
        <f>Table12117[[#This Row],[Amortised Limit in Original Currency]]</f>
        <v>9263.39</v>
      </c>
      <c r="V123" s="136">
        <f>88100</f>
        <v>88100</v>
      </c>
      <c r="W123" s="136">
        <v>698431.06</v>
      </c>
      <c r="X123" s="147" t="s">
        <v>11</v>
      </c>
      <c r="Y123" s="185">
        <v>1.7999999999999999E-2</v>
      </c>
      <c r="Z123" s="137">
        <v>44694</v>
      </c>
      <c r="AA123" s="137">
        <v>47026</v>
      </c>
      <c r="AB123" s="137">
        <v>47047</v>
      </c>
      <c r="AC123" s="138">
        <f t="shared" si="16"/>
        <v>2354</v>
      </c>
      <c r="AD123" s="139" t="e">
        <f t="shared" si="17"/>
        <v>#REF!</v>
      </c>
      <c r="AE123" s="138" t="e">
        <f>AB123-#REF!</f>
        <v>#REF!</v>
      </c>
      <c r="AF123" s="140" t="e">
        <f t="shared" si="19"/>
        <v>#REF!</v>
      </c>
      <c r="AG123" s="184"/>
      <c r="AH123" s="186" t="s">
        <v>1</v>
      </c>
      <c r="AI123" s="186" t="s">
        <v>1</v>
      </c>
      <c r="AJ123" s="187" t="s">
        <v>1208</v>
      </c>
      <c r="AK123" s="143" t="e">
        <f t="shared" si="20"/>
        <v>#REF!</v>
      </c>
      <c r="AL123" s="164" t="s">
        <v>563</v>
      </c>
      <c r="AM123" s="188" t="s">
        <v>791</v>
      </c>
      <c r="AP123" s="197" t="str">
        <f>Table12117[[#This Row],[Risk Location ]]</f>
        <v>Australia</v>
      </c>
      <c r="AQ123" s="198" t="str">
        <f>Table12117[[#This Row],[Sector (GICS Industry Group)]]</f>
        <v>Consumer Staples</v>
      </c>
      <c r="AT123" s="212">
        <f>Table12117[[#This Row],[Percentage Impact]]*Table12117[[#This Row],[Amortised Limit A$ Balance]]</f>
        <v>0</v>
      </c>
      <c r="AU123" s="212">
        <f>Table12117[[#This Row],[Amortised Limit A$ Balance]]*12%</f>
        <v>1111.6067999999998</v>
      </c>
      <c r="AV123" s="212" t="b">
        <f>IF(Table12117[[#This Row],[Everest]]="Everest",Table12117[[#This Row],[Assetinsure Amount ]]*0.2)</f>
        <v>0</v>
      </c>
      <c r="AW123" s="212"/>
      <c r="AX123" s="212">
        <f>MIN(Table12117[[#This Row],[Assetinsure Amount ]]-Table12117[[#This Row],[Reinsurance Everest Re]],Table12117[[#This Row],[Total Amount]])</f>
        <v>0</v>
      </c>
      <c r="AY123" s="212">
        <f t="shared" si="10"/>
        <v>0</v>
      </c>
      <c r="BC123" s="212">
        <v>0</v>
      </c>
      <c r="BD123" s="212">
        <v>0</v>
      </c>
      <c r="BE123" s="212">
        <v>0</v>
      </c>
      <c r="BF123" s="212">
        <v>0</v>
      </c>
      <c r="BG123" s="212">
        <v>0</v>
      </c>
      <c r="BH123" s="212">
        <v>0</v>
      </c>
      <c r="BI123" s="226"/>
      <c r="BL123" s="138" t="s">
        <v>1046</v>
      </c>
      <c r="BM123" s="112"/>
      <c r="BN123" s="58"/>
    </row>
    <row r="124" spans="1:66" ht="39.950000000000003" customHeight="1" x14ac:dyDescent="0.2">
      <c r="A124" s="131" t="s">
        <v>793</v>
      </c>
      <c r="B124" s="132" t="s">
        <v>24</v>
      </c>
      <c r="C124" s="65" t="s">
        <v>243</v>
      </c>
      <c r="D124" s="133" t="s">
        <v>38</v>
      </c>
      <c r="E124" s="131" t="s">
        <v>540</v>
      </c>
      <c r="F124" s="133" t="s">
        <v>35</v>
      </c>
      <c r="G124" s="131" t="s">
        <v>104</v>
      </c>
      <c r="H124" s="66" t="s">
        <v>105</v>
      </c>
      <c r="I124" s="131" t="s">
        <v>799</v>
      </c>
      <c r="J124" s="133" t="s">
        <v>1088</v>
      </c>
      <c r="K124" s="192" t="s">
        <v>687</v>
      </c>
      <c r="L124" s="168" t="s">
        <v>209</v>
      </c>
      <c r="M124" s="194" t="s">
        <v>191</v>
      </c>
      <c r="N124" s="134" t="s">
        <v>323</v>
      </c>
      <c r="O124" s="167" t="s">
        <v>43</v>
      </c>
      <c r="P124" s="167" t="s">
        <v>538</v>
      </c>
      <c r="Q124" s="65" t="s">
        <v>534</v>
      </c>
      <c r="R124" s="135" t="s">
        <v>9</v>
      </c>
      <c r="S124" s="136" t="e">
        <f>10000/USD</f>
        <v>#REF!</v>
      </c>
      <c r="T124" s="62">
        <f>10000</f>
        <v>10000</v>
      </c>
      <c r="U124" s="136" t="e">
        <f>Table12117[[#This Row],[Amortised Limit in Original Currency]]/USD</f>
        <v>#REF!</v>
      </c>
      <c r="V124" s="136" t="e">
        <f>20000/USD</f>
        <v>#REF!</v>
      </c>
      <c r="W124" s="136" t="e">
        <f>1083772/USD</f>
        <v>#REF!</v>
      </c>
      <c r="X124" s="147" t="s">
        <v>11</v>
      </c>
      <c r="Y124" s="185">
        <v>0.04</v>
      </c>
      <c r="Z124" s="137">
        <v>44700</v>
      </c>
      <c r="AA124" s="137">
        <v>46630</v>
      </c>
      <c r="AB124" s="137">
        <v>46630</v>
      </c>
      <c r="AC124" s="138">
        <f t="shared" si="16"/>
        <v>1931</v>
      </c>
      <c r="AD124" s="139" t="e">
        <f t="shared" si="17"/>
        <v>#REF!</v>
      </c>
      <c r="AE124" s="138" t="e">
        <f>AB124-#REF!</f>
        <v>#REF!</v>
      </c>
      <c r="AF124" s="140" t="e">
        <f t="shared" si="19"/>
        <v>#REF!</v>
      </c>
      <c r="AG124" s="184"/>
      <c r="AH124" s="186" t="s">
        <v>1</v>
      </c>
      <c r="AI124" s="186" t="s">
        <v>1</v>
      </c>
      <c r="AJ124" s="187" t="s">
        <v>804</v>
      </c>
      <c r="AK124" s="143" t="e">
        <f t="shared" si="20"/>
        <v>#REF!</v>
      </c>
      <c r="AL124" s="164" t="s">
        <v>271</v>
      </c>
      <c r="AM124" s="188" t="s">
        <v>789</v>
      </c>
      <c r="AP124" s="197" t="str">
        <f>Table12117[[#This Row],[Risk Location ]]</f>
        <v>India</v>
      </c>
      <c r="AQ124" s="198" t="str">
        <f>Table12117[[#This Row],[Sector (GICS Industry Group)]]</f>
        <v>Materials</v>
      </c>
      <c r="AT124" s="212" t="e">
        <f>Table12117[[#This Row],[Percentage Impact]]*Table12117[[#This Row],[Amortised Limit A$ Balance]]</f>
        <v>#REF!</v>
      </c>
      <c r="AU124" s="212" t="e">
        <f>Table12117[[#This Row],[Amortised Limit A$ Balance]]*12%</f>
        <v>#REF!</v>
      </c>
      <c r="AV124" s="212" t="b">
        <f>IF(Table12117[[#This Row],[Everest]]="Everest",Table12117[[#This Row],[Assetinsure Amount ]]*0.2)</f>
        <v>0</v>
      </c>
      <c r="AW124" s="212"/>
      <c r="AX124" s="212" t="e">
        <f>MIN(Table12117[[#This Row],[Assetinsure Amount ]]-Table12117[[#This Row],[Reinsurance Everest Re]],Table12117[[#This Row],[Total Amount]])</f>
        <v>#REF!</v>
      </c>
      <c r="AY124" s="212">
        <f t="shared" si="10"/>
        <v>0</v>
      </c>
      <c r="BC124" s="212">
        <v>0</v>
      </c>
      <c r="BD124" s="212">
        <v>0</v>
      </c>
      <c r="BE124" s="212">
        <v>0</v>
      </c>
      <c r="BF124" s="212">
        <v>0</v>
      </c>
      <c r="BG124" s="212">
        <v>0</v>
      </c>
      <c r="BH124" s="212">
        <v>0</v>
      </c>
      <c r="BI124" s="226"/>
      <c r="BL124" s="138" t="s">
        <v>1048</v>
      </c>
      <c r="BM124" s="112"/>
      <c r="BN124" s="58"/>
    </row>
    <row r="125" spans="1:66" ht="39.950000000000003" customHeight="1" x14ac:dyDescent="0.2">
      <c r="A125" s="131" t="s">
        <v>794</v>
      </c>
      <c r="B125" s="132" t="s">
        <v>67</v>
      </c>
      <c r="C125" s="65" t="s">
        <v>1142</v>
      </c>
      <c r="D125" s="133" t="s">
        <v>34</v>
      </c>
      <c r="E125" s="14" t="s">
        <v>34</v>
      </c>
      <c r="F125" s="133" t="s">
        <v>34</v>
      </c>
      <c r="G125" s="14" t="s">
        <v>102</v>
      </c>
      <c r="H125" s="14" t="s">
        <v>102</v>
      </c>
      <c r="I125" s="14" t="s">
        <v>474</v>
      </c>
      <c r="J125" s="133" t="s">
        <v>70</v>
      </c>
      <c r="K125" s="192" t="s">
        <v>218</v>
      </c>
      <c r="L125" s="168" t="s">
        <v>101</v>
      </c>
      <c r="M125" s="194" t="s">
        <v>191</v>
      </c>
      <c r="N125" s="134" t="s">
        <v>323</v>
      </c>
      <c r="O125" s="167" t="s">
        <v>43</v>
      </c>
      <c r="P125" s="167" t="s">
        <v>531</v>
      </c>
      <c r="Q125" s="65" t="s">
        <v>534</v>
      </c>
      <c r="R125" s="135" t="s">
        <v>8</v>
      </c>
      <c r="S125" s="136">
        <v>16000</v>
      </c>
      <c r="T125" s="62">
        <f>16000+14000</f>
        <v>30000</v>
      </c>
      <c r="U125" s="136">
        <f>Table12117[[#This Row],[Amortised Limit in Original Currency]]</f>
        <v>30000</v>
      </c>
      <c r="V125" s="136">
        <v>120000</v>
      </c>
      <c r="W125" s="136">
        <f>599952.06+484650.41</f>
        <v>1084602.47</v>
      </c>
      <c r="X125" s="147" t="s">
        <v>11</v>
      </c>
      <c r="Y125" s="185">
        <v>0.02</v>
      </c>
      <c r="Z125" s="137">
        <v>44698</v>
      </c>
      <c r="AA125" s="137">
        <v>46338</v>
      </c>
      <c r="AB125" s="137">
        <v>46352</v>
      </c>
      <c r="AC125" s="138">
        <f t="shared" si="16"/>
        <v>1655</v>
      </c>
      <c r="AD125" s="139" t="e">
        <f t="shared" si="17"/>
        <v>#REF!</v>
      </c>
      <c r="AE125" s="138" t="e">
        <f>AB125-#REF!</f>
        <v>#REF!</v>
      </c>
      <c r="AF125" s="140" t="e">
        <f t="shared" si="19"/>
        <v>#REF!</v>
      </c>
      <c r="AG125" s="184" t="s">
        <v>436</v>
      </c>
      <c r="AH125" s="186" t="s">
        <v>1</v>
      </c>
      <c r="AI125" s="186" t="s">
        <v>1</v>
      </c>
      <c r="AJ125" s="187" t="s">
        <v>0</v>
      </c>
      <c r="AK125" s="143" t="e">
        <f t="shared" si="20"/>
        <v>#REF!</v>
      </c>
      <c r="AL125" s="164" t="s">
        <v>563</v>
      </c>
      <c r="AM125" s="188" t="s">
        <v>790</v>
      </c>
      <c r="AP125" s="197" t="str">
        <f>Table12117[[#This Row],[Risk Location ]]</f>
        <v>Australia</v>
      </c>
      <c r="AQ125" s="198" t="str">
        <f>Table12117[[#This Row],[Sector (GICS Industry Group)]]</f>
        <v>Real Estate Investment</v>
      </c>
      <c r="AT125" s="212">
        <f>Table12117[[#This Row],[Percentage Impact]]*Table12117[[#This Row],[Amortised Limit A$ Balance]]</f>
        <v>0</v>
      </c>
      <c r="AU125" s="212">
        <f>Table12117[[#This Row],[Amortised Limit A$ Balance]]*12%</f>
        <v>3600</v>
      </c>
      <c r="AV125" s="212">
        <f>IF(Table12117[[#This Row],[Everest]]="Everest",Table12117[[#This Row],[Assetinsure Amount ]]*0.2)</f>
        <v>720</v>
      </c>
      <c r="AW125" s="212"/>
      <c r="AX125" s="212">
        <f>MIN(Table12117[[#This Row],[Assetinsure Amount ]]-Table12117[[#This Row],[Reinsurance Everest Re]],Table12117[[#This Row],[Total Amount]])</f>
        <v>0</v>
      </c>
      <c r="AY125" s="212">
        <f t="shared" si="10"/>
        <v>0</v>
      </c>
      <c r="BC125" s="212">
        <v>0</v>
      </c>
      <c r="BD125" s="212">
        <v>0</v>
      </c>
      <c r="BE125" s="212">
        <v>0</v>
      </c>
      <c r="BF125" s="212">
        <v>0</v>
      </c>
      <c r="BG125" s="212">
        <v>0</v>
      </c>
      <c r="BH125" s="212">
        <v>0</v>
      </c>
      <c r="BI125" s="226"/>
      <c r="BL125" s="138" t="s">
        <v>1049</v>
      </c>
      <c r="BM125" s="112"/>
      <c r="BN125" s="58"/>
    </row>
    <row r="126" spans="1:66" ht="39.950000000000003" customHeight="1" x14ac:dyDescent="0.2">
      <c r="A126" s="131" t="s">
        <v>807</v>
      </c>
      <c r="B126" s="132" t="s">
        <v>24</v>
      </c>
      <c r="C126" s="65" t="s">
        <v>243</v>
      </c>
      <c r="D126" s="133" t="s">
        <v>38</v>
      </c>
      <c r="E126" s="131" t="s">
        <v>540</v>
      </c>
      <c r="F126" s="133" t="s">
        <v>35</v>
      </c>
      <c r="G126" s="131" t="s">
        <v>104</v>
      </c>
      <c r="H126" s="66" t="s">
        <v>105</v>
      </c>
      <c r="I126" s="131" t="s">
        <v>799</v>
      </c>
      <c r="J126" s="133" t="s">
        <v>142</v>
      </c>
      <c r="K126" s="192" t="s">
        <v>218</v>
      </c>
      <c r="L126" s="168" t="s">
        <v>209</v>
      </c>
      <c r="M126" s="194" t="s">
        <v>191</v>
      </c>
      <c r="N126" s="134" t="s">
        <v>323</v>
      </c>
      <c r="O126" s="167" t="s">
        <v>43</v>
      </c>
      <c r="P126" s="167" t="s">
        <v>538</v>
      </c>
      <c r="Q126" s="65" t="s">
        <v>534</v>
      </c>
      <c r="R126" s="135" t="s">
        <v>9</v>
      </c>
      <c r="S126" s="136" t="e">
        <f>5000/USD</f>
        <v>#REF!</v>
      </c>
      <c r="T126" s="62">
        <v>5000</v>
      </c>
      <c r="U126" s="136" t="e">
        <f>Table12117[[#This Row],[Amortised Limit in Original Currency]]/USD</f>
        <v>#REF!</v>
      </c>
      <c r="V126" s="136" t="e">
        <f>Table12117[[#This Row],[Amortised Limit A$ Balance]]/USD</f>
        <v>#REF!</v>
      </c>
      <c r="W126" s="136" t="e">
        <f>538769.36/USD</f>
        <v>#REF!</v>
      </c>
      <c r="X126" s="147" t="s">
        <v>11</v>
      </c>
      <c r="Y126" s="185">
        <v>0.04</v>
      </c>
      <c r="Z126" s="137">
        <v>44708</v>
      </c>
      <c r="AA126" s="137">
        <v>46531</v>
      </c>
      <c r="AB126" s="137">
        <v>46545</v>
      </c>
      <c r="AC126" s="138">
        <f t="shared" si="16"/>
        <v>1838</v>
      </c>
      <c r="AD126" s="139" t="e">
        <f t="shared" si="17"/>
        <v>#REF!</v>
      </c>
      <c r="AE126" s="138" t="e">
        <f>AB126-#REF!</f>
        <v>#REF!</v>
      </c>
      <c r="AF126" s="140" t="e">
        <f t="shared" si="19"/>
        <v>#REF!</v>
      </c>
      <c r="AG126" s="184"/>
      <c r="AH126" s="186" t="s">
        <v>1</v>
      </c>
      <c r="AI126" s="186" t="s">
        <v>1</v>
      </c>
      <c r="AJ126" s="187" t="s">
        <v>800</v>
      </c>
      <c r="AK126" s="143" t="e">
        <f t="shared" si="20"/>
        <v>#REF!</v>
      </c>
      <c r="AL126" s="164" t="s">
        <v>563</v>
      </c>
      <c r="AM126" s="188" t="s">
        <v>789</v>
      </c>
      <c r="AP126" s="197" t="str">
        <f>Table12117[[#This Row],[Risk Location ]]</f>
        <v>India</v>
      </c>
      <c r="AQ126" s="198" t="str">
        <f>Table12117[[#This Row],[Sector (GICS Industry Group)]]</f>
        <v>Materials</v>
      </c>
      <c r="AT126" s="212" t="e">
        <f>Table12117[[#This Row],[Percentage Impact]]*Table12117[[#This Row],[Amortised Limit A$ Balance]]</f>
        <v>#REF!</v>
      </c>
      <c r="AU126" s="212" t="e">
        <f>Table12117[[#This Row],[Amortised Limit A$ Balance]]*12%</f>
        <v>#REF!</v>
      </c>
      <c r="AV126" s="212" t="b">
        <f>IF(Table12117[[#This Row],[Everest]]="Everest",Table12117[[#This Row],[Assetinsure Amount ]]*0.2)</f>
        <v>0</v>
      </c>
      <c r="AW126" s="212"/>
      <c r="AX126" s="212" t="e">
        <f>MIN(Table12117[[#This Row],[Assetinsure Amount ]]-Table12117[[#This Row],[Reinsurance Everest Re]],Table12117[[#This Row],[Total Amount]])</f>
        <v>#REF!</v>
      </c>
      <c r="AY126" s="212">
        <f t="shared" si="10"/>
        <v>0</v>
      </c>
      <c r="BC126" s="212">
        <v>0</v>
      </c>
      <c r="BD126" s="212">
        <v>0</v>
      </c>
      <c r="BE126" s="212">
        <v>0</v>
      </c>
      <c r="BF126" s="212">
        <v>0</v>
      </c>
      <c r="BG126" s="212">
        <v>0</v>
      </c>
      <c r="BH126" s="212">
        <v>0</v>
      </c>
      <c r="BI126" s="226"/>
      <c r="BL126" s="138" t="s">
        <v>1047</v>
      </c>
      <c r="BM126" s="112"/>
      <c r="BN126" s="58"/>
    </row>
    <row r="127" spans="1:66" ht="39.950000000000003" customHeight="1" x14ac:dyDescent="0.2">
      <c r="A127" s="131" t="s">
        <v>795</v>
      </c>
      <c r="B127" s="132" t="s">
        <v>24</v>
      </c>
      <c r="C127" s="65" t="s">
        <v>1142</v>
      </c>
      <c r="D127" s="133" t="s">
        <v>38</v>
      </c>
      <c r="E127" s="131" t="s">
        <v>540</v>
      </c>
      <c r="F127" s="133" t="s">
        <v>35</v>
      </c>
      <c r="G127" s="14" t="s">
        <v>892</v>
      </c>
      <c r="H127" s="66" t="s">
        <v>259</v>
      </c>
      <c r="I127" s="131" t="s">
        <v>459</v>
      </c>
      <c r="J127" s="133" t="s">
        <v>1088</v>
      </c>
      <c r="K127" s="192" t="s">
        <v>687</v>
      </c>
      <c r="L127" s="168" t="s">
        <v>209</v>
      </c>
      <c r="M127" s="194" t="s">
        <v>191</v>
      </c>
      <c r="N127" s="134" t="s">
        <v>323</v>
      </c>
      <c r="O127" s="167" t="s">
        <v>43</v>
      </c>
      <c r="P127" s="167" t="s">
        <v>531</v>
      </c>
      <c r="Q127" s="65" t="s">
        <v>534</v>
      </c>
      <c r="R127" s="135" t="s">
        <v>9</v>
      </c>
      <c r="S127" s="136" t="e">
        <f>10000/USD</f>
        <v>#REF!</v>
      </c>
      <c r="T127" s="62">
        <f>10000+5000</f>
        <v>15000</v>
      </c>
      <c r="U127" s="136" t="e">
        <f>Table12117[[#This Row],[Amortised Limit in Original Currency]]/USD</f>
        <v>#REF!</v>
      </c>
      <c r="V127" s="136" t="e">
        <f>20000/USD</f>
        <v>#REF!</v>
      </c>
      <c r="W127" s="136" t="e">
        <f>3042812.49/USD</f>
        <v>#REF!</v>
      </c>
      <c r="X127" s="147" t="s">
        <v>11</v>
      </c>
      <c r="Y127" s="185">
        <v>6.5000000000000002E-2</v>
      </c>
      <c r="Z127" s="137">
        <v>44712</v>
      </c>
      <c r="AA127" s="137">
        <v>46879</v>
      </c>
      <c r="AB127" s="137">
        <v>46920</v>
      </c>
      <c r="AC127" s="138">
        <f t="shared" si="16"/>
        <v>2209</v>
      </c>
      <c r="AD127" s="139" t="e">
        <f t="shared" si="17"/>
        <v>#REF!</v>
      </c>
      <c r="AE127" s="138" t="e">
        <f>AB127-#REF!</f>
        <v>#REF!</v>
      </c>
      <c r="AF127" s="140" t="e">
        <f t="shared" si="19"/>
        <v>#REF!</v>
      </c>
      <c r="AG127" s="184"/>
      <c r="AH127" s="186" t="s">
        <v>1</v>
      </c>
      <c r="AI127" s="186" t="s">
        <v>1</v>
      </c>
      <c r="AJ127" s="187" t="s">
        <v>0</v>
      </c>
      <c r="AK127" s="143" t="e">
        <f t="shared" si="20"/>
        <v>#REF!</v>
      </c>
      <c r="AL127" s="164" t="s">
        <v>271</v>
      </c>
      <c r="AM127" s="188" t="s">
        <v>805</v>
      </c>
      <c r="AP127" s="197" t="str">
        <f>Table12117[[#This Row],[Risk Location ]]</f>
        <v>India</v>
      </c>
      <c r="AQ127" s="198" t="str">
        <f>Table12117[[#This Row],[Sector (GICS Industry Group)]]</f>
        <v>Information Technology - Software &amp; Services</v>
      </c>
      <c r="AT127" s="212" t="e">
        <f>Table12117[[#This Row],[Percentage Impact]]*Table12117[[#This Row],[Amortised Limit A$ Balance]]</f>
        <v>#REF!</v>
      </c>
      <c r="AU127" s="212" t="e">
        <f>Table12117[[#This Row],[Amortised Limit A$ Balance]]*12%</f>
        <v>#REF!</v>
      </c>
      <c r="AV127" s="212" t="b">
        <f>IF(Table12117[[#This Row],[Everest]]="Everest",Table12117[[#This Row],[Assetinsure Amount ]]*0.2)</f>
        <v>0</v>
      </c>
      <c r="AW127" s="212"/>
      <c r="AX127" s="212" t="e">
        <f>MIN(Table12117[[#This Row],[Assetinsure Amount ]]-Table12117[[#This Row],[Reinsurance Everest Re]],Table12117[[#This Row],[Total Amount]])</f>
        <v>#REF!</v>
      </c>
      <c r="AY127" s="212">
        <f t="shared" si="10"/>
        <v>0</v>
      </c>
      <c r="BC127" s="212">
        <v>0</v>
      </c>
      <c r="BD127" s="212">
        <v>0</v>
      </c>
      <c r="BE127" s="212">
        <v>0</v>
      </c>
      <c r="BF127" s="212">
        <v>0</v>
      </c>
      <c r="BG127" s="212">
        <v>0</v>
      </c>
      <c r="BH127" s="212">
        <v>0</v>
      </c>
      <c r="BI127" s="226"/>
      <c r="BL127" s="138" t="s">
        <v>1050</v>
      </c>
      <c r="BM127" s="112"/>
      <c r="BN127" s="58"/>
    </row>
    <row r="128" spans="1:66" ht="39.950000000000003" customHeight="1" x14ac:dyDescent="0.2">
      <c r="A128" s="131" t="s">
        <v>796</v>
      </c>
      <c r="B128" s="132" t="s">
        <v>24</v>
      </c>
      <c r="C128" s="65" t="s">
        <v>1144</v>
      </c>
      <c r="D128" s="133" t="s">
        <v>38</v>
      </c>
      <c r="E128" s="14" t="s">
        <v>540</v>
      </c>
      <c r="F128" s="133" t="s">
        <v>229</v>
      </c>
      <c r="G128" s="14" t="s">
        <v>102</v>
      </c>
      <c r="H128" s="14" t="s">
        <v>102</v>
      </c>
      <c r="I128" s="130" t="s">
        <v>473</v>
      </c>
      <c r="J128" s="133" t="s">
        <v>142</v>
      </c>
      <c r="K128" s="192" t="s">
        <v>218</v>
      </c>
      <c r="L128" s="168" t="s">
        <v>29</v>
      </c>
      <c r="M128" s="194" t="s">
        <v>191</v>
      </c>
      <c r="N128" s="134" t="s">
        <v>323</v>
      </c>
      <c r="O128" s="167" t="s">
        <v>43</v>
      </c>
      <c r="P128" s="167" t="s">
        <v>531</v>
      </c>
      <c r="Q128" s="65" t="s">
        <v>534</v>
      </c>
      <c r="R128" s="135" t="s">
        <v>9</v>
      </c>
      <c r="S128" s="136" t="e">
        <f>17500/USD</f>
        <v>#REF!</v>
      </c>
      <c r="T128" s="62">
        <v>17500</v>
      </c>
      <c r="U128" s="136" t="e">
        <f>Table12117[[#This Row],[Amortised Limit in Original Currency]]/USD</f>
        <v>#REF!</v>
      </c>
      <c r="V128" s="136" t="e">
        <f>25000/USD</f>
        <v>#REF!</v>
      </c>
      <c r="W128" s="136" t="e">
        <f>1654740.53/USD</f>
        <v>#REF!</v>
      </c>
      <c r="X128" s="147" t="s">
        <v>11</v>
      </c>
      <c r="Y128" s="185">
        <v>9.3899999999999997E-2</v>
      </c>
      <c r="Z128" s="137">
        <v>44712</v>
      </c>
      <c r="AA128" s="137">
        <v>46517</v>
      </c>
      <c r="AB128" s="137">
        <v>46531</v>
      </c>
      <c r="AC128" s="138">
        <f t="shared" si="16"/>
        <v>1820</v>
      </c>
      <c r="AD128" s="139" t="e">
        <f t="shared" si="17"/>
        <v>#REF!</v>
      </c>
      <c r="AE128" s="138" t="e">
        <f>AB128-#REF!</f>
        <v>#REF!</v>
      </c>
      <c r="AF128" s="140" t="e">
        <f t="shared" si="19"/>
        <v>#REF!</v>
      </c>
      <c r="AG128" s="184" t="s">
        <v>436</v>
      </c>
      <c r="AH128" s="186" t="s">
        <v>1</v>
      </c>
      <c r="AI128" s="186" t="s">
        <v>1</v>
      </c>
      <c r="AJ128" s="187" t="s">
        <v>0</v>
      </c>
      <c r="AK128" s="143" t="e">
        <f t="shared" si="20"/>
        <v>#REF!</v>
      </c>
      <c r="AL128" s="164" t="s">
        <v>563</v>
      </c>
      <c r="AM128" s="188" t="s">
        <v>871</v>
      </c>
      <c r="AP128" s="197" t="str">
        <f>Table12117[[#This Row],[Risk Location ]]</f>
        <v>Vietnam</v>
      </c>
      <c r="AQ128" s="198" t="str">
        <f>Table12117[[#This Row],[Sector (GICS Industry Group)]]</f>
        <v>Real Estate Investment</v>
      </c>
      <c r="AR128" s="229">
        <v>1</v>
      </c>
      <c r="AS128" s="310">
        <v>0.05</v>
      </c>
      <c r="AT128" s="212" t="e">
        <f>Table12117[[#This Row],[Percentage Impact]]*Table12117[[#This Row],[Amortised Limit A$ Balance]]</f>
        <v>#REF!</v>
      </c>
      <c r="AU128" s="212" t="e">
        <f>Table12117[[#This Row],[Amortised Limit A$ Balance]]*12%</f>
        <v>#REF!</v>
      </c>
      <c r="AV128" s="212" t="e">
        <f>IF(Table12117[[#This Row],[Everest]]="Everest",Table12117[[#This Row],[Assetinsure Amount ]]*0.2)</f>
        <v>#REF!</v>
      </c>
      <c r="AW128" s="278"/>
      <c r="AX128" s="212" t="e">
        <f>MIN(Table12117[[#This Row],[Assetinsure Amount ]]-Table12117[[#This Row],[Reinsurance Everest Re]],Table12117[[#This Row],[Total Amount]])</f>
        <v>#REF!</v>
      </c>
      <c r="AY128" s="212">
        <f t="shared" si="10"/>
        <v>1271.3340016142893</v>
      </c>
      <c r="BC128" s="212">
        <v>1312.5410825358836</v>
      </c>
      <c r="BD128" s="212">
        <v>1271.3340016142893</v>
      </c>
      <c r="BE128" s="212">
        <v>0</v>
      </c>
      <c r="BF128" s="212">
        <v>0</v>
      </c>
      <c r="BG128" s="212">
        <v>0</v>
      </c>
      <c r="BH128" s="212">
        <v>0</v>
      </c>
      <c r="BI128" s="226"/>
      <c r="BL128" s="138" t="s">
        <v>1051</v>
      </c>
      <c r="BM128" s="112"/>
      <c r="BN128" s="58"/>
    </row>
    <row r="129" spans="1:66" ht="39.950000000000003" customHeight="1" x14ac:dyDescent="0.2">
      <c r="A129" s="131" t="s">
        <v>808</v>
      </c>
      <c r="B129" s="132" t="s">
        <v>23</v>
      </c>
      <c r="C129" s="65" t="s">
        <v>1141</v>
      </c>
      <c r="D129" s="133" t="s">
        <v>149</v>
      </c>
      <c r="E129" s="14" t="s">
        <v>542</v>
      </c>
      <c r="F129" s="133" t="s">
        <v>166</v>
      </c>
      <c r="G129" s="66" t="s">
        <v>106</v>
      </c>
      <c r="H129" s="66" t="s">
        <v>106</v>
      </c>
      <c r="I129" s="66" t="s">
        <v>107</v>
      </c>
      <c r="J129" s="14" t="s">
        <v>148</v>
      </c>
      <c r="K129" s="66" t="s">
        <v>148</v>
      </c>
      <c r="L129" s="168" t="s">
        <v>101</v>
      </c>
      <c r="M129" s="194" t="s">
        <v>191</v>
      </c>
      <c r="N129" s="134" t="s">
        <v>59</v>
      </c>
      <c r="O129" s="167" t="s">
        <v>43</v>
      </c>
      <c r="P129" s="167" t="s">
        <v>531</v>
      </c>
      <c r="Q129" s="65" t="s">
        <v>534</v>
      </c>
      <c r="R129" s="135" t="s">
        <v>59</v>
      </c>
      <c r="S129" s="136" t="e">
        <f>10000/EUR</f>
        <v>#REF!</v>
      </c>
      <c r="T129" s="62">
        <v>10000</v>
      </c>
      <c r="U129" s="136" t="e">
        <f>Table12117[[#This Row],[Amortised Limit in Original Currency]]/EUR</f>
        <v>#REF!</v>
      </c>
      <c r="V129" s="136" t="e">
        <f>50000/EUR</f>
        <v>#REF!</v>
      </c>
      <c r="W129" s="136" t="e">
        <f>519399.11/EUR</f>
        <v>#REF!</v>
      </c>
      <c r="X129" s="147" t="s">
        <v>11</v>
      </c>
      <c r="Y129" s="185">
        <v>3.7999999999999999E-2</v>
      </c>
      <c r="Z129" s="137">
        <v>44726</v>
      </c>
      <c r="AA129" s="137">
        <v>45819</v>
      </c>
      <c r="AB129" s="137">
        <v>45819</v>
      </c>
      <c r="AC129" s="138">
        <f t="shared" si="16"/>
        <v>1094</v>
      </c>
      <c r="AD129" s="139" t="e">
        <f t="shared" si="17"/>
        <v>#REF!</v>
      </c>
      <c r="AE129" s="138" t="e">
        <f>AB129-#REF!</f>
        <v>#REF!</v>
      </c>
      <c r="AF129" s="140" t="e">
        <f t="shared" si="19"/>
        <v>#REF!</v>
      </c>
      <c r="AG129" s="184"/>
      <c r="AH129" s="186" t="s">
        <v>1</v>
      </c>
      <c r="AI129" s="186" t="s">
        <v>1</v>
      </c>
      <c r="AJ129" s="187" t="s">
        <v>0</v>
      </c>
      <c r="AK129" s="143" t="e">
        <f t="shared" si="20"/>
        <v>#REF!</v>
      </c>
      <c r="AL129" s="164" t="s">
        <v>563</v>
      </c>
      <c r="AM129" s="188" t="s">
        <v>812</v>
      </c>
      <c r="AP129" s="197" t="str">
        <f>Table12117[[#This Row],[Risk Location ]]</f>
        <v>France</v>
      </c>
      <c r="AQ129" s="198" t="str">
        <f>Table12117[[#This Row],[Sector (GICS Industry Group)]]</f>
        <v>Real Estate Management &amp; Development</v>
      </c>
      <c r="AT129" s="212" t="e">
        <f>Table12117[[#This Row],[Percentage Impact]]*Table12117[[#This Row],[Amortised Limit A$ Balance]]</f>
        <v>#REF!</v>
      </c>
      <c r="AU129" s="212" t="e">
        <f>Table12117[[#This Row],[Amortised Limit A$ Balance]]*12%</f>
        <v>#REF!</v>
      </c>
      <c r="AV129" s="212" t="b">
        <f>IF(Table12117[[#This Row],[Everest]]="Everest",Table12117[[#This Row],[Assetinsure Amount ]]*0.2)</f>
        <v>0</v>
      </c>
      <c r="AW129" s="212"/>
      <c r="AX129" s="212" t="e">
        <f>MIN(Table12117[[#This Row],[Assetinsure Amount ]]-Table12117[[#This Row],[Reinsurance Everest Re]],Table12117[[#This Row],[Total Amount]])</f>
        <v>#REF!</v>
      </c>
      <c r="AY129" s="212">
        <f t="shared" si="10"/>
        <v>0</v>
      </c>
      <c r="BC129" s="212">
        <v>0</v>
      </c>
      <c r="BD129" s="212">
        <v>0</v>
      </c>
      <c r="BE129" s="212">
        <v>0</v>
      </c>
      <c r="BF129" s="212">
        <v>0</v>
      </c>
      <c r="BG129" s="212">
        <v>0</v>
      </c>
      <c r="BH129" s="212">
        <v>0</v>
      </c>
      <c r="BI129" s="226"/>
      <c r="BL129" s="138" t="s">
        <v>1052</v>
      </c>
      <c r="BM129" s="112"/>
      <c r="BN129" s="58" t="s">
        <v>103</v>
      </c>
    </row>
    <row r="130" spans="1:66" ht="39.950000000000003" customHeight="1" x14ac:dyDescent="0.2">
      <c r="A130" s="131" t="s">
        <v>809</v>
      </c>
      <c r="B130" s="132" t="s">
        <v>23</v>
      </c>
      <c r="C130" s="65" t="s">
        <v>1142</v>
      </c>
      <c r="D130" s="133" t="s">
        <v>34</v>
      </c>
      <c r="E130" s="131" t="s">
        <v>34</v>
      </c>
      <c r="F130" s="133" t="s">
        <v>34</v>
      </c>
      <c r="G130" s="131" t="s">
        <v>439</v>
      </c>
      <c r="H130" s="66" t="s">
        <v>444</v>
      </c>
      <c r="I130" s="66" t="s">
        <v>444</v>
      </c>
      <c r="J130" s="133" t="s">
        <v>656</v>
      </c>
      <c r="K130" s="192" t="s">
        <v>656</v>
      </c>
      <c r="L130" s="168" t="s">
        <v>209</v>
      </c>
      <c r="M130" s="194" t="s">
        <v>191</v>
      </c>
      <c r="N130" s="134" t="s">
        <v>323</v>
      </c>
      <c r="O130" s="167" t="s">
        <v>43</v>
      </c>
      <c r="P130" s="167" t="s">
        <v>531</v>
      </c>
      <c r="Q130" s="65" t="s">
        <v>534</v>
      </c>
      <c r="R130" s="135" t="s">
        <v>8</v>
      </c>
      <c r="S130" s="136">
        <v>10000</v>
      </c>
      <c r="T130" s="62">
        <v>10000</v>
      </c>
      <c r="U130" s="136">
        <f>Table12117[[#This Row],[Amortised Limit in Original Currency]]</f>
        <v>10000</v>
      </c>
      <c r="V130" s="136">
        <f>51000</f>
        <v>51000</v>
      </c>
      <c r="W130" s="136">
        <v>558704.54</v>
      </c>
      <c r="X130" s="147" t="s">
        <v>11</v>
      </c>
      <c r="Y130" s="185">
        <v>0.04</v>
      </c>
      <c r="Z130" s="137">
        <v>44735</v>
      </c>
      <c r="AA130" s="137">
        <v>45900</v>
      </c>
      <c r="AB130" s="137">
        <v>45900</v>
      </c>
      <c r="AC130" s="138">
        <f t="shared" si="16"/>
        <v>1166</v>
      </c>
      <c r="AD130" s="139" t="e">
        <f t="shared" si="17"/>
        <v>#REF!</v>
      </c>
      <c r="AE130" s="138" t="e">
        <f>AB130-#REF!</f>
        <v>#REF!</v>
      </c>
      <c r="AF130" s="140" t="e">
        <f t="shared" si="19"/>
        <v>#REF!</v>
      </c>
      <c r="AG130" s="184"/>
      <c r="AH130" s="186" t="s">
        <v>1</v>
      </c>
      <c r="AI130" s="186" t="s">
        <v>1</v>
      </c>
      <c r="AJ130" s="187" t="s">
        <v>0</v>
      </c>
      <c r="AK130" s="143" t="e">
        <f t="shared" si="20"/>
        <v>#REF!</v>
      </c>
      <c r="AL130" s="164" t="s">
        <v>563</v>
      </c>
      <c r="AM130" s="188" t="s">
        <v>813</v>
      </c>
      <c r="AP130" s="197" t="str">
        <f>Table12117[[#This Row],[Risk Location ]]</f>
        <v>Australia</v>
      </c>
      <c r="AQ130" s="198" t="str">
        <f>Table12117[[#This Row],[Sector (GICS Industry Group)]]</f>
        <v>Utilities</v>
      </c>
      <c r="AT130" s="212">
        <f>Table12117[[#This Row],[Percentage Impact]]*Table12117[[#This Row],[Amortised Limit A$ Balance]]</f>
        <v>0</v>
      </c>
      <c r="AU130" s="212">
        <f>Table12117[[#This Row],[Amortised Limit A$ Balance]]*12%</f>
        <v>1200</v>
      </c>
      <c r="AV130" s="212" t="b">
        <f>IF(Table12117[[#This Row],[Everest]]="Everest",Table12117[[#This Row],[Assetinsure Amount ]]*0.2)</f>
        <v>0</v>
      </c>
      <c r="AW130" s="212"/>
      <c r="AX130" s="212">
        <f>MIN(Table12117[[#This Row],[Assetinsure Amount ]]-Table12117[[#This Row],[Reinsurance Everest Re]],Table12117[[#This Row],[Total Amount]])</f>
        <v>0</v>
      </c>
      <c r="AY130" s="212">
        <f t="shared" si="10"/>
        <v>0</v>
      </c>
      <c r="BC130" s="212">
        <v>0</v>
      </c>
      <c r="BD130" s="212">
        <v>0</v>
      </c>
      <c r="BE130" s="212">
        <v>0</v>
      </c>
      <c r="BF130" s="212">
        <v>0</v>
      </c>
      <c r="BG130" s="212">
        <v>0</v>
      </c>
      <c r="BH130" s="212">
        <v>0</v>
      </c>
      <c r="BI130" s="226"/>
      <c r="BL130" s="138" t="s">
        <v>1053</v>
      </c>
      <c r="BM130" s="112"/>
      <c r="BN130" s="58"/>
    </row>
    <row r="131" spans="1:66" ht="39.950000000000003" customHeight="1" x14ac:dyDescent="0.2">
      <c r="A131" s="131" t="s">
        <v>235</v>
      </c>
      <c r="B131" s="132" t="s">
        <v>23</v>
      </c>
      <c r="C131" s="65" t="s">
        <v>1144</v>
      </c>
      <c r="D131" s="133" t="s">
        <v>37</v>
      </c>
      <c r="E131" s="131" t="s">
        <v>542</v>
      </c>
      <c r="F131" s="133" t="s">
        <v>91</v>
      </c>
      <c r="G131" s="14" t="s">
        <v>173</v>
      </c>
      <c r="H131" s="66" t="s">
        <v>174</v>
      </c>
      <c r="I131" s="14" t="s">
        <v>172</v>
      </c>
      <c r="J131" s="133" t="s">
        <v>236</v>
      </c>
      <c r="K131" s="192" t="s">
        <v>21</v>
      </c>
      <c r="L131" s="168" t="s">
        <v>139</v>
      </c>
      <c r="M131" s="194" t="s">
        <v>191</v>
      </c>
      <c r="N131" s="134" t="s">
        <v>323</v>
      </c>
      <c r="O131" s="167" t="s">
        <v>43</v>
      </c>
      <c r="P131" s="167" t="s">
        <v>533</v>
      </c>
      <c r="Q131" s="65" t="s">
        <v>534</v>
      </c>
      <c r="R131" s="135" t="s">
        <v>59</v>
      </c>
      <c r="S131" s="136" t="e">
        <f>20000/EUR</f>
        <v>#REF!</v>
      </c>
      <c r="T131" s="62">
        <v>20000</v>
      </c>
      <c r="U131" s="136" t="e">
        <f>Table12117[[#This Row],[Amortised Limit in Original Currency]]/EUR</f>
        <v>#REF!</v>
      </c>
      <c r="V131" s="136" t="e">
        <f>100000/EUR</f>
        <v>#REF!</v>
      </c>
      <c r="W131" s="136" t="e">
        <f>384069.11/EUR</f>
        <v>#REF!</v>
      </c>
      <c r="X131" s="147" t="s">
        <v>11</v>
      </c>
      <c r="Y131" s="185">
        <v>1.0999999999999999E-2</v>
      </c>
      <c r="Z131" s="137">
        <v>44742</v>
      </c>
      <c r="AA131" s="137">
        <v>45827</v>
      </c>
      <c r="AB131" s="137">
        <v>45827</v>
      </c>
      <c r="AC131" s="138">
        <f t="shared" si="16"/>
        <v>1086</v>
      </c>
      <c r="AD131" s="139" t="e">
        <f t="shared" si="17"/>
        <v>#REF!</v>
      </c>
      <c r="AE131" s="138" t="e">
        <f>AB131-#REF!</f>
        <v>#REF!</v>
      </c>
      <c r="AF131" s="140" t="e">
        <f t="shared" si="19"/>
        <v>#REF!</v>
      </c>
      <c r="AG131" s="184" t="s">
        <v>436</v>
      </c>
      <c r="AH131" s="186" t="s">
        <v>1</v>
      </c>
      <c r="AI131" s="186" t="s">
        <v>1</v>
      </c>
      <c r="AJ131" s="187" t="s">
        <v>0</v>
      </c>
      <c r="AK131" s="143" t="e">
        <f t="shared" si="20"/>
        <v>#REF!</v>
      </c>
      <c r="AL131" s="164" t="s">
        <v>563</v>
      </c>
      <c r="AM131" s="188" t="s">
        <v>525</v>
      </c>
      <c r="AP131" s="197" t="str">
        <f>Table12117[[#This Row],[Risk Location ]]</f>
        <v>Sweden</v>
      </c>
      <c r="AQ131" s="198" t="str">
        <f>Table12117[[#This Row],[Sector (GICS Industry Group)]]</f>
        <v>Automobiles &amp; Components</v>
      </c>
      <c r="AT131" s="212" t="e">
        <f>Table12117[[#This Row],[Percentage Impact]]*Table12117[[#This Row],[Amortised Limit A$ Balance]]</f>
        <v>#REF!</v>
      </c>
      <c r="AU131" s="212" t="e">
        <f>Table12117[[#This Row],[Amortised Limit A$ Balance]]*12%</f>
        <v>#REF!</v>
      </c>
      <c r="AV131" s="212" t="e">
        <f>IF(Table12117[[#This Row],[Everest]]="Everest",Table12117[[#This Row],[Assetinsure Amount ]]*0.2)</f>
        <v>#REF!</v>
      </c>
      <c r="AW131" s="212"/>
      <c r="AX131" s="212" t="e">
        <f>MIN(Table12117[[#This Row],[Assetinsure Amount ]]-Table12117[[#This Row],[Reinsurance Everest Re]],Table12117[[#This Row],[Total Amount]])</f>
        <v>#REF!</v>
      </c>
      <c r="AY131" s="212">
        <f t="shared" ref="AY131:AY190" si="21">+BD131</f>
        <v>0</v>
      </c>
      <c r="BC131" s="212">
        <v>0</v>
      </c>
      <c r="BD131" s="212">
        <v>0</v>
      </c>
      <c r="BE131" s="212">
        <v>0</v>
      </c>
      <c r="BF131" s="212">
        <v>0</v>
      </c>
      <c r="BG131" s="212">
        <v>0</v>
      </c>
      <c r="BH131" s="212">
        <v>0</v>
      </c>
      <c r="BI131" s="226"/>
      <c r="BL131" s="138" t="s">
        <v>1054</v>
      </c>
      <c r="BM131" s="112"/>
      <c r="BN131" s="58"/>
    </row>
    <row r="132" spans="1:66" ht="39.950000000000003" customHeight="1" x14ac:dyDescent="0.2">
      <c r="A132" s="131" t="s">
        <v>810</v>
      </c>
      <c r="B132" s="132" t="s">
        <v>23</v>
      </c>
      <c r="C132" s="65" t="s">
        <v>243</v>
      </c>
      <c r="D132" s="133" t="s">
        <v>149</v>
      </c>
      <c r="E132" s="131" t="s">
        <v>499</v>
      </c>
      <c r="F132" s="161" t="s">
        <v>162</v>
      </c>
      <c r="G132" s="131" t="s">
        <v>92</v>
      </c>
      <c r="H132" s="66" t="s">
        <v>134</v>
      </c>
      <c r="I132" s="131" t="s">
        <v>134</v>
      </c>
      <c r="J132" s="14" t="s">
        <v>148</v>
      </c>
      <c r="K132" s="66" t="s">
        <v>148</v>
      </c>
      <c r="L132" s="168" t="s">
        <v>68</v>
      </c>
      <c r="M132" s="194" t="s">
        <v>191</v>
      </c>
      <c r="N132" s="134" t="s">
        <v>59</v>
      </c>
      <c r="O132" s="167" t="s">
        <v>43</v>
      </c>
      <c r="P132" s="167" t="s">
        <v>531</v>
      </c>
      <c r="Q132" s="65" t="s">
        <v>534</v>
      </c>
      <c r="R132" s="135" t="s">
        <v>9</v>
      </c>
      <c r="S132" s="136" t="e">
        <f>15000/USD</f>
        <v>#REF!</v>
      </c>
      <c r="T132" s="62">
        <v>15000</v>
      </c>
      <c r="U132" s="136" t="e">
        <f>Table12117[[#This Row],[Amortised Limit in Original Currency]]/USD</f>
        <v>#REF!</v>
      </c>
      <c r="V132" s="136" t="e">
        <f>120000/USD</f>
        <v>#REF!</v>
      </c>
      <c r="W132" s="136" t="e">
        <f>435427.89/USD</f>
        <v>#REF!</v>
      </c>
      <c r="X132" s="147" t="s">
        <v>11</v>
      </c>
      <c r="Y132" s="185">
        <v>2.4E-2</v>
      </c>
      <c r="Z132" s="137">
        <v>44741</v>
      </c>
      <c r="AA132" s="137">
        <v>46527</v>
      </c>
      <c r="AB132" s="137">
        <v>46527</v>
      </c>
      <c r="AC132" s="138">
        <f t="shared" si="16"/>
        <v>1787</v>
      </c>
      <c r="AD132" s="139" t="e">
        <f t="shared" si="17"/>
        <v>#REF!</v>
      </c>
      <c r="AE132" s="138" t="e">
        <f>AB132-#REF!</f>
        <v>#REF!</v>
      </c>
      <c r="AF132" s="140" t="e">
        <f t="shared" si="19"/>
        <v>#REF!</v>
      </c>
      <c r="AG132" s="184"/>
      <c r="AH132" s="186" t="s">
        <v>1</v>
      </c>
      <c r="AI132" s="186" t="s">
        <v>1</v>
      </c>
      <c r="AJ132" s="187" t="s">
        <v>0</v>
      </c>
      <c r="AK132" s="143" t="e">
        <f t="shared" si="20"/>
        <v>#REF!</v>
      </c>
      <c r="AL132" s="164" t="s">
        <v>563</v>
      </c>
      <c r="AM132" s="188" t="s">
        <v>814</v>
      </c>
      <c r="AP132" s="197" t="str">
        <f>Table12117[[#This Row],[Risk Location ]]</f>
        <v>United States</v>
      </c>
      <c r="AQ132" s="198" t="str">
        <f>Table12117[[#This Row],[Sector (GICS Industry Group)]]</f>
        <v>Transportation</v>
      </c>
      <c r="AT132" s="212" t="e">
        <f>Table12117[[#This Row],[Percentage Impact]]*Table12117[[#This Row],[Amortised Limit A$ Balance]]</f>
        <v>#REF!</v>
      </c>
      <c r="AU132" s="212" t="e">
        <f>Table12117[[#This Row],[Amortised Limit A$ Balance]]*12%</f>
        <v>#REF!</v>
      </c>
      <c r="AV132" s="212" t="b">
        <f>IF(Table12117[[#This Row],[Everest]]="Everest",Table12117[[#This Row],[Assetinsure Amount ]]*0.2)</f>
        <v>0</v>
      </c>
      <c r="AW132" s="212"/>
      <c r="AX132" s="212" t="e">
        <f>MIN(Table12117[[#This Row],[Assetinsure Amount ]]-Table12117[[#This Row],[Reinsurance Everest Re]],Table12117[[#This Row],[Total Amount]])</f>
        <v>#REF!</v>
      </c>
      <c r="AY132" s="212">
        <f t="shared" si="21"/>
        <v>0</v>
      </c>
      <c r="BC132" s="212">
        <v>0</v>
      </c>
      <c r="BD132" s="212">
        <v>0</v>
      </c>
      <c r="BE132" s="212">
        <v>0</v>
      </c>
      <c r="BF132" s="212">
        <v>0</v>
      </c>
      <c r="BG132" s="212">
        <v>0</v>
      </c>
      <c r="BH132" s="212">
        <v>0</v>
      </c>
      <c r="BI132" s="226"/>
      <c r="BL132" s="138" t="s">
        <v>1055</v>
      </c>
      <c r="BM132" s="112"/>
      <c r="BN132" s="58"/>
    </row>
    <row r="133" spans="1:66" ht="39.950000000000003" customHeight="1" x14ac:dyDescent="0.2">
      <c r="A133" s="131" t="s">
        <v>811</v>
      </c>
      <c r="B133" s="132" t="s">
        <v>243</v>
      </c>
      <c r="C133" s="65" t="s">
        <v>1143</v>
      </c>
      <c r="D133" s="133" t="s">
        <v>162</v>
      </c>
      <c r="E133" s="14" t="s">
        <v>499</v>
      </c>
      <c r="F133" s="161" t="s">
        <v>162</v>
      </c>
      <c r="G133" s="14" t="s">
        <v>102</v>
      </c>
      <c r="H133" s="14" t="s">
        <v>102</v>
      </c>
      <c r="I133" s="66" t="s">
        <v>110</v>
      </c>
      <c r="J133" s="131" t="s">
        <v>509</v>
      </c>
      <c r="K133" s="133" t="s">
        <v>222</v>
      </c>
      <c r="L133" s="168" t="s">
        <v>101</v>
      </c>
      <c r="M133" s="194" t="s">
        <v>191</v>
      </c>
      <c r="N133" s="134" t="s">
        <v>59</v>
      </c>
      <c r="O133" s="167" t="s">
        <v>43</v>
      </c>
      <c r="P133" s="167" t="s">
        <v>538</v>
      </c>
      <c r="Q133" s="65" t="s">
        <v>534</v>
      </c>
      <c r="R133" s="135" t="s">
        <v>9</v>
      </c>
      <c r="S133" s="136" t="e">
        <f>10000/USD</f>
        <v>#REF!</v>
      </c>
      <c r="T133" s="62">
        <v>10000</v>
      </c>
      <c r="U133" s="136" t="e">
        <f>Table12117[[#This Row],[Amortised Limit in Original Currency]]/USD</f>
        <v>#REF!</v>
      </c>
      <c r="V133" s="136" t="e">
        <f>70500/USD</f>
        <v>#REF!</v>
      </c>
      <c r="W133" s="136" t="e">
        <f>605837.51/USD</f>
        <v>#REF!</v>
      </c>
      <c r="X133" s="147" t="s">
        <v>11</v>
      </c>
      <c r="Y133" s="185">
        <v>2.75E-2</v>
      </c>
      <c r="Z133" s="137">
        <v>44735</v>
      </c>
      <c r="AA133" s="137">
        <v>46420</v>
      </c>
      <c r="AB133" s="137">
        <v>46420</v>
      </c>
      <c r="AC133" s="138">
        <f t="shared" si="16"/>
        <v>1686</v>
      </c>
      <c r="AD133" s="139" t="e">
        <f t="shared" si="17"/>
        <v>#REF!</v>
      </c>
      <c r="AE133" s="138" t="e">
        <f>AB133-#REF!</f>
        <v>#REF!</v>
      </c>
      <c r="AF133" s="140" t="e">
        <f t="shared" si="19"/>
        <v>#REF!</v>
      </c>
      <c r="AG133" s="184"/>
      <c r="AH133" s="186" t="s">
        <v>1</v>
      </c>
      <c r="AI133" s="186" t="s">
        <v>1</v>
      </c>
      <c r="AJ133" s="187" t="s">
        <v>0</v>
      </c>
      <c r="AK133" s="143" t="e">
        <f t="shared" si="20"/>
        <v>#REF!</v>
      </c>
      <c r="AL133" s="164" t="s">
        <v>563</v>
      </c>
      <c r="AM133" s="188" t="s">
        <v>815</v>
      </c>
      <c r="AP133" s="197" t="str">
        <f>Table12117[[#This Row],[Risk Location ]]</f>
        <v>United States</v>
      </c>
      <c r="AQ133" s="198" t="str">
        <f>Table12117[[#This Row],[Sector (GICS Industry Group)]]</f>
        <v>Real Estate Investment</v>
      </c>
      <c r="AT133" s="212" t="e">
        <f>Table12117[[#This Row],[Percentage Impact]]*Table12117[[#This Row],[Amortised Limit A$ Balance]]</f>
        <v>#REF!</v>
      </c>
      <c r="AU133" s="212" t="e">
        <f>Table12117[[#This Row],[Amortised Limit A$ Balance]]*12%</f>
        <v>#REF!</v>
      </c>
      <c r="AV133" s="212" t="b">
        <f>IF(Table12117[[#This Row],[Everest]]="Everest",Table12117[[#This Row],[Assetinsure Amount ]]*0.2)</f>
        <v>0</v>
      </c>
      <c r="AW133" s="212"/>
      <c r="AX133" s="212" t="e">
        <f>MIN(Table12117[[#This Row],[Assetinsure Amount ]]-Table12117[[#This Row],[Reinsurance Everest Re]],Table12117[[#This Row],[Total Amount]])</f>
        <v>#REF!</v>
      </c>
      <c r="AY133" s="212">
        <f t="shared" si="21"/>
        <v>0</v>
      </c>
      <c r="BC133" s="212">
        <v>0</v>
      </c>
      <c r="BD133" s="212">
        <v>0</v>
      </c>
      <c r="BE133" s="212">
        <v>0</v>
      </c>
      <c r="BF133" s="212">
        <v>0</v>
      </c>
      <c r="BG133" s="212">
        <v>0</v>
      </c>
      <c r="BH133" s="212">
        <v>0</v>
      </c>
      <c r="BI133" s="226"/>
      <c r="BL133" s="138" t="s">
        <v>1056</v>
      </c>
      <c r="BM133" s="112"/>
      <c r="BN133" s="58"/>
    </row>
    <row r="134" spans="1:66" ht="39.950000000000003" customHeight="1" x14ac:dyDescent="0.2">
      <c r="A134" s="131" t="s">
        <v>835</v>
      </c>
      <c r="B134" s="132" t="s">
        <v>67</v>
      </c>
      <c r="C134" s="65" t="s">
        <v>243</v>
      </c>
      <c r="D134" s="133" t="s">
        <v>684</v>
      </c>
      <c r="E134" s="131" t="s">
        <v>542</v>
      </c>
      <c r="F134" s="161" t="s">
        <v>193</v>
      </c>
      <c r="G134" s="14" t="s">
        <v>891</v>
      </c>
      <c r="H134" s="66" t="s">
        <v>167</v>
      </c>
      <c r="I134" s="131" t="s">
        <v>167</v>
      </c>
      <c r="J134" s="14" t="s">
        <v>826</v>
      </c>
      <c r="K134" s="66" t="s">
        <v>218</v>
      </c>
      <c r="L134" s="168" t="s">
        <v>209</v>
      </c>
      <c r="M134" s="194" t="s">
        <v>191</v>
      </c>
      <c r="N134" s="134" t="s">
        <v>59</v>
      </c>
      <c r="O134" s="167" t="s">
        <v>43</v>
      </c>
      <c r="P134" s="167" t="s">
        <v>531</v>
      </c>
      <c r="Q134" s="65" t="s">
        <v>534</v>
      </c>
      <c r="R134" s="135" t="s">
        <v>823</v>
      </c>
      <c r="S134" s="136" t="e">
        <f>7000/CHF</f>
        <v>#REF!</v>
      </c>
      <c r="T134" s="62">
        <v>7000</v>
      </c>
      <c r="U134" s="136" t="e" cm="1">
        <f t="array" ref="U134">Table12117[[#This Row],[Amortised Limit in Original Currency]]/CHF</f>
        <v>#REF!</v>
      </c>
      <c r="V134" s="136">
        <v>14000</v>
      </c>
      <c r="W134" s="136" t="e">
        <f>535139.76/CHF</f>
        <v>#REF!</v>
      </c>
      <c r="X134" s="147" t="s">
        <v>11</v>
      </c>
      <c r="Y134" s="185">
        <v>0.03</v>
      </c>
      <c r="Z134" s="137">
        <v>44743</v>
      </c>
      <c r="AA134" s="137">
        <v>46569</v>
      </c>
      <c r="AB134" s="137">
        <v>46569</v>
      </c>
      <c r="AC134" s="138">
        <f t="shared" si="16"/>
        <v>1827</v>
      </c>
      <c r="AD134" s="139" t="e">
        <f t="shared" si="17"/>
        <v>#REF!</v>
      </c>
      <c r="AE134" s="138" t="e">
        <f>AB134-#REF!</f>
        <v>#REF!</v>
      </c>
      <c r="AF134" s="140" t="e">
        <f t="shared" si="19"/>
        <v>#REF!</v>
      </c>
      <c r="AG134" s="184" t="s">
        <v>436</v>
      </c>
      <c r="AH134" s="186" t="s">
        <v>1</v>
      </c>
      <c r="AI134" s="186" t="s">
        <v>1</v>
      </c>
      <c r="AJ134" s="187" t="s">
        <v>0</v>
      </c>
      <c r="AK134" s="143" t="e">
        <f t="shared" si="20"/>
        <v>#REF!</v>
      </c>
      <c r="AL134" s="164" t="s">
        <v>271</v>
      </c>
      <c r="AM134" s="188" t="s">
        <v>831</v>
      </c>
      <c r="AP134" s="197" t="str">
        <f>Table12117[[#This Row],[Risk Location ]]</f>
        <v>Switzerland</v>
      </c>
      <c r="AQ134" s="198" t="str">
        <f>Table12117[[#This Row],[Sector (GICS Industry Group)]]</f>
        <v>Information Technology - Hardware &amp; Equipment</v>
      </c>
      <c r="AT134" s="212" t="e">
        <f>Table12117[[#This Row],[Percentage Impact]]*Table12117[[#This Row],[Amortised Limit A$ Balance]]</f>
        <v>#REF!</v>
      </c>
      <c r="AU134" s="212" t="e">
        <f>Table12117[[#This Row],[Amortised Limit A$ Balance]]*12%</f>
        <v>#REF!</v>
      </c>
      <c r="AV134" s="212" t="e">
        <f>IF(Table12117[[#This Row],[Everest]]="Everest",Table12117[[#This Row],[Assetinsure Amount ]]*0.2)</f>
        <v>#REF!</v>
      </c>
      <c r="AW134" s="212"/>
      <c r="AX134" s="212" t="e">
        <f>MIN(Table12117[[#This Row],[Assetinsure Amount ]]-Table12117[[#This Row],[Reinsurance Everest Re]],Table12117[[#This Row],[Total Amount]])</f>
        <v>#REF!</v>
      </c>
      <c r="AY134" s="212">
        <f t="shared" si="21"/>
        <v>0</v>
      </c>
      <c r="BC134" s="212">
        <v>0</v>
      </c>
      <c r="BD134" s="212">
        <v>0</v>
      </c>
      <c r="BE134" s="212">
        <v>0</v>
      </c>
      <c r="BF134" s="212">
        <v>0</v>
      </c>
      <c r="BG134" s="212">
        <v>0</v>
      </c>
      <c r="BH134" s="212">
        <v>0</v>
      </c>
      <c r="BI134" s="226"/>
      <c r="BL134" s="138" t="s">
        <v>1057</v>
      </c>
      <c r="BM134" s="112"/>
      <c r="BN134" s="58"/>
    </row>
    <row r="135" spans="1:66" ht="39.950000000000003" customHeight="1" x14ac:dyDescent="0.2">
      <c r="A135" s="131" t="s">
        <v>834</v>
      </c>
      <c r="B135" s="132" t="s">
        <v>67</v>
      </c>
      <c r="C135" s="65" t="s">
        <v>243</v>
      </c>
      <c r="D135" s="133" t="s">
        <v>684</v>
      </c>
      <c r="E135" s="131" t="s">
        <v>542</v>
      </c>
      <c r="F135" s="161" t="s">
        <v>193</v>
      </c>
      <c r="G135" s="14" t="s">
        <v>891</v>
      </c>
      <c r="H135" s="66" t="s">
        <v>167</v>
      </c>
      <c r="I135" s="131" t="s">
        <v>167</v>
      </c>
      <c r="J135" s="14" t="s">
        <v>826</v>
      </c>
      <c r="K135" s="66" t="s">
        <v>218</v>
      </c>
      <c r="L135" s="168" t="s">
        <v>209</v>
      </c>
      <c r="M135" s="194" t="s">
        <v>191</v>
      </c>
      <c r="N135" s="134" t="s">
        <v>59</v>
      </c>
      <c r="O135" s="167" t="s">
        <v>43</v>
      </c>
      <c r="P135" s="167" t="s">
        <v>531</v>
      </c>
      <c r="Q135" s="65" t="s">
        <v>534</v>
      </c>
      <c r="R135" s="135" t="s">
        <v>823</v>
      </c>
      <c r="S135" s="136" t="e">
        <f>7000/CHF</f>
        <v>#REF!</v>
      </c>
      <c r="T135" s="62">
        <v>7000</v>
      </c>
      <c r="U135" s="136" t="e">
        <f>Table12117[[#This Row],[Amortised Limit in Original Currency]]/CHF</f>
        <v>#REF!</v>
      </c>
      <c r="V135" s="136">
        <v>14000</v>
      </c>
      <c r="W135" s="136" t="e">
        <f>1451549.49/CHF</f>
        <v>#REF!</v>
      </c>
      <c r="X135" s="147" t="s">
        <v>11</v>
      </c>
      <c r="Y135" s="185">
        <v>7.2900000000000006E-2</v>
      </c>
      <c r="Z135" s="137">
        <v>44743</v>
      </c>
      <c r="AA135" s="137">
        <v>46569</v>
      </c>
      <c r="AB135" s="137">
        <v>46569</v>
      </c>
      <c r="AC135" s="138">
        <f t="shared" si="16"/>
        <v>1827</v>
      </c>
      <c r="AD135" s="139" t="e">
        <f t="shared" si="17"/>
        <v>#REF!</v>
      </c>
      <c r="AE135" s="138" t="e">
        <f>AB135-#REF!</f>
        <v>#REF!</v>
      </c>
      <c r="AF135" s="140" t="e">
        <f t="shared" si="19"/>
        <v>#REF!</v>
      </c>
      <c r="AG135" s="184" t="s">
        <v>436</v>
      </c>
      <c r="AH135" s="186" t="s">
        <v>1</v>
      </c>
      <c r="AI135" s="186" t="s">
        <v>1</v>
      </c>
      <c r="AJ135" s="187" t="s">
        <v>0</v>
      </c>
      <c r="AK135" s="143" t="e">
        <f t="shared" si="20"/>
        <v>#REF!</v>
      </c>
      <c r="AL135" s="164" t="s">
        <v>271</v>
      </c>
      <c r="AM135" s="188" t="s">
        <v>832</v>
      </c>
      <c r="AP135" s="197" t="str">
        <f>Table12117[[#This Row],[Risk Location ]]</f>
        <v>Switzerland</v>
      </c>
      <c r="AQ135" s="198" t="str">
        <f>Table12117[[#This Row],[Sector (GICS Industry Group)]]</f>
        <v>Information Technology - Hardware &amp; Equipment</v>
      </c>
      <c r="AT135" s="212" t="e">
        <f>Table12117[[#This Row],[Percentage Impact]]*Table12117[[#This Row],[Amortised Limit A$ Balance]]</f>
        <v>#REF!</v>
      </c>
      <c r="AU135" s="212" t="e">
        <f>Table12117[[#This Row],[Amortised Limit A$ Balance]]*12%</f>
        <v>#REF!</v>
      </c>
      <c r="AV135" s="212" t="e">
        <f>IF(Table12117[[#This Row],[Everest]]="Everest",Table12117[[#This Row],[Assetinsure Amount ]]*0.2)</f>
        <v>#REF!</v>
      </c>
      <c r="AW135" s="212"/>
      <c r="AX135" s="212" t="e">
        <f>MIN(Table12117[[#This Row],[Assetinsure Amount ]]-Table12117[[#This Row],[Reinsurance Everest Re]],Table12117[[#This Row],[Total Amount]])</f>
        <v>#REF!</v>
      </c>
      <c r="AY135" s="212">
        <f t="shared" si="21"/>
        <v>0</v>
      </c>
      <c r="BC135" s="212">
        <v>0</v>
      </c>
      <c r="BD135" s="212">
        <v>0</v>
      </c>
      <c r="BE135" s="212">
        <v>0</v>
      </c>
      <c r="BF135" s="212">
        <v>0</v>
      </c>
      <c r="BG135" s="212">
        <v>0</v>
      </c>
      <c r="BH135" s="212">
        <v>0</v>
      </c>
      <c r="BI135" s="226"/>
      <c r="BL135" s="138" t="s">
        <v>1058</v>
      </c>
      <c r="BM135" s="112"/>
      <c r="BN135" s="58"/>
    </row>
    <row r="136" spans="1:66" ht="39.950000000000003" customHeight="1" x14ac:dyDescent="0.2">
      <c r="A136" s="131" t="s">
        <v>836</v>
      </c>
      <c r="B136" s="132" t="s">
        <v>67</v>
      </c>
      <c r="C136" s="65" t="s">
        <v>243</v>
      </c>
      <c r="D136" s="133" t="s">
        <v>588</v>
      </c>
      <c r="E136" s="131" t="s">
        <v>542</v>
      </c>
      <c r="F136" s="161" t="s">
        <v>162</v>
      </c>
      <c r="G136" s="131" t="s">
        <v>233</v>
      </c>
      <c r="H136" s="66" t="s">
        <v>443</v>
      </c>
      <c r="I136" s="131" t="s">
        <v>234</v>
      </c>
      <c r="J136" s="14" t="s">
        <v>826</v>
      </c>
      <c r="K136" s="66" t="s">
        <v>218</v>
      </c>
      <c r="L136" s="168" t="s">
        <v>209</v>
      </c>
      <c r="M136" s="194" t="s">
        <v>191</v>
      </c>
      <c r="N136" s="134" t="s">
        <v>59</v>
      </c>
      <c r="O136" s="167" t="s">
        <v>43</v>
      </c>
      <c r="P136" s="167" t="s">
        <v>531</v>
      </c>
      <c r="Q136" s="65" t="s">
        <v>534</v>
      </c>
      <c r="R136" s="135" t="s">
        <v>9</v>
      </c>
      <c r="S136" s="136" t="e">
        <f>11500/USD</f>
        <v>#REF!</v>
      </c>
      <c r="T136" s="62">
        <v>11500</v>
      </c>
      <c r="U136" s="136" t="e">
        <f>Table12117[[#This Row],[Amortised Limit in Original Currency]]/USD</f>
        <v>#REF!</v>
      </c>
      <c r="V136" s="136">
        <v>34500</v>
      </c>
      <c r="W136" s="136" t="e">
        <f>2154949.47/USD</f>
        <v>#REF!</v>
      </c>
      <c r="X136" s="147" t="s">
        <v>11</v>
      </c>
      <c r="Y136" s="185">
        <v>7.3999999999999996E-2</v>
      </c>
      <c r="Z136" s="137">
        <v>44760</v>
      </c>
      <c r="AA136" s="137">
        <v>46674</v>
      </c>
      <c r="AB136" s="137">
        <v>46674</v>
      </c>
      <c r="AC136" s="138">
        <f t="shared" si="16"/>
        <v>1915</v>
      </c>
      <c r="AD136" s="139" t="e">
        <f t="shared" si="17"/>
        <v>#REF!</v>
      </c>
      <c r="AE136" s="138" t="e">
        <f>AB136-#REF!</f>
        <v>#REF!</v>
      </c>
      <c r="AF136" s="140" t="e">
        <f t="shared" si="19"/>
        <v>#REF!</v>
      </c>
      <c r="AG136" s="184"/>
      <c r="AH136" s="186" t="s">
        <v>1</v>
      </c>
      <c r="AI136" s="186" t="s">
        <v>1</v>
      </c>
      <c r="AJ136" s="187" t="s">
        <v>0</v>
      </c>
      <c r="AK136" s="143" t="e">
        <f t="shared" si="20"/>
        <v>#REF!</v>
      </c>
      <c r="AL136" s="164" t="s">
        <v>271</v>
      </c>
      <c r="AM136" s="188" t="s">
        <v>829</v>
      </c>
      <c r="AP136" s="197" t="str">
        <f>Table12117[[#This Row],[Risk Location ]]</f>
        <v>United States</v>
      </c>
      <c r="AQ136" s="198" t="str">
        <f>Table12117[[#This Row],[Sector (GICS Industry Group)]]</f>
        <v>Telecommunication Services</v>
      </c>
      <c r="AT136" s="212" t="e">
        <f>Table12117[[#This Row],[Percentage Impact]]*Table12117[[#This Row],[Amortised Limit A$ Balance]]</f>
        <v>#REF!</v>
      </c>
      <c r="AU136" s="212" t="e">
        <f>Table12117[[#This Row],[Amortised Limit A$ Balance]]*12%</f>
        <v>#REF!</v>
      </c>
      <c r="AV136" s="212" t="b">
        <f>IF(Table12117[[#This Row],[Everest]]="Everest",Table12117[[#This Row],[Assetinsure Amount ]]*0.2)</f>
        <v>0</v>
      </c>
      <c r="AW136" s="212"/>
      <c r="AX136" s="212" t="e">
        <f>MIN(Table12117[[#This Row],[Assetinsure Amount ]]-Table12117[[#This Row],[Reinsurance Everest Re]],Table12117[[#This Row],[Total Amount]])</f>
        <v>#REF!</v>
      </c>
      <c r="AY136" s="212">
        <f t="shared" si="21"/>
        <v>0</v>
      </c>
      <c r="BC136" s="212">
        <v>0</v>
      </c>
      <c r="BD136" s="212">
        <v>0</v>
      </c>
      <c r="BE136" s="212">
        <v>0</v>
      </c>
      <c r="BF136" s="212">
        <v>0</v>
      </c>
      <c r="BG136" s="212">
        <v>0</v>
      </c>
      <c r="BH136" s="212">
        <v>0</v>
      </c>
      <c r="BI136" s="226"/>
      <c r="BL136" s="138" t="s">
        <v>1059</v>
      </c>
      <c r="BM136" s="112"/>
      <c r="BN136" s="58"/>
    </row>
    <row r="137" spans="1:66" ht="39.950000000000003" customHeight="1" x14ac:dyDescent="0.2">
      <c r="A137" s="131" t="s">
        <v>833</v>
      </c>
      <c r="B137" s="132" t="s">
        <v>67</v>
      </c>
      <c r="C137" s="65" t="s">
        <v>1142</v>
      </c>
      <c r="D137" s="133" t="s">
        <v>824</v>
      </c>
      <c r="E137" s="131" t="s">
        <v>542</v>
      </c>
      <c r="F137" s="161" t="s">
        <v>89</v>
      </c>
      <c r="G137" s="131" t="s">
        <v>233</v>
      </c>
      <c r="H137" s="131" t="s">
        <v>443</v>
      </c>
      <c r="I137" s="131" t="s">
        <v>234</v>
      </c>
      <c r="J137" s="66" t="s">
        <v>145</v>
      </c>
      <c r="K137" s="192" t="s">
        <v>221</v>
      </c>
      <c r="L137" s="168" t="s">
        <v>139</v>
      </c>
      <c r="M137" s="194" t="s">
        <v>191</v>
      </c>
      <c r="N137" s="134" t="s">
        <v>59</v>
      </c>
      <c r="O137" s="167" t="s">
        <v>43</v>
      </c>
      <c r="P137" s="167" t="s">
        <v>538</v>
      </c>
      <c r="Q137" s="65" t="s">
        <v>534</v>
      </c>
      <c r="R137" s="135" t="s">
        <v>59</v>
      </c>
      <c r="S137" s="136" t="e">
        <f>10000/EUR</f>
        <v>#REF!</v>
      </c>
      <c r="T137" s="62">
        <v>10000</v>
      </c>
      <c r="U137" s="136" t="e">
        <f>Table12117[[#This Row],[Amortised Limit in Original Currency]]/EUR</f>
        <v>#REF!</v>
      </c>
      <c r="V137" s="136">
        <v>137500</v>
      </c>
      <c r="W137" s="136" t="e">
        <f>799986.09/EUR</f>
        <v>#REF!</v>
      </c>
      <c r="X137" s="147" t="s">
        <v>11</v>
      </c>
      <c r="Y137" s="185">
        <v>2.4299999999999999E-2</v>
      </c>
      <c r="Z137" s="137">
        <v>44762</v>
      </c>
      <c r="AA137" s="137">
        <v>47299</v>
      </c>
      <c r="AB137" s="137">
        <v>47330</v>
      </c>
      <c r="AC137" s="138">
        <f t="shared" si="16"/>
        <v>2569</v>
      </c>
      <c r="AD137" s="139" t="e">
        <f t="shared" si="17"/>
        <v>#REF!</v>
      </c>
      <c r="AE137" s="138" t="e">
        <f>AB137-#REF!</f>
        <v>#REF!</v>
      </c>
      <c r="AF137" s="140" t="e">
        <f t="shared" si="19"/>
        <v>#REF!</v>
      </c>
      <c r="AG137" s="184"/>
      <c r="AH137" s="186" t="s">
        <v>1</v>
      </c>
      <c r="AI137" s="186" t="s">
        <v>1</v>
      </c>
      <c r="AJ137" s="187" t="s">
        <v>0</v>
      </c>
      <c r="AK137" s="143" t="e">
        <f t="shared" si="20"/>
        <v>#REF!</v>
      </c>
      <c r="AL137" s="164" t="s">
        <v>271</v>
      </c>
      <c r="AM137" s="188" t="s">
        <v>828</v>
      </c>
      <c r="AP137" s="197" t="str">
        <f>Table12117[[#This Row],[Risk Location ]]</f>
        <v>Netherlands</v>
      </c>
      <c r="AQ137" s="198" t="str">
        <f>Table12117[[#This Row],[Sector (GICS Industry Group)]]</f>
        <v>Telecommunication Services</v>
      </c>
      <c r="AT137" s="212" t="e">
        <f>Table12117[[#This Row],[Percentage Impact]]*Table12117[[#This Row],[Amortised Limit A$ Balance]]</f>
        <v>#REF!</v>
      </c>
      <c r="AU137" s="212" t="e">
        <f>Table12117[[#This Row],[Amortised Limit A$ Balance]]*12%</f>
        <v>#REF!</v>
      </c>
      <c r="AV137" s="212" t="b">
        <f>IF(Table12117[[#This Row],[Everest]]="Everest",Table12117[[#This Row],[Assetinsure Amount ]]*0.2)</f>
        <v>0</v>
      </c>
      <c r="AW137" s="212"/>
      <c r="AX137" s="212" t="e">
        <f>MIN(Table12117[[#This Row],[Assetinsure Amount ]]-Table12117[[#This Row],[Reinsurance Everest Re]],Table12117[[#This Row],[Total Amount]])</f>
        <v>#REF!</v>
      </c>
      <c r="AY137" s="212">
        <f t="shared" si="21"/>
        <v>0</v>
      </c>
      <c r="BC137" s="212">
        <v>0</v>
      </c>
      <c r="BD137" s="212">
        <v>0</v>
      </c>
      <c r="BE137" s="212">
        <v>0</v>
      </c>
      <c r="BF137" s="212">
        <v>0</v>
      </c>
      <c r="BG137" s="212">
        <v>0</v>
      </c>
      <c r="BH137" s="212">
        <v>0</v>
      </c>
      <c r="BI137" s="226"/>
      <c r="BL137" s="138" t="s">
        <v>1060</v>
      </c>
      <c r="BM137" s="112"/>
      <c r="BN137" s="58"/>
    </row>
    <row r="138" spans="1:66" ht="39.950000000000003" customHeight="1" x14ac:dyDescent="0.2">
      <c r="A138" s="131" t="s">
        <v>825</v>
      </c>
      <c r="B138" s="132" t="s">
        <v>23</v>
      </c>
      <c r="C138" s="65" t="s">
        <v>1142</v>
      </c>
      <c r="D138" s="133" t="s">
        <v>34</v>
      </c>
      <c r="E138" s="131" t="s">
        <v>34</v>
      </c>
      <c r="F138" s="161" t="s">
        <v>34</v>
      </c>
      <c r="G138" s="131" t="s">
        <v>475</v>
      </c>
      <c r="H138" s="66" t="s">
        <v>227</v>
      </c>
      <c r="I138" s="131" t="s">
        <v>827</v>
      </c>
      <c r="J138" s="14" t="s">
        <v>656</v>
      </c>
      <c r="K138" s="14" t="s">
        <v>656</v>
      </c>
      <c r="L138" s="168" t="s">
        <v>209</v>
      </c>
      <c r="M138" s="194" t="s">
        <v>191</v>
      </c>
      <c r="N138" s="134" t="s">
        <v>323</v>
      </c>
      <c r="O138" s="167" t="s">
        <v>43</v>
      </c>
      <c r="P138" s="167" t="s">
        <v>531</v>
      </c>
      <c r="Q138" s="65" t="s">
        <v>534</v>
      </c>
      <c r="R138" s="135" t="s">
        <v>8</v>
      </c>
      <c r="S138" s="136">
        <v>15000</v>
      </c>
      <c r="T138" s="62">
        <v>15000</v>
      </c>
      <c r="U138" s="136">
        <f>Table12117[[#This Row],[Amortised Limit in Original Currency]]</f>
        <v>15000</v>
      </c>
      <c r="V138" s="136">
        <v>58500</v>
      </c>
      <c r="W138" s="136">
        <v>736036.69</v>
      </c>
      <c r="X138" s="147" t="s">
        <v>11</v>
      </c>
      <c r="Y138" s="185">
        <f>(3.75%*3.5+11.5*4%)/15</f>
        <v>3.9416666666666669E-2</v>
      </c>
      <c r="Z138" s="137">
        <v>44771</v>
      </c>
      <c r="AA138" s="137">
        <v>46013</v>
      </c>
      <c r="AB138" s="137">
        <v>46013</v>
      </c>
      <c r="AC138" s="138">
        <f t="shared" si="16"/>
        <v>1243</v>
      </c>
      <c r="AD138" s="139" t="e">
        <f t="shared" si="17"/>
        <v>#REF!</v>
      </c>
      <c r="AE138" s="138" t="e">
        <f>AB138-#REF!</f>
        <v>#REF!</v>
      </c>
      <c r="AF138" s="140" t="e">
        <f t="shared" si="19"/>
        <v>#REF!</v>
      </c>
      <c r="AG138" s="184"/>
      <c r="AH138" s="186" t="s">
        <v>1</v>
      </c>
      <c r="AI138" s="186" t="s">
        <v>1</v>
      </c>
      <c r="AJ138" s="187" t="s">
        <v>0</v>
      </c>
      <c r="AK138" s="143" t="e">
        <f t="shared" si="20"/>
        <v>#REF!</v>
      </c>
      <c r="AL138" s="164" t="s">
        <v>563</v>
      </c>
      <c r="AM138" s="188" t="s">
        <v>830</v>
      </c>
      <c r="AP138" s="197" t="str">
        <f>Table12117[[#This Row],[Risk Location ]]</f>
        <v>Australia</v>
      </c>
      <c r="AQ138" s="198" t="str">
        <f>Table12117[[#This Row],[Sector (GICS Industry Group)]]</f>
        <v>Health Care</v>
      </c>
      <c r="AT138" s="212">
        <f>Table12117[[#This Row],[Percentage Impact]]*Table12117[[#This Row],[Amortised Limit A$ Balance]]</f>
        <v>0</v>
      </c>
      <c r="AU138" s="212">
        <f>Table12117[[#This Row],[Amortised Limit A$ Balance]]*12%</f>
        <v>1800</v>
      </c>
      <c r="AV138" s="212" t="b">
        <f>IF(Table12117[[#This Row],[Everest]]="Everest",Table12117[[#This Row],[Assetinsure Amount ]]*0.2)</f>
        <v>0</v>
      </c>
      <c r="AW138" s="212"/>
      <c r="AX138" s="212">
        <f>MIN(Table12117[[#This Row],[Assetinsure Amount ]]-Table12117[[#This Row],[Reinsurance Everest Re]],Table12117[[#This Row],[Total Amount]])</f>
        <v>0</v>
      </c>
      <c r="AY138" s="212">
        <f t="shared" si="21"/>
        <v>0</v>
      </c>
      <c r="BC138" s="212">
        <v>0</v>
      </c>
      <c r="BD138" s="212">
        <v>0</v>
      </c>
      <c r="BE138" s="212">
        <v>0</v>
      </c>
      <c r="BF138" s="212">
        <v>0</v>
      </c>
      <c r="BG138" s="212">
        <v>0</v>
      </c>
      <c r="BH138" s="212">
        <v>0</v>
      </c>
      <c r="BI138" s="226"/>
      <c r="BL138" s="138" t="s">
        <v>1061</v>
      </c>
      <c r="BM138" s="112"/>
      <c r="BN138" s="58"/>
    </row>
    <row r="139" spans="1:66" ht="39.950000000000003" customHeight="1" x14ac:dyDescent="0.2">
      <c r="A139" s="131" t="s">
        <v>841</v>
      </c>
      <c r="B139" s="132" t="s">
        <v>51</v>
      </c>
      <c r="C139" s="65" t="s">
        <v>1143</v>
      </c>
      <c r="D139" s="133" t="s">
        <v>588</v>
      </c>
      <c r="E139" s="14" t="s">
        <v>542</v>
      </c>
      <c r="F139" s="133" t="s">
        <v>87</v>
      </c>
      <c r="G139" s="14" t="s">
        <v>102</v>
      </c>
      <c r="H139" s="14" t="s">
        <v>102</v>
      </c>
      <c r="I139" s="66" t="s">
        <v>122</v>
      </c>
      <c r="J139" s="133" t="s">
        <v>705</v>
      </c>
      <c r="K139" s="133" t="s">
        <v>220</v>
      </c>
      <c r="L139" s="168" t="s">
        <v>101</v>
      </c>
      <c r="M139" s="194" t="s">
        <v>191</v>
      </c>
      <c r="N139" s="134" t="s">
        <v>59</v>
      </c>
      <c r="O139" s="167" t="s">
        <v>43</v>
      </c>
      <c r="P139" s="167" t="s">
        <v>533</v>
      </c>
      <c r="Q139" s="65" t="s">
        <v>534</v>
      </c>
      <c r="R139" s="135" t="s">
        <v>156</v>
      </c>
      <c r="S139" s="136" t="e">
        <f>15000/GBP</f>
        <v>#REF!</v>
      </c>
      <c r="T139" s="62">
        <v>15000</v>
      </c>
      <c r="U139" s="136" t="e">
        <f>Table12117[[#This Row],[Amortised Limit in Original Currency]]/GBP</f>
        <v>#REF!</v>
      </c>
      <c r="V139" s="136" t="e">
        <f>237500/GBP</f>
        <v>#REF!</v>
      </c>
      <c r="W139" s="136" t="e">
        <f>601944.86/GBP</f>
        <v>#REF!</v>
      </c>
      <c r="X139" s="147" t="s">
        <v>11</v>
      </c>
      <c r="Y139" s="185">
        <v>1.4500000000000001E-2</v>
      </c>
      <c r="Z139" s="137">
        <v>44789</v>
      </c>
      <c r="AA139" s="137">
        <v>46497</v>
      </c>
      <c r="AB139" s="137">
        <v>46680</v>
      </c>
      <c r="AC139" s="138">
        <f t="shared" si="16"/>
        <v>1892</v>
      </c>
      <c r="AD139" s="139" t="e">
        <f t="shared" si="17"/>
        <v>#REF!</v>
      </c>
      <c r="AE139" s="138" t="e">
        <f>AB139-#REF!</f>
        <v>#REF!</v>
      </c>
      <c r="AF139" s="140" t="e">
        <f t="shared" si="19"/>
        <v>#REF!</v>
      </c>
      <c r="AG139" s="184" t="s">
        <v>436</v>
      </c>
      <c r="AH139" s="186" t="s">
        <v>1</v>
      </c>
      <c r="AI139" s="186" t="s">
        <v>1</v>
      </c>
      <c r="AJ139" s="187" t="s">
        <v>0</v>
      </c>
      <c r="AK139" s="143" t="e">
        <f t="shared" si="20"/>
        <v>#REF!</v>
      </c>
      <c r="AL139" s="164" t="s">
        <v>271</v>
      </c>
      <c r="AM139" s="188" t="s">
        <v>848</v>
      </c>
      <c r="AP139" s="197" t="str">
        <f>Table12117[[#This Row],[Risk Location ]]</f>
        <v>United Kingdom</v>
      </c>
      <c r="AQ139" s="198" t="str">
        <f>Table12117[[#This Row],[Sector (GICS Industry Group)]]</f>
        <v>Real Estate Investment</v>
      </c>
      <c r="AT139" s="212" t="e">
        <f>Table12117[[#This Row],[Percentage Impact]]*Table12117[[#This Row],[Amortised Limit A$ Balance]]</f>
        <v>#REF!</v>
      </c>
      <c r="AU139" s="212" t="e">
        <f>Table12117[[#This Row],[Amortised Limit A$ Balance]]*12%</f>
        <v>#REF!</v>
      </c>
      <c r="AV139" s="212" t="e">
        <f>IF(Table12117[[#This Row],[Everest]]="Everest",Table12117[[#This Row],[Assetinsure Amount ]]*0.2)</f>
        <v>#REF!</v>
      </c>
      <c r="AW139" s="212"/>
      <c r="AX139" s="212" t="e">
        <f>MIN(Table12117[[#This Row],[Assetinsure Amount ]]-Table12117[[#This Row],[Reinsurance Everest Re]],Table12117[[#This Row],[Total Amount]])</f>
        <v>#REF!</v>
      </c>
      <c r="AY139" s="212">
        <f t="shared" si="21"/>
        <v>0</v>
      </c>
      <c r="BC139" s="212">
        <v>0</v>
      </c>
      <c r="BD139" s="212">
        <v>0</v>
      </c>
      <c r="BE139" s="212">
        <v>0</v>
      </c>
      <c r="BF139" s="212">
        <v>0</v>
      </c>
      <c r="BG139" s="212">
        <v>0</v>
      </c>
      <c r="BH139" s="212">
        <v>0</v>
      </c>
      <c r="BI139" s="226"/>
      <c r="BL139" s="138" t="s">
        <v>1062</v>
      </c>
      <c r="BM139" s="112"/>
      <c r="BN139" s="58"/>
    </row>
    <row r="140" spans="1:66" ht="39.950000000000003" customHeight="1" x14ac:dyDescent="0.2">
      <c r="A140" s="131" t="s">
        <v>838</v>
      </c>
      <c r="B140" s="132" t="s">
        <v>51</v>
      </c>
      <c r="C140" s="65" t="s">
        <v>1141</v>
      </c>
      <c r="D140" s="133" t="s">
        <v>211</v>
      </c>
      <c r="E140" s="14" t="s">
        <v>542</v>
      </c>
      <c r="F140" s="161" t="s">
        <v>211</v>
      </c>
      <c r="G140" s="14" t="s">
        <v>102</v>
      </c>
      <c r="H140" s="14" t="s">
        <v>102</v>
      </c>
      <c r="I140" s="131" t="s">
        <v>475</v>
      </c>
      <c r="J140" s="14" t="s">
        <v>844</v>
      </c>
      <c r="K140" s="192" t="s">
        <v>221</v>
      </c>
      <c r="L140" s="168" t="s">
        <v>101</v>
      </c>
      <c r="M140" s="194" t="s">
        <v>191</v>
      </c>
      <c r="N140" s="134" t="s">
        <v>59</v>
      </c>
      <c r="O140" s="167" t="s">
        <v>43</v>
      </c>
      <c r="P140" s="167" t="s">
        <v>538</v>
      </c>
      <c r="Q140" s="65" t="s">
        <v>534</v>
      </c>
      <c r="R140" s="135" t="s">
        <v>59</v>
      </c>
      <c r="S140" s="136" t="e">
        <f>20000/EUR</f>
        <v>#REF!</v>
      </c>
      <c r="T140" s="62">
        <f>20000</f>
        <v>20000</v>
      </c>
      <c r="U140" s="136" t="e">
        <f>Table12117[[#This Row],[Amortised Limit in Original Currency]]/EUR</f>
        <v>#REF!</v>
      </c>
      <c r="V140" s="136">
        <v>53500</v>
      </c>
      <c r="W140" s="136" t="e">
        <f>1134750.01/EUR</f>
        <v>#REF!</v>
      </c>
      <c r="X140" s="147" t="s">
        <v>11</v>
      </c>
      <c r="Y140" s="185">
        <v>0.02</v>
      </c>
      <c r="Z140" s="137">
        <v>44798</v>
      </c>
      <c r="AA140" s="137">
        <v>46614</v>
      </c>
      <c r="AB140" s="137">
        <v>46614</v>
      </c>
      <c r="AC140" s="138">
        <f t="shared" si="16"/>
        <v>1817</v>
      </c>
      <c r="AD140" s="139" t="e">
        <f t="shared" si="17"/>
        <v>#REF!</v>
      </c>
      <c r="AE140" s="138" t="e">
        <f>AB140-#REF!</f>
        <v>#REF!</v>
      </c>
      <c r="AF140" s="140" t="e">
        <f t="shared" si="19"/>
        <v>#REF!</v>
      </c>
      <c r="AG140" s="184" t="s">
        <v>436</v>
      </c>
      <c r="AH140" s="186" t="s">
        <v>1</v>
      </c>
      <c r="AI140" s="186" t="s">
        <v>1</v>
      </c>
      <c r="AJ140" s="187" t="s">
        <v>0</v>
      </c>
      <c r="AK140" s="143" t="e">
        <f t="shared" si="20"/>
        <v>#REF!</v>
      </c>
      <c r="AL140" s="164" t="s">
        <v>563</v>
      </c>
      <c r="AM140" s="188" t="s">
        <v>849</v>
      </c>
      <c r="AP140" s="197" t="str">
        <f>Table12117[[#This Row],[Risk Location ]]</f>
        <v>Spain</v>
      </c>
      <c r="AQ140" s="198" t="str">
        <f>Table12117[[#This Row],[Sector (GICS Industry Group)]]</f>
        <v>Real Estate Investment</v>
      </c>
      <c r="AT140" s="212" t="e">
        <f>Table12117[[#This Row],[Percentage Impact]]*Table12117[[#This Row],[Amortised Limit A$ Balance]]</f>
        <v>#REF!</v>
      </c>
      <c r="AU140" s="212" t="e">
        <f>Table12117[[#This Row],[Amortised Limit A$ Balance]]*12%</f>
        <v>#REF!</v>
      </c>
      <c r="AV140" s="212" t="e">
        <f>IF(Table12117[[#This Row],[Everest]]="Everest",Table12117[[#This Row],[Assetinsure Amount ]]*0.2)</f>
        <v>#REF!</v>
      </c>
      <c r="AW140" s="212"/>
      <c r="AX140" s="212" t="e">
        <f>MIN(Table12117[[#This Row],[Assetinsure Amount ]]-Table12117[[#This Row],[Reinsurance Everest Re]],Table12117[[#This Row],[Total Amount]])</f>
        <v>#REF!</v>
      </c>
      <c r="AY140" s="212">
        <f t="shared" si="21"/>
        <v>0</v>
      </c>
      <c r="BC140" s="212">
        <v>0</v>
      </c>
      <c r="BD140" s="212">
        <v>0</v>
      </c>
      <c r="BE140" s="212">
        <v>0</v>
      </c>
      <c r="BF140" s="212">
        <v>0</v>
      </c>
      <c r="BG140" s="212">
        <v>0</v>
      </c>
      <c r="BH140" s="212">
        <v>0</v>
      </c>
      <c r="BI140" s="226"/>
      <c r="BL140" s="138" t="s">
        <v>1063</v>
      </c>
      <c r="BM140" s="112"/>
      <c r="BN140" s="58"/>
    </row>
    <row r="141" spans="1:66" ht="39.950000000000003" customHeight="1" x14ac:dyDescent="0.2">
      <c r="A141" s="131" t="s">
        <v>843</v>
      </c>
      <c r="B141" s="132" t="s">
        <v>51</v>
      </c>
      <c r="C141" s="65" t="s">
        <v>1141</v>
      </c>
      <c r="D141" s="133" t="s">
        <v>34</v>
      </c>
      <c r="E141" s="131" t="s">
        <v>34</v>
      </c>
      <c r="F141" s="133" t="s">
        <v>34</v>
      </c>
      <c r="G141" s="131" t="s">
        <v>475</v>
      </c>
      <c r="H141" s="131" t="s">
        <v>440</v>
      </c>
      <c r="I141" s="131" t="s">
        <v>458</v>
      </c>
      <c r="J141" s="66" t="s">
        <v>232</v>
      </c>
      <c r="K141" s="192" t="s">
        <v>21</v>
      </c>
      <c r="L141" s="168" t="s">
        <v>209</v>
      </c>
      <c r="M141" s="194" t="s">
        <v>191</v>
      </c>
      <c r="N141" s="134" t="s">
        <v>323</v>
      </c>
      <c r="O141" s="167" t="s">
        <v>43</v>
      </c>
      <c r="P141" s="167" t="s">
        <v>538</v>
      </c>
      <c r="Q141" s="65" t="s">
        <v>534</v>
      </c>
      <c r="R141" s="135" t="s">
        <v>8</v>
      </c>
      <c r="S141" s="136">
        <v>7550</v>
      </c>
      <c r="T141" s="62">
        <v>7550</v>
      </c>
      <c r="U141" s="136">
        <f>Table12117[[#This Row],[Amortised Limit in Original Currency]]</f>
        <v>7550</v>
      </c>
      <c r="V141" s="136">
        <f>73300</f>
        <v>73300</v>
      </c>
      <c r="W141" s="136">
        <v>806324.17</v>
      </c>
      <c r="X141" s="147" t="s">
        <v>11</v>
      </c>
      <c r="Y141" s="185">
        <v>3.7499999999999999E-2</v>
      </c>
      <c r="Z141" s="137">
        <v>44796</v>
      </c>
      <c r="AA141" s="137">
        <v>46416</v>
      </c>
      <c r="AB141" s="137">
        <v>46446</v>
      </c>
      <c r="AC141" s="138">
        <f t="shared" si="16"/>
        <v>1651</v>
      </c>
      <c r="AD141" s="139" t="e">
        <f t="shared" si="17"/>
        <v>#REF!</v>
      </c>
      <c r="AE141" s="138" t="e">
        <f>AB141-#REF!</f>
        <v>#REF!</v>
      </c>
      <c r="AF141" s="140" t="e">
        <f t="shared" si="19"/>
        <v>#REF!</v>
      </c>
      <c r="AG141" s="184"/>
      <c r="AH141" s="186" t="s">
        <v>1</v>
      </c>
      <c r="AI141" s="186" t="s">
        <v>1</v>
      </c>
      <c r="AJ141" s="187" t="s">
        <v>0</v>
      </c>
      <c r="AK141" s="143" t="e">
        <f t="shared" si="20"/>
        <v>#REF!</v>
      </c>
      <c r="AL141" s="164" t="s">
        <v>271</v>
      </c>
      <c r="AM141" s="188" t="s">
        <v>845</v>
      </c>
      <c r="AP141" s="197" t="str">
        <f>Table12117[[#This Row],[Risk Location ]]</f>
        <v>Australia</v>
      </c>
      <c r="AQ141" s="198" t="str">
        <f>Table12117[[#This Row],[Sector (GICS Industry Group)]]</f>
        <v>Health Care</v>
      </c>
      <c r="AT141" s="212">
        <f>Table12117[[#This Row],[Percentage Impact]]*Table12117[[#This Row],[Amortised Limit A$ Balance]]</f>
        <v>0</v>
      </c>
      <c r="AU141" s="212">
        <f>Table12117[[#This Row],[Amortised Limit A$ Balance]]*12%</f>
        <v>906</v>
      </c>
      <c r="AV141" s="212" t="b">
        <f>IF(Table12117[[#This Row],[Everest]]="Everest",Table12117[[#This Row],[Assetinsure Amount ]]*0.2)</f>
        <v>0</v>
      </c>
      <c r="AW141" s="212"/>
      <c r="AX141" s="212">
        <f>MIN(Table12117[[#This Row],[Assetinsure Amount ]]-Table12117[[#This Row],[Reinsurance Everest Re]],Table12117[[#This Row],[Total Amount]])</f>
        <v>0</v>
      </c>
      <c r="AY141" s="212">
        <f t="shared" si="21"/>
        <v>0</v>
      </c>
      <c r="BC141" s="212">
        <v>0</v>
      </c>
      <c r="BD141" s="212">
        <v>0</v>
      </c>
      <c r="BE141" s="212">
        <v>0</v>
      </c>
      <c r="BF141" s="212">
        <v>0</v>
      </c>
      <c r="BG141" s="212">
        <v>0</v>
      </c>
      <c r="BH141" s="212">
        <v>0</v>
      </c>
      <c r="BI141" s="226"/>
      <c r="BL141" s="138" t="s">
        <v>1064</v>
      </c>
      <c r="BM141" s="112"/>
      <c r="BN141" s="58"/>
    </row>
    <row r="142" spans="1:66" ht="39.950000000000003" customHeight="1" x14ac:dyDescent="0.2">
      <c r="A142" s="131" t="s">
        <v>842</v>
      </c>
      <c r="B142" s="132" t="s">
        <v>51</v>
      </c>
      <c r="C142" s="65" t="s">
        <v>1142</v>
      </c>
      <c r="D142" s="133" t="s">
        <v>162</v>
      </c>
      <c r="E142" s="131" t="s">
        <v>499</v>
      </c>
      <c r="F142" s="161" t="s">
        <v>162</v>
      </c>
      <c r="G142" s="131" t="s">
        <v>547</v>
      </c>
      <c r="H142" s="131" t="s">
        <v>265</v>
      </c>
      <c r="I142" s="131" t="s">
        <v>266</v>
      </c>
      <c r="J142" s="66" t="s">
        <v>561</v>
      </c>
      <c r="K142" s="133" t="s">
        <v>220</v>
      </c>
      <c r="L142" s="168" t="s">
        <v>29</v>
      </c>
      <c r="M142" s="194" t="s">
        <v>191</v>
      </c>
      <c r="N142" s="134" t="s">
        <v>59</v>
      </c>
      <c r="O142" s="167" t="s">
        <v>43</v>
      </c>
      <c r="P142" s="167" t="s">
        <v>538</v>
      </c>
      <c r="Q142" s="65" t="s">
        <v>534</v>
      </c>
      <c r="R142" s="135" t="s">
        <v>9</v>
      </c>
      <c r="S142" s="136" t="e">
        <f>30000/USD</f>
        <v>#REF!</v>
      </c>
      <c r="T142" s="62">
        <f>30000</f>
        <v>30000</v>
      </c>
      <c r="U142" s="136" t="e">
        <f>Table12117[[#This Row],[Amortised Limit in Original Currency]]/USD</f>
        <v>#REF!</v>
      </c>
      <c r="V142" s="136" t="e">
        <f>200000/USD</f>
        <v>#REF!</v>
      </c>
      <c r="W142" s="136" t="e">
        <f>1399175.01/USD</f>
        <v>#REF!</v>
      </c>
      <c r="X142" s="147" t="s">
        <v>11</v>
      </c>
      <c r="Y142" s="185">
        <v>0.02</v>
      </c>
      <c r="Z142" s="137">
        <v>44796</v>
      </c>
      <c r="AA142" s="137">
        <v>41105</v>
      </c>
      <c r="AB142" s="137">
        <v>46583</v>
      </c>
      <c r="AC142" s="138">
        <f>AB142-Z142+1</f>
        <v>1788</v>
      </c>
      <c r="AD142" s="139" t="e">
        <f>IF(AB142-$A$1&gt;60,"No","Yes")</f>
        <v>#REF!</v>
      </c>
      <c r="AE142" s="138" t="e">
        <f>AB142-#REF!</f>
        <v>#REF!</v>
      </c>
      <c r="AF142" s="140" t="e">
        <f t="shared" si="19"/>
        <v>#REF!</v>
      </c>
      <c r="AG142" s="184" t="s">
        <v>436</v>
      </c>
      <c r="AH142" s="186" t="s">
        <v>1</v>
      </c>
      <c r="AI142" s="186" t="s">
        <v>1</v>
      </c>
      <c r="AJ142" s="187" t="s">
        <v>0</v>
      </c>
      <c r="AK142" s="143" t="e">
        <f t="shared" si="20"/>
        <v>#REF!</v>
      </c>
      <c r="AL142" s="164" t="s">
        <v>271</v>
      </c>
      <c r="AM142" s="188" t="s">
        <v>384</v>
      </c>
      <c r="AP142" s="197" t="str">
        <f>Table12117[[#This Row],[Risk Location ]]</f>
        <v>United States</v>
      </c>
      <c r="AQ142" s="198" t="str">
        <f>Table12117[[#This Row],[Sector (GICS Industry Group)]]</f>
        <v>Consumer Staples</v>
      </c>
      <c r="AT142" s="212" t="e">
        <f>Table12117[[#This Row],[Percentage Impact]]*Table12117[[#This Row],[Amortised Limit A$ Balance]]</f>
        <v>#REF!</v>
      </c>
      <c r="AU142" s="212" t="e">
        <f>Table12117[[#This Row],[Amortised Limit A$ Balance]]*12%</f>
        <v>#REF!</v>
      </c>
      <c r="AV142" s="212" t="e">
        <f>IF(Table12117[[#This Row],[Everest]]="Everest",Table12117[[#This Row],[Assetinsure Amount ]]*0.2)</f>
        <v>#REF!</v>
      </c>
      <c r="AW142" s="212"/>
      <c r="AX142" s="212" t="e">
        <f>MIN(Table12117[[#This Row],[Assetinsure Amount ]]-Table12117[[#This Row],[Reinsurance Everest Re]],Table12117[[#This Row],[Total Amount]])</f>
        <v>#REF!</v>
      </c>
      <c r="AY142" s="212">
        <f t="shared" si="21"/>
        <v>0</v>
      </c>
      <c r="BC142" s="212">
        <v>0</v>
      </c>
      <c r="BD142" s="212">
        <v>0</v>
      </c>
      <c r="BE142" s="212">
        <v>0</v>
      </c>
      <c r="BF142" s="212">
        <v>0</v>
      </c>
      <c r="BG142" s="212">
        <v>0</v>
      </c>
      <c r="BH142" s="212">
        <v>0</v>
      </c>
      <c r="BI142" s="226"/>
      <c r="BL142" s="138" t="s">
        <v>1065</v>
      </c>
      <c r="BM142" s="112"/>
      <c r="BN142" s="58"/>
    </row>
    <row r="143" spans="1:66" ht="39.950000000000003" customHeight="1" x14ac:dyDescent="0.2">
      <c r="A143" s="131" t="s">
        <v>840</v>
      </c>
      <c r="B143" s="132" t="s">
        <v>51</v>
      </c>
      <c r="C143" s="65" t="s">
        <v>1144</v>
      </c>
      <c r="D143" s="133" t="s">
        <v>119</v>
      </c>
      <c r="E143" s="14" t="s">
        <v>542</v>
      </c>
      <c r="F143" s="161" t="s">
        <v>119</v>
      </c>
      <c r="G143" s="14" t="s">
        <v>102</v>
      </c>
      <c r="H143" s="14" t="s">
        <v>102</v>
      </c>
      <c r="I143" s="14" t="s">
        <v>474</v>
      </c>
      <c r="J143" s="14" t="s">
        <v>264</v>
      </c>
      <c r="K143" s="192" t="s">
        <v>221</v>
      </c>
      <c r="L143" s="168" t="s">
        <v>101</v>
      </c>
      <c r="M143" s="194" t="s">
        <v>191</v>
      </c>
      <c r="N143" s="134" t="s">
        <v>59</v>
      </c>
      <c r="O143" s="167" t="s">
        <v>43</v>
      </c>
      <c r="P143" s="167" t="s">
        <v>538</v>
      </c>
      <c r="Q143" s="65" t="s">
        <v>534</v>
      </c>
      <c r="R143" s="135" t="s">
        <v>59</v>
      </c>
      <c r="S143" s="136" t="e">
        <f>13000/EUR</f>
        <v>#REF!</v>
      </c>
      <c r="T143" s="62">
        <v>13000</v>
      </c>
      <c r="U143" s="136" t="e">
        <f>Table12117[[#This Row],[Amortised Limit in Original Currency]]/EUR</f>
        <v>#REF!</v>
      </c>
      <c r="V143" s="136" t="e">
        <f>100170/EUR</f>
        <v>#REF!</v>
      </c>
      <c r="W143" s="136" t="e">
        <f>771779.72*(1-0.102902)/EUR</f>
        <v>#REF!</v>
      </c>
      <c r="X143" s="147" t="s">
        <v>11</v>
      </c>
      <c r="Y143" s="185">
        <v>2.3E-2</v>
      </c>
      <c r="Z143" s="137">
        <v>44798</v>
      </c>
      <c r="AA143" s="137">
        <v>46385</v>
      </c>
      <c r="AB143" s="137">
        <v>46399</v>
      </c>
      <c r="AC143" s="138">
        <f t="shared" si="16"/>
        <v>1602</v>
      </c>
      <c r="AD143" s="139" t="e">
        <f t="shared" si="17"/>
        <v>#REF!</v>
      </c>
      <c r="AE143" s="138" t="e">
        <f>AB143-#REF!</f>
        <v>#REF!</v>
      </c>
      <c r="AF143" s="140" t="e">
        <f t="shared" si="19"/>
        <v>#REF!</v>
      </c>
      <c r="AG143" s="184"/>
      <c r="AH143" s="186" t="s">
        <v>1</v>
      </c>
      <c r="AI143" s="186" t="s">
        <v>1</v>
      </c>
      <c r="AJ143" s="187" t="s">
        <v>0</v>
      </c>
      <c r="AK143" s="143" t="e">
        <f t="shared" si="20"/>
        <v>#REF!</v>
      </c>
      <c r="AL143" s="164" t="s">
        <v>271</v>
      </c>
      <c r="AM143" s="188" t="s">
        <v>847</v>
      </c>
      <c r="AP143" s="197" t="str">
        <f>Table12117[[#This Row],[Risk Location ]]</f>
        <v>Italy</v>
      </c>
      <c r="AQ143" s="198" t="str">
        <f>Table12117[[#This Row],[Sector (GICS Industry Group)]]</f>
        <v>Real Estate Investment</v>
      </c>
      <c r="AT143" s="212" t="e">
        <f>Table12117[[#This Row],[Percentage Impact]]*Table12117[[#This Row],[Amortised Limit A$ Balance]]</f>
        <v>#REF!</v>
      </c>
      <c r="AU143" s="212" t="e">
        <f>Table12117[[#This Row],[Amortised Limit A$ Balance]]*12%</f>
        <v>#REF!</v>
      </c>
      <c r="AV143" s="212" t="b">
        <f>IF(Table12117[[#This Row],[Everest]]="Everest",Table12117[[#This Row],[Assetinsure Amount ]]*0.2)</f>
        <v>0</v>
      </c>
      <c r="AW143" s="212"/>
      <c r="AX143" s="212" t="e">
        <f>MIN(Table12117[[#This Row],[Assetinsure Amount ]]-Table12117[[#This Row],[Reinsurance Everest Re]],Table12117[[#This Row],[Total Amount]])</f>
        <v>#REF!</v>
      </c>
      <c r="AY143" s="212">
        <f t="shared" si="21"/>
        <v>0</v>
      </c>
      <c r="BC143" s="212">
        <v>0</v>
      </c>
      <c r="BD143" s="212">
        <v>0</v>
      </c>
      <c r="BE143" s="212">
        <v>0</v>
      </c>
      <c r="BF143" s="212">
        <v>0</v>
      </c>
      <c r="BG143" s="212">
        <v>0</v>
      </c>
      <c r="BH143" s="212">
        <v>0</v>
      </c>
      <c r="BI143" s="226"/>
      <c r="BL143" s="138" t="s">
        <v>1066</v>
      </c>
      <c r="BM143" s="112"/>
      <c r="BN143" s="58"/>
    </row>
    <row r="144" spans="1:66" ht="39.950000000000003" customHeight="1" x14ac:dyDescent="0.2">
      <c r="A144" s="131" t="s">
        <v>839</v>
      </c>
      <c r="B144" s="132" t="s">
        <v>23</v>
      </c>
      <c r="C144" s="65" t="s">
        <v>1142</v>
      </c>
      <c r="D144" s="133" t="s">
        <v>684</v>
      </c>
      <c r="E144" s="131" t="s">
        <v>542</v>
      </c>
      <c r="F144" s="161" t="s">
        <v>127</v>
      </c>
      <c r="G144" s="131" t="s">
        <v>173</v>
      </c>
      <c r="H144" s="131" t="s">
        <v>316</v>
      </c>
      <c r="I144" s="131" t="s">
        <v>851</v>
      </c>
      <c r="J144" s="133" t="s">
        <v>165</v>
      </c>
      <c r="K144" s="133" t="s">
        <v>220</v>
      </c>
      <c r="L144" s="168" t="s">
        <v>29</v>
      </c>
      <c r="M144" s="194" t="s">
        <v>191</v>
      </c>
      <c r="N144" s="134" t="s">
        <v>59</v>
      </c>
      <c r="O144" s="167" t="s">
        <v>43</v>
      </c>
      <c r="P144" s="167" t="s">
        <v>538</v>
      </c>
      <c r="Q144" s="65" t="s">
        <v>534</v>
      </c>
      <c r="R144" s="135" t="s">
        <v>59</v>
      </c>
      <c r="S144" s="136" t="e">
        <f>10500/EUR</f>
        <v>#REF!</v>
      </c>
      <c r="T144" s="62">
        <v>10500</v>
      </c>
      <c r="U144" s="136" t="e">
        <f>Table12117[[#This Row],[Amortised Limit in Original Currency]]/EUR</f>
        <v>#REF!</v>
      </c>
      <c r="V144" s="136" t="e">
        <f>20000/EUR</f>
        <v>#REF!</v>
      </c>
      <c r="W144" s="136" t="e">
        <f>890615.96/EUR</f>
        <v>#REF!</v>
      </c>
      <c r="X144" s="147" t="s">
        <v>11</v>
      </c>
      <c r="Y144" s="185">
        <v>2.2499999999999999E-2</v>
      </c>
      <c r="Z144" s="137">
        <v>44798</v>
      </c>
      <c r="AA144" s="137">
        <v>47050</v>
      </c>
      <c r="AB144" s="137">
        <v>47050</v>
      </c>
      <c r="AC144" s="138">
        <f t="shared" si="16"/>
        <v>2253</v>
      </c>
      <c r="AD144" s="139" t="e">
        <f t="shared" si="17"/>
        <v>#REF!</v>
      </c>
      <c r="AE144" s="138" t="e">
        <f>AB144-#REF!</f>
        <v>#REF!</v>
      </c>
      <c r="AF144" s="140" t="e">
        <f t="shared" si="19"/>
        <v>#REF!</v>
      </c>
      <c r="AG144" s="184"/>
      <c r="AH144" s="186" t="s">
        <v>1</v>
      </c>
      <c r="AI144" s="186" t="s">
        <v>1</v>
      </c>
      <c r="AJ144" s="187" t="s">
        <v>0</v>
      </c>
      <c r="AK144" s="143" t="e">
        <f t="shared" si="20"/>
        <v>#REF!</v>
      </c>
      <c r="AL144" s="164" t="s">
        <v>563</v>
      </c>
      <c r="AM144" s="188" t="s">
        <v>846</v>
      </c>
      <c r="AP144" s="197" t="str">
        <f>Table12117[[#This Row],[Risk Location ]]</f>
        <v>Germany</v>
      </c>
      <c r="AQ144" s="198" t="str">
        <f>Table12117[[#This Row],[Sector (GICS Industry Group)]]</f>
        <v>Automobiles &amp; Components</v>
      </c>
      <c r="AT144" s="212" t="e">
        <f>Table12117[[#This Row],[Percentage Impact]]*Table12117[[#This Row],[Amortised Limit A$ Balance]]</f>
        <v>#REF!</v>
      </c>
      <c r="AU144" s="212" t="e">
        <f>Table12117[[#This Row],[Amortised Limit A$ Balance]]*12%</f>
        <v>#REF!</v>
      </c>
      <c r="AV144" s="212" t="b">
        <f>IF(Table12117[[#This Row],[Everest]]="Everest",Table12117[[#This Row],[Assetinsure Amount ]]*0.2)</f>
        <v>0</v>
      </c>
      <c r="AW144" s="212"/>
      <c r="AX144" s="212" t="e">
        <f>MIN(Table12117[[#This Row],[Assetinsure Amount ]]-Table12117[[#This Row],[Reinsurance Everest Re]],Table12117[[#This Row],[Total Amount]])</f>
        <v>#REF!</v>
      </c>
      <c r="AY144" s="212">
        <f t="shared" si="21"/>
        <v>0</v>
      </c>
      <c r="BC144" s="212">
        <v>0</v>
      </c>
      <c r="BD144" s="212">
        <v>0</v>
      </c>
      <c r="BE144" s="212">
        <v>0</v>
      </c>
      <c r="BF144" s="212">
        <v>0</v>
      </c>
      <c r="BG144" s="212">
        <v>0</v>
      </c>
      <c r="BH144" s="212">
        <v>0</v>
      </c>
      <c r="BI144" s="226"/>
      <c r="BL144" s="138" t="s">
        <v>1067</v>
      </c>
      <c r="BM144" s="112"/>
      <c r="BN144" s="58"/>
    </row>
    <row r="145" spans="1:66" ht="39.950000000000003" customHeight="1" x14ac:dyDescent="0.2">
      <c r="A145" s="131" t="s">
        <v>837</v>
      </c>
      <c r="B145" s="132" t="s">
        <v>23</v>
      </c>
      <c r="C145" s="65" t="s">
        <v>243</v>
      </c>
      <c r="D145" s="133" t="s">
        <v>119</v>
      </c>
      <c r="E145" s="131" t="s">
        <v>542</v>
      </c>
      <c r="F145" s="161" t="s">
        <v>119</v>
      </c>
      <c r="G145" s="131" t="s">
        <v>233</v>
      </c>
      <c r="H145" s="66" t="s">
        <v>443</v>
      </c>
      <c r="I145" s="131" t="s">
        <v>234</v>
      </c>
      <c r="J145" s="133" t="s">
        <v>745</v>
      </c>
      <c r="K145" s="133" t="s">
        <v>220</v>
      </c>
      <c r="L145" s="168" t="s">
        <v>29</v>
      </c>
      <c r="M145" s="194" t="s">
        <v>191</v>
      </c>
      <c r="N145" s="134" t="s">
        <v>59</v>
      </c>
      <c r="O145" s="167" t="s">
        <v>43</v>
      </c>
      <c r="P145" s="167" t="s">
        <v>538</v>
      </c>
      <c r="Q145" s="65" t="s">
        <v>534</v>
      </c>
      <c r="R145" s="135" t="s">
        <v>59</v>
      </c>
      <c r="S145" s="136" t="e">
        <f>10000/EUR</f>
        <v>#REF!</v>
      </c>
      <c r="T145" s="62">
        <v>10000</v>
      </c>
      <c r="U145" s="136" t="e">
        <f>Table12117[[#This Row],[Amortised Limit in Original Currency]]/EUR</f>
        <v>#REF!</v>
      </c>
      <c r="V145" s="136" t="e">
        <f>710000/EUR</f>
        <v>#REF!</v>
      </c>
      <c r="W145" s="136" t="e">
        <f>1074885.24/EUR</f>
        <v>#REF!</v>
      </c>
      <c r="X145" s="147" t="s">
        <v>11</v>
      </c>
      <c r="Y145" s="185">
        <v>2.2499999999999999E-2</v>
      </c>
      <c r="Z145" s="137">
        <v>44788</v>
      </c>
      <c r="AA145" s="137">
        <v>47163</v>
      </c>
      <c r="AB145" s="137">
        <v>47191</v>
      </c>
      <c r="AC145" s="138">
        <f t="shared" si="16"/>
        <v>2404</v>
      </c>
      <c r="AD145" s="139" t="e">
        <f t="shared" si="17"/>
        <v>#REF!</v>
      </c>
      <c r="AE145" s="138" t="e">
        <f>AB145-#REF!</f>
        <v>#REF!</v>
      </c>
      <c r="AF145" s="140" t="e">
        <f t="shared" si="19"/>
        <v>#REF!</v>
      </c>
      <c r="AG145" s="184"/>
      <c r="AH145" s="186" t="s">
        <v>1</v>
      </c>
      <c r="AI145" s="186" t="s">
        <v>1</v>
      </c>
      <c r="AJ145" s="187" t="s">
        <v>0</v>
      </c>
      <c r="AK145" s="143" t="e">
        <f t="shared" si="20"/>
        <v>#REF!</v>
      </c>
      <c r="AL145" s="164" t="s">
        <v>563</v>
      </c>
      <c r="AM145" s="188" t="s">
        <v>850</v>
      </c>
      <c r="AP145" s="197" t="str">
        <f>Table12117[[#This Row],[Risk Location ]]</f>
        <v>Italy</v>
      </c>
      <c r="AQ145" s="198" t="str">
        <f>Table12117[[#This Row],[Sector (GICS Industry Group)]]</f>
        <v>Telecommunication Services</v>
      </c>
      <c r="AT145" s="212" t="e">
        <f>Table12117[[#This Row],[Percentage Impact]]*Table12117[[#This Row],[Amortised Limit A$ Balance]]</f>
        <v>#REF!</v>
      </c>
      <c r="AU145" s="212" t="e">
        <f>Table12117[[#This Row],[Amortised Limit A$ Balance]]*12%</f>
        <v>#REF!</v>
      </c>
      <c r="AV145" s="212" t="b">
        <f>IF(Table12117[[#This Row],[Everest]]="Everest",Table12117[[#This Row],[Assetinsure Amount ]]*0.2)</f>
        <v>0</v>
      </c>
      <c r="AW145" s="212"/>
      <c r="AX145" s="212" t="e">
        <f>MIN(Table12117[[#This Row],[Assetinsure Amount ]]-Table12117[[#This Row],[Reinsurance Everest Re]],Table12117[[#This Row],[Total Amount]])</f>
        <v>#REF!</v>
      </c>
      <c r="AY145" s="212">
        <f t="shared" si="21"/>
        <v>0</v>
      </c>
      <c r="BC145" s="212">
        <v>0</v>
      </c>
      <c r="BD145" s="212">
        <v>0</v>
      </c>
      <c r="BE145" s="212">
        <v>0</v>
      </c>
      <c r="BF145" s="212">
        <v>0</v>
      </c>
      <c r="BG145" s="212">
        <v>0</v>
      </c>
      <c r="BH145" s="212">
        <v>0</v>
      </c>
      <c r="BI145" s="226"/>
      <c r="BL145" s="138" t="s">
        <v>1068</v>
      </c>
      <c r="BM145" s="112"/>
      <c r="BN145" s="58"/>
    </row>
    <row r="146" spans="1:66" ht="39.950000000000003" customHeight="1" x14ac:dyDescent="0.2">
      <c r="A146" s="131" t="s">
        <v>854</v>
      </c>
      <c r="B146" s="132" t="s">
        <v>67</v>
      </c>
      <c r="C146" s="65" t="s">
        <v>243</v>
      </c>
      <c r="D146" s="133" t="s">
        <v>588</v>
      </c>
      <c r="E146" s="131" t="s">
        <v>499</v>
      </c>
      <c r="F146" s="161" t="s">
        <v>162</v>
      </c>
      <c r="G146" s="14" t="s">
        <v>891</v>
      </c>
      <c r="H146" s="131" t="s">
        <v>115</v>
      </c>
      <c r="I146" s="131" t="s">
        <v>115</v>
      </c>
      <c r="J146" s="14" t="s">
        <v>826</v>
      </c>
      <c r="K146" s="66" t="s">
        <v>218</v>
      </c>
      <c r="L146" s="168" t="s">
        <v>209</v>
      </c>
      <c r="M146" s="194" t="s">
        <v>191</v>
      </c>
      <c r="N146" s="134" t="s">
        <v>59</v>
      </c>
      <c r="O146" s="167" t="s">
        <v>43</v>
      </c>
      <c r="P146" s="167" t="s">
        <v>538</v>
      </c>
      <c r="Q146" s="65" t="s">
        <v>534</v>
      </c>
      <c r="R146" s="135" t="s">
        <v>9</v>
      </c>
      <c r="S146" s="136" t="e">
        <f>15000/USD</f>
        <v>#REF!</v>
      </c>
      <c r="T146" s="62">
        <v>14885.79</v>
      </c>
      <c r="U146" s="136" t="e">
        <f>Table12117[[#This Row],[Amortised Limit in Original Currency]]/USD</f>
        <v>#REF!</v>
      </c>
      <c r="V146" s="136" t="e">
        <f>30000/USD</f>
        <v>#REF!</v>
      </c>
      <c r="W146" s="136" t="e">
        <f>798435.78/USD</f>
        <v>#REF!</v>
      </c>
      <c r="X146" s="147" t="s">
        <v>11</v>
      </c>
      <c r="Y146" s="185">
        <v>0.05</v>
      </c>
      <c r="Z146" s="137">
        <v>44806</v>
      </c>
      <c r="AA146" s="137">
        <v>46338</v>
      </c>
      <c r="AB146" s="137">
        <v>46355</v>
      </c>
      <c r="AC146" s="138">
        <f t="shared" si="16"/>
        <v>1550</v>
      </c>
      <c r="AD146" s="139" t="e">
        <f t="shared" si="17"/>
        <v>#REF!</v>
      </c>
      <c r="AE146" s="138" t="e">
        <f>AB146-#REF!</f>
        <v>#REF!</v>
      </c>
      <c r="AF146" s="140" t="e">
        <f t="shared" si="19"/>
        <v>#REF!</v>
      </c>
      <c r="AG146" s="184"/>
      <c r="AH146" s="186" t="s">
        <v>1</v>
      </c>
      <c r="AI146" s="186" t="s">
        <v>1</v>
      </c>
      <c r="AJ146" s="187" t="s">
        <v>852</v>
      </c>
      <c r="AK146" s="143" t="e">
        <f t="shared" si="20"/>
        <v>#REF!</v>
      </c>
      <c r="AL146" s="164" t="s">
        <v>271</v>
      </c>
      <c r="AM146" s="188" t="s">
        <v>853</v>
      </c>
      <c r="AN146" s="260"/>
      <c r="AO146" s="260"/>
      <c r="AP146" s="197" t="str">
        <f>Table12117[[#This Row],[Risk Location ]]</f>
        <v>United States</v>
      </c>
      <c r="AQ146" s="198" t="str">
        <f>Table12117[[#This Row],[Sector (GICS Industry Group)]]</f>
        <v>Information Technology - Hardware &amp; Equipment</v>
      </c>
      <c r="AR146" s="260"/>
      <c r="AS146" s="260"/>
      <c r="AT146" s="212" t="e">
        <f>Table12117[[#This Row],[Percentage Impact]]*Table12117[[#This Row],[Amortised Limit A$ Balance]]</f>
        <v>#REF!</v>
      </c>
      <c r="AU146" s="212" t="e">
        <f>Table12117[[#This Row],[Amortised Limit A$ Balance]]*12%</f>
        <v>#REF!</v>
      </c>
      <c r="AV146" s="212" t="b">
        <f>IF(Table12117[[#This Row],[Everest]]="Everest",Table12117[[#This Row],[Assetinsure Amount ]]*0.2)</f>
        <v>0</v>
      </c>
      <c r="AW146" s="261"/>
      <c r="AX146" s="212" t="e">
        <f>MIN(Table12117[[#This Row],[Assetinsure Amount ]]-Table12117[[#This Row],[Reinsurance Everest Re]],Table12117[[#This Row],[Total Amount]])</f>
        <v>#REF!</v>
      </c>
      <c r="AY146" s="212">
        <f t="shared" si="21"/>
        <v>0</v>
      </c>
      <c r="AZ146" s="260"/>
      <c r="BC146" s="212">
        <v>0</v>
      </c>
      <c r="BD146" s="212">
        <v>0</v>
      </c>
      <c r="BE146" s="212">
        <v>0</v>
      </c>
      <c r="BF146" s="212">
        <v>0</v>
      </c>
      <c r="BG146" s="212">
        <v>0</v>
      </c>
      <c r="BH146" s="212">
        <v>0</v>
      </c>
      <c r="BI146" s="226"/>
      <c r="BL146" s="138" t="s">
        <v>922</v>
      </c>
      <c r="BM146" s="112"/>
      <c r="BN146" s="58"/>
    </row>
    <row r="147" spans="1:66" ht="39.950000000000003" customHeight="1" x14ac:dyDescent="0.2">
      <c r="A147" s="131" t="s">
        <v>857</v>
      </c>
      <c r="B147" s="132" t="s">
        <v>23</v>
      </c>
      <c r="C147" s="65" t="s">
        <v>1144</v>
      </c>
      <c r="D147" s="133" t="s">
        <v>34</v>
      </c>
      <c r="E147" s="131" t="s">
        <v>34</v>
      </c>
      <c r="F147" s="161" t="s">
        <v>34</v>
      </c>
      <c r="G147" s="14" t="s">
        <v>544</v>
      </c>
      <c r="H147" s="14" t="s">
        <v>178</v>
      </c>
      <c r="I147" s="14" t="s">
        <v>177</v>
      </c>
      <c r="J147" s="133" t="s">
        <v>70</v>
      </c>
      <c r="K147" s="66" t="s">
        <v>218</v>
      </c>
      <c r="L147" s="168" t="s">
        <v>209</v>
      </c>
      <c r="M147" s="194" t="s">
        <v>191</v>
      </c>
      <c r="N147" s="134" t="s">
        <v>323</v>
      </c>
      <c r="O147" s="167" t="s">
        <v>43</v>
      </c>
      <c r="P147" s="167" t="s">
        <v>531</v>
      </c>
      <c r="Q147" s="65" t="s">
        <v>534</v>
      </c>
      <c r="R147" s="135" t="s">
        <v>8</v>
      </c>
      <c r="S147" s="136">
        <v>20000</v>
      </c>
      <c r="T147" s="62">
        <v>20000</v>
      </c>
      <c r="U147" s="136">
        <f>Table12117[[#This Row],[Amortised Limit in Original Currency]]</f>
        <v>20000</v>
      </c>
      <c r="V147" s="136">
        <v>100000</v>
      </c>
      <c r="W147" s="136">
        <v>2846047.51</v>
      </c>
      <c r="X147" s="147" t="s">
        <v>11</v>
      </c>
      <c r="Y147" s="185">
        <v>6.5000000000000002E-2</v>
      </c>
      <c r="Z147" s="137">
        <v>44810</v>
      </c>
      <c r="AA147" s="137">
        <v>46476</v>
      </c>
      <c r="AB147" s="137">
        <v>46498</v>
      </c>
      <c r="AC147" s="138">
        <f t="shared" si="16"/>
        <v>1689</v>
      </c>
      <c r="AD147" s="139" t="e">
        <f t="shared" si="17"/>
        <v>#REF!</v>
      </c>
      <c r="AE147" s="138" t="e">
        <f>AB147-#REF!</f>
        <v>#REF!</v>
      </c>
      <c r="AF147" s="140" t="e">
        <f t="shared" si="19"/>
        <v>#REF!</v>
      </c>
      <c r="AG147" s="184"/>
      <c r="AH147" s="186" t="s">
        <v>1</v>
      </c>
      <c r="AI147" s="186" t="s">
        <v>1</v>
      </c>
      <c r="AJ147" s="187" t="s">
        <v>0</v>
      </c>
      <c r="AK147" s="143" t="e">
        <f t="shared" si="20"/>
        <v>#REF!</v>
      </c>
      <c r="AL147" s="164" t="s">
        <v>563</v>
      </c>
      <c r="AM147" s="188" t="s">
        <v>855</v>
      </c>
      <c r="AN147" s="260"/>
      <c r="AO147" s="260"/>
      <c r="AP147" s="197" t="str">
        <f>Table12117[[#This Row],[Risk Location ]]</f>
        <v>Australia</v>
      </c>
      <c r="AQ147" s="198" t="str">
        <f>Table12117[[#This Row],[Sector (GICS Industry Group)]]</f>
        <v>Consumer Discretionary</v>
      </c>
      <c r="AR147" s="260"/>
      <c r="AS147" s="260"/>
      <c r="AT147" s="212">
        <f>Table12117[[#This Row],[Percentage Impact]]*Table12117[[#This Row],[Amortised Limit A$ Balance]]</f>
        <v>0</v>
      </c>
      <c r="AU147" s="212">
        <f>Table12117[[#This Row],[Amortised Limit A$ Balance]]*12%</f>
        <v>2400</v>
      </c>
      <c r="AV147" s="212" t="b">
        <f>IF(Table12117[[#This Row],[Everest]]="Everest",Table12117[[#This Row],[Assetinsure Amount ]]*0.2)</f>
        <v>0</v>
      </c>
      <c r="AW147" s="261"/>
      <c r="AX147" s="212">
        <f>MIN(Table12117[[#This Row],[Assetinsure Amount ]]-Table12117[[#This Row],[Reinsurance Everest Re]],Table12117[[#This Row],[Total Amount]])</f>
        <v>0</v>
      </c>
      <c r="AY147" s="212">
        <f t="shared" si="21"/>
        <v>0</v>
      </c>
      <c r="AZ147" s="260"/>
      <c r="BC147" s="212">
        <v>0</v>
      </c>
      <c r="BD147" s="212">
        <v>0</v>
      </c>
      <c r="BE147" s="212">
        <v>0</v>
      </c>
      <c r="BF147" s="212">
        <v>0</v>
      </c>
      <c r="BG147" s="212">
        <v>0</v>
      </c>
      <c r="BH147" s="212">
        <v>0</v>
      </c>
      <c r="BI147" s="226"/>
      <c r="BL147" s="138" t="s">
        <v>921</v>
      </c>
      <c r="BM147" s="112"/>
      <c r="BN147" s="58"/>
    </row>
    <row r="148" spans="1:66" ht="39.950000000000003" customHeight="1" x14ac:dyDescent="0.2">
      <c r="A148" s="131" t="s">
        <v>858</v>
      </c>
      <c r="B148" s="132" t="s">
        <v>243</v>
      </c>
      <c r="C148" s="65" t="s">
        <v>1143</v>
      </c>
      <c r="D148" s="133" t="s">
        <v>34</v>
      </c>
      <c r="E148" s="131" t="s">
        <v>34</v>
      </c>
      <c r="F148" s="161" t="s">
        <v>295</v>
      </c>
      <c r="G148" s="131" t="s">
        <v>92</v>
      </c>
      <c r="H148" s="131" t="s">
        <v>108</v>
      </c>
      <c r="I148" s="131" t="s">
        <v>109</v>
      </c>
      <c r="J148" s="133" t="s">
        <v>70</v>
      </c>
      <c r="K148" s="66" t="s">
        <v>218</v>
      </c>
      <c r="L148" s="168" t="s">
        <v>209</v>
      </c>
      <c r="M148" s="194" t="s">
        <v>191</v>
      </c>
      <c r="N148" s="134" t="s">
        <v>323</v>
      </c>
      <c r="O148" s="167" t="s">
        <v>43</v>
      </c>
      <c r="P148" s="167" t="s">
        <v>538</v>
      </c>
      <c r="Q148" s="65" t="s">
        <v>534</v>
      </c>
      <c r="R148" s="135" t="s">
        <v>297</v>
      </c>
      <c r="S148" s="136" t="e">
        <f>18750/NZD</f>
        <v>#REF!</v>
      </c>
      <c r="T148" s="62">
        <v>18750</v>
      </c>
      <c r="U148" s="136" t="e">
        <f>Table12117[[#This Row],[Amortised Limit in Original Currency]]/NZD</f>
        <v>#REF!</v>
      </c>
      <c r="V148" s="136" t="e">
        <f>107500/NZD</f>
        <v>#REF!</v>
      </c>
      <c r="W148" s="136" t="e">
        <f>1956896.15/NZD</f>
        <v>#REF!</v>
      </c>
      <c r="X148" s="147" t="s">
        <v>11</v>
      </c>
      <c r="Y148" s="185">
        <v>3.7499999999999999E-2</v>
      </c>
      <c r="Z148" s="137">
        <v>44820</v>
      </c>
      <c r="AA148" s="137">
        <v>47247</v>
      </c>
      <c r="AB148" s="137">
        <v>47269</v>
      </c>
      <c r="AC148" s="138">
        <f t="shared" ref="AC148" si="22">AB148-Z148+1</f>
        <v>2450</v>
      </c>
      <c r="AD148" s="139" t="e">
        <f t="shared" ref="AD148" si="23">IF(AB148-$A$1&gt;60,"No","Yes")</f>
        <v>#REF!</v>
      </c>
      <c r="AE148" s="138" t="e">
        <f>AB148-#REF!</f>
        <v>#REF!</v>
      </c>
      <c r="AF148" s="140" t="e">
        <f t="shared" si="19"/>
        <v>#REF!</v>
      </c>
      <c r="AG148" s="184"/>
      <c r="AH148" s="186" t="s">
        <v>1</v>
      </c>
      <c r="AI148" s="186" t="s">
        <v>1</v>
      </c>
      <c r="AJ148" s="187" t="s">
        <v>0</v>
      </c>
      <c r="AK148" s="143" t="e">
        <f t="shared" si="20"/>
        <v>#REF!</v>
      </c>
      <c r="AL148" s="164" t="s">
        <v>563</v>
      </c>
      <c r="AM148" s="188" t="s">
        <v>856</v>
      </c>
      <c r="AN148" s="260"/>
      <c r="AO148" s="260"/>
      <c r="AP148" s="197" t="str">
        <f>Table12117[[#This Row],[Risk Location ]]</f>
        <v>New Zealand</v>
      </c>
      <c r="AQ148" s="198" t="str">
        <f>Table12117[[#This Row],[Sector (GICS Industry Group)]]</f>
        <v>Transportation</v>
      </c>
      <c r="AR148" s="260"/>
      <c r="AS148" s="260"/>
      <c r="AT148" s="212" t="e">
        <f>Table12117[[#This Row],[Percentage Impact]]*Table12117[[#This Row],[Amortised Limit A$ Balance]]</f>
        <v>#REF!</v>
      </c>
      <c r="AU148" s="212" t="e">
        <f>Table12117[[#This Row],[Amortised Limit A$ Balance]]*12%</f>
        <v>#REF!</v>
      </c>
      <c r="AV148" s="212" t="b">
        <f>IF(Table12117[[#This Row],[Everest]]="Everest",Table12117[[#This Row],[Assetinsure Amount ]]*0.2)</f>
        <v>0</v>
      </c>
      <c r="AW148" s="261"/>
      <c r="AX148" s="212" t="e">
        <f>MIN(Table12117[[#This Row],[Assetinsure Amount ]]-Table12117[[#This Row],[Reinsurance Everest Re]],Table12117[[#This Row],[Total Amount]])</f>
        <v>#REF!</v>
      </c>
      <c r="AY148" s="212">
        <f t="shared" si="21"/>
        <v>0</v>
      </c>
      <c r="AZ148" s="260"/>
      <c r="BC148" s="212">
        <v>0</v>
      </c>
      <c r="BD148" s="212">
        <v>0</v>
      </c>
      <c r="BE148" s="212">
        <v>0</v>
      </c>
      <c r="BF148" s="212">
        <v>0</v>
      </c>
      <c r="BG148" s="212">
        <v>0</v>
      </c>
      <c r="BH148" s="212">
        <v>0</v>
      </c>
      <c r="BI148" s="226"/>
      <c r="BL148" s="138" t="s">
        <v>920</v>
      </c>
      <c r="BM148" s="112"/>
      <c r="BN148" s="58"/>
    </row>
    <row r="149" spans="1:66" ht="39.950000000000003" customHeight="1" x14ac:dyDescent="0.2">
      <c r="A149" s="131" t="s">
        <v>859</v>
      </c>
      <c r="B149" s="132" t="s">
        <v>67</v>
      </c>
      <c r="C149" s="65" t="s">
        <v>1143</v>
      </c>
      <c r="D149" s="133" t="s">
        <v>34</v>
      </c>
      <c r="E149" s="131" t="s">
        <v>34</v>
      </c>
      <c r="F149" s="161" t="s">
        <v>295</v>
      </c>
      <c r="G149" s="131" t="s">
        <v>475</v>
      </c>
      <c r="H149" s="131" t="s">
        <v>227</v>
      </c>
      <c r="I149" s="131" t="s">
        <v>228</v>
      </c>
      <c r="J149" s="133" t="s">
        <v>860</v>
      </c>
      <c r="K149" s="133" t="s">
        <v>220</v>
      </c>
      <c r="L149" s="168" t="s">
        <v>209</v>
      </c>
      <c r="M149" s="194" t="s">
        <v>191</v>
      </c>
      <c r="N149" s="134" t="s">
        <v>323</v>
      </c>
      <c r="O149" s="167" t="s">
        <v>43</v>
      </c>
      <c r="P149" s="167" t="s">
        <v>531</v>
      </c>
      <c r="Q149" s="65" t="s">
        <v>534</v>
      </c>
      <c r="R149" s="135" t="s">
        <v>297</v>
      </c>
      <c r="S149" s="136" t="e">
        <f>10000/NZD</f>
        <v>#REF!</v>
      </c>
      <c r="T149" s="62">
        <v>10000</v>
      </c>
      <c r="U149" s="136" t="e">
        <f>Table12117[[#This Row],[Amortised Limit in Original Currency]]/NZD</f>
        <v>#REF!</v>
      </c>
      <c r="V149" s="136" t="e">
        <f>50000/NZD</f>
        <v>#REF!</v>
      </c>
      <c r="W149" s="136" t="e">
        <f>751172.18/NZD</f>
        <v>#REF!</v>
      </c>
      <c r="X149" s="147" t="s">
        <v>11</v>
      </c>
      <c r="Y149" s="185">
        <v>3.2500000000000001E-2</v>
      </c>
      <c r="Z149" s="137">
        <v>44834</v>
      </c>
      <c r="AA149" s="137">
        <v>46555</v>
      </c>
      <c r="AB149" s="137">
        <v>46598</v>
      </c>
      <c r="AC149" s="138">
        <f>AB149-Z149+1</f>
        <v>1765</v>
      </c>
      <c r="AD149" s="139" t="e">
        <f>IF(AB149-$A$1&gt;60,"No","Yes")</f>
        <v>#REF!</v>
      </c>
      <c r="AE149" s="138" t="e">
        <f>AB149-#REF!</f>
        <v>#REF!</v>
      </c>
      <c r="AF149" s="140" t="e">
        <f t="shared" si="19"/>
        <v>#REF!</v>
      </c>
      <c r="AG149" s="184"/>
      <c r="AH149" s="186" t="s">
        <v>1</v>
      </c>
      <c r="AI149" s="186" t="s">
        <v>1</v>
      </c>
      <c r="AJ149" s="187" t="s">
        <v>0</v>
      </c>
      <c r="AK149" s="143" t="e">
        <f t="shared" si="20"/>
        <v>#REF!</v>
      </c>
      <c r="AL149" s="164" t="s">
        <v>271</v>
      </c>
      <c r="AM149" s="188" t="s">
        <v>861</v>
      </c>
      <c r="AN149" s="260"/>
      <c r="AO149" s="260"/>
      <c r="AP149" s="197" t="str">
        <f>Table12117[[#This Row],[Risk Location ]]</f>
        <v>New Zealand</v>
      </c>
      <c r="AQ149" s="198" t="str">
        <f>Table12117[[#This Row],[Sector (GICS Industry Group)]]</f>
        <v>Health Care</v>
      </c>
      <c r="AR149" s="260"/>
      <c r="AS149" s="260"/>
      <c r="AT149" s="212" t="e">
        <f>Table12117[[#This Row],[Percentage Impact]]*Table12117[[#This Row],[Amortised Limit A$ Balance]]</f>
        <v>#REF!</v>
      </c>
      <c r="AU149" s="212" t="e">
        <f>Table12117[[#This Row],[Amortised Limit A$ Balance]]*12%</f>
        <v>#REF!</v>
      </c>
      <c r="AV149" s="212" t="b">
        <f>IF(Table12117[[#This Row],[Everest]]="Everest",Table12117[[#This Row],[Assetinsure Amount ]]*0.2)</f>
        <v>0</v>
      </c>
      <c r="AW149" s="261"/>
      <c r="AX149" s="212" t="e">
        <f>MIN(Table12117[[#This Row],[Assetinsure Amount ]]-Table12117[[#This Row],[Reinsurance Everest Re]],Table12117[[#This Row],[Total Amount]])</f>
        <v>#REF!</v>
      </c>
      <c r="AY149" s="212">
        <f t="shared" si="21"/>
        <v>0</v>
      </c>
      <c r="AZ149" s="260"/>
      <c r="BC149" s="212">
        <v>0</v>
      </c>
      <c r="BD149" s="212">
        <v>0</v>
      </c>
      <c r="BE149" s="212">
        <v>0</v>
      </c>
      <c r="BF149" s="212">
        <v>0</v>
      </c>
      <c r="BG149" s="212">
        <v>0</v>
      </c>
      <c r="BH149" s="212">
        <v>0</v>
      </c>
      <c r="BI149" s="226"/>
      <c r="BL149" s="138" t="s">
        <v>919</v>
      </c>
      <c r="BM149" s="112"/>
      <c r="BN149" s="58"/>
    </row>
    <row r="150" spans="1:66" ht="39.950000000000003" customHeight="1" x14ac:dyDescent="0.2">
      <c r="A150" s="131" t="s">
        <v>862</v>
      </c>
      <c r="B150" s="132" t="s">
        <v>23</v>
      </c>
      <c r="C150" s="65" t="s">
        <v>1141</v>
      </c>
      <c r="D150" s="133" t="s">
        <v>38</v>
      </c>
      <c r="E150" s="131" t="s">
        <v>541</v>
      </c>
      <c r="F150" s="133" t="s">
        <v>38</v>
      </c>
      <c r="G150" s="14" t="s">
        <v>48</v>
      </c>
      <c r="H150" s="131" t="s">
        <v>95</v>
      </c>
      <c r="I150" s="130" t="s">
        <v>447</v>
      </c>
      <c r="J150" s="133" t="s">
        <v>32</v>
      </c>
      <c r="K150" s="133" t="s">
        <v>33</v>
      </c>
      <c r="L150" s="14" t="s">
        <v>140</v>
      </c>
      <c r="M150" s="194" t="s">
        <v>191</v>
      </c>
      <c r="N150" s="134" t="s">
        <v>323</v>
      </c>
      <c r="O150" s="167" t="s">
        <v>43</v>
      </c>
      <c r="P150" s="167" t="s">
        <v>531</v>
      </c>
      <c r="Q150" s="65" t="s">
        <v>534</v>
      </c>
      <c r="R150" s="135" t="s">
        <v>9</v>
      </c>
      <c r="S150" s="136" t="e">
        <f>10000/USD</f>
        <v>#REF!</v>
      </c>
      <c r="T150" s="62">
        <v>10000</v>
      </c>
      <c r="U150" s="136" t="e">
        <f>Table12117[[#This Row],[Amortised Limit in Original Currency]]/USD</f>
        <v>#REF!</v>
      </c>
      <c r="V150" s="136" t="e">
        <f>20000/USD</f>
        <v>#REF!</v>
      </c>
      <c r="W150" s="136" t="e">
        <f>1135725.91/USD</f>
        <v>#REF!</v>
      </c>
      <c r="X150" s="147" t="s">
        <v>11</v>
      </c>
      <c r="Y150" s="185">
        <v>5.5E-2</v>
      </c>
      <c r="Z150" s="137">
        <v>44820</v>
      </c>
      <c r="AA150" s="137">
        <v>46973</v>
      </c>
      <c r="AB150" s="137">
        <v>47004</v>
      </c>
      <c r="AC150" s="138">
        <f>AB150-Z150+1</f>
        <v>2185</v>
      </c>
      <c r="AD150" s="139" t="e">
        <f>IF(AB150-$A$1&gt;60,"No","Yes")</f>
        <v>#REF!</v>
      </c>
      <c r="AE150" s="138" t="e">
        <f>AB150-#REF!</f>
        <v>#REF!</v>
      </c>
      <c r="AF150" s="140" t="e">
        <f t="shared" si="19"/>
        <v>#REF!</v>
      </c>
      <c r="AG150" s="184"/>
      <c r="AH150" s="186" t="s">
        <v>1</v>
      </c>
      <c r="AI150" s="186" t="s">
        <v>1</v>
      </c>
      <c r="AJ150" s="187" t="s">
        <v>0</v>
      </c>
      <c r="AK150" s="143" t="e">
        <f t="shared" si="20"/>
        <v>#REF!</v>
      </c>
      <c r="AL150" s="164" t="s">
        <v>271</v>
      </c>
      <c r="AM150" s="188" t="s">
        <v>863</v>
      </c>
      <c r="AN150" s="260"/>
      <c r="AO150" s="260"/>
      <c r="AP150" s="197" t="str">
        <f>Table12117[[#This Row],[Risk Location ]]</f>
        <v>Singapore</v>
      </c>
      <c r="AQ150" s="198" t="str">
        <f>Table12117[[#This Row],[Sector (GICS Industry Group)]]</f>
        <v>Energy</v>
      </c>
      <c r="AR150" s="260"/>
      <c r="AS150" s="260"/>
      <c r="AT150" s="212" t="e">
        <f>Table12117[[#This Row],[Percentage Impact]]*Table12117[[#This Row],[Amortised Limit A$ Balance]]</f>
        <v>#REF!</v>
      </c>
      <c r="AU150" s="212" t="e">
        <f>Table12117[[#This Row],[Amortised Limit A$ Balance]]*12%</f>
        <v>#REF!</v>
      </c>
      <c r="AV150" s="212" t="b">
        <f>IF(Table12117[[#This Row],[Everest]]="Everest",Table12117[[#This Row],[Assetinsure Amount ]]*0.2)</f>
        <v>0</v>
      </c>
      <c r="AW150" s="261"/>
      <c r="AX150" s="212" t="e">
        <f>MIN(Table12117[[#This Row],[Assetinsure Amount ]]-Table12117[[#This Row],[Reinsurance Everest Re]],Table12117[[#This Row],[Total Amount]])</f>
        <v>#REF!</v>
      </c>
      <c r="AY150" s="212">
        <f t="shared" si="21"/>
        <v>0</v>
      </c>
      <c r="AZ150" s="260"/>
      <c r="BC150" s="212">
        <v>0</v>
      </c>
      <c r="BD150" s="212">
        <v>0</v>
      </c>
      <c r="BE150" s="212">
        <v>0</v>
      </c>
      <c r="BF150" s="212">
        <v>0</v>
      </c>
      <c r="BG150" s="212">
        <v>0</v>
      </c>
      <c r="BH150" s="212">
        <v>0</v>
      </c>
      <c r="BI150" s="226"/>
      <c r="BL150" s="138" t="s">
        <v>918</v>
      </c>
      <c r="BM150" s="112"/>
      <c r="BN150" s="58"/>
    </row>
    <row r="151" spans="1:66" ht="39.950000000000003" customHeight="1" x14ac:dyDescent="0.2">
      <c r="A151" s="131" t="s">
        <v>864</v>
      </c>
      <c r="B151" s="132" t="s">
        <v>23</v>
      </c>
      <c r="C151" s="65" t="s">
        <v>1143</v>
      </c>
      <c r="D151" s="133" t="s">
        <v>149</v>
      </c>
      <c r="E151" s="14" t="s">
        <v>542</v>
      </c>
      <c r="F151" s="133" t="s">
        <v>127</v>
      </c>
      <c r="G151" s="14" t="s">
        <v>102</v>
      </c>
      <c r="H151" s="14" t="s">
        <v>102</v>
      </c>
      <c r="I151" s="66" t="s">
        <v>122</v>
      </c>
      <c r="J151" s="14" t="s">
        <v>148</v>
      </c>
      <c r="K151" s="133" t="s">
        <v>148</v>
      </c>
      <c r="L151" s="14" t="s">
        <v>101</v>
      </c>
      <c r="M151" s="194" t="s">
        <v>191</v>
      </c>
      <c r="N151" s="134" t="s">
        <v>59</v>
      </c>
      <c r="O151" s="167" t="s">
        <v>43</v>
      </c>
      <c r="P151" s="167" t="s">
        <v>531</v>
      </c>
      <c r="Q151" s="65" t="s">
        <v>534</v>
      </c>
      <c r="R151" s="135" t="s">
        <v>59</v>
      </c>
      <c r="S151" s="136" t="e">
        <f>13000/EUR</f>
        <v>#REF!</v>
      </c>
      <c r="T151" s="62">
        <v>13000</v>
      </c>
      <c r="U151" s="136" t="e">
        <f>Table12117[[#This Row],[Amortised Limit in Original Currency]]/EUR</f>
        <v>#REF!</v>
      </c>
      <c r="V151" s="136" t="e">
        <f>115000/EUR</f>
        <v>#REF!</v>
      </c>
      <c r="W151" s="136" t="e">
        <f>513600/EUR</f>
        <v>#REF!</v>
      </c>
      <c r="X151" s="147" t="s">
        <v>11</v>
      </c>
      <c r="Y151" s="185">
        <v>1.7999999999999999E-2</v>
      </c>
      <c r="Z151" s="137">
        <v>44832</v>
      </c>
      <c r="AA151" s="137">
        <v>46505</v>
      </c>
      <c r="AB151" s="137">
        <v>46505</v>
      </c>
      <c r="AC151" s="138">
        <f>AB151-Z151+1</f>
        <v>1674</v>
      </c>
      <c r="AD151" s="139" t="e">
        <f>IF(AB151-$A$1&gt;60,"No","Yes")</f>
        <v>#REF!</v>
      </c>
      <c r="AE151" s="138" t="e">
        <f>AB151-#REF!</f>
        <v>#REF!</v>
      </c>
      <c r="AF151" s="140" t="e">
        <f t="shared" si="19"/>
        <v>#REF!</v>
      </c>
      <c r="AG151" s="184"/>
      <c r="AH151" s="186" t="s">
        <v>1</v>
      </c>
      <c r="AI151" s="186" t="s">
        <v>1</v>
      </c>
      <c r="AJ151" s="187" t="s">
        <v>0</v>
      </c>
      <c r="AK151" s="143" t="e">
        <f t="shared" si="20"/>
        <v>#REF!</v>
      </c>
      <c r="AL151" s="164" t="s">
        <v>563</v>
      </c>
      <c r="AM151" s="188" t="s">
        <v>865</v>
      </c>
      <c r="AN151" s="260"/>
      <c r="AO151" s="260"/>
      <c r="AP151" s="197" t="str">
        <f>Table12117[[#This Row],[Risk Location ]]</f>
        <v>Germany</v>
      </c>
      <c r="AQ151" s="198" t="str">
        <f>Table12117[[#This Row],[Sector (GICS Industry Group)]]</f>
        <v>Real Estate Investment</v>
      </c>
      <c r="AR151" s="260"/>
      <c r="AS151" s="260"/>
      <c r="AT151" s="212" t="e">
        <f>Table12117[[#This Row],[Percentage Impact]]*Table12117[[#This Row],[Amortised Limit A$ Balance]]</f>
        <v>#REF!</v>
      </c>
      <c r="AU151" s="212" t="e">
        <f>Table12117[[#This Row],[Amortised Limit A$ Balance]]*12%</f>
        <v>#REF!</v>
      </c>
      <c r="AV151" s="212" t="b">
        <f>IF(Table12117[[#This Row],[Everest]]="Everest",Table12117[[#This Row],[Assetinsure Amount ]]*0.2)</f>
        <v>0</v>
      </c>
      <c r="AW151" s="261"/>
      <c r="AX151" s="212" t="e">
        <f>MIN(Table12117[[#This Row],[Assetinsure Amount ]]-Table12117[[#This Row],[Reinsurance Everest Re]],Table12117[[#This Row],[Total Amount]])</f>
        <v>#REF!</v>
      </c>
      <c r="AY151" s="212">
        <f t="shared" si="21"/>
        <v>0</v>
      </c>
      <c r="AZ151" s="260"/>
      <c r="BC151" s="212">
        <v>0</v>
      </c>
      <c r="BD151" s="212">
        <v>0</v>
      </c>
      <c r="BE151" s="212">
        <v>0</v>
      </c>
      <c r="BF151" s="212">
        <v>0</v>
      </c>
      <c r="BG151" s="212">
        <v>0</v>
      </c>
      <c r="BH151" s="212">
        <v>0</v>
      </c>
      <c r="BI151" s="226"/>
      <c r="BL151" s="138" t="s">
        <v>923</v>
      </c>
      <c r="BM151" s="112"/>
      <c r="BN151" s="58"/>
    </row>
    <row r="152" spans="1:66" ht="39.950000000000003" customHeight="1" x14ac:dyDescent="0.2">
      <c r="A152" s="131" t="s">
        <v>943</v>
      </c>
      <c r="B152" s="132" t="s">
        <v>67</v>
      </c>
      <c r="C152" s="65" t="s">
        <v>1142</v>
      </c>
      <c r="D152" s="133" t="s">
        <v>34</v>
      </c>
      <c r="E152" s="131" t="s">
        <v>34</v>
      </c>
      <c r="F152" s="133" t="s">
        <v>34</v>
      </c>
      <c r="G152" s="131" t="s">
        <v>104</v>
      </c>
      <c r="H152" s="14" t="s">
        <v>111</v>
      </c>
      <c r="I152" s="131" t="s">
        <v>112</v>
      </c>
      <c r="J152" s="66" t="s">
        <v>70</v>
      </c>
      <c r="K152" s="192" t="s">
        <v>218</v>
      </c>
      <c r="L152" s="168" t="s">
        <v>29</v>
      </c>
      <c r="M152" s="194" t="s">
        <v>191</v>
      </c>
      <c r="N152" s="134" t="s">
        <v>323</v>
      </c>
      <c r="O152" s="167" t="s">
        <v>43</v>
      </c>
      <c r="P152" s="167" t="s">
        <v>538</v>
      </c>
      <c r="Q152" s="65" t="s">
        <v>534</v>
      </c>
      <c r="R152" s="135" t="s">
        <v>8</v>
      </c>
      <c r="S152" s="136">
        <v>4990</v>
      </c>
      <c r="T152" s="62">
        <v>4880.95</v>
      </c>
      <c r="U152" s="136">
        <f>Table12117[[#This Row],[Amortised Limit in Original Currency]]</f>
        <v>4880.95</v>
      </c>
      <c r="V152" s="136">
        <v>45000</v>
      </c>
      <c r="W152" s="136">
        <v>586672</v>
      </c>
      <c r="X152" s="147" t="s">
        <v>11</v>
      </c>
      <c r="Y152" s="185">
        <v>0.10249999999999999</v>
      </c>
      <c r="Z152" s="137">
        <v>44827</v>
      </c>
      <c r="AA152" s="137">
        <v>45858</v>
      </c>
      <c r="AB152" s="137">
        <v>45877</v>
      </c>
      <c r="AC152" s="138">
        <f t="shared" ref="AC152:AC190" si="24">AB152-Z152+1</f>
        <v>1051</v>
      </c>
      <c r="AD152" s="139" t="e">
        <f t="shared" ref="AD152:AD190" si="25">IF(AB152-$A$1&gt;60,"No","Yes")</f>
        <v>#REF!</v>
      </c>
      <c r="AE152" s="138" t="e">
        <f>AB152-#REF!</f>
        <v>#REF!</v>
      </c>
      <c r="AF152" s="140" t="e">
        <f t="shared" si="19"/>
        <v>#REF!</v>
      </c>
      <c r="AG152" s="184"/>
      <c r="AH152" s="186" t="s">
        <v>1</v>
      </c>
      <c r="AI152" s="186" t="s">
        <v>1</v>
      </c>
      <c r="AJ152" s="187" t="s">
        <v>878</v>
      </c>
      <c r="AK152" s="143" t="e">
        <f t="shared" si="20"/>
        <v>#REF!</v>
      </c>
      <c r="AL152" s="164" t="s">
        <v>271</v>
      </c>
      <c r="AM152" s="188" t="s">
        <v>866</v>
      </c>
      <c r="AP152" s="197" t="str">
        <f>Table12117[[#This Row],[Risk Location ]]</f>
        <v>Australia</v>
      </c>
      <c r="AQ152" s="198" t="str">
        <f>Table12117[[#This Row],[Sector (GICS Industry Group)]]</f>
        <v>Materials</v>
      </c>
      <c r="AT152" s="212">
        <f>Table12117[[#This Row],[Percentage Impact]]*Table12117[[#This Row],[Amortised Limit A$ Balance]]</f>
        <v>0</v>
      </c>
      <c r="AU152" s="212">
        <f>Table12117[[#This Row],[Amortised Limit A$ Balance]]*12%</f>
        <v>585.71399999999994</v>
      </c>
      <c r="AV152" s="212" t="b">
        <f>IF(Table12117[[#This Row],[Everest]]="Everest",Table12117[[#This Row],[Assetinsure Amount ]]*0.2)</f>
        <v>0</v>
      </c>
      <c r="AW152" s="212"/>
      <c r="AX152" s="212">
        <f>MIN(Table12117[[#This Row],[Assetinsure Amount ]]-Table12117[[#This Row],[Reinsurance Everest Re]],Table12117[[#This Row],[Total Amount]])</f>
        <v>0</v>
      </c>
      <c r="AY152" s="212">
        <f t="shared" si="21"/>
        <v>0</v>
      </c>
      <c r="BC152" s="212">
        <v>0</v>
      </c>
      <c r="BD152" s="212">
        <v>0</v>
      </c>
      <c r="BE152" s="212">
        <v>0</v>
      </c>
      <c r="BF152" s="212">
        <v>0</v>
      </c>
      <c r="BG152" s="212">
        <v>0</v>
      </c>
      <c r="BH152" s="212">
        <v>0</v>
      </c>
      <c r="BI152" s="226"/>
      <c r="BL152" s="138" t="s">
        <v>914</v>
      </c>
      <c r="BM152" s="112"/>
      <c r="BN152" s="58"/>
    </row>
    <row r="153" spans="1:66" ht="39.950000000000003" customHeight="1" x14ac:dyDescent="0.2">
      <c r="A153" s="131" t="s">
        <v>867</v>
      </c>
      <c r="B153" s="132" t="s">
        <v>67</v>
      </c>
      <c r="C153" s="65" t="s">
        <v>243</v>
      </c>
      <c r="D153" s="133" t="s">
        <v>684</v>
      </c>
      <c r="E153" s="131" t="s">
        <v>542</v>
      </c>
      <c r="F153" s="133" t="s">
        <v>127</v>
      </c>
      <c r="G153" s="131" t="s">
        <v>891</v>
      </c>
      <c r="H153" s="131" t="s">
        <v>167</v>
      </c>
      <c r="I153" s="131" t="s">
        <v>167</v>
      </c>
      <c r="J153" s="66" t="s">
        <v>677</v>
      </c>
      <c r="K153" s="192" t="s">
        <v>218</v>
      </c>
      <c r="L153" s="168" t="s">
        <v>140</v>
      </c>
      <c r="M153" s="194" t="s">
        <v>191</v>
      </c>
      <c r="N153" s="134" t="s">
        <v>59</v>
      </c>
      <c r="O153" s="167" t="s">
        <v>43</v>
      </c>
      <c r="P153" s="167" t="s">
        <v>538</v>
      </c>
      <c r="Q153" s="65" t="s">
        <v>534</v>
      </c>
      <c r="R153" s="135" t="s">
        <v>59</v>
      </c>
      <c r="S153" s="136" t="e">
        <f>7500/EUR</f>
        <v>#REF!</v>
      </c>
      <c r="T153" s="62">
        <v>7500</v>
      </c>
      <c r="U153" s="136" t="e">
        <f>Table12117[[#This Row],[Amortised Limit in Original Currency]]/EUR</f>
        <v>#REF!</v>
      </c>
      <c r="V153" s="136" t="e">
        <f>100000/EUR</f>
        <v>#REF!</v>
      </c>
      <c r="W153" s="136" t="e">
        <f>1346965.92/EUR</f>
        <v>#REF!</v>
      </c>
      <c r="X153" s="147" t="s">
        <v>11</v>
      </c>
      <c r="Y153" s="185">
        <v>7.4999999999999997E-2</v>
      </c>
      <c r="Z153" s="137">
        <v>44832</v>
      </c>
      <c r="AA153" s="137">
        <v>46629</v>
      </c>
      <c r="AB153" s="137">
        <v>46629</v>
      </c>
      <c r="AC153" s="138">
        <f>AB153-Z153+1</f>
        <v>1798</v>
      </c>
      <c r="AD153" s="139" t="e">
        <f>IF(AB153-$A$1&gt;60,"No","Yes")</f>
        <v>#REF!</v>
      </c>
      <c r="AE153" s="138" t="e">
        <f>AB153-#REF!</f>
        <v>#REF!</v>
      </c>
      <c r="AF153" s="140" t="e">
        <f>AE153/365</f>
        <v>#REF!</v>
      </c>
      <c r="AG153" s="184"/>
      <c r="AH153" s="186" t="s">
        <v>1</v>
      </c>
      <c r="AI153" s="186" t="s">
        <v>1</v>
      </c>
      <c r="AJ153" s="187" t="s">
        <v>0</v>
      </c>
      <c r="AK153" s="143" t="e">
        <f>+IF(AB153-60&lt;$A$1, "SEND NOTICE", "N/A")</f>
        <v>#REF!</v>
      </c>
      <c r="AL153" s="164" t="s">
        <v>563</v>
      </c>
      <c r="AM153" s="188" t="s">
        <v>869</v>
      </c>
      <c r="AP153" s="197" t="str">
        <f>Table12117[[#This Row],[Risk Location ]]</f>
        <v>Germany</v>
      </c>
      <c r="AQ153" s="198" t="str">
        <f>Table12117[[#This Row],[Sector (GICS Industry Group)]]</f>
        <v>Information Technology - Hardware &amp; Equipment</v>
      </c>
      <c r="AT153" s="212" t="e">
        <f>Table12117[[#This Row],[Percentage Impact]]*Table12117[[#This Row],[Amortised Limit A$ Balance]]</f>
        <v>#REF!</v>
      </c>
      <c r="AU153" s="212" t="e">
        <f>Table12117[[#This Row],[Amortised Limit A$ Balance]]*12%</f>
        <v>#REF!</v>
      </c>
      <c r="AV153" s="212" t="b">
        <f>IF(Table12117[[#This Row],[Everest]]="Everest",Table12117[[#This Row],[Assetinsure Amount ]]*0.2)</f>
        <v>0</v>
      </c>
      <c r="AW153" s="212"/>
      <c r="AX153" s="212" t="e">
        <f>MIN(Table12117[[#This Row],[Assetinsure Amount ]]-Table12117[[#This Row],[Reinsurance Everest Re]],Table12117[[#This Row],[Total Amount]])</f>
        <v>#REF!</v>
      </c>
      <c r="AY153" s="212">
        <f t="shared" si="21"/>
        <v>0</v>
      </c>
      <c r="BC153" s="212">
        <v>0</v>
      </c>
      <c r="BD153" s="212">
        <v>0</v>
      </c>
      <c r="BE153" s="212"/>
      <c r="BF153" s="212"/>
      <c r="BG153" s="212"/>
      <c r="BH153" s="212"/>
      <c r="BI153" s="226"/>
      <c r="BL153" s="138" t="s">
        <v>924</v>
      </c>
      <c r="BM153" s="112"/>
      <c r="BN153" s="58"/>
    </row>
    <row r="154" spans="1:66" s="293" customFormat="1" ht="39.950000000000003" customHeight="1" x14ac:dyDescent="0.2">
      <c r="A154" s="131" t="s">
        <v>868</v>
      </c>
      <c r="B154" s="132" t="s">
        <v>67</v>
      </c>
      <c r="C154" s="65" t="s">
        <v>243</v>
      </c>
      <c r="D154" s="133" t="s">
        <v>684</v>
      </c>
      <c r="E154" s="131" t="s">
        <v>542</v>
      </c>
      <c r="F154" s="133" t="s">
        <v>127</v>
      </c>
      <c r="G154" s="131" t="s">
        <v>891</v>
      </c>
      <c r="H154" s="131" t="s">
        <v>167</v>
      </c>
      <c r="I154" s="131" t="s">
        <v>167</v>
      </c>
      <c r="J154" s="133" t="s">
        <v>677</v>
      </c>
      <c r="K154" s="192" t="s">
        <v>218</v>
      </c>
      <c r="L154" s="168" t="s">
        <v>140</v>
      </c>
      <c r="M154" s="194" t="s">
        <v>191</v>
      </c>
      <c r="N154" s="134" t="s">
        <v>59</v>
      </c>
      <c r="O154" s="167" t="s">
        <v>43</v>
      </c>
      <c r="P154" s="167" t="s">
        <v>538</v>
      </c>
      <c r="Q154" s="270" t="s">
        <v>534</v>
      </c>
      <c r="R154" s="135" t="s">
        <v>59</v>
      </c>
      <c r="S154" s="136" t="e">
        <f>(7500+10000)/EUR</f>
        <v>#REF!</v>
      </c>
      <c r="T154" s="62">
        <f>7500+10000</f>
        <v>17500</v>
      </c>
      <c r="U154" s="136" t="e">
        <f>Table12117[[#This Row],[Amortised Limit in Original Currency]]/EUR</f>
        <v>#REF!</v>
      </c>
      <c r="V154" s="136" t="e">
        <f>100000/EUR</f>
        <v>#REF!</v>
      </c>
      <c r="W154" s="136" t="e">
        <f>1073653.46/EUR</f>
        <v>#REF!</v>
      </c>
      <c r="X154" s="147" t="s">
        <v>11</v>
      </c>
      <c r="Y154" s="185">
        <v>2.75E-2</v>
      </c>
      <c r="Z154" s="137">
        <v>44832</v>
      </c>
      <c r="AA154" s="137">
        <v>46629</v>
      </c>
      <c r="AB154" s="137">
        <v>46629</v>
      </c>
      <c r="AC154" s="138">
        <f>AB154-Z154+1</f>
        <v>1798</v>
      </c>
      <c r="AD154" s="139" t="e">
        <f>IF(AB154-$A$1&gt;60,"No","Yes")</f>
        <v>#REF!</v>
      </c>
      <c r="AE154" s="138" t="e">
        <f>AB154-#REF!</f>
        <v>#REF!</v>
      </c>
      <c r="AF154" s="140" t="e">
        <f>AE154/365</f>
        <v>#REF!</v>
      </c>
      <c r="AG154" s="184"/>
      <c r="AH154" s="186" t="s">
        <v>1</v>
      </c>
      <c r="AI154" s="186" t="s">
        <v>1</v>
      </c>
      <c r="AJ154" s="187" t="s">
        <v>0</v>
      </c>
      <c r="AK154" s="164" t="e">
        <f>+IF(AB154-60&lt;$A$1, "SEND NOTICE", "N/A")</f>
        <v>#REF!</v>
      </c>
      <c r="AL154" s="164" t="s">
        <v>563</v>
      </c>
      <c r="AM154" s="188" t="s">
        <v>870</v>
      </c>
      <c r="AN154" s="229"/>
      <c r="AO154" s="229"/>
      <c r="AP154" s="197" t="str">
        <f>Table12117[[#This Row],[Risk Location ]]</f>
        <v>Germany</v>
      </c>
      <c r="AQ154" s="198" t="str">
        <f>Table12117[[#This Row],[Sector (GICS Industry Group)]]</f>
        <v>Information Technology - Hardware &amp; Equipment</v>
      </c>
      <c r="AR154" s="229"/>
      <c r="AS154" s="229"/>
      <c r="AT154" s="212" t="e">
        <f>Table12117[[#This Row],[Percentage Impact]]*Table12117[[#This Row],[Amortised Limit A$ Balance]]</f>
        <v>#REF!</v>
      </c>
      <c r="AU154" s="212" t="e">
        <f>Table12117[[#This Row],[Amortised Limit A$ Balance]]*12%</f>
        <v>#REF!</v>
      </c>
      <c r="AV154" s="212" t="b">
        <f>IF(Table12117[[#This Row],[Everest]]="Everest",Table12117[[#This Row],[Assetinsure Amount ]]*0.2)</f>
        <v>0</v>
      </c>
      <c r="AW154" s="278"/>
      <c r="AX154" s="212" t="e">
        <f>MIN(Table12117[[#This Row],[Assetinsure Amount ]]-Table12117[[#This Row],[Reinsurance Everest Re]],Table12117[[#This Row],[Total Amount]])</f>
        <v>#REF!</v>
      </c>
      <c r="AY154" s="212">
        <f t="shared" si="21"/>
        <v>0</v>
      </c>
      <c r="AZ154" s="229"/>
      <c r="BA154" s="229"/>
      <c r="BB154" s="229"/>
      <c r="BC154" s="278">
        <v>0</v>
      </c>
      <c r="BD154" s="278">
        <v>0</v>
      </c>
      <c r="BE154" s="278"/>
      <c r="BF154" s="278"/>
      <c r="BG154" s="278"/>
      <c r="BH154" s="278"/>
      <c r="BI154" s="226"/>
      <c r="BJ154" s="229"/>
      <c r="BK154" s="229"/>
      <c r="BL154" s="138" t="s">
        <v>925</v>
      </c>
      <c r="BM154" s="294"/>
      <c r="BN154" s="295"/>
    </row>
    <row r="155" spans="1:66" ht="39.950000000000003" customHeight="1" x14ac:dyDescent="0.2">
      <c r="A155" s="131" t="s">
        <v>942</v>
      </c>
      <c r="B155" s="132" t="s">
        <v>67</v>
      </c>
      <c r="C155" s="65" t="s">
        <v>1142</v>
      </c>
      <c r="D155" s="133" t="s">
        <v>588</v>
      </c>
      <c r="E155" s="131" t="s">
        <v>499</v>
      </c>
      <c r="F155" s="133" t="s">
        <v>162</v>
      </c>
      <c r="G155" s="131" t="s">
        <v>233</v>
      </c>
      <c r="H155" s="131" t="s">
        <v>443</v>
      </c>
      <c r="I155" s="131" t="s">
        <v>234</v>
      </c>
      <c r="J155" s="66" t="s">
        <v>826</v>
      </c>
      <c r="K155" s="192" t="s">
        <v>218</v>
      </c>
      <c r="L155" s="168" t="s">
        <v>140</v>
      </c>
      <c r="M155" s="194" t="s">
        <v>191</v>
      </c>
      <c r="N155" s="134" t="s">
        <v>59</v>
      </c>
      <c r="O155" s="167" t="s">
        <v>43</v>
      </c>
      <c r="P155" s="167" t="s">
        <v>538</v>
      </c>
      <c r="Q155" s="65" t="s">
        <v>534</v>
      </c>
      <c r="R155" s="135" t="s">
        <v>9</v>
      </c>
      <c r="S155" s="136" t="e">
        <f>15000/USD</f>
        <v>#REF!</v>
      </c>
      <c r="T155" s="62">
        <v>15000</v>
      </c>
      <c r="U155" s="136" t="e">
        <f>Table12117[[#This Row],[Amortised Limit in Original Currency]]/USD</f>
        <v>#REF!</v>
      </c>
      <c r="V155" s="136" t="e">
        <f>30000/USD</f>
        <v>#REF!</v>
      </c>
      <c r="W155" s="136" t="e">
        <f>1642542.42/USD</f>
        <v>#REF!</v>
      </c>
      <c r="X155" s="147" t="s">
        <v>11</v>
      </c>
      <c r="Y155" s="185">
        <v>2.75E-2</v>
      </c>
      <c r="Z155" s="137">
        <v>44851</v>
      </c>
      <c r="AA155" s="137">
        <v>47320</v>
      </c>
      <c r="AB155" s="137">
        <v>47322</v>
      </c>
      <c r="AC155" s="138">
        <f t="shared" si="24"/>
        <v>2472</v>
      </c>
      <c r="AD155" s="139" t="e">
        <f t="shared" si="25"/>
        <v>#REF!</v>
      </c>
      <c r="AE155" s="138" t="e">
        <f>AB155-#REF!</f>
        <v>#REF!</v>
      </c>
      <c r="AF155" s="140" t="e">
        <f t="shared" si="19"/>
        <v>#REF!</v>
      </c>
      <c r="AG155" s="184"/>
      <c r="AH155" s="186" t="s">
        <v>1</v>
      </c>
      <c r="AI155" s="186" t="s">
        <v>1</v>
      </c>
      <c r="AJ155" s="187" t="s">
        <v>0</v>
      </c>
      <c r="AK155" s="143" t="e">
        <f t="shared" si="20"/>
        <v>#REF!</v>
      </c>
      <c r="AL155" s="164" t="s">
        <v>271</v>
      </c>
      <c r="AM155" s="188" t="s">
        <v>899</v>
      </c>
      <c r="AP155" s="197" t="str">
        <f>Table12117[[#This Row],[Risk Location ]]</f>
        <v>United States</v>
      </c>
      <c r="AQ155" s="198" t="str">
        <f>Table12117[[#This Row],[Sector (GICS Industry Group)]]</f>
        <v>Telecommunication Services</v>
      </c>
      <c r="AT155" s="212" t="e">
        <f>Table12117[[#This Row],[Percentage Impact]]*Table12117[[#This Row],[Amortised Limit A$ Balance]]</f>
        <v>#REF!</v>
      </c>
      <c r="AU155" s="212" t="e">
        <f>Table12117[[#This Row],[Amortised Limit A$ Balance]]*12%</f>
        <v>#REF!</v>
      </c>
      <c r="AV155" s="212" t="b">
        <f>IF(Table12117[[#This Row],[Everest]]="Everest",Table12117[[#This Row],[Assetinsure Amount ]]*0.2)</f>
        <v>0</v>
      </c>
      <c r="AW155" s="212"/>
      <c r="AX155" s="212" t="e">
        <f>MIN(Table12117[[#This Row],[Assetinsure Amount ]]-Table12117[[#This Row],[Reinsurance Everest Re]],Table12117[[#This Row],[Total Amount]])</f>
        <v>#REF!</v>
      </c>
      <c r="AY155" s="212">
        <f t="shared" si="21"/>
        <v>0</v>
      </c>
      <c r="BC155" s="212">
        <v>0</v>
      </c>
      <c r="BD155" s="212">
        <v>0</v>
      </c>
      <c r="BE155" s="212">
        <v>0</v>
      </c>
      <c r="BF155" s="212">
        <v>0</v>
      </c>
      <c r="BG155" s="212">
        <v>0</v>
      </c>
      <c r="BH155" s="212">
        <v>0</v>
      </c>
      <c r="BI155" s="226"/>
      <c r="BL155" s="138" t="s">
        <v>900</v>
      </c>
      <c r="BM155" s="112"/>
      <c r="BN155" s="58"/>
    </row>
    <row r="156" spans="1:66" s="229" customFormat="1" ht="39.950000000000003" customHeight="1" x14ac:dyDescent="0.2">
      <c r="A156" s="132" t="s">
        <v>915</v>
      </c>
      <c r="B156" s="132" t="s">
        <v>51</v>
      </c>
      <c r="C156" s="65" t="s">
        <v>1144</v>
      </c>
      <c r="D156" s="133" t="s">
        <v>88</v>
      </c>
      <c r="E156" s="131" t="s">
        <v>542</v>
      </c>
      <c r="F156" s="145" t="s">
        <v>88</v>
      </c>
      <c r="G156" s="133" t="s">
        <v>106</v>
      </c>
      <c r="H156" s="133" t="s">
        <v>106</v>
      </c>
      <c r="I156" s="133" t="s">
        <v>107</v>
      </c>
      <c r="J156" s="133" t="s">
        <v>61</v>
      </c>
      <c r="K156" s="133" t="s">
        <v>220</v>
      </c>
      <c r="L156" s="131" t="s">
        <v>101</v>
      </c>
      <c r="M156" s="134" t="s">
        <v>191</v>
      </c>
      <c r="N156" s="134" t="s">
        <v>59</v>
      </c>
      <c r="O156" s="132" t="s">
        <v>43</v>
      </c>
      <c r="P156" s="132" t="s">
        <v>533</v>
      </c>
      <c r="Q156" s="269" t="s">
        <v>548</v>
      </c>
      <c r="R156" s="135" t="s">
        <v>59</v>
      </c>
      <c r="S156" s="136" t="e">
        <f>12000/EUR</f>
        <v>#REF!</v>
      </c>
      <c r="T156" s="62">
        <v>12000</v>
      </c>
      <c r="U156" s="136" t="e">
        <f>Table12117[[#This Row],[Amortised Limit in Original Currency]]/EUR</f>
        <v>#REF!</v>
      </c>
      <c r="V156" s="136" t="e">
        <f>30000/EUR</f>
        <v>#REF!</v>
      </c>
      <c r="W156" s="136" t="e">
        <f>478771.6/EUR</f>
        <v>#REF!</v>
      </c>
      <c r="X156" s="61" t="s">
        <v>11</v>
      </c>
      <c r="Y156" s="181">
        <v>1.35E-2</v>
      </c>
      <c r="Z156" s="137">
        <v>44851</v>
      </c>
      <c r="AA156" s="137">
        <v>46568</v>
      </c>
      <c r="AB156" s="137">
        <v>46598</v>
      </c>
      <c r="AC156" s="138">
        <f t="shared" si="24"/>
        <v>1748</v>
      </c>
      <c r="AD156" s="139" t="e">
        <f>IF(AB156-$A$1&gt;60,"No","Yes")</f>
        <v>#REF!</v>
      </c>
      <c r="AE156" s="138" t="e">
        <f>AB156-#REF!</f>
        <v>#REF!</v>
      </c>
      <c r="AF156" s="140" t="e">
        <f t="shared" si="19"/>
        <v>#REF!</v>
      </c>
      <c r="AG156" s="274"/>
      <c r="AH156" s="141" t="s">
        <v>1</v>
      </c>
      <c r="AI156" s="141" t="s">
        <v>1</v>
      </c>
      <c r="AJ156" s="187" t="s">
        <v>0</v>
      </c>
      <c r="AK156" s="229" t="e">
        <f t="shared" si="20"/>
        <v>#REF!</v>
      </c>
      <c r="AL156" s="144" t="s">
        <v>271</v>
      </c>
      <c r="AM156" s="132" t="s">
        <v>916</v>
      </c>
      <c r="AN156" s="291"/>
      <c r="AO156" s="291"/>
      <c r="AP156" s="197" t="str">
        <f>Table12117[[#This Row],[Risk Location ]]</f>
        <v>Belgium</v>
      </c>
      <c r="AQ156" s="198" t="str">
        <f>Table12117[[#This Row],[Sector (GICS Industry Group)]]</f>
        <v>Real Estate Management &amp; Development</v>
      </c>
      <c r="AR156" s="291"/>
      <c r="AS156" s="291"/>
      <c r="AT156" s="212" t="e">
        <f>Table12117[[#This Row],[Percentage Impact]]*Table12117[[#This Row],[Amortised Limit A$ Balance]]</f>
        <v>#REF!</v>
      </c>
      <c r="AU156" s="212" t="e">
        <f>Table12117[[#This Row],[Amortised Limit A$ Balance]]*12%</f>
        <v>#REF!</v>
      </c>
      <c r="AV156" s="212" t="b">
        <f>IF(Table12117[[#This Row],[Everest]]="Everest",Table12117[[#This Row],[Assetinsure Amount ]]*0.2)</f>
        <v>0</v>
      </c>
      <c r="AW156" s="292"/>
      <c r="AX156" s="212" t="e">
        <f>MIN(Table12117[[#This Row],[Assetinsure Amount ]]-Table12117[[#This Row],[Reinsurance Everest Re]],Table12117[[#This Row],[Total Amount]])</f>
        <v>#REF!</v>
      </c>
      <c r="AY156" s="212">
        <f t="shared" si="21"/>
        <v>0</v>
      </c>
      <c r="AZ156" s="291"/>
      <c r="BC156" s="278">
        <v>0</v>
      </c>
      <c r="BD156" s="278">
        <v>0</v>
      </c>
      <c r="BE156" s="278"/>
      <c r="BF156" s="278"/>
      <c r="BG156" s="278"/>
      <c r="BH156" s="278"/>
      <c r="BI156" s="226"/>
      <c r="BL156" s="138" t="s">
        <v>917</v>
      </c>
      <c r="BM156" s="276"/>
      <c r="BN156" s="58" t="s">
        <v>103</v>
      </c>
    </row>
    <row r="157" spans="1:66" ht="39.950000000000003" customHeight="1" x14ac:dyDescent="0.2">
      <c r="A157" s="132" t="s">
        <v>901</v>
      </c>
      <c r="B157" s="132" t="s">
        <v>23</v>
      </c>
      <c r="C157" s="65" t="s">
        <v>1141</v>
      </c>
      <c r="D157" s="133" t="s">
        <v>34</v>
      </c>
      <c r="E157" s="14" t="s">
        <v>34</v>
      </c>
      <c r="F157" s="145" t="s">
        <v>34</v>
      </c>
      <c r="G157" s="66" t="s">
        <v>544</v>
      </c>
      <c r="H157" s="66" t="s">
        <v>195</v>
      </c>
      <c r="I157" s="66" t="s">
        <v>455</v>
      </c>
      <c r="J157" s="133" t="s">
        <v>656</v>
      </c>
      <c r="K157" s="133" t="s">
        <v>656</v>
      </c>
      <c r="L157" s="14" t="s">
        <v>209</v>
      </c>
      <c r="M157" s="134" t="s">
        <v>191</v>
      </c>
      <c r="N157" s="134" t="s">
        <v>323</v>
      </c>
      <c r="O157" s="132" t="s">
        <v>43</v>
      </c>
      <c r="P157" s="132" t="s">
        <v>531</v>
      </c>
      <c r="Q157" s="13" t="s">
        <v>534</v>
      </c>
      <c r="R157" s="135" t="s">
        <v>8</v>
      </c>
      <c r="S157" s="136">
        <v>12500</v>
      </c>
      <c r="T157" s="62">
        <v>12500</v>
      </c>
      <c r="U157" s="136">
        <f>Table12117[[#This Row],[Amortised Limit in Original Currency]]</f>
        <v>12500</v>
      </c>
      <c r="V157" s="136">
        <v>71000</v>
      </c>
      <c r="W157" s="136">
        <v>1143776.72</v>
      </c>
      <c r="X157" s="61" t="s">
        <v>11</v>
      </c>
      <c r="Y157" s="181">
        <v>5.5E-2</v>
      </c>
      <c r="Z157" s="137">
        <v>44848</v>
      </c>
      <c r="AA157" s="137">
        <v>46000</v>
      </c>
      <c r="AB157" s="137">
        <v>46004</v>
      </c>
      <c r="AC157" s="138">
        <f t="shared" si="24"/>
        <v>1157</v>
      </c>
      <c r="AD157" s="139" t="e">
        <f t="shared" si="25"/>
        <v>#REF!</v>
      </c>
      <c r="AE157" s="138" t="e">
        <f>AB157-#REF!</f>
        <v>#REF!</v>
      </c>
      <c r="AF157" s="140" t="e">
        <f t="shared" si="19"/>
        <v>#REF!</v>
      </c>
      <c r="AG157" s="56"/>
      <c r="AH157" s="186" t="s">
        <v>1</v>
      </c>
      <c r="AI157" s="186" t="s">
        <v>1</v>
      </c>
      <c r="AJ157" s="187" t="s">
        <v>0</v>
      </c>
      <c r="AK157" s="143" t="e">
        <f t="shared" si="20"/>
        <v>#REF!</v>
      </c>
      <c r="AL157" s="164" t="s">
        <v>563</v>
      </c>
      <c r="AM157" s="188" t="s">
        <v>908</v>
      </c>
      <c r="AP157" s="197" t="str">
        <f>Table12117[[#This Row],[Risk Location ]]</f>
        <v>Australia</v>
      </c>
      <c r="AQ157" s="198" t="str">
        <f>Table12117[[#This Row],[Sector (GICS Industry Group)]]</f>
        <v>Consumer Discretionary</v>
      </c>
      <c r="AT157" s="212">
        <f>Table12117[[#This Row],[Percentage Impact]]*Table12117[[#This Row],[Amortised Limit A$ Balance]]</f>
        <v>0</v>
      </c>
      <c r="AU157" s="212">
        <f>Table12117[[#This Row],[Amortised Limit A$ Balance]]*12%</f>
        <v>1500</v>
      </c>
      <c r="AV157" s="212" t="b">
        <f>IF(Table12117[[#This Row],[Everest]]="Everest",Table12117[[#This Row],[Assetinsure Amount ]]*0.2)</f>
        <v>0</v>
      </c>
      <c r="AW157" s="212"/>
      <c r="AX157" s="212">
        <f>MIN(Table12117[[#This Row],[Assetinsure Amount ]]-Table12117[[#This Row],[Reinsurance Everest Re]],Table12117[[#This Row],[Total Amount]])</f>
        <v>0</v>
      </c>
      <c r="AY157" s="212">
        <f t="shared" si="21"/>
        <v>0</v>
      </c>
      <c r="BC157" s="212">
        <v>0</v>
      </c>
      <c r="BD157" s="212">
        <v>0</v>
      </c>
      <c r="BE157" s="212">
        <v>0</v>
      </c>
      <c r="BF157" s="212">
        <v>0</v>
      </c>
      <c r="BG157" s="212">
        <v>0</v>
      </c>
      <c r="BH157" s="212">
        <v>0</v>
      </c>
      <c r="BI157" s="226"/>
      <c r="BL157" s="138" t="s">
        <v>902</v>
      </c>
      <c r="BM157" s="112"/>
      <c r="BN157" s="58"/>
    </row>
    <row r="158" spans="1:66" ht="39.950000000000003" customHeight="1" x14ac:dyDescent="0.2">
      <c r="A158" s="132" t="s">
        <v>903</v>
      </c>
      <c r="B158" s="132" t="s">
        <v>23</v>
      </c>
      <c r="C158" s="65" t="s">
        <v>1141</v>
      </c>
      <c r="D158" s="133" t="s">
        <v>34</v>
      </c>
      <c r="E158" s="14" t="s">
        <v>34</v>
      </c>
      <c r="F158" s="145" t="s">
        <v>34</v>
      </c>
      <c r="G158" s="66" t="s">
        <v>544</v>
      </c>
      <c r="H158" s="66" t="s">
        <v>195</v>
      </c>
      <c r="I158" s="66" t="s">
        <v>455</v>
      </c>
      <c r="J158" s="133" t="s">
        <v>656</v>
      </c>
      <c r="K158" s="133" t="s">
        <v>656</v>
      </c>
      <c r="L158" s="14" t="s">
        <v>209</v>
      </c>
      <c r="M158" s="134" t="s">
        <v>191</v>
      </c>
      <c r="N158" s="134" t="s">
        <v>323</v>
      </c>
      <c r="O158" s="132" t="s">
        <v>43</v>
      </c>
      <c r="P158" s="132" t="s">
        <v>531</v>
      </c>
      <c r="Q158" s="13" t="s">
        <v>534</v>
      </c>
      <c r="R158" s="135" t="s">
        <v>8</v>
      </c>
      <c r="S158" s="136">
        <v>7500</v>
      </c>
      <c r="T158" s="62">
        <v>7500</v>
      </c>
      <c r="U158" s="136">
        <f>Table12117[[#This Row],[Amortised Limit in Original Currency]]</f>
        <v>7500</v>
      </c>
      <c r="V158" s="136">
        <v>71000</v>
      </c>
      <c r="W158" s="136">
        <v>807284.94</v>
      </c>
      <c r="X158" s="61" t="s">
        <v>11</v>
      </c>
      <c r="Y158" s="181">
        <v>5.5E-2</v>
      </c>
      <c r="Z158" s="137">
        <v>44852</v>
      </c>
      <c r="AA158" s="137">
        <v>46000</v>
      </c>
      <c r="AB158" s="137">
        <v>46004</v>
      </c>
      <c r="AC158" s="138">
        <f t="shared" si="24"/>
        <v>1153</v>
      </c>
      <c r="AD158" s="139" t="e">
        <f t="shared" si="25"/>
        <v>#REF!</v>
      </c>
      <c r="AE158" s="138" t="e">
        <f>AB158-#REF!</f>
        <v>#REF!</v>
      </c>
      <c r="AF158" s="140" t="e">
        <f t="shared" si="19"/>
        <v>#REF!</v>
      </c>
      <c r="AG158" s="56"/>
      <c r="AH158" s="186" t="s">
        <v>1</v>
      </c>
      <c r="AI158" s="186" t="s">
        <v>1</v>
      </c>
      <c r="AJ158" s="187" t="s">
        <v>0</v>
      </c>
      <c r="AK158" s="143" t="e">
        <f t="shared" si="20"/>
        <v>#REF!</v>
      </c>
      <c r="AL158" s="164" t="s">
        <v>563</v>
      </c>
      <c r="AM158" s="188" t="s">
        <v>909</v>
      </c>
      <c r="AP158" s="197" t="str">
        <f>Table12117[[#This Row],[Risk Location ]]</f>
        <v>Australia</v>
      </c>
      <c r="AQ158" s="198" t="str">
        <f>Table12117[[#This Row],[Sector (GICS Industry Group)]]</f>
        <v>Consumer Discretionary</v>
      </c>
      <c r="AT158" s="212">
        <f>Table12117[[#This Row],[Percentage Impact]]*Table12117[[#This Row],[Amortised Limit A$ Balance]]</f>
        <v>0</v>
      </c>
      <c r="AU158" s="212">
        <f>Table12117[[#This Row],[Amortised Limit A$ Balance]]*12%</f>
        <v>900</v>
      </c>
      <c r="AV158" s="212" t="b">
        <f>IF(Table12117[[#This Row],[Everest]]="Everest",Table12117[[#This Row],[Assetinsure Amount ]]*0.2)</f>
        <v>0</v>
      </c>
      <c r="AW158" s="212"/>
      <c r="AX158" s="212">
        <f>MIN(Table12117[[#This Row],[Assetinsure Amount ]]-Table12117[[#This Row],[Reinsurance Everest Re]],Table12117[[#This Row],[Total Amount]])</f>
        <v>0</v>
      </c>
      <c r="AY158" s="212">
        <f t="shared" si="21"/>
        <v>0</v>
      </c>
      <c r="BC158" s="212">
        <v>0</v>
      </c>
      <c r="BD158" s="212">
        <v>0</v>
      </c>
      <c r="BE158" s="212"/>
      <c r="BF158" s="212"/>
      <c r="BG158" s="212"/>
      <c r="BH158" s="212"/>
      <c r="BI158" s="226"/>
      <c r="BL158" s="138" t="s">
        <v>904</v>
      </c>
      <c r="BM158" s="112"/>
      <c r="BN158" s="58"/>
    </row>
    <row r="159" spans="1:66" ht="39.950000000000003" customHeight="1" x14ac:dyDescent="0.2">
      <c r="A159" s="132" t="s">
        <v>905</v>
      </c>
      <c r="B159" s="132" t="s">
        <v>67</v>
      </c>
      <c r="C159" s="65" t="s">
        <v>243</v>
      </c>
      <c r="D159" s="133" t="s">
        <v>149</v>
      </c>
      <c r="E159" s="14" t="s">
        <v>499</v>
      </c>
      <c r="F159" s="145" t="s">
        <v>162</v>
      </c>
      <c r="G159" s="66" t="s">
        <v>233</v>
      </c>
      <c r="H159" s="66" t="s">
        <v>906</v>
      </c>
      <c r="I159" s="66" t="s">
        <v>906</v>
      </c>
      <c r="J159" s="133" t="s">
        <v>148</v>
      </c>
      <c r="K159" s="133" t="s">
        <v>148</v>
      </c>
      <c r="L159" s="168" t="s">
        <v>209</v>
      </c>
      <c r="M159" s="194" t="s">
        <v>191</v>
      </c>
      <c r="N159" s="134" t="s">
        <v>59</v>
      </c>
      <c r="O159" s="167" t="s">
        <v>43</v>
      </c>
      <c r="P159" s="167" t="s">
        <v>538</v>
      </c>
      <c r="Q159" s="65" t="s">
        <v>534</v>
      </c>
      <c r="R159" s="135" t="s">
        <v>9</v>
      </c>
      <c r="S159" s="136" t="e">
        <f>15000/USD</f>
        <v>#REF!</v>
      </c>
      <c r="T159" s="62">
        <v>15000</v>
      </c>
      <c r="U159" s="136" t="e">
        <f>Table12117[[#This Row],[Amortised Limit in Original Currency]]/USD</f>
        <v>#REF!</v>
      </c>
      <c r="V159" s="136" t="e">
        <f>148000/USD</f>
        <v>#REF!</v>
      </c>
      <c r="W159" s="136" t="e">
        <f>1069425.9/USD</f>
        <v>#REF!</v>
      </c>
      <c r="X159" s="61" t="s">
        <v>11</v>
      </c>
      <c r="Y159" s="181">
        <v>0.04</v>
      </c>
      <c r="Z159" s="137">
        <v>44851</v>
      </c>
      <c r="AA159" s="137">
        <v>46609</v>
      </c>
      <c r="AB159" s="137">
        <v>46609</v>
      </c>
      <c r="AC159" s="138">
        <f t="shared" si="24"/>
        <v>1759</v>
      </c>
      <c r="AD159" s="139" t="e">
        <f t="shared" si="25"/>
        <v>#REF!</v>
      </c>
      <c r="AE159" s="138" t="e">
        <f>AB159-#REF!</f>
        <v>#REF!</v>
      </c>
      <c r="AF159" s="140" t="e">
        <f t="shared" si="19"/>
        <v>#REF!</v>
      </c>
      <c r="AG159" s="56"/>
      <c r="AH159" s="186" t="s">
        <v>1</v>
      </c>
      <c r="AI159" s="186" t="s">
        <v>1</v>
      </c>
      <c r="AJ159" s="187" t="s">
        <v>0</v>
      </c>
      <c r="AK159" s="143" t="e">
        <f t="shared" si="20"/>
        <v>#REF!</v>
      </c>
      <c r="AL159" s="164" t="s">
        <v>271</v>
      </c>
      <c r="AM159" s="188" t="s">
        <v>907</v>
      </c>
      <c r="AP159" s="197" t="str">
        <f>Table12117[[#This Row],[Risk Location ]]</f>
        <v>United States</v>
      </c>
      <c r="AQ159" s="198" t="str">
        <f>Table12117[[#This Row],[Sector (GICS Industry Group)]]</f>
        <v>Telecommunication Services</v>
      </c>
      <c r="AT159" s="212" t="e">
        <f>Table12117[[#This Row],[Percentage Impact]]*Table12117[[#This Row],[Amortised Limit A$ Balance]]</f>
        <v>#REF!</v>
      </c>
      <c r="AU159" s="212" t="e">
        <f>Table12117[[#This Row],[Amortised Limit A$ Balance]]*12%</f>
        <v>#REF!</v>
      </c>
      <c r="AV159" s="212" t="b">
        <f>IF(Table12117[[#This Row],[Everest]]="Everest",Table12117[[#This Row],[Assetinsure Amount ]]*0.2)</f>
        <v>0</v>
      </c>
      <c r="AW159" s="212"/>
      <c r="AX159" s="212" t="e">
        <f>MIN(Table12117[[#This Row],[Assetinsure Amount ]]-Table12117[[#This Row],[Reinsurance Everest Re]],Table12117[[#This Row],[Total Amount]])</f>
        <v>#REF!</v>
      </c>
      <c r="AY159" s="212">
        <f t="shared" si="21"/>
        <v>0</v>
      </c>
      <c r="BC159" s="212">
        <v>0</v>
      </c>
      <c r="BD159" s="212">
        <v>0</v>
      </c>
      <c r="BE159" s="212"/>
      <c r="BF159" s="212"/>
      <c r="BG159" s="212"/>
      <c r="BH159" s="212"/>
      <c r="BI159" s="226"/>
      <c r="BL159" s="138" t="s">
        <v>910</v>
      </c>
      <c r="BM159" s="112"/>
      <c r="BN159" s="58"/>
    </row>
    <row r="160" spans="1:66" ht="39.950000000000003" customHeight="1" x14ac:dyDescent="0.2">
      <c r="A160" s="132" t="s">
        <v>944</v>
      </c>
      <c r="B160" s="132" t="s">
        <v>67</v>
      </c>
      <c r="C160" s="65" t="s">
        <v>1142</v>
      </c>
      <c r="D160" s="133" t="s">
        <v>588</v>
      </c>
      <c r="E160" s="14" t="s">
        <v>34</v>
      </c>
      <c r="F160" s="145" t="s">
        <v>34</v>
      </c>
      <c r="G160" s="66" t="s">
        <v>104</v>
      </c>
      <c r="H160" s="14" t="s">
        <v>111</v>
      </c>
      <c r="I160" s="66" t="s">
        <v>112</v>
      </c>
      <c r="J160" s="133" t="s">
        <v>826</v>
      </c>
      <c r="K160" s="133" t="s">
        <v>218</v>
      </c>
      <c r="L160" s="168" t="s">
        <v>29</v>
      </c>
      <c r="M160" s="194" t="s">
        <v>191</v>
      </c>
      <c r="N160" s="134" t="s">
        <v>59</v>
      </c>
      <c r="O160" s="167" t="s">
        <v>43</v>
      </c>
      <c r="P160" s="167" t="s">
        <v>538</v>
      </c>
      <c r="Q160" s="65" t="s">
        <v>534</v>
      </c>
      <c r="R160" s="135" t="s">
        <v>8</v>
      </c>
      <c r="S160" s="136">
        <v>7450</v>
      </c>
      <c r="T160" s="62">
        <v>7272.62</v>
      </c>
      <c r="U160" s="136">
        <f>Table12117[[#This Row],[Amortised Limit in Original Currency]]</f>
        <v>7272.62</v>
      </c>
      <c r="V160" s="136">
        <v>15000</v>
      </c>
      <c r="W160" s="136">
        <v>1012635.61</v>
      </c>
      <c r="X160" s="61" t="s">
        <v>11</v>
      </c>
      <c r="Y160" s="181">
        <v>0.10249999999999999</v>
      </c>
      <c r="Z160" s="137">
        <v>44859</v>
      </c>
      <c r="AA160" s="137">
        <v>45858</v>
      </c>
      <c r="AB160" s="137">
        <v>45877</v>
      </c>
      <c r="AC160" s="138">
        <f t="shared" si="24"/>
        <v>1019</v>
      </c>
      <c r="AD160" s="139" t="e">
        <f t="shared" si="25"/>
        <v>#REF!</v>
      </c>
      <c r="AE160" s="138" t="e">
        <f>AB160-#REF!</f>
        <v>#REF!</v>
      </c>
      <c r="AF160" s="140" t="e">
        <f t="shared" si="19"/>
        <v>#REF!</v>
      </c>
      <c r="AG160" s="56"/>
      <c r="AH160" s="186" t="s">
        <v>1</v>
      </c>
      <c r="AI160" s="186" t="s">
        <v>1</v>
      </c>
      <c r="AJ160" s="187" t="s">
        <v>879</v>
      </c>
      <c r="AK160" s="143" t="e">
        <f t="shared" si="20"/>
        <v>#REF!</v>
      </c>
      <c r="AL160" s="164" t="s">
        <v>563</v>
      </c>
      <c r="AM160" s="188" t="s">
        <v>913</v>
      </c>
      <c r="AP160" s="197" t="str">
        <f>Table12117[[#This Row],[Risk Location ]]</f>
        <v>Australia</v>
      </c>
      <c r="AQ160" s="198" t="str">
        <f>Table12117[[#This Row],[Sector (GICS Industry Group)]]</f>
        <v>Materials</v>
      </c>
      <c r="AT160" s="212">
        <f>Table12117[[#This Row],[Percentage Impact]]*Table12117[[#This Row],[Amortised Limit A$ Balance]]</f>
        <v>0</v>
      </c>
      <c r="AU160" s="212">
        <f>Table12117[[#This Row],[Amortised Limit A$ Balance]]*12%</f>
        <v>872.71439999999996</v>
      </c>
      <c r="AV160" s="212" t="b">
        <f>IF(Table12117[[#This Row],[Everest]]="Everest",Table12117[[#This Row],[Assetinsure Amount ]]*0.2)</f>
        <v>0</v>
      </c>
      <c r="AW160" s="212"/>
      <c r="AX160" s="212">
        <f>MIN(Table12117[[#This Row],[Assetinsure Amount ]]-Table12117[[#This Row],[Reinsurance Everest Re]],Table12117[[#This Row],[Total Amount]])</f>
        <v>0</v>
      </c>
      <c r="AY160" s="212">
        <f t="shared" si="21"/>
        <v>0</v>
      </c>
      <c r="BC160" s="212">
        <v>0</v>
      </c>
      <c r="BD160" s="212">
        <v>0</v>
      </c>
      <c r="BE160" s="212"/>
      <c r="BF160" s="212"/>
      <c r="BG160" s="212"/>
      <c r="BH160" s="212"/>
      <c r="BI160" s="226"/>
      <c r="BL160" s="138" t="s">
        <v>912</v>
      </c>
      <c r="BM160" s="112"/>
      <c r="BN160" s="58"/>
    </row>
    <row r="161" spans="1:66" ht="39.950000000000003" customHeight="1" x14ac:dyDescent="0.2">
      <c r="A161" s="132" t="s">
        <v>1072</v>
      </c>
      <c r="B161" s="132" t="s">
        <v>51</v>
      </c>
      <c r="C161" s="65" t="s">
        <v>1141</v>
      </c>
      <c r="D161" s="133" t="s">
        <v>38</v>
      </c>
      <c r="E161" s="14" t="s">
        <v>541</v>
      </c>
      <c r="F161" s="145" t="s">
        <v>37</v>
      </c>
      <c r="G161" s="66" t="s">
        <v>544</v>
      </c>
      <c r="H161" s="131" t="s">
        <v>117</v>
      </c>
      <c r="I161" s="66" t="s">
        <v>1073</v>
      </c>
      <c r="J161" s="133" t="s">
        <v>142</v>
      </c>
      <c r="K161" s="133" t="s">
        <v>218</v>
      </c>
      <c r="L161" s="168" t="s">
        <v>29</v>
      </c>
      <c r="M161" s="194" t="s">
        <v>191</v>
      </c>
      <c r="N161" s="134" t="s">
        <v>323</v>
      </c>
      <c r="O161" s="167" t="s">
        <v>43</v>
      </c>
      <c r="P161" s="132" t="s">
        <v>533</v>
      </c>
      <c r="Q161" s="167" t="s">
        <v>534</v>
      </c>
      <c r="R161" s="135" t="s">
        <v>9</v>
      </c>
      <c r="S161" s="136" t="e">
        <f>(7500+5000)/USD</f>
        <v>#REF!</v>
      </c>
      <c r="T161" s="73">
        <f>6375+5000</f>
        <v>11375</v>
      </c>
      <c r="U161" s="136" t="e">
        <f>Table12117[[#This Row],[Amortised Limit in Original Currency]]/USD</f>
        <v>#REF!</v>
      </c>
      <c r="V161" s="136" t="e">
        <f>(15000+10000)/USD</f>
        <v>#REF!</v>
      </c>
      <c r="W161" s="136" t="e">
        <f>(280292.44+203935.65)/USD</f>
        <v>#REF!</v>
      </c>
      <c r="X161" s="61" t="s">
        <v>11</v>
      </c>
      <c r="Y161" s="185">
        <v>5.3499999999999999E-2</v>
      </c>
      <c r="Z161" s="137">
        <v>44866</v>
      </c>
      <c r="AA161" s="137">
        <v>45526</v>
      </c>
      <c r="AB161" s="137">
        <v>45686</v>
      </c>
      <c r="AC161" s="138">
        <f t="shared" si="24"/>
        <v>821</v>
      </c>
      <c r="AD161" s="139" t="e">
        <f t="shared" si="25"/>
        <v>#REF!</v>
      </c>
      <c r="AE161" s="138" t="e">
        <f>AB161-#REF!</f>
        <v>#REF!</v>
      </c>
      <c r="AF161" s="140" t="e">
        <f t="shared" si="19"/>
        <v>#REF!</v>
      </c>
      <c r="AG161" s="56"/>
      <c r="AH161" s="186" t="s">
        <v>1</v>
      </c>
      <c r="AI161" s="186" t="s">
        <v>1</v>
      </c>
      <c r="AJ161" s="187" t="s">
        <v>1200</v>
      </c>
      <c r="AK161" s="143" t="e">
        <f t="shared" si="20"/>
        <v>#REF!</v>
      </c>
      <c r="AL161" s="164" t="s">
        <v>271</v>
      </c>
      <c r="AM161" s="188" t="s">
        <v>1136</v>
      </c>
      <c r="AN161" s="260"/>
      <c r="AO161" s="260"/>
      <c r="AP161" s="197" t="str">
        <f>Table12117[[#This Row],[Risk Location ]]</f>
        <v>Hong Kong</v>
      </c>
      <c r="AQ161" s="198" t="str">
        <f>Table12117[[#This Row],[Sector (GICS Industry Group)]]</f>
        <v>Consumer Discretionary</v>
      </c>
      <c r="AR161" s="260"/>
      <c r="AS161" s="260"/>
      <c r="AT161" s="212" t="e">
        <f>Table12117[[#This Row],[Percentage Impact]]*Table12117[[#This Row],[Amortised Limit A$ Balance]]</f>
        <v>#REF!</v>
      </c>
      <c r="AU161" s="212" t="e">
        <f>Table12117[[#This Row],[Amortised Limit A$ Balance]]*12%</f>
        <v>#REF!</v>
      </c>
      <c r="AV161" s="212" t="b">
        <f>IF(Table12117[[#This Row],[Everest]]="Everest",Table12117[[#This Row],[Assetinsure Amount ]]*0.2)</f>
        <v>0</v>
      </c>
      <c r="AW161" s="261"/>
      <c r="AX161" s="212" t="e">
        <f>MIN(Table12117[[#This Row],[Assetinsure Amount ]]-Table12117[[#This Row],[Reinsurance Everest Re]],Table12117[[#This Row],[Total Amount]])</f>
        <v>#REF!</v>
      </c>
      <c r="AY161" s="212">
        <f t="shared" si="21"/>
        <v>0</v>
      </c>
      <c r="AZ161" s="260"/>
      <c r="BC161" s="212">
        <v>0</v>
      </c>
      <c r="BD161" s="212">
        <v>0</v>
      </c>
      <c r="BE161" s="212"/>
      <c r="BF161" s="212"/>
      <c r="BG161" s="212"/>
      <c r="BH161" s="212"/>
      <c r="BI161" s="226"/>
      <c r="BL161" s="138" t="s">
        <v>1137</v>
      </c>
      <c r="BM161" s="112"/>
      <c r="BN161" s="58"/>
    </row>
    <row r="162" spans="1:66" ht="39.950000000000003" customHeight="1" x14ac:dyDescent="0.2">
      <c r="A162" s="132" t="s">
        <v>1076</v>
      </c>
      <c r="B162" s="132" t="s">
        <v>24</v>
      </c>
      <c r="C162" s="65" t="s">
        <v>243</v>
      </c>
      <c r="D162" s="133" t="s">
        <v>38</v>
      </c>
      <c r="E162" s="14" t="s">
        <v>34</v>
      </c>
      <c r="F162" s="145" t="s">
        <v>34</v>
      </c>
      <c r="G162" s="131" t="s">
        <v>475</v>
      </c>
      <c r="H162" s="131" t="s">
        <v>138</v>
      </c>
      <c r="I162" s="66" t="s">
        <v>138</v>
      </c>
      <c r="J162" s="133" t="s">
        <v>1088</v>
      </c>
      <c r="K162" s="14" t="s">
        <v>687</v>
      </c>
      <c r="L162" s="168" t="s">
        <v>209</v>
      </c>
      <c r="M162" s="194" t="s">
        <v>191</v>
      </c>
      <c r="N162" s="134" t="s">
        <v>323</v>
      </c>
      <c r="O162" s="167" t="s">
        <v>43</v>
      </c>
      <c r="P162" s="167" t="s">
        <v>531</v>
      </c>
      <c r="Q162" s="167" t="s">
        <v>534</v>
      </c>
      <c r="R162" s="135" t="s">
        <v>8</v>
      </c>
      <c r="S162" s="136">
        <v>15000</v>
      </c>
      <c r="T162" s="73">
        <v>15000</v>
      </c>
      <c r="U162" s="136">
        <f>Table12117[[#This Row],[Amortised Limit in Original Currency]]</f>
        <v>15000</v>
      </c>
      <c r="V162" s="136">
        <v>30000</v>
      </c>
      <c r="W162" s="136">
        <v>2935550.58</v>
      </c>
      <c r="X162" s="61" t="s">
        <v>11</v>
      </c>
      <c r="Y162" s="185">
        <v>6.5000000000000002E-2</v>
      </c>
      <c r="Z162" s="137">
        <v>44876</v>
      </c>
      <c r="AA162" s="137">
        <v>47054</v>
      </c>
      <c r="AB162" s="137">
        <v>47085</v>
      </c>
      <c r="AC162" s="138">
        <f t="shared" si="24"/>
        <v>2210</v>
      </c>
      <c r="AD162" s="139" t="e">
        <f t="shared" si="25"/>
        <v>#REF!</v>
      </c>
      <c r="AE162" s="138" t="e">
        <f>AB162-#REF!</f>
        <v>#REF!</v>
      </c>
      <c r="AF162" s="140" t="e">
        <f t="shared" si="19"/>
        <v>#REF!</v>
      </c>
      <c r="AG162" s="56"/>
      <c r="AH162" s="186" t="s">
        <v>1</v>
      </c>
      <c r="AI162" s="186" t="s">
        <v>1</v>
      </c>
      <c r="AJ162" s="187" t="s">
        <v>0</v>
      </c>
      <c r="AK162" s="143" t="e">
        <f t="shared" si="20"/>
        <v>#REF!</v>
      </c>
      <c r="AL162" s="164" t="s">
        <v>271</v>
      </c>
      <c r="AM162" s="188" t="s">
        <v>1077</v>
      </c>
      <c r="AN162" s="260"/>
      <c r="AO162" s="260"/>
      <c r="AP162" s="197" t="str">
        <f>Table12117[[#This Row],[Risk Location ]]</f>
        <v>Australia</v>
      </c>
      <c r="AQ162" s="198" t="str">
        <f>Table12117[[#This Row],[Sector (GICS Industry Group)]]</f>
        <v>Health Care</v>
      </c>
      <c r="AR162" s="260"/>
      <c r="AS162" s="260"/>
      <c r="AT162" s="212">
        <f>Table12117[[#This Row],[Percentage Impact]]*Table12117[[#This Row],[Amortised Limit A$ Balance]]</f>
        <v>0</v>
      </c>
      <c r="AU162" s="212">
        <f>Table12117[[#This Row],[Amortised Limit A$ Balance]]*12%</f>
        <v>1800</v>
      </c>
      <c r="AV162" s="212" t="b">
        <f>IF(Table12117[[#This Row],[Everest]]="Everest",Table12117[[#This Row],[Assetinsure Amount ]]*0.2)</f>
        <v>0</v>
      </c>
      <c r="AW162" s="261"/>
      <c r="AX162" s="212">
        <f>MIN(Table12117[[#This Row],[Assetinsure Amount ]]-Table12117[[#This Row],[Reinsurance Everest Re]],Table12117[[#This Row],[Total Amount]])</f>
        <v>0</v>
      </c>
      <c r="AY162" s="212">
        <f t="shared" si="21"/>
        <v>0</v>
      </c>
      <c r="AZ162" s="260"/>
      <c r="BC162" s="212">
        <v>0</v>
      </c>
      <c r="BD162" s="212">
        <v>0</v>
      </c>
      <c r="BE162" s="212"/>
      <c r="BF162" s="212"/>
      <c r="BG162" s="212"/>
      <c r="BH162" s="212"/>
      <c r="BI162" s="226"/>
      <c r="BL162" s="138" t="s">
        <v>1070</v>
      </c>
      <c r="BM162" s="112"/>
      <c r="BN162" s="58"/>
    </row>
    <row r="163" spans="1:66" ht="39.950000000000003" customHeight="1" x14ac:dyDescent="0.2">
      <c r="A163" s="132" t="s">
        <v>1078</v>
      </c>
      <c r="B163" s="132" t="s">
        <v>23</v>
      </c>
      <c r="C163" s="65" t="s">
        <v>1144</v>
      </c>
      <c r="D163" s="133" t="s">
        <v>588</v>
      </c>
      <c r="E163" s="14" t="s">
        <v>499</v>
      </c>
      <c r="F163" s="145" t="s">
        <v>162</v>
      </c>
      <c r="G163" s="131" t="s">
        <v>891</v>
      </c>
      <c r="H163" s="131" t="s">
        <v>167</v>
      </c>
      <c r="I163" s="131" t="s">
        <v>167</v>
      </c>
      <c r="J163" s="133" t="s">
        <v>1080</v>
      </c>
      <c r="K163" s="133" t="s">
        <v>33</v>
      </c>
      <c r="L163" s="168" t="s">
        <v>209</v>
      </c>
      <c r="M163" s="194" t="s">
        <v>191</v>
      </c>
      <c r="N163" s="134" t="s">
        <v>59</v>
      </c>
      <c r="O163" s="167" t="s">
        <v>43</v>
      </c>
      <c r="P163" s="167" t="s">
        <v>531</v>
      </c>
      <c r="Q163" s="167" t="s">
        <v>534</v>
      </c>
      <c r="R163" s="135" t="s">
        <v>9</v>
      </c>
      <c r="S163" s="136" t="e">
        <f>15000/USD</f>
        <v>#REF!</v>
      </c>
      <c r="T163" s="73">
        <v>15000</v>
      </c>
      <c r="U163" s="136" t="e">
        <f>Table12117[[#This Row],[Amortised Limit in Original Currency]]/USD</f>
        <v>#REF!</v>
      </c>
      <c r="V163" s="136" t="e">
        <f>138999.1364/USD</f>
        <v>#REF!</v>
      </c>
      <c r="W163" s="136" t="e">
        <f>235172.77/USD</f>
        <v>#REF!</v>
      </c>
      <c r="X163" s="61" t="s">
        <v>11</v>
      </c>
      <c r="Y163" s="185">
        <v>2.5000000000000001E-2</v>
      </c>
      <c r="Z163" s="137">
        <v>44882</v>
      </c>
      <c r="AA163" s="137">
        <v>45397</v>
      </c>
      <c r="AB163" s="137">
        <v>45427</v>
      </c>
      <c r="AC163" s="138">
        <f t="shared" si="24"/>
        <v>546</v>
      </c>
      <c r="AD163" s="139" t="e">
        <f t="shared" si="25"/>
        <v>#REF!</v>
      </c>
      <c r="AE163" s="138" t="e">
        <f>AB163-#REF!</f>
        <v>#REF!</v>
      </c>
      <c r="AF163" s="140" t="e">
        <f t="shared" si="19"/>
        <v>#REF!</v>
      </c>
      <c r="AG163" s="56"/>
      <c r="AH163" s="186" t="s">
        <v>1</v>
      </c>
      <c r="AI163" s="186" t="s">
        <v>1</v>
      </c>
      <c r="AJ163" s="187" t="s">
        <v>0</v>
      </c>
      <c r="AK163" s="143" t="e">
        <f t="shared" si="20"/>
        <v>#REF!</v>
      </c>
      <c r="AL163" s="164" t="s">
        <v>563</v>
      </c>
      <c r="AM163" s="188" t="s">
        <v>1081</v>
      </c>
      <c r="AN163" s="260"/>
      <c r="AO163" s="260"/>
      <c r="AP163" s="197" t="str">
        <f>Table12117[[#This Row],[Risk Location ]]</f>
        <v>United States</v>
      </c>
      <c r="AQ163" s="198" t="str">
        <f>Table12117[[#This Row],[Sector (GICS Industry Group)]]</f>
        <v>Information Technology - Hardware &amp; Equipment</v>
      </c>
      <c r="AR163" s="260"/>
      <c r="AS163" s="260"/>
      <c r="AT163" s="212" t="e">
        <f>Table12117[[#This Row],[Percentage Impact]]*Table12117[[#This Row],[Amortised Limit A$ Balance]]</f>
        <v>#REF!</v>
      </c>
      <c r="AU163" s="212" t="e">
        <f>Table12117[[#This Row],[Amortised Limit A$ Balance]]*12%</f>
        <v>#REF!</v>
      </c>
      <c r="AV163" s="212" t="b">
        <f>IF(Table12117[[#This Row],[Everest]]="Everest",Table12117[[#This Row],[Assetinsure Amount ]]*0.2)</f>
        <v>0</v>
      </c>
      <c r="AW163" s="261"/>
      <c r="AX163" s="212" t="e">
        <f>MIN(Table12117[[#This Row],[Assetinsure Amount ]]-Table12117[[#This Row],[Reinsurance Everest Re]],Table12117[[#This Row],[Total Amount]])</f>
        <v>#REF!</v>
      </c>
      <c r="AY163" s="212">
        <f t="shared" si="21"/>
        <v>0</v>
      </c>
      <c r="AZ163" s="260"/>
      <c r="BC163" s="212">
        <v>0</v>
      </c>
      <c r="BD163" s="212">
        <v>0</v>
      </c>
      <c r="BE163" s="212"/>
      <c r="BF163" s="212"/>
      <c r="BG163" s="212"/>
      <c r="BH163" s="212"/>
      <c r="BI163" s="226"/>
      <c r="BL163" s="138" t="s">
        <v>1071</v>
      </c>
      <c r="BM163" s="112"/>
      <c r="BN163" s="58"/>
    </row>
    <row r="164" spans="1:66" ht="39" customHeight="1" x14ac:dyDescent="0.2">
      <c r="A164" s="132" t="s">
        <v>1083</v>
      </c>
      <c r="B164" s="132" t="s">
        <v>51</v>
      </c>
      <c r="C164" s="65" t="s">
        <v>1142</v>
      </c>
      <c r="D164" s="133" t="s">
        <v>38</v>
      </c>
      <c r="E164" s="131" t="s">
        <v>541</v>
      </c>
      <c r="F164" s="145" t="s">
        <v>38</v>
      </c>
      <c r="G164" s="131" t="s">
        <v>547</v>
      </c>
      <c r="H164" s="131" t="s">
        <v>124</v>
      </c>
      <c r="I164" s="130" t="s">
        <v>123</v>
      </c>
      <c r="J164" s="133" t="s">
        <v>50</v>
      </c>
      <c r="K164" s="192" t="s">
        <v>21</v>
      </c>
      <c r="L164" s="168" t="s">
        <v>29</v>
      </c>
      <c r="M164" s="194" t="s">
        <v>191</v>
      </c>
      <c r="N164" s="134" t="s">
        <v>323</v>
      </c>
      <c r="O164" s="167" t="s">
        <v>43</v>
      </c>
      <c r="P164" s="132" t="s">
        <v>533</v>
      </c>
      <c r="Q164" s="269" t="s">
        <v>548</v>
      </c>
      <c r="R164" s="135" t="s">
        <v>9</v>
      </c>
      <c r="S164" s="136" t="e">
        <f>15000/USD</f>
        <v>#REF!</v>
      </c>
      <c r="T164" s="73">
        <v>15000</v>
      </c>
      <c r="U164" s="136" t="e">
        <f>Table12117[[#This Row],[Amortised Limit in Original Currency]]/USD</f>
        <v>#REF!</v>
      </c>
      <c r="V164" s="136" t="e">
        <f>200000/USD</f>
        <v>#REF!</v>
      </c>
      <c r="W164" s="136" t="e">
        <f>247458.33/USD</f>
        <v>#REF!</v>
      </c>
      <c r="X164" s="61" t="s">
        <v>11</v>
      </c>
      <c r="Y164" s="185">
        <v>0.01</v>
      </c>
      <c r="Z164" s="137">
        <v>44889</v>
      </c>
      <c r="AA164" s="137">
        <v>45892</v>
      </c>
      <c r="AB164" s="137">
        <v>45925</v>
      </c>
      <c r="AC164" s="138">
        <f t="shared" si="24"/>
        <v>1037</v>
      </c>
      <c r="AD164" s="139" t="e">
        <f t="shared" si="25"/>
        <v>#REF!</v>
      </c>
      <c r="AE164" s="138" t="e">
        <f>AB164-#REF!</f>
        <v>#REF!</v>
      </c>
      <c r="AF164" s="140" t="e">
        <f t="shared" si="19"/>
        <v>#REF!</v>
      </c>
      <c r="AG164" s="56"/>
      <c r="AH164" s="186" t="s">
        <v>1</v>
      </c>
      <c r="AI164" s="186" t="s">
        <v>1</v>
      </c>
      <c r="AJ164" s="187" t="s">
        <v>0</v>
      </c>
      <c r="AK164" s="143" t="e">
        <f>+IF(AB164-60&lt;$A$1, "SEND NOTICE", "N/A")</f>
        <v>#REF!</v>
      </c>
      <c r="AL164" s="164" t="s">
        <v>271</v>
      </c>
      <c r="AM164" s="188" t="s">
        <v>1084</v>
      </c>
      <c r="AN164" s="260"/>
      <c r="AO164" s="260"/>
      <c r="AP164" s="197" t="str">
        <f>Table12117[[#This Row],[Risk Location ]]</f>
        <v>Singapore</v>
      </c>
      <c r="AQ164" s="198" t="str">
        <f>Table12117[[#This Row],[Sector (GICS Industry Group)]]</f>
        <v>Consumer Staples</v>
      </c>
      <c r="AR164" s="260"/>
      <c r="AS164" s="260"/>
      <c r="AT164" s="212" t="e">
        <f>Table12117[[#This Row],[Percentage Impact]]*Table12117[[#This Row],[Amortised Limit A$ Balance]]</f>
        <v>#REF!</v>
      </c>
      <c r="AU164" s="212" t="e">
        <f>Table12117[[#This Row],[Amortised Limit A$ Balance]]*12%</f>
        <v>#REF!</v>
      </c>
      <c r="AV164" s="212" t="b">
        <f>IF(Table12117[[#This Row],[Everest]]="Everest",Table12117[[#This Row],[Assetinsure Amount ]]*0.2)</f>
        <v>0</v>
      </c>
      <c r="AW164" s="261"/>
      <c r="AX164" s="212" t="e">
        <f>MIN(Table12117[[#This Row],[Assetinsure Amount ]]-Table12117[[#This Row],[Reinsurance Everest Re]],Table12117[[#This Row],[Total Amount]])</f>
        <v>#REF!</v>
      </c>
      <c r="AY164" s="212">
        <f t="shared" si="21"/>
        <v>0</v>
      </c>
      <c r="AZ164" s="260"/>
      <c r="BC164" s="212">
        <v>0</v>
      </c>
      <c r="BD164" s="212">
        <v>0</v>
      </c>
      <c r="BE164" s="212"/>
      <c r="BF164" s="212"/>
      <c r="BG164" s="212"/>
      <c r="BH164" s="212"/>
      <c r="BI164" s="226"/>
      <c r="BL164" s="138" t="s">
        <v>1089</v>
      </c>
      <c r="BM164" s="112"/>
      <c r="BN164" s="58"/>
    </row>
    <row r="165" spans="1:66" ht="29.25" customHeight="1" x14ac:dyDescent="0.2">
      <c r="A165" s="132" t="s">
        <v>1082</v>
      </c>
      <c r="B165" s="132" t="s">
        <v>67</v>
      </c>
      <c r="C165" s="65" t="s">
        <v>1142</v>
      </c>
      <c r="D165" s="133" t="s">
        <v>38</v>
      </c>
      <c r="E165" s="131" t="s">
        <v>34</v>
      </c>
      <c r="F165" s="145" t="s">
        <v>295</v>
      </c>
      <c r="G165" s="131" t="s">
        <v>891</v>
      </c>
      <c r="H165" s="131" t="s">
        <v>167</v>
      </c>
      <c r="I165" s="130" t="s">
        <v>167</v>
      </c>
      <c r="J165" s="133" t="s">
        <v>706</v>
      </c>
      <c r="K165" s="133" t="s">
        <v>220</v>
      </c>
      <c r="L165" s="168" t="s">
        <v>209</v>
      </c>
      <c r="M165" s="194" t="s">
        <v>191</v>
      </c>
      <c r="N165" s="134" t="s">
        <v>323</v>
      </c>
      <c r="O165" s="167" t="s">
        <v>43</v>
      </c>
      <c r="P165" s="167" t="s">
        <v>538</v>
      </c>
      <c r="Q165" s="167" t="s">
        <v>534</v>
      </c>
      <c r="R165" s="135" t="s">
        <v>297</v>
      </c>
      <c r="S165" s="136" t="e">
        <f>30000/NZD</f>
        <v>#REF!</v>
      </c>
      <c r="T165" s="62">
        <v>30000</v>
      </c>
      <c r="U165" s="136" t="e">
        <f>Table12117[[#This Row],[Amortised Limit in Original Currency]]/NZD</f>
        <v>#REF!</v>
      </c>
      <c r="V165" s="136" t="e">
        <f>140200/NZD</f>
        <v>#REF!</v>
      </c>
      <c r="W165" s="136" t="e">
        <f>1330385.09/NZD</f>
        <v>#REF!</v>
      </c>
      <c r="X165" s="61" t="s">
        <v>11</v>
      </c>
      <c r="Y165" s="185">
        <v>1.7000000000000001E-2</v>
      </c>
      <c r="Z165" s="137">
        <v>44866</v>
      </c>
      <c r="AA165" s="137">
        <v>46687</v>
      </c>
      <c r="AB165" s="137">
        <v>46722</v>
      </c>
      <c r="AC165" s="138">
        <f t="shared" si="24"/>
        <v>1857</v>
      </c>
      <c r="AD165" s="139" t="e">
        <f t="shared" si="25"/>
        <v>#REF!</v>
      </c>
      <c r="AE165" s="138" t="e">
        <f>AB165-#REF!</f>
        <v>#REF!</v>
      </c>
      <c r="AF165" s="140" t="e">
        <f t="shared" si="19"/>
        <v>#REF!</v>
      </c>
      <c r="AG165" s="56" t="s">
        <v>436</v>
      </c>
      <c r="AH165" s="186" t="s">
        <v>1</v>
      </c>
      <c r="AI165" s="186" t="s">
        <v>1</v>
      </c>
      <c r="AJ165" s="187" t="s">
        <v>0</v>
      </c>
      <c r="AK165" s="143" t="e">
        <f t="shared" si="20"/>
        <v>#REF!</v>
      </c>
      <c r="AL165" s="164" t="s">
        <v>271</v>
      </c>
      <c r="AM165" s="188" t="s">
        <v>1079</v>
      </c>
      <c r="AN165" s="260"/>
      <c r="AO165" s="260"/>
      <c r="AP165" s="197" t="str">
        <f>Table12117[[#This Row],[Risk Location ]]</f>
        <v>New Zealand</v>
      </c>
      <c r="AQ165" s="198" t="str">
        <f>Table12117[[#This Row],[Sector (GICS Industry Group)]]</f>
        <v>Information Technology - Hardware &amp; Equipment</v>
      </c>
      <c r="AR165" s="260"/>
      <c r="AS165" s="260"/>
      <c r="AT165" s="212" t="e">
        <f>Table12117[[#This Row],[Percentage Impact]]*Table12117[[#This Row],[Amortised Limit A$ Balance]]</f>
        <v>#REF!</v>
      </c>
      <c r="AU165" s="212" t="e">
        <f>Table12117[[#This Row],[Amortised Limit A$ Balance]]*12%</f>
        <v>#REF!</v>
      </c>
      <c r="AV165" s="212" t="e">
        <f>IF(Table12117[[#This Row],[Everest]]="Everest",Table12117[[#This Row],[Assetinsure Amount ]]*0.2)</f>
        <v>#REF!</v>
      </c>
      <c r="AW165" s="261"/>
      <c r="AX165" s="212" t="e">
        <f>MIN(Table12117[[#This Row],[Assetinsure Amount ]]-Table12117[[#This Row],[Reinsurance Everest Re]],Table12117[[#This Row],[Total Amount]])</f>
        <v>#REF!</v>
      </c>
      <c r="AY165" s="212">
        <f t="shared" si="21"/>
        <v>0</v>
      </c>
      <c r="AZ165" s="260"/>
      <c r="BC165" s="212">
        <v>0</v>
      </c>
      <c r="BD165" s="11">
        <v>0</v>
      </c>
      <c r="BL165" s="138" t="s">
        <v>1085</v>
      </c>
      <c r="BN165" s="58"/>
    </row>
    <row r="166" spans="1:66" ht="34.5" customHeight="1" x14ac:dyDescent="0.2">
      <c r="A166" s="132" t="s">
        <v>1086</v>
      </c>
      <c r="B166" s="132" t="s">
        <v>23</v>
      </c>
      <c r="C166" s="65" t="s">
        <v>1141</v>
      </c>
      <c r="D166" s="133" t="s">
        <v>38</v>
      </c>
      <c r="E166" s="131" t="s">
        <v>540</v>
      </c>
      <c r="F166" s="145" t="s">
        <v>35</v>
      </c>
      <c r="G166" s="131" t="s">
        <v>92</v>
      </c>
      <c r="H166" s="131" t="s">
        <v>108</v>
      </c>
      <c r="I166" s="130" t="s">
        <v>452</v>
      </c>
      <c r="J166" s="133" t="s">
        <v>32</v>
      </c>
      <c r="K166" s="133" t="s">
        <v>33</v>
      </c>
      <c r="L166" s="168" t="s">
        <v>29</v>
      </c>
      <c r="M166" s="194" t="s">
        <v>191</v>
      </c>
      <c r="N166" s="134" t="s">
        <v>323</v>
      </c>
      <c r="O166" s="167" t="s">
        <v>43</v>
      </c>
      <c r="P166" s="167" t="s">
        <v>538</v>
      </c>
      <c r="Q166" s="167" t="s">
        <v>534</v>
      </c>
      <c r="R166" s="135" t="s">
        <v>9</v>
      </c>
      <c r="S166" s="136" t="e">
        <f>10000/USD</f>
        <v>#REF!</v>
      </c>
      <c r="T166" s="73">
        <v>10000</v>
      </c>
      <c r="U166" s="136" t="e">
        <f>Table12117[[#This Row],[Amortised Limit in Original Currency]]/USD</f>
        <v>#REF!</v>
      </c>
      <c r="V166" s="136" t="e">
        <f>100000/USD</f>
        <v>#REF!</v>
      </c>
      <c r="W166" s="136" t="e">
        <f>1207595.15/USD</f>
        <v>#REF!</v>
      </c>
      <c r="X166" s="61" t="s">
        <v>11</v>
      </c>
      <c r="Y166" s="185">
        <v>2.5000000000000001E-2</v>
      </c>
      <c r="Z166" s="137">
        <v>44895</v>
      </c>
      <c r="AA166" s="137">
        <v>47328</v>
      </c>
      <c r="AB166" s="137">
        <v>47328</v>
      </c>
      <c r="AC166" s="138">
        <f t="shared" si="24"/>
        <v>2434</v>
      </c>
      <c r="AD166" s="139" t="e">
        <f t="shared" si="25"/>
        <v>#REF!</v>
      </c>
      <c r="AE166" s="138" t="e">
        <f>AB166-#REF!</f>
        <v>#REF!</v>
      </c>
      <c r="AF166" s="140" t="e">
        <f t="shared" si="19"/>
        <v>#REF!</v>
      </c>
      <c r="AG166" s="56"/>
      <c r="AH166" s="186" t="s">
        <v>1</v>
      </c>
      <c r="AI166" s="186" t="s">
        <v>1</v>
      </c>
      <c r="AJ166" s="187" t="s">
        <v>0</v>
      </c>
      <c r="AK166" s="143" t="e">
        <f t="shared" si="20"/>
        <v>#REF!</v>
      </c>
      <c r="AL166" s="164" t="s">
        <v>563</v>
      </c>
      <c r="AM166" s="188" t="s">
        <v>1087</v>
      </c>
      <c r="AN166" s="260"/>
      <c r="AO166" s="260"/>
      <c r="AP166" s="197" t="str">
        <f>Table12117[[#This Row],[Risk Location ]]</f>
        <v>India</v>
      </c>
      <c r="AQ166" s="198" t="str">
        <f>Table12117[[#This Row],[Sector (GICS Industry Group)]]</f>
        <v>Transportation</v>
      </c>
      <c r="AR166" s="260"/>
      <c r="AS166" s="260"/>
      <c r="AT166" s="212" t="e">
        <f>Table12117[[#This Row],[Percentage Impact]]*Table12117[[#This Row],[Amortised Limit A$ Balance]]</f>
        <v>#REF!</v>
      </c>
      <c r="AU166" s="212" t="e">
        <f>Table12117[[#This Row],[Amortised Limit A$ Balance]]*12%</f>
        <v>#REF!</v>
      </c>
      <c r="AV166" s="212" t="b">
        <f>IF(Table12117[[#This Row],[Everest]]="Everest",Table12117[[#This Row],[Assetinsure Amount ]]*0.2)</f>
        <v>0</v>
      </c>
      <c r="AW166" s="261"/>
      <c r="AX166" s="212" t="e">
        <f>MIN(Table12117[[#This Row],[Assetinsure Amount ]]-Table12117[[#This Row],[Reinsurance Everest Re]],Table12117[[#This Row],[Total Amount]])</f>
        <v>#REF!</v>
      </c>
      <c r="AY166" s="212">
        <f t="shared" si="21"/>
        <v>0</v>
      </c>
      <c r="AZ166" s="260"/>
      <c r="BC166" s="212">
        <v>0</v>
      </c>
      <c r="BD166" s="11">
        <v>0</v>
      </c>
      <c r="BL166" s="138" t="s">
        <v>1126</v>
      </c>
      <c r="BN166" s="58"/>
    </row>
    <row r="167" spans="1:66" ht="35.25" customHeight="1" x14ac:dyDescent="0.2">
      <c r="A167" s="132" t="s">
        <v>1091</v>
      </c>
      <c r="B167" s="132" t="s">
        <v>51</v>
      </c>
      <c r="C167" s="65" t="s">
        <v>1143</v>
      </c>
      <c r="D167" s="133" t="s">
        <v>37</v>
      </c>
      <c r="E167" s="131" t="s">
        <v>34</v>
      </c>
      <c r="F167" s="145" t="s">
        <v>34</v>
      </c>
      <c r="G167" s="131" t="s">
        <v>102</v>
      </c>
      <c r="H167" s="131" t="s">
        <v>102</v>
      </c>
      <c r="I167" s="130" t="s">
        <v>473</v>
      </c>
      <c r="J167" s="66" t="s">
        <v>55</v>
      </c>
      <c r="K167" s="131" t="s">
        <v>218</v>
      </c>
      <c r="L167" s="300" t="s">
        <v>101</v>
      </c>
      <c r="M167" s="194" t="s">
        <v>191</v>
      </c>
      <c r="N167" s="134" t="s">
        <v>323</v>
      </c>
      <c r="O167" s="167" t="s">
        <v>43</v>
      </c>
      <c r="P167" s="167" t="s">
        <v>538</v>
      </c>
      <c r="Q167" s="167" t="s">
        <v>534</v>
      </c>
      <c r="R167" s="135" t="s">
        <v>8</v>
      </c>
      <c r="S167" s="136">
        <v>30000</v>
      </c>
      <c r="T167" s="73">
        <v>30000</v>
      </c>
      <c r="U167" s="136">
        <f>Table12117[[#This Row],[Amortised Limit in Original Currency]]</f>
        <v>30000</v>
      </c>
      <c r="V167" s="136">
        <v>60000</v>
      </c>
      <c r="W167" s="136">
        <v>743691.68</v>
      </c>
      <c r="X167" s="61" t="s">
        <v>11</v>
      </c>
      <c r="Y167" s="185">
        <v>2.2499999999999999E-2</v>
      </c>
      <c r="Z167" s="137">
        <v>44909</v>
      </c>
      <c r="AA167" s="137">
        <v>45576</v>
      </c>
      <c r="AB167" s="137">
        <v>45609</v>
      </c>
      <c r="AC167" s="138">
        <f t="shared" si="24"/>
        <v>701</v>
      </c>
      <c r="AD167" s="139" t="e">
        <f t="shared" si="25"/>
        <v>#REF!</v>
      </c>
      <c r="AE167" s="138" t="e">
        <f>AB167-#REF!</f>
        <v>#REF!</v>
      </c>
      <c r="AF167" s="140" t="e">
        <f t="shared" si="19"/>
        <v>#REF!</v>
      </c>
      <c r="AG167" s="56" t="s">
        <v>436</v>
      </c>
      <c r="AH167" s="186" t="s">
        <v>1</v>
      </c>
      <c r="AI167" s="186" t="s">
        <v>1</v>
      </c>
      <c r="AJ167" s="187" t="s">
        <v>0</v>
      </c>
      <c r="AK167" s="143" t="e">
        <f t="shared" si="20"/>
        <v>#REF!</v>
      </c>
      <c r="AL167" s="164" t="s">
        <v>271</v>
      </c>
      <c r="AM167" s="188" t="s">
        <v>1092</v>
      </c>
      <c r="AN167" s="260"/>
      <c r="AO167" s="260"/>
      <c r="AP167" s="197" t="str">
        <f>Table12117[[#This Row],[Risk Location ]]</f>
        <v>Australia</v>
      </c>
      <c r="AQ167" s="198" t="str">
        <f>Table12117[[#This Row],[Sector (GICS Industry Group)]]</f>
        <v>Real Estate Investment</v>
      </c>
      <c r="AR167" s="260"/>
      <c r="AS167" s="260"/>
      <c r="AT167" s="212">
        <f>Table12117[[#This Row],[Percentage Impact]]*Table12117[[#This Row],[Amortised Limit A$ Balance]]</f>
        <v>0</v>
      </c>
      <c r="AU167" s="212">
        <f>Table12117[[#This Row],[Amortised Limit A$ Balance]]*12%</f>
        <v>3600</v>
      </c>
      <c r="AV167" s="212">
        <f>IF(Table12117[[#This Row],[Everest]]="Everest",Table12117[[#This Row],[Assetinsure Amount ]]*0.2)</f>
        <v>720</v>
      </c>
      <c r="AW167" s="261"/>
      <c r="AX167" s="212">
        <f>MIN(Table12117[[#This Row],[Assetinsure Amount ]]-Table12117[[#This Row],[Reinsurance Everest Re]],Table12117[[#This Row],[Total Amount]])</f>
        <v>0</v>
      </c>
      <c r="AY167" s="212">
        <f t="shared" si="21"/>
        <v>0</v>
      </c>
      <c r="AZ167" s="260"/>
      <c r="BC167" s="212">
        <v>0</v>
      </c>
      <c r="BD167" s="11">
        <v>0</v>
      </c>
      <c r="BL167" s="138" t="s">
        <v>1093</v>
      </c>
      <c r="BN167" s="58"/>
    </row>
    <row r="168" spans="1:66" ht="34.5" customHeight="1" x14ac:dyDescent="0.2">
      <c r="A168" s="132" t="s">
        <v>1094</v>
      </c>
      <c r="B168" s="132" t="s">
        <v>24</v>
      </c>
      <c r="C168" s="65" t="s">
        <v>1142</v>
      </c>
      <c r="D168" s="133" t="s">
        <v>560</v>
      </c>
      <c r="E168" s="131" t="s">
        <v>499</v>
      </c>
      <c r="F168" s="145" t="s">
        <v>162</v>
      </c>
      <c r="G168" s="131" t="s">
        <v>544</v>
      </c>
      <c r="H168" s="131" t="s">
        <v>117</v>
      </c>
      <c r="I168" s="130" t="s">
        <v>118</v>
      </c>
      <c r="J168" s="145" t="s">
        <v>1095</v>
      </c>
      <c r="K168" s="131" t="s">
        <v>687</v>
      </c>
      <c r="L168" s="301" t="s">
        <v>209</v>
      </c>
      <c r="M168" s="167" t="s">
        <v>191</v>
      </c>
      <c r="N168" s="134" t="s">
        <v>59</v>
      </c>
      <c r="O168" s="167" t="s">
        <v>43</v>
      </c>
      <c r="P168" s="167" t="s">
        <v>538</v>
      </c>
      <c r="Q168" s="167" t="s">
        <v>534</v>
      </c>
      <c r="R168" s="135" t="s">
        <v>9</v>
      </c>
      <c r="S168" s="136" t="e">
        <f>20000/USD</f>
        <v>#REF!</v>
      </c>
      <c r="T168" s="73">
        <v>20000</v>
      </c>
      <c r="U168" s="136" t="e">
        <f>Table12117[[#This Row],[Amortised Limit in Original Currency]]/USD</f>
        <v>#REF!</v>
      </c>
      <c r="V168" s="136">
        <v>199812</v>
      </c>
      <c r="W168" s="136" t="e">
        <f>2908304.53/USD</f>
        <v>#REF!</v>
      </c>
      <c r="X168" s="61" t="s">
        <v>11</v>
      </c>
      <c r="Y168" s="185">
        <v>4.7500000000000001E-2</v>
      </c>
      <c r="Z168" s="137">
        <v>44914</v>
      </c>
      <c r="AA168" s="137">
        <v>47037</v>
      </c>
      <c r="AB168" s="137">
        <v>47068</v>
      </c>
      <c r="AC168" s="138">
        <f t="shared" si="24"/>
        <v>2155</v>
      </c>
      <c r="AD168" s="139" t="e">
        <f t="shared" si="25"/>
        <v>#REF!</v>
      </c>
      <c r="AE168" s="138" t="e">
        <f>AB168-#REF!</f>
        <v>#REF!</v>
      </c>
      <c r="AF168" s="140" t="e">
        <f t="shared" si="19"/>
        <v>#REF!</v>
      </c>
      <c r="AG168" s="56" t="s">
        <v>436</v>
      </c>
      <c r="AH168" s="186" t="s">
        <v>1</v>
      </c>
      <c r="AI168" s="186" t="s">
        <v>1</v>
      </c>
      <c r="AJ168" s="187" t="s">
        <v>0</v>
      </c>
      <c r="AK168" s="143" t="e">
        <f t="shared" si="20"/>
        <v>#REF!</v>
      </c>
      <c r="AL168" s="164" t="s">
        <v>271</v>
      </c>
      <c r="AM168" s="188" t="s">
        <v>1097</v>
      </c>
      <c r="AN168" s="260"/>
      <c r="AO168" s="260"/>
      <c r="AP168" s="197" t="str">
        <f>Table12117[[#This Row],[Risk Location ]]</f>
        <v>United States</v>
      </c>
      <c r="AQ168" s="198" t="str">
        <f>Table12117[[#This Row],[Sector (GICS Industry Group)]]</f>
        <v>Consumer Discretionary</v>
      </c>
      <c r="AR168" s="260"/>
      <c r="AS168" s="260"/>
      <c r="AT168" s="212" t="e">
        <f>Table12117[[#This Row],[Percentage Impact]]*Table12117[[#This Row],[Amortised Limit A$ Balance]]</f>
        <v>#REF!</v>
      </c>
      <c r="AU168" s="212" t="e">
        <f>Table12117[[#This Row],[Amortised Limit A$ Balance]]*12%</f>
        <v>#REF!</v>
      </c>
      <c r="AV168" s="212" t="e">
        <f>IF(Table12117[[#This Row],[Everest]]="Everest",Table12117[[#This Row],[Assetinsure Amount ]]*0.2)</f>
        <v>#REF!</v>
      </c>
      <c r="AW168" s="261"/>
      <c r="AX168" s="212" t="e">
        <f>MIN(Table12117[[#This Row],[Assetinsure Amount ]]-Table12117[[#This Row],[Reinsurance Everest Re]],Table12117[[#This Row],[Total Amount]])</f>
        <v>#REF!</v>
      </c>
      <c r="AY168" s="212">
        <f t="shared" si="21"/>
        <v>0</v>
      </c>
      <c r="AZ168" s="260"/>
      <c r="BC168" s="212">
        <v>0</v>
      </c>
      <c r="BD168" s="11">
        <v>0</v>
      </c>
      <c r="BL168" s="138" t="s">
        <v>1096</v>
      </c>
      <c r="BN168" s="58"/>
    </row>
    <row r="169" spans="1:66" s="229" customFormat="1" ht="34.5" customHeight="1" x14ac:dyDescent="0.2">
      <c r="A169" s="132" t="s">
        <v>1098</v>
      </c>
      <c r="B169" s="132" t="s">
        <v>51</v>
      </c>
      <c r="C169" s="270" t="s">
        <v>1141</v>
      </c>
      <c r="D169" s="133" t="s">
        <v>588</v>
      </c>
      <c r="E169" s="131" t="s">
        <v>542</v>
      </c>
      <c r="F169" s="145" t="s">
        <v>87</v>
      </c>
      <c r="G169" s="131" t="s">
        <v>547</v>
      </c>
      <c r="H169" s="131" t="s">
        <v>265</v>
      </c>
      <c r="I169" s="145" t="s">
        <v>457</v>
      </c>
      <c r="J169" s="133" t="s">
        <v>705</v>
      </c>
      <c r="K169" s="131" t="s">
        <v>220</v>
      </c>
      <c r="L169" s="301" t="s">
        <v>209</v>
      </c>
      <c r="M169" s="167" t="s">
        <v>191</v>
      </c>
      <c r="N169" s="134" t="s">
        <v>59</v>
      </c>
      <c r="O169" s="167" t="s">
        <v>43</v>
      </c>
      <c r="P169" s="167" t="s">
        <v>538</v>
      </c>
      <c r="Q169" s="167" t="s">
        <v>534</v>
      </c>
      <c r="R169" s="135" t="s">
        <v>156</v>
      </c>
      <c r="S169" s="136" t="e">
        <f>7515.25/GBP</f>
        <v>#REF!</v>
      </c>
      <c r="T169" s="73">
        <v>7515.25</v>
      </c>
      <c r="U169" s="136" t="e">
        <f>Table12117[[#This Row],[Amortised Limit in Original Currency]]/GBP</f>
        <v>#REF!</v>
      </c>
      <c r="V169" s="136" t="e">
        <f>23214.51/EUR + 10300.85/GBP</f>
        <v>#REF!</v>
      </c>
      <c r="W169" s="136" t="e">
        <f>24442.81/EUR+871068.63/GBP</f>
        <v>#REF!</v>
      </c>
      <c r="X169" s="147" t="s">
        <v>11</v>
      </c>
      <c r="Y169" s="185">
        <f>(4.75%+5.5%)/2</f>
        <v>5.1250000000000004E-2</v>
      </c>
      <c r="Z169" s="137">
        <v>44916</v>
      </c>
      <c r="AA169" s="137">
        <v>46694</v>
      </c>
      <c r="AB169" s="137">
        <v>46604</v>
      </c>
      <c r="AC169" s="138">
        <f t="shared" si="24"/>
        <v>1689</v>
      </c>
      <c r="AD169" s="139" t="e">
        <f t="shared" si="25"/>
        <v>#REF!</v>
      </c>
      <c r="AE169" s="138" t="e">
        <f>AB169-#REF!</f>
        <v>#REF!</v>
      </c>
      <c r="AF169" s="140" t="e">
        <f t="shared" si="19"/>
        <v>#REF!</v>
      </c>
      <c r="AG169" s="274"/>
      <c r="AH169" s="186" t="s">
        <v>1</v>
      </c>
      <c r="AI169" s="186" t="s">
        <v>1</v>
      </c>
      <c r="AJ169" s="187" t="s">
        <v>0</v>
      </c>
      <c r="AK169" s="164" t="e">
        <f t="shared" si="20"/>
        <v>#REF!</v>
      </c>
      <c r="AL169" s="164" t="s">
        <v>271</v>
      </c>
      <c r="AM169" s="188" t="s">
        <v>1101</v>
      </c>
      <c r="AN169" s="291"/>
      <c r="AO169" s="291"/>
      <c r="AP169" s="323" t="str">
        <f>Table12117[[#This Row],[Risk Location ]]</f>
        <v>United Kingdom</v>
      </c>
      <c r="AQ169" s="324" t="str">
        <f>Table12117[[#This Row],[Sector (GICS Industry Group)]]</f>
        <v>Consumer Staples</v>
      </c>
      <c r="AR169" s="291"/>
      <c r="AS169" s="291"/>
      <c r="AT169" s="278" t="e">
        <f>Table12117[[#This Row],[Percentage Impact]]*Table12117[[#This Row],[Amortised Limit A$ Balance]]</f>
        <v>#REF!</v>
      </c>
      <c r="AU169" s="278" t="e">
        <f>Table12117[[#This Row],[Amortised Limit A$ Balance]]*12%</f>
        <v>#REF!</v>
      </c>
      <c r="AV169" s="278" t="b">
        <f>IF(Table12117[[#This Row],[Everest]]="Everest",Table12117[[#This Row],[Assetinsure Amount ]]*0.2)</f>
        <v>0</v>
      </c>
      <c r="AW169" s="292"/>
      <c r="AX169" s="278" t="e">
        <f>MIN(Table12117[[#This Row],[Assetinsure Amount ]]-Table12117[[#This Row],[Reinsurance Everest Re]],Table12117[[#This Row],[Total Amount]])</f>
        <v>#REF!</v>
      </c>
      <c r="AY169" s="278">
        <f t="shared" si="21"/>
        <v>0</v>
      </c>
      <c r="AZ169" s="291"/>
      <c r="BC169" s="278">
        <v>0</v>
      </c>
      <c r="BD169" s="229">
        <v>0</v>
      </c>
      <c r="BL169" s="138" t="s">
        <v>1120</v>
      </c>
      <c r="BN169" s="272"/>
    </row>
    <row r="170" spans="1:66" ht="33" customHeight="1" x14ac:dyDescent="0.2">
      <c r="A170" s="132" t="s">
        <v>1099</v>
      </c>
      <c r="B170" s="132" t="s">
        <v>51</v>
      </c>
      <c r="C170" s="65" t="s">
        <v>1144</v>
      </c>
      <c r="D170" s="133" t="s">
        <v>166</v>
      </c>
      <c r="E170" s="131" t="s">
        <v>542</v>
      </c>
      <c r="F170" s="145" t="s">
        <v>166</v>
      </c>
      <c r="G170" s="131" t="s">
        <v>104</v>
      </c>
      <c r="H170" s="131" t="s">
        <v>105</v>
      </c>
      <c r="I170" s="130" t="s">
        <v>285</v>
      </c>
      <c r="J170" s="133" t="s">
        <v>1100</v>
      </c>
      <c r="K170" s="131" t="s">
        <v>220</v>
      </c>
      <c r="L170" s="301" t="s">
        <v>29</v>
      </c>
      <c r="M170" s="167" t="s">
        <v>191</v>
      </c>
      <c r="N170" s="134" t="s">
        <v>59</v>
      </c>
      <c r="O170" s="167" t="s">
        <v>43</v>
      </c>
      <c r="P170" s="167" t="s">
        <v>538</v>
      </c>
      <c r="Q170" s="167" t="s">
        <v>534</v>
      </c>
      <c r="R170" s="135" t="s">
        <v>59</v>
      </c>
      <c r="S170" s="136" t="e">
        <f>7000/EUR</f>
        <v>#REF!</v>
      </c>
      <c r="T170" s="73">
        <v>7000</v>
      </c>
      <c r="U170" s="136" t="e">
        <f>Table12117[[#This Row],[Amortised Limit in Original Currency]]/EUR</f>
        <v>#REF!</v>
      </c>
      <c r="V170" s="136" t="e">
        <f>151350/EUR</f>
        <v>#REF!</v>
      </c>
      <c r="W170" s="136" t="e">
        <f>1278907.53/EUR</f>
        <v>#REF!</v>
      </c>
      <c r="X170" s="147" t="s">
        <v>11</v>
      </c>
      <c r="Y170" s="185">
        <v>4.4999999999999998E-2</v>
      </c>
      <c r="Z170" s="137">
        <v>44914</v>
      </c>
      <c r="AA170" s="137">
        <v>47292</v>
      </c>
      <c r="AB170" s="137">
        <v>47323</v>
      </c>
      <c r="AC170" s="138">
        <f t="shared" si="24"/>
        <v>2410</v>
      </c>
      <c r="AD170" s="139" t="e">
        <f t="shared" si="25"/>
        <v>#REF!</v>
      </c>
      <c r="AE170" s="138" t="e">
        <f>AB170-#REF!</f>
        <v>#REF!</v>
      </c>
      <c r="AF170" s="140" t="e">
        <f t="shared" si="19"/>
        <v>#REF!</v>
      </c>
      <c r="AG170" s="56"/>
      <c r="AH170" s="186" t="s">
        <v>1</v>
      </c>
      <c r="AI170" s="186" t="s">
        <v>1</v>
      </c>
      <c r="AJ170" s="187" t="s">
        <v>0</v>
      </c>
      <c r="AK170" s="143" t="e">
        <f t="shared" si="20"/>
        <v>#REF!</v>
      </c>
      <c r="AL170" s="164" t="s">
        <v>271</v>
      </c>
      <c r="AM170" s="188" t="s">
        <v>1103</v>
      </c>
      <c r="AN170" s="260"/>
      <c r="AO170" s="260"/>
      <c r="AP170" s="197" t="str">
        <f>Table12117[[#This Row],[Risk Location ]]</f>
        <v>France</v>
      </c>
      <c r="AQ170" s="198" t="str">
        <f>Table12117[[#This Row],[Sector (GICS Industry Group)]]</f>
        <v>Materials</v>
      </c>
      <c r="AR170" s="260"/>
      <c r="AS170" s="260"/>
      <c r="AT170" s="212" t="e">
        <f>Table12117[[#This Row],[Percentage Impact]]*Table12117[[#This Row],[Amortised Limit A$ Balance]]</f>
        <v>#REF!</v>
      </c>
      <c r="AU170" s="212" t="e">
        <f>Table12117[[#This Row],[Amortised Limit A$ Balance]]*12%</f>
        <v>#REF!</v>
      </c>
      <c r="AV170" s="212" t="b">
        <f>IF(Table12117[[#This Row],[Everest]]="Everest",Table12117[[#This Row],[Assetinsure Amount ]]*0.2)</f>
        <v>0</v>
      </c>
      <c r="AW170" s="261"/>
      <c r="AX170" s="212" t="e">
        <f>MIN(Table12117[[#This Row],[Assetinsure Amount ]]-Table12117[[#This Row],[Reinsurance Everest Re]],Table12117[[#This Row],[Total Amount]])</f>
        <v>#REF!</v>
      </c>
      <c r="AY170" s="212">
        <f t="shared" si="21"/>
        <v>0</v>
      </c>
      <c r="AZ170" s="260"/>
      <c r="BC170" s="212">
        <v>0</v>
      </c>
      <c r="BD170" s="11">
        <v>0</v>
      </c>
      <c r="BL170" s="138" t="s">
        <v>1102</v>
      </c>
      <c r="BN170" s="58"/>
    </row>
    <row r="171" spans="1:66" ht="36.75" customHeight="1" x14ac:dyDescent="0.2">
      <c r="A171" s="132" t="s">
        <v>1105</v>
      </c>
      <c r="B171" s="132" t="s">
        <v>243</v>
      </c>
      <c r="C171" s="65" t="s">
        <v>243</v>
      </c>
      <c r="D171" s="133" t="s">
        <v>560</v>
      </c>
      <c r="E171" s="131" t="s">
        <v>499</v>
      </c>
      <c r="F171" s="145" t="s">
        <v>162</v>
      </c>
      <c r="G171" s="131" t="s">
        <v>891</v>
      </c>
      <c r="H171" s="131" t="s">
        <v>167</v>
      </c>
      <c r="I171" s="130" t="s">
        <v>167</v>
      </c>
      <c r="J171" s="133" t="s">
        <v>1106</v>
      </c>
      <c r="K171" s="131" t="s">
        <v>680</v>
      </c>
      <c r="L171" s="300" t="s">
        <v>209</v>
      </c>
      <c r="M171" s="194" t="s">
        <v>191</v>
      </c>
      <c r="N171" s="134" t="s">
        <v>59</v>
      </c>
      <c r="O171" s="167" t="s">
        <v>43</v>
      </c>
      <c r="P171" s="167" t="s">
        <v>531</v>
      </c>
      <c r="Q171" s="167" t="s">
        <v>534</v>
      </c>
      <c r="R171" s="135" t="s">
        <v>9</v>
      </c>
      <c r="S171" s="136" t="e">
        <f>15000/USD</f>
        <v>#REF!</v>
      </c>
      <c r="T171" s="73">
        <v>15000</v>
      </c>
      <c r="U171" s="136" t="e">
        <f>Table12117[[#This Row],[Amortised Limit in Original Currency]]/USD</f>
        <v>#REF!</v>
      </c>
      <c r="V171" s="136" t="e">
        <f>510046/USD</f>
        <v>#REF!</v>
      </c>
      <c r="W171" s="136" t="e">
        <f>1108718.75/USD</f>
        <v>#REF!</v>
      </c>
      <c r="X171" s="147" t="s">
        <v>11</v>
      </c>
      <c r="Y171" s="185">
        <v>0.03</v>
      </c>
      <c r="Z171" s="137">
        <v>44901</v>
      </c>
      <c r="AA171" s="137">
        <v>46736</v>
      </c>
      <c r="AB171" s="137">
        <v>46736</v>
      </c>
      <c r="AC171" s="138">
        <f t="shared" si="24"/>
        <v>1836</v>
      </c>
      <c r="AD171" s="139" t="e">
        <f t="shared" si="25"/>
        <v>#REF!</v>
      </c>
      <c r="AE171" s="138" t="e">
        <f>AB171-#REF!</f>
        <v>#REF!</v>
      </c>
      <c r="AF171" s="140" t="e">
        <f t="shared" si="19"/>
        <v>#REF!</v>
      </c>
      <c r="AG171" s="56"/>
      <c r="AH171" s="186" t="s">
        <v>1</v>
      </c>
      <c r="AI171" s="186" t="s">
        <v>1</v>
      </c>
      <c r="AJ171" s="187" t="s">
        <v>0</v>
      </c>
      <c r="AK171" s="143" t="e">
        <f t="shared" si="20"/>
        <v>#REF!</v>
      </c>
      <c r="AL171" s="164" t="s">
        <v>271</v>
      </c>
      <c r="AM171" s="188" t="s">
        <v>1121</v>
      </c>
      <c r="AN171" s="260"/>
      <c r="AO171" s="260"/>
      <c r="AP171" s="197" t="str">
        <f>Table12117[[#This Row],[Risk Location ]]</f>
        <v>United States</v>
      </c>
      <c r="AQ171" s="198" t="str">
        <f>Table12117[[#This Row],[Sector (GICS Industry Group)]]</f>
        <v>Information Technology - Hardware &amp; Equipment</v>
      </c>
      <c r="AR171" s="260"/>
      <c r="AS171" s="260"/>
      <c r="AT171" s="212" t="e">
        <f>Table12117[[#This Row],[Percentage Impact]]*Table12117[[#This Row],[Amortised Limit A$ Balance]]</f>
        <v>#REF!</v>
      </c>
      <c r="AU171" s="212" t="e">
        <f>Table12117[[#This Row],[Amortised Limit A$ Balance]]*12%</f>
        <v>#REF!</v>
      </c>
      <c r="AV171" s="212" t="b">
        <f>IF(Table12117[[#This Row],[Everest]]="Everest",Table12117[[#This Row],[Assetinsure Amount ]]*0.2)</f>
        <v>0</v>
      </c>
      <c r="AW171" s="261"/>
      <c r="AX171" s="212" t="e">
        <f>MIN(Table12117[[#This Row],[Assetinsure Amount ]]-Table12117[[#This Row],[Reinsurance Everest Re]],Table12117[[#This Row],[Total Amount]])</f>
        <v>#REF!</v>
      </c>
      <c r="AY171" s="212">
        <f t="shared" si="21"/>
        <v>0</v>
      </c>
      <c r="AZ171" s="260"/>
      <c r="BC171" s="212">
        <v>0</v>
      </c>
      <c r="BD171" s="11">
        <v>0</v>
      </c>
      <c r="BL171" s="138" t="s">
        <v>1104</v>
      </c>
      <c r="BN171" s="58"/>
    </row>
    <row r="172" spans="1:66" ht="33" customHeight="1" x14ac:dyDescent="0.2">
      <c r="A172" s="132" t="s">
        <v>1122</v>
      </c>
      <c r="B172" s="132" t="s">
        <v>67</v>
      </c>
      <c r="C172" s="65" t="s">
        <v>243</v>
      </c>
      <c r="D172" s="133" t="s">
        <v>588</v>
      </c>
      <c r="E172" s="131" t="s">
        <v>499</v>
      </c>
      <c r="F172" s="145" t="s">
        <v>162</v>
      </c>
      <c r="G172" s="131" t="s">
        <v>891</v>
      </c>
      <c r="H172" s="131" t="s">
        <v>167</v>
      </c>
      <c r="I172" s="130" t="s">
        <v>167</v>
      </c>
      <c r="J172" s="133" t="s">
        <v>589</v>
      </c>
      <c r="K172" s="131" t="s">
        <v>218</v>
      </c>
      <c r="L172" s="300" t="s">
        <v>140</v>
      </c>
      <c r="M172" s="194" t="s">
        <v>191</v>
      </c>
      <c r="N172" s="134" t="s">
        <v>59</v>
      </c>
      <c r="O172" s="167" t="s">
        <v>43</v>
      </c>
      <c r="P172" s="167" t="s">
        <v>538</v>
      </c>
      <c r="Q172" s="167" t="s">
        <v>534</v>
      </c>
      <c r="R172" s="135" t="s">
        <v>9</v>
      </c>
      <c r="S172" s="136" t="e">
        <f>15000/USD</f>
        <v>#REF!</v>
      </c>
      <c r="T172" s="73">
        <v>15000</v>
      </c>
      <c r="U172" s="136" t="e">
        <f>Table12117[[#This Row],[Amortised Limit in Original Currency]]/USD</f>
        <v>#REF!</v>
      </c>
      <c r="V172" s="136" t="e">
        <f>30000/USD</f>
        <v>#REF!</v>
      </c>
      <c r="W172" s="136" t="e">
        <f>541448.17/USD</f>
        <v>#REF!</v>
      </c>
      <c r="X172" s="147" t="s">
        <v>11</v>
      </c>
      <c r="Y172" s="185">
        <v>2.7E-2</v>
      </c>
      <c r="Z172" s="137">
        <v>44916</v>
      </c>
      <c r="AA172" s="137">
        <v>45949</v>
      </c>
      <c r="AB172" s="137">
        <v>45950</v>
      </c>
      <c r="AC172" s="138">
        <f t="shared" si="24"/>
        <v>1035</v>
      </c>
      <c r="AD172" s="139" t="e">
        <f t="shared" si="25"/>
        <v>#REF!</v>
      </c>
      <c r="AE172" s="138" t="e">
        <f>AB172-#REF!</f>
        <v>#REF!</v>
      </c>
      <c r="AF172" s="140" t="e">
        <f t="shared" si="19"/>
        <v>#REF!</v>
      </c>
      <c r="AG172" s="56"/>
      <c r="AH172" s="186" t="s">
        <v>1</v>
      </c>
      <c r="AI172" s="186" t="s">
        <v>1</v>
      </c>
      <c r="AJ172" s="187" t="s">
        <v>0</v>
      </c>
      <c r="AK172" s="143" t="e">
        <f t="shared" si="20"/>
        <v>#REF!</v>
      </c>
      <c r="AL172" s="164" t="s">
        <v>271</v>
      </c>
      <c r="AM172" s="188" t="s">
        <v>1107</v>
      </c>
      <c r="AN172" s="260"/>
      <c r="AO172" s="260"/>
      <c r="AP172" s="197" t="str">
        <f>Table12117[[#This Row],[Risk Location ]]</f>
        <v>United States</v>
      </c>
      <c r="AQ172" s="198" t="str">
        <f>Table12117[[#This Row],[Sector (GICS Industry Group)]]</f>
        <v>Information Technology - Hardware &amp; Equipment</v>
      </c>
      <c r="AR172" s="260"/>
      <c r="AS172" s="260"/>
      <c r="AT172" s="212" t="e">
        <f>Table12117[[#This Row],[Percentage Impact]]*Table12117[[#This Row],[Amortised Limit A$ Balance]]</f>
        <v>#REF!</v>
      </c>
      <c r="AU172" s="212" t="e">
        <f>Table12117[[#This Row],[Amortised Limit A$ Balance]]*12%</f>
        <v>#REF!</v>
      </c>
      <c r="AV172" s="212" t="b">
        <f>IF(Table12117[[#This Row],[Everest]]="Everest",Table12117[[#This Row],[Assetinsure Amount ]]*0.2)</f>
        <v>0</v>
      </c>
      <c r="AW172" s="261"/>
      <c r="AX172" s="212" t="e">
        <f>MIN(Table12117[[#This Row],[Assetinsure Amount ]]-Table12117[[#This Row],[Reinsurance Everest Re]],Table12117[[#This Row],[Total Amount]])</f>
        <v>#REF!</v>
      </c>
      <c r="AY172" s="212">
        <f t="shared" si="21"/>
        <v>0</v>
      </c>
      <c r="AZ172" s="260"/>
      <c r="BC172" s="212">
        <v>0</v>
      </c>
      <c r="BD172" s="11">
        <v>0</v>
      </c>
      <c r="BL172" s="138" t="s">
        <v>1108</v>
      </c>
      <c r="BN172" s="58"/>
    </row>
    <row r="173" spans="1:66" ht="31.5" customHeight="1" x14ac:dyDescent="0.2">
      <c r="A173" s="132" t="s">
        <v>1109</v>
      </c>
      <c r="B173" s="132" t="s">
        <v>51</v>
      </c>
      <c r="C173" s="65" t="s">
        <v>243</v>
      </c>
      <c r="D173" s="133" t="s">
        <v>684</v>
      </c>
      <c r="E173" s="131" t="s">
        <v>542</v>
      </c>
      <c r="F173" s="145" t="s">
        <v>119</v>
      </c>
      <c r="G173" s="131" t="s">
        <v>102</v>
      </c>
      <c r="H173" s="131" t="s">
        <v>102</v>
      </c>
      <c r="I173" s="130" t="s">
        <v>122</v>
      </c>
      <c r="J173" s="66" t="s">
        <v>677</v>
      </c>
      <c r="K173" s="188" t="s">
        <v>218</v>
      </c>
      <c r="L173" s="300" t="s">
        <v>101</v>
      </c>
      <c r="M173" s="194" t="s">
        <v>191</v>
      </c>
      <c r="N173" s="134" t="s">
        <v>59</v>
      </c>
      <c r="O173" s="167" t="s">
        <v>43</v>
      </c>
      <c r="P173" s="167" t="s">
        <v>533</v>
      </c>
      <c r="Q173" s="167" t="s">
        <v>534</v>
      </c>
      <c r="R173" s="135" t="s">
        <v>59</v>
      </c>
      <c r="S173" s="136" t="e">
        <f>20000/EUR</f>
        <v>#REF!</v>
      </c>
      <c r="T173" s="73">
        <v>20000</v>
      </c>
      <c r="U173" s="136" t="e">
        <f>Table12117[[#This Row],[Amortised Limit in Original Currency]]/EUR</f>
        <v>#REF!</v>
      </c>
      <c r="V173" s="136" t="e">
        <f>40000/EUR</f>
        <v>#REF!</v>
      </c>
      <c r="W173" s="136" t="e">
        <f>1285612.75/EUR</f>
        <v>#REF!</v>
      </c>
      <c r="X173" s="147" t="s">
        <v>11</v>
      </c>
      <c r="Y173" s="185">
        <v>2.6499999999999999E-2</v>
      </c>
      <c r="Z173" s="137">
        <v>44918</v>
      </c>
      <c r="AA173" s="137">
        <v>46505</v>
      </c>
      <c r="AB173" s="137">
        <v>46535</v>
      </c>
      <c r="AC173" s="138">
        <f t="shared" si="24"/>
        <v>1618</v>
      </c>
      <c r="AD173" s="139" t="e">
        <f t="shared" si="25"/>
        <v>#REF!</v>
      </c>
      <c r="AE173" s="138" t="e">
        <f>AB173-#REF!</f>
        <v>#REF!</v>
      </c>
      <c r="AF173" s="140" t="e">
        <f t="shared" si="19"/>
        <v>#REF!</v>
      </c>
      <c r="AG173" s="56" t="s">
        <v>436</v>
      </c>
      <c r="AH173" s="186" t="s">
        <v>1</v>
      </c>
      <c r="AI173" s="186" t="s">
        <v>1</v>
      </c>
      <c r="AJ173" s="187" t="s">
        <v>0</v>
      </c>
      <c r="AK173" s="143" t="e">
        <f t="shared" si="20"/>
        <v>#REF!</v>
      </c>
      <c r="AL173" s="164" t="s">
        <v>271</v>
      </c>
      <c r="AM173" s="188" t="s">
        <v>1124</v>
      </c>
      <c r="AN173" s="260"/>
      <c r="AO173" s="260"/>
      <c r="AP173" s="197" t="str">
        <f>Table12117[[#This Row],[Risk Location ]]</f>
        <v>Italy</v>
      </c>
      <c r="AQ173" s="198" t="str">
        <f>Table12117[[#This Row],[Sector (GICS Industry Group)]]</f>
        <v>Real Estate Investment</v>
      </c>
      <c r="AR173" s="260"/>
      <c r="AS173" s="260"/>
      <c r="AT173" s="212" t="e">
        <f>Table12117[[#This Row],[Percentage Impact]]*Table12117[[#This Row],[Amortised Limit A$ Balance]]</f>
        <v>#REF!</v>
      </c>
      <c r="AU173" s="212" t="e">
        <f>Table12117[[#This Row],[Amortised Limit A$ Balance]]*12%</f>
        <v>#REF!</v>
      </c>
      <c r="AV173" s="212" t="e">
        <f>IF(Table12117[[#This Row],[Everest]]="Everest",Table12117[[#This Row],[Assetinsure Amount ]]*0.2)</f>
        <v>#REF!</v>
      </c>
      <c r="AW173" s="261"/>
      <c r="AX173" s="212" t="e">
        <f>MIN(Table12117[[#This Row],[Assetinsure Amount ]]-Table12117[[#This Row],[Reinsurance Everest Re]],Table12117[[#This Row],[Total Amount]])</f>
        <v>#REF!</v>
      </c>
      <c r="AY173" s="212">
        <f t="shared" si="21"/>
        <v>0</v>
      </c>
      <c r="AZ173" s="260"/>
      <c r="BC173" s="212">
        <v>0</v>
      </c>
      <c r="BD173" s="11">
        <v>0</v>
      </c>
      <c r="BL173" s="138" t="s">
        <v>1110</v>
      </c>
      <c r="BN173" s="58"/>
    </row>
    <row r="174" spans="1:66" s="229" customFormat="1" ht="32.25" customHeight="1" x14ac:dyDescent="0.2">
      <c r="A174" s="132" t="s">
        <v>1131</v>
      </c>
      <c r="B174" s="132" t="s">
        <v>51</v>
      </c>
      <c r="C174" s="270" t="s">
        <v>1142</v>
      </c>
      <c r="D174" s="133" t="s">
        <v>211</v>
      </c>
      <c r="E174" s="131" t="s">
        <v>542</v>
      </c>
      <c r="F174" s="145" t="s">
        <v>87</v>
      </c>
      <c r="G174" s="131" t="s">
        <v>547</v>
      </c>
      <c r="H174" s="131" t="s">
        <v>265</v>
      </c>
      <c r="I174" s="145" t="s">
        <v>266</v>
      </c>
      <c r="J174" s="133" t="s">
        <v>212</v>
      </c>
      <c r="K174" s="131" t="s">
        <v>220</v>
      </c>
      <c r="L174" s="300" t="s">
        <v>209</v>
      </c>
      <c r="M174" s="194" t="s">
        <v>191</v>
      </c>
      <c r="N174" s="134" t="s">
        <v>59</v>
      </c>
      <c r="O174" s="167" t="s">
        <v>43</v>
      </c>
      <c r="P174" s="167" t="s">
        <v>538</v>
      </c>
      <c r="Q174" s="167" t="s">
        <v>534</v>
      </c>
      <c r="R174" s="135" t="s">
        <v>59</v>
      </c>
      <c r="S174" s="136" t="e">
        <f>(10000-5000)/EUR</f>
        <v>#REF!</v>
      </c>
      <c r="T174" s="73">
        <f>10000-5000</f>
        <v>5000</v>
      </c>
      <c r="U174" s="136" t="e">
        <f>Table12117[[#This Row],[Amortised Limit in Original Currency]]/EUR</f>
        <v>#REF!</v>
      </c>
      <c r="V174" s="136" t="e">
        <f>105000/EUR</f>
        <v>#REF!</v>
      </c>
      <c r="W174" s="136" t="e">
        <f>(1954267-1098238.86)/EUR</f>
        <v>#REF!</v>
      </c>
      <c r="X174" s="147" t="s">
        <v>11</v>
      </c>
      <c r="Y174" s="185">
        <v>5.5E-2</v>
      </c>
      <c r="Z174" s="137">
        <v>44928</v>
      </c>
      <c r="AA174" s="137">
        <v>47041</v>
      </c>
      <c r="AB174" s="137">
        <v>47077</v>
      </c>
      <c r="AC174" s="138">
        <f t="shared" si="24"/>
        <v>2150</v>
      </c>
      <c r="AD174" s="139" t="e">
        <f t="shared" si="25"/>
        <v>#REF!</v>
      </c>
      <c r="AE174" s="138" t="e">
        <f>AB174-#REF!</f>
        <v>#REF!</v>
      </c>
      <c r="AF174" s="140" t="e">
        <f t="shared" si="19"/>
        <v>#REF!</v>
      </c>
      <c r="AG174" s="274"/>
      <c r="AH174" s="186" t="s">
        <v>1</v>
      </c>
      <c r="AI174" s="186" t="s">
        <v>1</v>
      </c>
      <c r="AJ174" s="187" t="s">
        <v>0</v>
      </c>
      <c r="AK174" s="164" t="e">
        <f t="shared" si="20"/>
        <v>#REF!</v>
      </c>
      <c r="AL174" s="164" t="s">
        <v>271</v>
      </c>
      <c r="AM174" s="316" t="s">
        <v>1139</v>
      </c>
      <c r="AN174" s="291"/>
      <c r="AO174" s="291"/>
      <c r="AP174" s="327" t="str">
        <f>Table12117[[#This Row],[Risk Location ]]</f>
        <v>United Kingdom</v>
      </c>
      <c r="AQ174" s="328" t="str">
        <f>Table12117[[#This Row],[Sector (GICS Industry Group)]]</f>
        <v>Consumer Staples</v>
      </c>
      <c r="AR174" s="291"/>
      <c r="AS174" s="291"/>
      <c r="AT174" s="278" t="e">
        <f>Table12117[[#This Row],[Percentage Impact]]*Table12117[[#This Row],[Amortised Limit A$ Balance]]</f>
        <v>#REF!</v>
      </c>
      <c r="AU174" s="278" t="e">
        <f>Table12117[[#This Row],[Amortised Limit A$ Balance]]*12%</f>
        <v>#REF!</v>
      </c>
      <c r="AV174" s="278" t="b">
        <f>IF(Table12117[[#This Row],[Everest]]="Everest",Table12117[[#This Row],[Assetinsure Amount ]]*0.2)</f>
        <v>0</v>
      </c>
      <c r="AW174" s="292"/>
      <c r="AX174" s="278" t="e">
        <f>MIN(Table12117[[#This Row],[Assetinsure Amount ]]-Table12117[[#This Row],[Reinsurance Everest Re]],Table12117[[#This Row],[Total Amount]])</f>
        <v>#REF!</v>
      </c>
      <c r="AY174" s="278">
        <f t="shared" si="21"/>
        <v>0</v>
      </c>
      <c r="AZ174" s="291"/>
      <c r="BC174" s="278">
        <v>0</v>
      </c>
      <c r="BD174" s="229">
        <v>0</v>
      </c>
      <c r="BK174" s="277"/>
      <c r="BL174" s="138" t="s">
        <v>1132</v>
      </c>
      <c r="BN174" s="329"/>
    </row>
    <row r="175" spans="1:66" ht="32.25" customHeight="1" x14ac:dyDescent="0.2">
      <c r="A175" s="132" t="s">
        <v>1135</v>
      </c>
      <c r="B175" s="132" t="s">
        <v>67</v>
      </c>
      <c r="C175" s="65" t="s">
        <v>1142</v>
      </c>
      <c r="D175" s="133" t="s">
        <v>127</v>
      </c>
      <c r="E175" s="131" t="s">
        <v>542</v>
      </c>
      <c r="F175" s="145" t="s">
        <v>149</v>
      </c>
      <c r="G175" s="131" t="s">
        <v>543</v>
      </c>
      <c r="H175" s="131" t="s">
        <v>97</v>
      </c>
      <c r="I175" s="130" t="s">
        <v>255</v>
      </c>
      <c r="J175" s="133" t="s">
        <v>677</v>
      </c>
      <c r="K175" s="133" t="s">
        <v>218</v>
      </c>
      <c r="L175" s="231" t="s">
        <v>209</v>
      </c>
      <c r="M175" s="194" t="s">
        <v>191</v>
      </c>
      <c r="N175" s="134" t="s">
        <v>59</v>
      </c>
      <c r="O175" s="167" t="s">
        <v>43</v>
      </c>
      <c r="P175" s="167" t="s">
        <v>538</v>
      </c>
      <c r="Q175" s="167" t="s">
        <v>534</v>
      </c>
      <c r="R175" s="135" t="s">
        <v>59</v>
      </c>
      <c r="S175" s="136" t="e">
        <f>12500/EUR</f>
        <v>#REF!</v>
      </c>
      <c r="T175" s="73">
        <v>12500</v>
      </c>
      <c r="U175" s="136" t="e">
        <f>Table12117[[#This Row],[Amortised Limit in Original Currency]]/EUR</f>
        <v>#REF!</v>
      </c>
      <c r="V175" s="136" t="e">
        <f>42500/EUR</f>
        <v>#REF!</v>
      </c>
      <c r="W175" s="136" t="e">
        <f>1015208.33/EUR</f>
        <v>#REF!</v>
      </c>
      <c r="X175" s="147" t="s">
        <v>11</v>
      </c>
      <c r="Y175" s="185">
        <v>4.4999999999999998E-2</v>
      </c>
      <c r="Z175" s="137">
        <v>44946</v>
      </c>
      <c r="AA175" s="137">
        <v>46744</v>
      </c>
      <c r="AB175" s="137">
        <v>46803</v>
      </c>
      <c r="AC175" s="138">
        <f t="shared" si="24"/>
        <v>1858</v>
      </c>
      <c r="AD175" s="139" t="e">
        <f t="shared" si="25"/>
        <v>#REF!</v>
      </c>
      <c r="AE175" s="138" t="e">
        <f>AB175-#REF!</f>
        <v>#REF!</v>
      </c>
      <c r="AF175" s="140" t="e">
        <f t="shared" si="19"/>
        <v>#REF!</v>
      </c>
      <c r="AG175" s="56"/>
      <c r="AH175" s="186" t="s">
        <v>1</v>
      </c>
      <c r="AI175" s="186" t="s">
        <v>1</v>
      </c>
      <c r="AJ175" s="187" t="s">
        <v>1161</v>
      </c>
      <c r="AK175" s="143" t="e">
        <f t="shared" si="20"/>
        <v>#REF!</v>
      </c>
      <c r="AL175" s="164" t="s">
        <v>271</v>
      </c>
      <c r="AM175" s="188" t="s">
        <v>1134</v>
      </c>
      <c r="AN175" s="260"/>
      <c r="AO175" s="260"/>
      <c r="AP175" s="312" t="str">
        <f>Table12117[[#This Row],[Risk Location ]]</f>
        <v>Luxembourg</v>
      </c>
      <c r="AQ175" s="313" t="str">
        <f>Table12117[[#This Row],[Sector (GICS Industry Group)]]</f>
        <v>Industrials</v>
      </c>
      <c r="AR175" s="260"/>
      <c r="AS175" s="260"/>
      <c r="AT175" s="212" t="e">
        <f>Table12117[[#This Row],[Percentage Impact]]*Table12117[[#This Row],[Amortised Limit A$ Balance]]</f>
        <v>#REF!</v>
      </c>
      <c r="AU175" s="212" t="e">
        <f>Table12117[[#This Row],[Amortised Limit A$ Balance]]*12%</f>
        <v>#REF!</v>
      </c>
      <c r="AV175" s="212" t="b">
        <f>IF(Table12117[[#This Row],[Everest]]="Everest",Table12117[[#This Row],[Assetinsure Amount ]]*0.2)</f>
        <v>0</v>
      </c>
      <c r="AW175" s="261"/>
      <c r="AX175" s="212" t="e">
        <f>MIN(Table12117[[#This Row],[Assetinsure Amount ]]-Table12117[[#This Row],[Reinsurance Everest Re]],Table12117[[#This Row],[Total Amount]])</f>
        <v>#REF!</v>
      </c>
      <c r="AY175" s="212">
        <f t="shared" si="21"/>
        <v>0</v>
      </c>
      <c r="AZ175" s="260"/>
      <c r="BC175" s="212">
        <v>0</v>
      </c>
      <c r="BD175" s="11">
        <v>0</v>
      </c>
      <c r="BK175" s="154"/>
      <c r="BL175" s="138" t="s">
        <v>1133</v>
      </c>
      <c r="BN175" s="311"/>
    </row>
    <row r="176" spans="1:66" ht="32.25" customHeight="1" x14ac:dyDescent="0.2">
      <c r="A176" s="132" t="s">
        <v>1146</v>
      </c>
      <c r="B176" s="132" t="s">
        <v>23</v>
      </c>
      <c r="C176" s="134" t="s">
        <v>1142</v>
      </c>
      <c r="D176" s="133" t="s">
        <v>149</v>
      </c>
      <c r="E176" s="131" t="s">
        <v>542</v>
      </c>
      <c r="F176" s="145" t="s">
        <v>308</v>
      </c>
      <c r="G176" s="131" t="s">
        <v>92</v>
      </c>
      <c r="H176" s="131" t="s">
        <v>134</v>
      </c>
      <c r="I176" s="131" t="s">
        <v>134</v>
      </c>
      <c r="J176" s="133" t="s">
        <v>148</v>
      </c>
      <c r="K176" s="133" t="s">
        <v>148</v>
      </c>
      <c r="L176" s="231" t="s">
        <v>209</v>
      </c>
      <c r="M176" s="194" t="s">
        <v>191</v>
      </c>
      <c r="N176" s="134" t="s">
        <v>59</v>
      </c>
      <c r="O176" s="167" t="s">
        <v>43</v>
      </c>
      <c r="P176" s="167" t="s">
        <v>531</v>
      </c>
      <c r="Q176" s="167" t="s">
        <v>534</v>
      </c>
      <c r="R176" s="135" t="s">
        <v>1148</v>
      </c>
      <c r="S176" s="320" t="e">
        <f>94012.52742/NOK+5840.11035/EUR</f>
        <v>#REF!</v>
      </c>
      <c r="T176" s="320">
        <f>94012.52742+5840.11035</f>
        <v>99852.637770000001</v>
      </c>
      <c r="U176" s="320" t="e">
        <f>94012.52742/NOK+5840.11035/EUR</f>
        <v>#REF!</v>
      </c>
      <c r="V176" s="136" t="e">
        <f>30000/EUR</f>
        <v>#REF!</v>
      </c>
      <c r="W176" s="136" t="e">
        <f>5867590.28/NOK+350666.35/EUR</f>
        <v>#REF!</v>
      </c>
      <c r="X176" s="147" t="s">
        <v>11</v>
      </c>
      <c r="Y176" s="185">
        <v>2.2499999999999999E-2</v>
      </c>
      <c r="Z176" s="137">
        <v>44972</v>
      </c>
      <c r="AA176" s="137">
        <v>47188</v>
      </c>
      <c r="AB176" s="137">
        <v>47207</v>
      </c>
      <c r="AC176" s="138">
        <f t="shared" si="24"/>
        <v>2236</v>
      </c>
      <c r="AD176" s="139" t="e">
        <f t="shared" si="25"/>
        <v>#REF!</v>
      </c>
      <c r="AE176" s="138" t="e">
        <f>AB176-#REF!</f>
        <v>#REF!</v>
      </c>
      <c r="AF176" s="140" t="e">
        <f t="shared" si="19"/>
        <v>#REF!</v>
      </c>
      <c r="AG176" s="56" t="s">
        <v>436</v>
      </c>
      <c r="AH176" s="318" t="s">
        <v>1</v>
      </c>
      <c r="AI176" s="318" t="s">
        <v>1</v>
      </c>
      <c r="AJ176" s="187" t="s">
        <v>0</v>
      </c>
      <c r="AK176" s="143" t="e">
        <f t="shared" si="20"/>
        <v>#REF!</v>
      </c>
      <c r="AL176" s="164" t="s">
        <v>563</v>
      </c>
      <c r="AM176" s="188" t="s">
        <v>1147</v>
      </c>
      <c r="AN176" s="260"/>
      <c r="AO176" s="260"/>
      <c r="AP176" s="312" t="str">
        <f>Table12117[[#This Row],[Risk Location ]]</f>
        <v>Norway</v>
      </c>
      <c r="AQ176" s="313" t="str">
        <f>Table12117[[#This Row],[Sector (GICS Industry Group)]]</f>
        <v>Transportation</v>
      </c>
      <c r="AR176" s="260"/>
      <c r="AS176" s="260"/>
      <c r="AT176" s="212" t="e">
        <f>Table12117[[#This Row],[Percentage Impact]]*Table12117[[#This Row],[Amortised Limit A$ Balance]]</f>
        <v>#REF!</v>
      </c>
      <c r="AU176" s="212" t="e">
        <f>Table12117[[#This Row],[Amortised Limit A$ Balance]]*12%</f>
        <v>#REF!</v>
      </c>
      <c r="AV176" s="212" t="e">
        <f>IF(Table12117[[#This Row],[Everest]]="Everest",Table12117[[#This Row],[Assetinsure Amount ]]*0.2)</f>
        <v>#REF!</v>
      </c>
      <c r="AW176" s="261"/>
      <c r="AX176" s="212" t="e">
        <f>MIN(Table12117[[#This Row],[Assetinsure Amount ]]-Table12117[[#This Row],[Reinsurance Everest Re]],Table12117[[#This Row],[Total Amount]])</f>
        <v>#REF!</v>
      </c>
      <c r="AY176" s="212">
        <f t="shared" si="21"/>
        <v>0</v>
      </c>
      <c r="AZ176" s="260"/>
      <c r="BC176" s="212">
        <v>0</v>
      </c>
      <c r="BD176" s="11">
        <v>0</v>
      </c>
      <c r="BK176" s="154"/>
      <c r="BL176" s="138" t="s">
        <v>1145</v>
      </c>
      <c r="BN176" s="311"/>
    </row>
    <row r="177" spans="1:66" s="229" customFormat="1" ht="32.25" customHeight="1" x14ac:dyDescent="0.2">
      <c r="A177" s="132" t="s">
        <v>1149</v>
      </c>
      <c r="B177" s="132" t="s">
        <v>51</v>
      </c>
      <c r="C177" s="134" t="s">
        <v>1141</v>
      </c>
      <c r="D177" s="133" t="s">
        <v>876</v>
      </c>
      <c r="E177" s="131" t="s">
        <v>541</v>
      </c>
      <c r="F177" s="145" t="s">
        <v>38</v>
      </c>
      <c r="G177" s="131" t="s">
        <v>92</v>
      </c>
      <c r="H177" s="131" t="s">
        <v>134</v>
      </c>
      <c r="I177" s="131" t="s">
        <v>134</v>
      </c>
      <c r="J177" s="133" t="s">
        <v>50</v>
      </c>
      <c r="K177" s="131" t="s">
        <v>21</v>
      </c>
      <c r="L177" s="231" t="s">
        <v>209</v>
      </c>
      <c r="M177" s="194" t="s">
        <v>191</v>
      </c>
      <c r="N177" s="134" t="s">
        <v>323</v>
      </c>
      <c r="O177" s="167" t="s">
        <v>43</v>
      </c>
      <c r="P177" s="167" t="s">
        <v>531</v>
      </c>
      <c r="Q177" s="167" t="s">
        <v>534</v>
      </c>
      <c r="R177" s="135" t="s">
        <v>9</v>
      </c>
      <c r="S177" s="320" t="e">
        <f>12500/USD</f>
        <v>#REF!</v>
      </c>
      <c r="T177" s="73">
        <v>12500</v>
      </c>
      <c r="U177" s="136" t="e">
        <f>Table12117[[#This Row],[Amortised Limit in Original Currency]]/USD</f>
        <v>#REF!</v>
      </c>
      <c r="V177" s="136" t="e">
        <f>66778.065/USD</f>
        <v>#REF!</v>
      </c>
      <c r="W177" s="136" t="e">
        <f>1458062.39/USD</f>
        <v>#REF!</v>
      </c>
      <c r="X177" s="147" t="s">
        <v>11</v>
      </c>
      <c r="Y177" s="185">
        <v>4.2500000000000003E-2</v>
      </c>
      <c r="Z177" s="137">
        <v>44984</v>
      </c>
      <c r="AA177" s="137">
        <v>46726</v>
      </c>
      <c r="AB177" s="137">
        <v>46769</v>
      </c>
      <c r="AC177" s="138">
        <f t="shared" si="24"/>
        <v>1786</v>
      </c>
      <c r="AD177" s="139" t="e">
        <f t="shared" si="25"/>
        <v>#REF!</v>
      </c>
      <c r="AE177" s="138" t="e">
        <f>AB177-#REF!</f>
        <v>#REF!</v>
      </c>
      <c r="AF177" s="140" t="e">
        <f t="shared" si="19"/>
        <v>#REF!</v>
      </c>
      <c r="AG177" s="274"/>
      <c r="AH177" s="318" t="s">
        <v>1</v>
      </c>
      <c r="AI177" s="318" t="s">
        <v>1</v>
      </c>
      <c r="AJ177" s="187" t="s">
        <v>1201</v>
      </c>
      <c r="AK177" s="164" t="e">
        <f t="shared" si="20"/>
        <v>#REF!</v>
      </c>
      <c r="AL177" s="164" t="s">
        <v>271</v>
      </c>
      <c r="AM177" s="188" t="s">
        <v>1150</v>
      </c>
      <c r="AN177" s="291"/>
      <c r="AO177" s="291"/>
      <c r="AP177" s="327" t="str">
        <f>Table12117[[#This Row],[Risk Location ]]</f>
        <v>Singapore</v>
      </c>
      <c r="AQ177" s="328" t="str">
        <f>Table12117[[#This Row],[Sector (GICS Industry Group)]]</f>
        <v>Transportation</v>
      </c>
      <c r="AR177" s="291"/>
      <c r="AS177" s="291"/>
      <c r="AT177" s="212" t="e">
        <f>Table12117[[#This Row],[Percentage Impact]]*Table12117[[#This Row],[Amortised Limit A$ Balance]]</f>
        <v>#REF!</v>
      </c>
      <c r="AU177" s="212" t="e">
        <f>Table12117[[#This Row],[Amortised Limit A$ Balance]]*12%</f>
        <v>#REF!</v>
      </c>
      <c r="AV177" s="212" t="b">
        <f>IF(Table12117[[#This Row],[Everest]]="Everest",Table12117[[#This Row],[Assetinsure Amount ]]*0.2)</f>
        <v>0</v>
      </c>
      <c r="AW177" s="292"/>
      <c r="AX177" s="212" t="e">
        <f>MIN(Table12117[[#This Row],[Assetinsure Amount ]]-Table12117[[#This Row],[Reinsurance Everest Re]],Table12117[[#This Row],[Total Amount]])</f>
        <v>#REF!</v>
      </c>
      <c r="AY177" s="212">
        <f t="shared" si="21"/>
        <v>0</v>
      </c>
      <c r="AZ177" s="291"/>
      <c r="BC177" s="278">
        <v>0</v>
      </c>
      <c r="BD177" s="11">
        <v>0</v>
      </c>
      <c r="BK177" s="277"/>
      <c r="BL177" s="138" t="s">
        <v>1151</v>
      </c>
      <c r="BN177" s="329"/>
    </row>
    <row r="178" spans="1:66" ht="32.25" customHeight="1" x14ac:dyDescent="0.2">
      <c r="A178" s="132" t="s">
        <v>1152</v>
      </c>
      <c r="B178" s="132" t="s">
        <v>67</v>
      </c>
      <c r="C178" s="134" t="s">
        <v>243</v>
      </c>
      <c r="D178" s="133" t="s">
        <v>89</v>
      </c>
      <c r="E178" s="131" t="s">
        <v>542</v>
      </c>
      <c r="F178" s="145" t="s">
        <v>89</v>
      </c>
      <c r="G178" s="131" t="s">
        <v>891</v>
      </c>
      <c r="H178" s="131" t="s">
        <v>167</v>
      </c>
      <c r="I178" s="145" t="s">
        <v>167</v>
      </c>
      <c r="J178" s="133" t="s">
        <v>60</v>
      </c>
      <c r="K178" s="131" t="s">
        <v>220</v>
      </c>
      <c r="L178" s="300" t="s">
        <v>140</v>
      </c>
      <c r="M178" s="194" t="s">
        <v>191</v>
      </c>
      <c r="N178" s="134" t="s">
        <v>59</v>
      </c>
      <c r="O178" s="167" t="s">
        <v>43</v>
      </c>
      <c r="P178" s="167" t="s">
        <v>538</v>
      </c>
      <c r="Q178" s="167" t="s">
        <v>534</v>
      </c>
      <c r="R178" s="135" t="s">
        <v>59</v>
      </c>
      <c r="S178" s="320" t="e">
        <f>11000/EUR</f>
        <v>#REF!</v>
      </c>
      <c r="T178" s="73">
        <v>11000</v>
      </c>
      <c r="U178" s="136" t="e">
        <f>Table12117[[#This Row],[Amortised Limit in Original Currency]]/EUR</f>
        <v>#REF!</v>
      </c>
      <c r="V178" s="136" t="e">
        <f>335000/EUR</f>
        <v>#REF!</v>
      </c>
      <c r="W178" s="136" t="e">
        <f>869537.28/EUR</f>
        <v>#REF!</v>
      </c>
      <c r="X178" s="147" t="s">
        <v>11</v>
      </c>
      <c r="Y178" s="185">
        <v>2.1000000000000001E-2</v>
      </c>
      <c r="Z178" s="137">
        <v>44985</v>
      </c>
      <c r="AA178" s="137">
        <v>47052</v>
      </c>
      <c r="AB178" s="137">
        <v>47455</v>
      </c>
      <c r="AC178" s="138">
        <f t="shared" si="24"/>
        <v>2471</v>
      </c>
      <c r="AD178" s="139" t="e">
        <f t="shared" si="25"/>
        <v>#REF!</v>
      </c>
      <c r="AE178" s="138" t="e">
        <f>AB178-#REF!</f>
        <v>#REF!</v>
      </c>
      <c r="AF178" s="140" t="e">
        <f t="shared" si="19"/>
        <v>#REF!</v>
      </c>
      <c r="AG178" s="56"/>
      <c r="AH178" s="318" t="s">
        <v>1</v>
      </c>
      <c r="AI178" s="318" t="s">
        <v>1</v>
      </c>
      <c r="AJ178" s="319" t="s">
        <v>0</v>
      </c>
      <c r="AK178" s="143" t="e">
        <f t="shared" si="20"/>
        <v>#REF!</v>
      </c>
      <c r="AL178" s="164" t="s">
        <v>271</v>
      </c>
      <c r="AM178" s="188" t="s">
        <v>1162</v>
      </c>
      <c r="AN178" s="260"/>
      <c r="AO178" s="260"/>
      <c r="AP178" s="312" t="str">
        <f>Table12117[[#This Row],[Risk Location ]]</f>
        <v>Netherlands</v>
      </c>
      <c r="AQ178" s="313" t="str">
        <f>Table12117[[#This Row],[Sector (GICS Industry Group)]]</f>
        <v>Information Technology - Hardware &amp; Equipment</v>
      </c>
      <c r="AR178" s="260"/>
      <c r="AS178" s="260"/>
      <c r="AT178" s="212" t="e">
        <f>Table12117[[#This Row],[Percentage Impact]]*Table12117[[#This Row],[Amortised Limit A$ Balance]]</f>
        <v>#REF!</v>
      </c>
      <c r="AU178" s="212" t="e">
        <f>Table12117[[#This Row],[Amortised Limit A$ Balance]]*12%</f>
        <v>#REF!</v>
      </c>
      <c r="AV178" s="212" t="b">
        <f>IF(Table12117[[#This Row],[Everest]]="Everest",Table12117[[#This Row],[Assetinsure Amount ]]*0.2)</f>
        <v>0</v>
      </c>
      <c r="AW178" s="261"/>
      <c r="AX178" s="212" t="e">
        <f>MIN(Table12117[[#This Row],[Assetinsure Amount ]]-Table12117[[#This Row],[Reinsurance Everest Re]],Table12117[[#This Row],[Total Amount]])</f>
        <v>#REF!</v>
      </c>
      <c r="AY178" s="212">
        <f t="shared" si="21"/>
        <v>0</v>
      </c>
      <c r="AZ178" s="260"/>
      <c r="BC178" s="212">
        <v>0</v>
      </c>
      <c r="BD178" s="11">
        <v>0</v>
      </c>
      <c r="BK178" s="154"/>
      <c r="BL178" s="138" t="s">
        <v>1153</v>
      </c>
      <c r="BN178" s="311"/>
    </row>
    <row r="179" spans="1:66" ht="32.25" customHeight="1" x14ac:dyDescent="0.2">
      <c r="A179" s="132" t="s">
        <v>1166</v>
      </c>
      <c r="B179" s="132" t="s">
        <v>67</v>
      </c>
      <c r="C179" s="134" t="s">
        <v>243</v>
      </c>
      <c r="D179" s="133" t="s">
        <v>38</v>
      </c>
      <c r="E179" s="131" t="s">
        <v>499</v>
      </c>
      <c r="F179" s="145" t="s">
        <v>162</v>
      </c>
      <c r="G179" s="131" t="s">
        <v>892</v>
      </c>
      <c r="H179" s="131" t="s">
        <v>259</v>
      </c>
      <c r="I179" s="145" t="s">
        <v>258</v>
      </c>
      <c r="J179" s="133" t="s">
        <v>142</v>
      </c>
      <c r="K179" s="133" t="s">
        <v>218</v>
      </c>
      <c r="L179" s="231" t="s">
        <v>209</v>
      </c>
      <c r="M179" s="194" t="s">
        <v>191</v>
      </c>
      <c r="N179" s="134" t="s">
        <v>323</v>
      </c>
      <c r="O179" s="167" t="s">
        <v>43</v>
      </c>
      <c r="P179" s="167" t="s">
        <v>538</v>
      </c>
      <c r="Q179" s="167" t="s">
        <v>534</v>
      </c>
      <c r="R179" s="135" t="s">
        <v>9</v>
      </c>
      <c r="S179" s="320" t="e">
        <f>7500/USD</f>
        <v>#REF!</v>
      </c>
      <c r="T179" s="73">
        <v>7500</v>
      </c>
      <c r="U179" s="136" t="e">
        <f>Table12117[[#This Row],[Amortised Limit in Original Currency]]/USD</f>
        <v>#REF!</v>
      </c>
      <c r="V179" s="136" t="e">
        <f>25000/USD</f>
        <v>#REF!</v>
      </c>
      <c r="W179" s="136" t="e">
        <f>745939.23/USD</f>
        <v>#REF!</v>
      </c>
      <c r="X179" s="147" t="s">
        <v>11</v>
      </c>
      <c r="Y179" s="185">
        <v>4.2500000000000003E-2</v>
      </c>
      <c r="Z179" s="137">
        <v>44985</v>
      </c>
      <c r="AA179" s="137">
        <v>46727</v>
      </c>
      <c r="AB179" s="137">
        <v>46756</v>
      </c>
      <c r="AC179" s="138">
        <f t="shared" si="24"/>
        <v>1772</v>
      </c>
      <c r="AD179" s="139" t="e">
        <f t="shared" si="25"/>
        <v>#REF!</v>
      </c>
      <c r="AE179" s="138" t="e">
        <f>AB179-#REF!</f>
        <v>#REF!</v>
      </c>
      <c r="AF179" s="140" t="e">
        <f t="shared" si="19"/>
        <v>#REF!</v>
      </c>
      <c r="AG179" s="56"/>
      <c r="AH179" s="318" t="s">
        <v>1</v>
      </c>
      <c r="AI179" s="318" t="s">
        <v>1</v>
      </c>
      <c r="AJ179" s="319" t="s">
        <v>1155</v>
      </c>
      <c r="AK179" s="143" t="e">
        <f t="shared" si="20"/>
        <v>#REF!</v>
      </c>
      <c r="AL179" s="164" t="s">
        <v>271</v>
      </c>
      <c r="AM179" s="188" t="s">
        <v>1169</v>
      </c>
      <c r="AN179" s="260"/>
      <c r="AO179" s="260"/>
      <c r="AP179" s="312" t="str">
        <f>Table12117[[#This Row],[Risk Location ]]</f>
        <v>United States</v>
      </c>
      <c r="AQ179" s="313" t="str">
        <f>Table12117[[#This Row],[Sector (GICS Industry Group)]]</f>
        <v>Information Technology - Software &amp; Services</v>
      </c>
      <c r="AR179" s="260"/>
      <c r="AS179" s="260"/>
      <c r="AT179" s="212" t="e">
        <f>Table12117[[#This Row],[Percentage Impact]]*Table12117[[#This Row],[Amortised Limit A$ Balance]]</f>
        <v>#REF!</v>
      </c>
      <c r="AU179" s="212" t="e">
        <f>Table12117[[#This Row],[Amortised Limit A$ Balance]]*12%</f>
        <v>#REF!</v>
      </c>
      <c r="AV179" s="212" t="b">
        <f>IF(Table12117[[#This Row],[Everest]]="Everest",Table12117[[#This Row],[Assetinsure Amount ]]*0.2)</f>
        <v>0</v>
      </c>
      <c r="AW179" s="261"/>
      <c r="AX179" s="212" t="e">
        <f>MIN(Table12117[[#This Row],[Assetinsure Amount ]]-Table12117[[#This Row],[Reinsurance Everest Re]],Table12117[[#This Row],[Total Amount]])</f>
        <v>#REF!</v>
      </c>
      <c r="AY179" s="212">
        <f t="shared" si="21"/>
        <v>0</v>
      </c>
      <c r="AZ179" s="260"/>
      <c r="BC179" s="212">
        <v>0</v>
      </c>
      <c r="BD179" s="11">
        <v>0</v>
      </c>
      <c r="BK179" s="154"/>
      <c r="BL179" s="138" t="s">
        <v>1154</v>
      </c>
      <c r="BN179" s="311"/>
    </row>
    <row r="180" spans="1:66" ht="32.25" customHeight="1" x14ac:dyDescent="0.2">
      <c r="A180" s="132" t="s">
        <v>1159</v>
      </c>
      <c r="B180" s="132" t="s">
        <v>51</v>
      </c>
      <c r="C180" s="134" t="s">
        <v>1144</v>
      </c>
      <c r="D180" s="133" t="s">
        <v>746</v>
      </c>
      <c r="E180" s="131" t="s">
        <v>542</v>
      </c>
      <c r="F180" s="133" t="s">
        <v>746</v>
      </c>
      <c r="G180" s="131" t="s">
        <v>544</v>
      </c>
      <c r="H180" s="131" t="s">
        <v>178</v>
      </c>
      <c r="I180" s="145" t="s">
        <v>454</v>
      </c>
      <c r="J180" s="133" t="s">
        <v>1156</v>
      </c>
      <c r="K180" s="133" t="s">
        <v>220</v>
      </c>
      <c r="L180" s="231" t="s">
        <v>29</v>
      </c>
      <c r="M180" s="194" t="s">
        <v>191</v>
      </c>
      <c r="N180" s="134" t="s">
        <v>59</v>
      </c>
      <c r="O180" s="167" t="s">
        <v>43</v>
      </c>
      <c r="P180" s="167" t="s">
        <v>538</v>
      </c>
      <c r="Q180" s="167" t="s">
        <v>534</v>
      </c>
      <c r="R180" s="135" t="s">
        <v>59</v>
      </c>
      <c r="S180" s="320" t="e">
        <f>20000/EUR</f>
        <v>#REF!</v>
      </c>
      <c r="T180" s="73">
        <v>20000</v>
      </c>
      <c r="U180" s="136" t="e">
        <f>Table12117[[#This Row],[Amortised Limit in Original Currency]]/EUR</f>
        <v>#REF!</v>
      </c>
      <c r="V180" s="136" t="e">
        <f>50200/EUR</f>
        <v>#REF!</v>
      </c>
      <c r="W180" s="136" t="e">
        <f>1940836.82/EUR</f>
        <v>#REF!</v>
      </c>
      <c r="X180" s="147" t="s">
        <v>11</v>
      </c>
      <c r="Y180" s="185">
        <v>3.5475E-2</v>
      </c>
      <c r="Z180" s="137">
        <v>44985</v>
      </c>
      <c r="AA180" s="137">
        <v>47074</v>
      </c>
      <c r="AB180" s="137">
        <v>47104</v>
      </c>
      <c r="AC180" s="138">
        <f t="shared" si="24"/>
        <v>2120</v>
      </c>
      <c r="AD180" s="139" t="e">
        <f t="shared" si="25"/>
        <v>#REF!</v>
      </c>
      <c r="AE180" s="138" t="e">
        <f>AB180-#REF!</f>
        <v>#REF!</v>
      </c>
      <c r="AF180" s="140" t="e">
        <f t="shared" si="19"/>
        <v>#REF!</v>
      </c>
      <c r="AG180" s="56" t="s">
        <v>436</v>
      </c>
      <c r="AH180" s="318" t="s">
        <v>1</v>
      </c>
      <c r="AI180" s="318" t="s">
        <v>1</v>
      </c>
      <c r="AJ180" s="319" t="s">
        <v>1160</v>
      </c>
      <c r="AK180" s="143" t="e">
        <f t="shared" si="20"/>
        <v>#REF!</v>
      </c>
      <c r="AL180" s="164" t="s">
        <v>271</v>
      </c>
      <c r="AM180" s="188" t="s">
        <v>1157</v>
      </c>
      <c r="AN180" s="260"/>
      <c r="AO180" s="260"/>
      <c r="AP180" s="312" t="str">
        <f>Table12117[[#This Row],[Risk Location ]]</f>
        <v>Czech Republic</v>
      </c>
      <c r="AQ180" s="313" t="str">
        <f>Table12117[[#This Row],[Sector (GICS Industry Group)]]</f>
        <v>Consumer Discretionary</v>
      </c>
      <c r="AR180" s="260"/>
      <c r="AS180" s="260"/>
      <c r="AT180" s="212" t="e">
        <f>Table12117[[#This Row],[Percentage Impact]]*Table12117[[#This Row],[Amortised Limit A$ Balance]]</f>
        <v>#REF!</v>
      </c>
      <c r="AU180" s="212" t="e">
        <f>Table12117[[#This Row],[Amortised Limit A$ Balance]]*12%</f>
        <v>#REF!</v>
      </c>
      <c r="AV180" s="212" t="e">
        <f>IF(Table12117[[#This Row],[Everest]]="Everest",Table12117[[#This Row],[Assetinsure Amount ]]*0.2)</f>
        <v>#REF!</v>
      </c>
      <c r="AW180" s="261"/>
      <c r="AX180" s="212" t="e">
        <f>MIN(Table12117[[#This Row],[Assetinsure Amount ]]-Table12117[[#This Row],[Reinsurance Everest Re]],Table12117[[#This Row],[Total Amount]])</f>
        <v>#REF!</v>
      </c>
      <c r="AY180" s="212">
        <f t="shared" si="21"/>
        <v>0</v>
      </c>
      <c r="AZ180" s="260"/>
      <c r="BC180" s="212">
        <v>0</v>
      </c>
      <c r="BD180" s="11">
        <v>0</v>
      </c>
      <c r="BK180" s="154"/>
      <c r="BL180" s="138" t="s">
        <v>1158</v>
      </c>
      <c r="BN180" s="311"/>
    </row>
    <row r="181" spans="1:66" ht="32.25" customHeight="1" x14ac:dyDescent="0.2">
      <c r="A181" s="132" t="s">
        <v>1167</v>
      </c>
      <c r="B181" s="132" t="s">
        <v>67</v>
      </c>
      <c r="C181" s="134" t="s">
        <v>243</v>
      </c>
      <c r="D181" s="133" t="s">
        <v>38</v>
      </c>
      <c r="E181" s="131" t="s">
        <v>499</v>
      </c>
      <c r="F181" s="145" t="s">
        <v>162</v>
      </c>
      <c r="G181" s="131" t="s">
        <v>892</v>
      </c>
      <c r="H181" s="131" t="s">
        <v>259</v>
      </c>
      <c r="I181" s="145" t="s">
        <v>258</v>
      </c>
      <c r="J181" s="133" t="s">
        <v>1088</v>
      </c>
      <c r="K181" s="133" t="s">
        <v>687</v>
      </c>
      <c r="L181" s="231" t="s">
        <v>209</v>
      </c>
      <c r="M181" s="194" t="s">
        <v>191</v>
      </c>
      <c r="N181" s="134" t="s">
        <v>323</v>
      </c>
      <c r="O181" s="167" t="s">
        <v>43</v>
      </c>
      <c r="P181" s="167" t="s">
        <v>538</v>
      </c>
      <c r="Q181" s="167" t="s">
        <v>534</v>
      </c>
      <c r="R181" s="135" t="s">
        <v>9</v>
      </c>
      <c r="S181" s="320" t="e">
        <f>7500/USD</f>
        <v>#REF!</v>
      </c>
      <c r="T181" s="73">
        <v>7500</v>
      </c>
      <c r="U181" s="136" t="e">
        <f>Table12117[[#This Row],[Amortised Limit in Original Currency]]/USD</f>
        <v>#REF!</v>
      </c>
      <c r="V181" s="136" t="e">
        <f>25000/USD</f>
        <v>#REF!</v>
      </c>
      <c r="W181" s="136" t="e">
        <f>891064.53/USD</f>
        <v>#REF!</v>
      </c>
      <c r="X181" s="147" t="s">
        <v>11</v>
      </c>
      <c r="Y181" s="185">
        <v>4.2500000000000003E-2</v>
      </c>
      <c r="Z181" s="137">
        <v>44987</v>
      </c>
      <c r="AA181" s="137">
        <v>46773</v>
      </c>
      <c r="AB181" s="137">
        <v>46773</v>
      </c>
      <c r="AC181" s="138">
        <f t="shared" si="24"/>
        <v>1787</v>
      </c>
      <c r="AD181" s="139" t="e">
        <f t="shared" si="25"/>
        <v>#REF!</v>
      </c>
      <c r="AE181" s="138" t="e">
        <f>AB181-#REF!</f>
        <v>#REF!</v>
      </c>
      <c r="AF181" s="140" t="e">
        <f t="shared" si="19"/>
        <v>#REF!</v>
      </c>
      <c r="AG181" s="56"/>
      <c r="AH181" s="318" t="s">
        <v>1</v>
      </c>
      <c r="AI181" s="318" t="s">
        <v>1</v>
      </c>
      <c r="AJ181" s="319" t="s">
        <v>1164</v>
      </c>
      <c r="AK181" s="143" t="e">
        <f t="shared" si="20"/>
        <v>#REF!</v>
      </c>
      <c r="AL181" s="164" t="s">
        <v>271</v>
      </c>
      <c r="AM181" s="188" t="s">
        <v>1168</v>
      </c>
      <c r="AN181" s="260"/>
      <c r="AO181" s="260"/>
      <c r="AP181" s="312" t="str">
        <f>Table12117[[#This Row],[Risk Location ]]</f>
        <v>United States</v>
      </c>
      <c r="AQ181" s="313" t="str">
        <f>Table12117[[#This Row],[Sector (GICS Industry Group)]]</f>
        <v>Information Technology - Software &amp; Services</v>
      </c>
      <c r="AR181" s="260"/>
      <c r="AS181" s="260"/>
      <c r="AT181" s="212" t="e">
        <f>Table12117[[#This Row],[Percentage Impact]]*Table12117[[#This Row],[Amortised Limit A$ Balance]]</f>
        <v>#REF!</v>
      </c>
      <c r="AU181" s="212" t="e">
        <f>Table12117[[#This Row],[Amortised Limit A$ Balance]]*12%</f>
        <v>#REF!</v>
      </c>
      <c r="AV181" s="212" t="b">
        <f>IF(Table12117[[#This Row],[Everest]]="Everest",Table12117[[#This Row],[Assetinsure Amount ]]*0.2)</f>
        <v>0</v>
      </c>
      <c r="AW181" s="261"/>
      <c r="AX181" s="212" t="e">
        <f>MIN(Table12117[[#This Row],[Assetinsure Amount ]]-Table12117[[#This Row],[Reinsurance Everest Re]],Table12117[[#This Row],[Total Amount]])</f>
        <v>#REF!</v>
      </c>
      <c r="AY181" s="212">
        <f t="shared" si="21"/>
        <v>0</v>
      </c>
      <c r="AZ181" s="260"/>
      <c r="BC181" s="212">
        <v>0</v>
      </c>
      <c r="BD181" s="11">
        <v>0</v>
      </c>
      <c r="BK181" s="154"/>
      <c r="BL181" s="138" t="s">
        <v>1165</v>
      </c>
      <c r="BN181" s="311"/>
    </row>
    <row r="182" spans="1:66" ht="32.25" customHeight="1" x14ac:dyDescent="0.2">
      <c r="A182" s="132" t="s">
        <v>1171</v>
      </c>
      <c r="B182" s="132" t="s">
        <v>24</v>
      </c>
      <c r="C182" s="134" t="s">
        <v>243</v>
      </c>
      <c r="D182" s="133" t="s">
        <v>38</v>
      </c>
      <c r="E182" s="131" t="s">
        <v>541</v>
      </c>
      <c r="F182" s="145" t="s">
        <v>38</v>
      </c>
      <c r="G182" s="14" t="s">
        <v>102</v>
      </c>
      <c r="H182" s="14" t="s">
        <v>102</v>
      </c>
      <c r="I182" s="66" t="s">
        <v>110</v>
      </c>
      <c r="J182" s="133" t="s">
        <v>142</v>
      </c>
      <c r="K182" s="133" t="s">
        <v>218</v>
      </c>
      <c r="L182" s="231" t="s">
        <v>101</v>
      </c>
      <c r="M182" s="194" t="s">
        <v>191</v>
      </c>
      <c r="N182" s="134" t="s">
        <v>323</v>
      </c>
      <c r="O182" s="167" t="s">
        <v>43</v>
      </c>
      <c r="P182" s="167" t="s">
        <v>531</v>
      </c>
      <c r="Q182" s="167" t="s">
        <v>534</v>
      </c>
      <c r="R182" s="135" t="s">
        <v>1175</v>
      </c>
      <c r="S182" s="320" t="e">
        <f>5000/USD+12500/SGD</f>
        <v>#REF!</v>
      </c>
      <c r="T182" s="73">
        <f>5000+12500</f>
        <v>17500</v>
      </c>
      <c r="U182" s="320" t="e">
        <f>5000/USD+12500/SGD</f>
        <v>#REF!</v>
      </c>
      <c r="V182" s="136" t="e">
        <f>63000/USD</f>
        <v>#REF!</v>
      </c>
      <c r="W182" s="136" t="e">
        <f>304106.27/USD+178559.04/SGD</f>
        <v>#REF!</v>
      </c>
      <c r="X182" s="147" t="s">
        <v>11</v>
      </c>
      <c r="Y182" s="185">
        <v>6.1249999999999999E-2</v>
      </c>
      <c r="Z182" s="137">
        <v>44992</v>
      </c>
      <c r="AA182" s="137">
        <v>45626</v>
      </c>
      <c r="AB182" s="137">
        <v>45626</v>
      </c>
      <c r="AC182" s="138">
        <f t="shared" si="24"/>
        <v>635</v>
      </c>
      <c r="AD182" s="139" t="e">
        <f t="shared" si="25"/>
        <v>#REF!</v>
      </c>
      <c r="AE182" s="138" t="e">
        <f>AB182-#REF!</f>
        <v>#REF!</v>
      </c>
      <c r="AF182" s="140" t="e">
        <f t="shared" si="19"/>
        <v>#REF!</v>
      </c>
      <c r="AG182" s="56"/>
      <c r="AH182" s="318" t="s">
        <v>1</v>
      </c>
      <c r="AI182" s="318" t="s">
        <v>1</v>
      </c>
      <c r="AJ182" s="319" t="s">
        <v>1174</v>
      </c>
      <c r="AK182" s="143" t="e">
        <f t="shared" si="20"/>
        <v>#REF!</v>
      </c>
      <c r="AL182" s="164" t="s">
        <v>271</v>
      </c>
      <c r="AM182" s="188" t="s">
        <v>1173</v>
      </c>
      <c r="AN182" s="260"/>
      <c r="AO182" s="260"/>
      <c r="AP182" s="312" t="str">
        <f>Table12117[[#This Row],[Risk Location ]]</f>
        <v>Singapore</v>
      </c>
      <c r="AQ182" s="313" t="str">
        <f>Table12117[[#This Row],[Sector (GICS Industry Group)]]</f>
        <v>Real Estate Investment</v>
      </c>
      <c r="AR182" s="260"/>
      <c r="AS182" s="260"/>
      <c r="AT182" s="212" t="e">
        <f>Table12117[[#This Row],[Percentage Impact]]*Table12117[[#This Row],[Amortised Limit A$ Balance]]</f>
        <v>#REF!</v>
      </c>
      <c r="AU182" s="212" t="e">
        <f>Table12117[[#This Row],[Amortised Limit A$ Balance]]*12%</f>
        <v>#REF!</v>
      </c>
      <c r="AV182" s="212" t="b">
        <f>IF(Table12117[[#This Row],[Everest]]="Everest",Table12117[[#This Row],[Assetinsure Amount ]]*0.2)</f>
        <v>0</v>
      </c>
      <c r="AW182" s="261"/>
      <c r="AX182" s="212" t="e">
        <f>MIN(Table12117[[#This Row],[Assetinsure Amount ]]-Table12117[[#This Row],[Reinsurance Everest Re]],Table12117[[#This Row],[Total Amount]])</f>
        <v>#REF!</v>
      </c>
      <c r="AY182" s="212">
        <f t="shared" si="21"/>
        <v>0</v>
      </c>
      <c r="AZ182" s="260"/>
      <c r="BC182" s="212">
        <v>0</v>
      </c>
      <c r="BD182" s="11">
        <v>0</v>
      </c>
      <c r="BK182" s="154"/>
      <c r="BL182" s="138" t="s">
        <v>1172</v>
      </c>
      <c r="BN182" s="311"/>
    </row>
    <row r="183" spans="1:66" ht="32.25" customHeight="1" x14ac:dyDescent="0.2">
      <c r="A183" s="132" t="s">
        <v>1210</v>
      </c>
      <c r="B183" s="132" t="s">
        <v>24</v>
      </c>
      <c r="C183" s="134" t="s">
        <v>1143</v>
      </c>
      <c r="D183" s="133" t="s">
        <v>34</v>
      </c>
      <c r="E183" s="131" t="s">
        <v>34</v>
      </c>
      <c r="F183" s="145" t="s">
        <v>34</v>
      </c>
      <c r="G183" s="131" t="s">
        <v>475</v>
      </c>
      <c r="H183" s="66" t="s">
        <v>227</v>
      </c>
      <c r="I183" s="131" t="s">
        <v>827</v>
      </c>
      <c r="J183" s="133" t="s">
        <v>1213</v>
      </c>
      <c r="K183" s="131" t="s">
        <v>1113</v>
      </c>
      <c r="L183" s="300" t="s">
        <v>29</v>
      </c>
      <c r="M183" s="194" t="s">
        <v>191</v>
      </c>
      <c r="N183" s="134" t="s">
        <v>323</v>
      </c>
      <c r="O183" s="167" t="s">
        <v>43</v>
      </c>
      <c r="P183" s="167" t="s">
        <v>538</v>
      </c>
      <c r="Q183" s="167" t="s">
        <v>534</v>
      </c>
      <c r="R183" s="135" t="s">
        <v>8</v>
      </c>
      <c r="S183" s="320">
        <v>20000</v>
      </c>
      <c r="T183" s="73">
        <v>20000</v>
      </c>
      <c r="U183" s="136">
        <f>Table12117[[#This Row],[Amortised Limit in Original Currency]]</f>
        <v>20000</v>
      </c>
      <c r="V183" s="136">
        <v>92500</v>
      </c>
      <c r="W183" s="136">
        <v>583810.96</v>
      </c>
      <c r="X183" s="147" t="s">
        <v>11</v>
      </c>
      <c r="Y183" s="185">
        <v>1.06E-2</v>
      </c>
      <c r="Z183" s="137">
        <v>44988</v>
      </c>
      <c r="AA183" s="137">
        <v>46113</v>
      </c>
      <c r="AB183" s="137">
        <v>46173</v>
      </c>
      <c r="AC183" s="138">
        <f t="shared" si="24"/>
        <v>1186</v>
      </c>
      <c r="AD183" s="139" t="e">
        <f t="shared" si="25"/>
        <v>#REF!</v>
      </c>
      <c r="AE183" s="138" t="e">
        <f>AB183-#REF!</f>
        <v>#REF!</v>
      </c>
      <c r="AF183" s="140" t="e">
        <f>AE183/365</f>
        <v>#REF!</v>
      </c>
      <c r="AG183" s="56"/>
      <c r="AH183" s="318" t="s">
        <v>1</v>
      </c>
      <c r="AI183" s="318" t="s">
        <v>1</v>
      </c>
      <c r="AJ183" s="319" t="s">
        <v>0</v>
      </c>
      <c r="AK183" s="143" t="e">
        <f>+IF(AB183-60&lt;$A$1, "SEND NOTICE", "N/A")</f>
        <v>#REF!</v>
      </c>
      <c r="AL183" s="164" t="s">
        <v>271</v>
      </c>
      <c r="AM183" s="188" t="s">
        <v>1211</v>
      </c>
      <c r="AN183" s="260"/>
      <c r="AO183" s="260"/>
      <c r="AP183" s="312" t="str">
        <f>Table12117[[#This Row],[Risk Location ]]</f>
        <v>Australia</v>
      </c>
      <c r="AQ183" s="313" t="str">
        <f>Table12117[[#This Row],[Sector (GICS Industry Group)]]</f>
        <v>Health Care</v>
      </c>
      <c r="AR183" s="260"/>
      <c r="AS183" s="260"/>
      <c r="AT183" s="261">
        <f>Table12117[[#This Row],[Percentage Impact]]*Table12117[[#This Row],[Amortised Limit A$ Balance]]</f>
        <v>0</v>
      </c>
      <c r="AU183" s="261">
        <f>Table12117[[#This Row],[Amortised Limit A$ Balance]]*12%</f>
        <v>2400</v>
      </c>
      <c r="AV183" s="261" t="b">
        <f>IF(Table12117[[#This Row],[Everest]]="Everest",Table12117[[#This Row],[Assetinsure Amount ]]*0.2)</f>
        <v>0</v>
      </c>
      <c r="AW183" s="261"/>
      <c r="AX183" s="261">
        <f>MIN(Table12117[[#This Row],[Assetinsure Amount ]]-Table12117[[#This Row],[Reinsurance Everest Re]],Table12117[[#This Row],[Total Amount]])</f>
        <v>0</v>
      </c>
      <c r="AY183" s="261">
        <f>+BD183</f>
        <v>0</v>
      </c>
      <c r="AZ183" s="260"/>
      <c r="BC183" s="212">
        <v>0</v>
      </c>
      <c r="BD183" s="11">
        <v>0</v>
      </c>
      <c r="BK183" s="154"/>
      <c r="BL183" s="138" t="s">
        <v>1212</v>
      </c>
      <c r="BN183" s="311"/>
    </row>
    <row r="184" spans="1:66" ht="32.25" customHeight="1" x14ac:dyDescent="0.2">
      <c r="A184" s="132" t="s">
        <v>1176</v>
      </c>
      <c r="B184" s="132" t="s">
        <v>23</v>
      </c>
      <c r="C184" s="134" t="s">
        <v>1141</v>
      </c>
      <c r="D184" s="133" t="s">
        <v>34</v>
      </c>
      <c r="E184" s="131" t="s">
        <v>34</v>
      </c>
      <c r="F184" s="145" t="s">
        <v>34</v>
      </c>
      <c r="G184" s="131" t="s">
        <v>48</v>
      </c>
      <c r="H184" s="131" t="s">
        <v>95</v>
      </c>
      <c r="I184" s="130" t="s">
        <v>1179</v>
      </c>
      <c r="J184" s="66" t="s">
        <v>232</v>
      </c>
      <c r="K184" s="131" t="s">
        <v>21</v>
      </c>
      <c r="L184" s="300" t="s">
        <v>29</v>
      </c>
      <c r="M184" s="194" t="s">
        <v>191</v>
      </c>
      <c r="N184" s="134" t="s">
        <v>323</v>
      </c>
      <c r="O184" s="167" t="s">
        <v>43</v>
      </c>
      <c r="P184" s="167" t="s">
        <v>538</v>
      </c>
      <c r="Q184" s="269" t="s">
        <v>548</v>
      </c>
      <c r="R184" s="135" t="s">
        <v>8</v>
      </c>
      <c r="S184" s="136">
        <v>15000</v>
      </c>
      <c r="T184" s="73">
        <v>15000</v>
      </c>
      <c r="U184" s="136">
        <f>Table12117[[#This Row],[Amortised Limit in Original Currency]]</f>
        <v>15000</v>
      </c>
      <c r="V184" s="136">
        <v>150000</v>
      </c>
      <c r="W184" s="136">
        <v>440833.34</v>
      </c>
      <c r="X184" s="147" t="s">
        <v>11</v>
      </c>
      <c r="Y184" s="330">
        <v>1.9800000000000002E-2</v>
      </c>
      <c r="Z184" s="137">
        <v>44993</v>
      </c>
      <c r="AA184" s="137">
        <v>45972</v>
      </c>
      <c r="AB184" s="137">
        <v>46014</v>
      </c>
      <c r="AC184" s="138">
        <f t="shared" si="24"/>
        <v>1022</v>
      </c>
      <c r="AD184" s="139" t="e">
        <f t="shared" si="25"/>
        <v>#REF!</v>
      </c>
      <c r="AE184" s="138" t="e">
        <f>AB184-#REF!</f>
        <v>#REF!</v>
      </c>
      <c r="AF184" s="140" t="e">
        <f t="shared" si="19"/>
        <v>#REF!</v>
      </c>
      <c r="AG184" s="56"/>
      <c r="AH184" s="318" t="s">
        <v>1</v>
      </c>
      <c r="AI184" s="318" t="s">
        <v>1</v>
      </c>
      <c r="AJ184" s="319" t="s">
        <v>0</v>
      </c>
      <c r="AK184" s="143" t="e">
        <f t="shared" si="20"/>
        <v>#REF!</v>
      </c>
      <c r="AL184" s="164" t="s">
        <v>271</v>
      </c>
      <c r="AM184" s="188" t="s">
        <v>1178</v>
      </c>
      <c r="AN184" s="260"/>
      <c r="AO184" s="260"/>
      <c r="AP184" s="312" t="str">
        <f>Table12117[[#This Row],[Risk Location ]]</f>
        <v>Australia</v>
      </c>
      <c r="AQ184" s="313" t="str">
        <f>Table12117[[#This Row],[Sector (GICS Industry Group)]]</f>
        <v>Energy</v>
      </c>
      <c r="AR184" s="260"/>
      <c r="AS184" s="260"/>
      <c r="AT184" s="212">
        <f>Table12117[[#This Row],[Percentage Impact]]*Table12117[[#This Row],[Amortised Limit A$ Balance]]</f>
        <v>0</v>
      </c>
      <c r="AU184" s="212">
        <f>Table12117[[#This Row],[Amortised Limit A$ Balance]]*12%</f>
        <v>1800</v>
      </c>
      <c r="AV184" s="212" t="b">
        <f>IF(Table12117[[#This Row],[Everest]]="Everest",Table12117[[#This Row],[Assetinsure Amount ]]*0.2)</f>
        <v>0</v>
      </c>
      <c r="AW184" s="261"/>
      <c r="AX184" s="212">
        <f>MIN(Table12117[[#This Row],[Assetinsure Amount ]]-Table12117[[#This Row],[Reinsurance Everest Re]],Table12117[[#This Row],[Total Amount]])</f>
        <v>0</v>
      </c>
      <c r="AY184" s="212">
        <f t="shared" si="21"/>
        <v>0</v>
      </c>
      <c r="AZ184" s="260"/>
      <c r="BC184" s="212">
        <v>0</v>
      </c>
      <c r="BD184" s="11">
        <v>0</v>
      </c>
      <c r="BK184" s="154"/>
      <c r="BL184" s="138" t="s">
        <v>1177</v>
      </c>
      <c r="BN184" s="311"/>
    </row>
    <row r="185" spans="1:66" ht="32.25" customHeight="1" x14ac:dyDescent="0.2">
      <c r="A185" s="132" t="s">
        <v>1181</v>
      </c>
      <c r="B185" s="132" t="s">
        <v>24</v>
      </c>
      <c r="C185" s="134" t="s">
        <v>1142</v>
      </c>
      <c r="D185" s="133" t="s">
        <v>38</v>
      </c>
      <c r="E185" s="131" t="s">
        <v>541</v>
      </c>
      <c r="F185" s="145" t="s">
        <v>38</v>
      </c>
      <c r="G185" s="188" t="s">
        <v>475</v>
      </c>
      <c r="H185" s="131" t="s">
        <v>138</v>
      </c>
      <c r="I185" s="66" t="s">
        <v>138</v>
      </c>
      <c r="J185" s="133" t="s">
        <v>638</v>
      </c>
      <c r="K185" s="133" t="s">
        <v>687</v>
      </c>
      <c r="L185" s="231" t="s">
        <v>209</v>
      </c>
      <c r="M185" s="194" t="s">
        <v>191</v>
      </c>
      <c r="N185" s="134" t="s">
        <v>323</v>
      </c>
      <c r="O185" s="167" t="s">
        <v>43</v>
      </c>
      <c r="P185" s="167" t="s">
        <v>538</v>
      </c>
      <c r="Q185" s="167" t="s">
        <v>534</v>
      </c>
      <c r="R185" s="135" t="s">
        <v>9</v>
      </c>
      <c r="S185" s="320" t="e">
        <f>7500/USD</f>
        <v>#REF!</v>
      </c>
      <c r="T185" s="73">
        <v>7500</v>
      </c>
      <c r="U185" s="136" t="e">
        <f>Table12117[[#This Row],[Amortised Limit in Original Currency]]/USD</f>
        <v>#REF!</v>
      </c>
      <c r="V185" s="136" t="e">
        <f>20000/USD</f>
        <v>#REF!</v>
      </c>
      <c r="W185" s="136" t="e">
        <f>714747.86/USD</f>
        <v>#REF!</v>
      </c>
      <c r="X185" s="147" t="s">
        <v>11</v>
      </c>
      <c r="Y185" s="185">
        <v>3.7499999999999999E-2</v>
      </c>
      <c r="Z185" s="137">
        <v>44995</v>
      </c>
      <c r="AA185" s="137">
        <v>46741</v>
      </c>
      <c r="AB185" s="137">
        <v>46774</v>
      </c>
      <c r="AC185" s="138">
        <f t="shared" si="24"/>
        <v>1780</v>
      </c>
      <c r="AD185" s="139" t="e">
        <f t="shared" si="25"/>
        <v>#REF!</v>
      </c>
      <c r="AE185" s="138" t="e">
        <f>AB185-#REF!</f>
        <v>#REF!</v>
      </c>
      <c r="AF185" s="140" t="e">
        <f t="shared" ref="AF185:AF192" si="26">AE185/365</f>
        <v>#REF!</v>
      </c>
      <c r="AG185" s="56"/>
      <c r="AH185" s="318" t="s">
        <v>1</v>
      </c>
      <c r="AI185" s="318" t="s">
        <v>1</v>
      </c>
      <c r="AJ185" s="319" t="s">
        <v>0</v>
      </c>
      <c r="AK185" s="143" t="e">
        <f t="shared" ref="AK185:AK190" si="27">+IF(AB185-60&lt;$A$1, "SEND NOTICE", "N/A")</f>
        <v>#REF!</v>
      </c>
      <c r="AL185" s="164" t="s">
        <v>271</v>
      </c>
      <c r="AM185" s="188" t="s">
        <v>1182</v>
      </c>
      <c r="AN185" s="260"/>
      <c r="AO185" s="260"/>
      <c r="AP185" s="312" t="str">
        <f>Table12117[[#This Row],[Risk Location ]]</f>
        <v>Singapore</v>
      </c>
      <c r="AQ185" s="313" t="str">
        <f>Table12117[[#This Row],[Sector (GICS Industry Group)]]</f>
        <v>Health Care</v>
      </c>
      <c r="AR185" s="260"/>
      <c r="AS185" s="260"/>
      <c r="AT185" s="212" t="e">
        <f>Table12117[[#This Row],[Percentage Impact]]*Table12117[[#This Row],[Amortised Limit A$ Balance]]</f>
        <v>#REF!</v>
      </c>
      <c r="AU185" s="212" t="e">
        <f>Table12117[[#This Row],[Amortised Limit A$ Balance]]*12%</f>
        <v>#REF!</v>
      </c>
      <c r="AV185" s="212" t="b">
        <f>IF(Table12117[[#This Row],[Everest]]="Everest",Table12117[[#This Row],[Assetinsure Amount ]]*0.2)</f>
        <v>0</v>
      </c>
      <c r="AW185" s="261"/>
      <c r="AX185" s="212" t="e">
        <f>MIN(Table12117[[#This Row],[Assetinsure Amount ]]-Table12117[[#This Row],[Reinsurance Everest Re]],Table12117[[#This Row],[Total Amount]])</f>
        <v>#REF!</v>
      </c>
      <c r="AY185" s="212">
        <f t="shared" si="21"/>
        <v>0</v>
      </c>
      <c r="AZ185" s="260"/>
      <c r="BC185" s="212">
        <v>0</v>
      </c>
      <c r="BD185" s="11">
        <v>0</v>
      </c>
      <c r="BK185" s="154"/>
      <c r="BL185" s="138" t="s">
        <v>1183</v>
      </c>
      <c r="BN185" s="311"/>
    </row>
    <row r="186" spans="1:66" ht="32.25" customHeight="1" x14ac:dyDescent="0.2">
      <c r="A186" s="132" t="s">
        <v>1184</v>
      </c>
      <c r="B186" s="132" t="s">
        <v>51</v>
      </c>
      <c r="C186" s="134" t="s">
        <v>1144</v>
      </c>
      <c r="D186" s="133" t="s">
        <v>127</v>
      </c>
      <c r="E186" s="131" t="s">
        <v>542</v>
      </c>
      <c r="F186" s="133" t="s">
        <v>127</v>
      </c>
      <c r="G186" s="14" t="s">
        <v>173</v>
      </c>
      <c r="H186" s="14" t="s">
        <v>174</v>
      </c>
      <c r="I186" s="14" t="s">
        <v>172</v>
      </c>
      <c r="J186" s="133" t="s">
        <v>165</v>
      </c>
      <c r="K186" s="131" t="s">
        <v>220</v>
      </c>
      <c r="L186" s="231" t="s">
        <v>209</v>
      </c>
      <c r="M186" s="194" t="s">
        <v>191</v>
      </c>
      <c r="N186" s="134" t="s">
        <v>59</v>
      </c>
      <c r="O186" s="167" t="s">
        <v>43</v>
      </c>
      <c r="P186" s="167" t="s">
        <v>533</v>
      </c>
      <c r="Q186" s="269" t="s">
        <v>548</v>
      </c>
      <c r="R186" s="135" t="s">
        <v>59</v>
      </c>
      <c r="S186" s="320" t="e">
        <f>25000/EUR</f>
        <v>#REF!</v>
      </c>
      <c r="T186" s="73">
        <v>25000</v>
      </c>
      <c r="U186" s="136" t="e">
        <f>Table12117[[#This Row],[Amortised Limit in Original Currency]]/EUR</f>
        <v>#REF!</v>
      </c>
      <c r="V186" s="136" t="e">
        <f>1480000/EUR</f>
        <v>#REF!</v>
      </c>
      <c r="W186" s="136" t="e">
        <f>883076.39/EUR</f>
        <v>#REF!</v>
      </c>
      <c r="X186" s="147" t="s">
        <v>11</v>
      </c>
      <c r="Y186" s="185">
        <v>6.0000000000000001E-3</v>
      </c>
      <c r="Z186" s="137">
        <v>44995</v>
      </c>
      <c r="AA186" s="137">
        <v>46648</v>
      </c>
      <c r="AB186" s="137">
        <v>46648</v>
      </c>
      <c r="AC186" s="138">
        <f t="shared" si="24"/>
        <v>1654</v>
      </c>
      <c r="AD186" s="139" t="e">
        <f t="shared" si="25"/>
        <v>#REF!</v>
      </c>
      <c r="AE186" s="138" t="e">
        <f>AB186-#REF!</f>
        <v>#REF!</v>
      </c>
      <c r="AF186" s="140" t="e">
        <f t="shared" si="26"/>
        <v>#REF!</v>
      </c>
      <c r="AG186" s="56" t="s">
        <v>436</v>
      </c>
      <c r="AH186" s="318" t="s">
        <v>1</v>
      </c>
      <c r="AI186" s="318" t="s">
        <v>1</v>
      </c>
      <c r="AJ186" s="319" t="s">
        <v>0</v>
      </c>
      <c r="AK186" s="143" t="e">
        <f t="shared" si="27"/>
        <v>#REF!</v>
      </c>
      <c r="AL186" s="164" t="s">
        <v>271</v>
      </c>
      <c r="AM186" s="188" t="s">
        <v>1185</v>
      </c>
      <c r="AN186" s="260"/>
      <c r="AO186" s="260"/>
      <c r="AP186" s="312" t="str">
        <f>Table12117[[#This Row],[Risk Location ]]</f>
        <v>Germany</v>
      </c>
      <c r="AQ186" s="313" t="str">
        <f>Table12117[[#This Row],[Sector (GICS Industry Group)]]</f>
        <v>Automobiles &amp; Components</v>
      </c>
      <c r="AR186" s="260"/>
      <c r="AS186" s="260"/>
      <c r="AT186" s="212" t="e">
        <f>Table12117[[#This Row],[Percentage Impact]]*Table12117[[#This Row],[Amortised Limit A$ Balance]]</f>
        <v>#REF!</v>
      </c>
      <c r="AU186" s="212" t="e">
        <f>Table12117[[#This Row],[Amortised Limit A$ Balance]]*12%</f>
        <v>#REF!</v>
      </c>
      <c r="AV186" s="212" t="e">
        <f>IF(Table12117[[#This Row],[Everest]]="Everest",Table12117[[#This Row],[Assetinsure Amount ]]*0.2)</f>
        <v>#REF!</v>
      </c>
      <c r="AW186" s="261"/>
      <c r="AX186" s="212" t="e">
        <f>MIN(Table12117[[#This Row],[Assetinsure Amount ]]-Table12117[[#This Row],[Reinsurance Everest Re]],Table12117[[#This Row],[Total Amount]])</f>
        <v>#REF!</v>
      </c>
      <c r="AY186" s="212">
        <f t="shared" si="21"/>
        <v>0</v>
      </c>
      <c r="AZ186" s="260"/>
      <c r="BC186" s="212">
        <v>0</v>
      </c>
      <c r="BD186" s="11">
        <v>0</v>
      </c>
      <c r="BK186" s="154"/>
      <c r="BL186" s="138" t="s">
        <v>1186</v>
      </c>
      <c r="BN186" s="311"/>
    </row>
    <row r="187" spans="1:66" ht="32.25" customHeight="1" x14ac:dyDescent="0.2">
      <c r="A187" s="132" t="s">
        <v>1189</v>
      </c>
      <c r="B187" s="132" t="s">
        <v>24</v>
      </c>
      <c r="C187" s="134" t="s">
        <v>1142</v>
      </c>
      <c r="D187" s="133" t="s">
        <v>211</v>
      </c>
      <c r="E187" s="131" t="s">
        <v>542</v>
      </c>
      <c r="F187" s="145" t="s">
        <v>211</v>
      </c>
      <c r="G187" s="131" t="s">
        <v>233</v>
      </c>
      <c r="H187" s="131" t="s">
        <v>443</v>
      </c>
      <c r="I187" s="131" t="s">
        <v>234</v>
      </c>
      <c r="J187" s="133" t="s">
        <v>1190</v>
      </c>
      <c r="K187" s="133" t="s">
        <v>221</v>
      </c>
      <c r="L187" s="231" t="s">
        <v>209</v>
      </c>
      <c r="M187" s="194" t="s">
        <v>191</v>
      </c>
      <c r="N187" s="134" t="s">
        <v>59</v>
      </c>
      <c r="O187" s="167" t="s">
        <v>43</v>
      </c>
      <c r="P187" s="167" t="s">
        <v>538</v>
      </c>
      <c r="Q187" s="167" t="s">
        <v>534</v>
      </c>
      <c r="R187" s="135" t="s">
        <v>59</v>
      </c>
      <c r="S187" s="320" t="e">
        <f>20000/EUR</f>
        <v>#REF!</v>
      </c>
      <c r="T187" s="73">
        <v>20000</v>
      </c>
      <c r="U187" s="136" t="e">
        <f>Table12117[[#This Row],[Amortised Limit in Original Currency]]/EUR</f>
        <v>#REF!</v>
      </c>
      <c r="V187" s="136" t="e">
        <f>300000/EUR</f>
        <v>#REF!</v>
      </c>
      <c r="W187" s="136" t="e">
        <f>1184983.83/EUR</f>
        <v>#REF!</v>
      </c>
      <c r="X187" s="147" t="s">
        <v>11</v>
      </c>
      <c r="Y187" s="185">
        <v>3.2500000000000001E-2</v>
      </c>
      <c r="Z187" s="137">
        <v>45005</v>
      </c>
      <c r="AA187" s="137">
        <v>46678</v>
      </c>
      <c r="AB187" s="137">
        <v>46678</v>
      </c>
      <c r="AC187" s="138">
        <f t="shared" si="24"/>
        <v>1674</v>
      </c>
      <c r="AD187" s="139" t="e">
        <f t="shared" si="25"/>
        <v>#REF!</v>
      </c>
      <c r="AE187" s="138" t="e">
        <f>AB187-#REF!</f>
        <v>#REF!</v>
      </c>
      <c r="AF187" s="140" t="e">
        <f t="shared" si="26"/>
        <v>#REF!</v>
      </c>
      <c r="AG187" s="56" t="s">
        <v>436</v>
      </c>
      <c r="AH187" s="318" t="s">
        <v>1</v>
      </c>
      <c r="AI187" s="318" t="s">
        <v>1</v>
      </c>
      <c r="AJ187" s="319" t="s">
        <v>1191</v>
      </c>
      <c r="AK187" s="143" t="e">
        <f t="shared" si="27"/>
        <v>#REF!</v>
      </c>
      <c r="AL187" s="164" t="s">
        <v>271</v>
      </c>
      <c r="AM187" s="188" t="s">
        <v>1188</v>
      </c>
      <c r="AN187" s="260"/>
      <c r="AO187" s="260"/>
      <c r="AP187" s="312" t="str">
        <f>Table12117[[#This Row],[Risk Location ]]</f>
        <v>Spain</v>
      </c>
      <c r="AQ187" s="313" t="str">
        <f>Table12117[[#This Row],[Sector (GICS Industry Group)]]</f>
        <v>Telecommunication Services</v>
      </c>
      <c r="AR187" s="260"/>
      <c r="AS187" s="260"/>
      <c r="AT187" s="212" t="e">
        <f>Table12117[[#This Row],[Percentage Impact]]*Table12117[[#This Row],[Amortised Limit A$ Balance]]</f>
        <v>#REF!</v>
      </c>
      <c r="AU187" s="212" t="e">
        <f>Table12117[[#This Row],[Amortised Limit A$ Balance]]*12%</f>
        <v>#REF!</v>
      </c>
      <c r="AV187" s="212" t="e">
        <f>IF(Table12117[[#This Row],[Everest]]="Everest",Table12117[[#This Row],[Assetinsure Amount ]]*0.2)</f>
        <v>#REF!</v>
      </c>
      <c r="AW187" s="261"/>
      <c r="AX187" s="212" t="e">
        <f>MIN(Table12117[[#This Row],[Assetinsure Amount ]]-Table12117[[#This Row],[Reinsurance Everest Re]],Table12117[[#This Row],[Total Amount]])</f>
        <v>#REF!</v>
      </c>
      <c r="AY187" s="212">
        <f t="shared" si="21"/>
        <v>0</v>
      </c>
      <c r="AZ187" s="260"/>
      <c r="BC187" s="212">
        <v>0</v>
      </c>
      <c r="BD187" s="11">
        <v>0</v>
      </c>
      <c r="BK187" s="154"/>
      <c r="BL187" s="138" t="s">
        <v>1187</v>
      </c>
      <c r="BN187" s="311"/>
    </row>
    <row r="188" spans="1:66" ht="32.25" customHeight="1" x14ac:dyDescent="0.2">
      <c r="A188" s="132" t="s">
        <v>1192</v>
      </c>
      <c r="B188" s="132" t="s">
        <v>67</v>
      </c>
      <c r="C188" s="134" t="s">
        <v>1144</v>
      </c>
      <c r="D188" s="133" t="s">
        <v>127</v>
      </c>
      <c r="E188" s="131" t="s">
        <v>542</v>
      </c>
      <c r="F188" s="133" t="s">
        <v>127</v>
      </c>
      <c r="G188" s="131" t="s">
        <v>233</v>
      </c>
      <c r="H188" s="131" t="s">
        <v>443</v>
      </c>
      <c r="I188" s="131" t="s">
        <v>234</v>
      </c>
      <c r="J188" s="133" t="s">
        <v>165</v>
      </c>
      <c r="K188" s="131" t="s">
        <v>220</v>
      </c>
      <c r="L188" s="300" t="s">
        <v>140</v>
      </c>
      <c r="M188" s="194" t="s">
        <v>191</v>
      </c>
      <c r="N188" s="134" t="s">
        <v>59</v>
      </c>
      <c r="O188" s="167" t="s">
        <v>43</v>
      </c>
      <c r="P188" s="167" t="s">
        <v>538</v>
      </c>
      <c r="Q188" s="167" t="s">
        <v>534</v>
      </c>
      <c r="R188" s="135" t="s">
        <v>59</v>
      </c>
      <c r="S188" s="320" t="e">
        <f>15000/EUR</f>
        <v>#REF!</v>
      </c>
      <c r="T188" s="73">
        <v>15000</v>
      </c>
      <c r="U188" s="136" t="e">
        <f>Table12117[[#This Row],[Amortised Limit in Original Currency]]/EUR</f>
        <v>#REF!</v>
      </c>
      <c r="V188" s="136" t="e">
        <f>114000/EUR</f>
        <v>#REF!</v>
      </c>
      <c r="W188" s="136" t="e">
        <f>1211206.92/EUR</f>
        <v>#REF!</v>
      </c>
      <c r="X188" s="147" t="s">
        <v>11</v>
      </c>
      <c r="Y188" s="185">
        <v>2.1000000000000001E-2</v>
      </c>
      <c r="Z188" s="137">
        <v>45016</v>
      </c>
      <c r="AA188" s="137">
        <v>47472</v>
      </c>
      <c r="AB188" s="137">
        <v>47503</v>
      </c>
      <c r="AC188" s="138">
        <f t="shared" si="24"/>
        <v>2488</v>
      </c>
      <c r="AD188" s="139" t="e">
        <f t="shared" si="25"/>
        <v>#REF!</v>
      </c>
      <c r="AE188" s="138" t="e">
        <f>AB188-#REF!</f>
        <v>#REF!</v>
      </c>
      <c r="AF188" s="140" t="e">
        <f t="shared" si="26"/>
        <v>#REF!</v>
      </c>
      <c r="AG188" s="56"/>
      <c r="AH188" s="318" t="s">
        <v>1</v>
      </c>
      <c r="AI188" s="318" t="s">
        <v>1</v>
      </c>
      <c r="AJ188" s="319" t="s">
        <v>0</v>
      </c>
      <c r="AK188" s="143" t="e">
        <f t="shared" si="27"/>
        <v>#REF!</v>
      </c>
      <c r="AL188" s="164" t="s">
        <v>271</v>
      </c>
      <c r="AM188" s="188" t="s">
        <v>1193</v>
      </c>
      <c r="AN188" s="260"/>
      <c r="AO188" s="260"/>
      <c r="AP188" s="312" t="str">
        <f>Table12117[[#This Row],[Risk Location ]]</f>
        <v>Germany</v>
      </c>
      <c r="AQ188" s="313" t="str">
        <f>Table12117[[#This Row],[Sector (GICS Industry Group)]]</f>
        <v>Telecommunication Services</v>
      </c>
      <c r="AR188" s="260"/>
      <c r="AS188" s="260"/>
      <c r="AT188" s="212" t="e">
        <f>Table12117[[#This Row],[Percentage Impact]]*Table12117[[#This Row],[Amortised Limit A$ Balance]]</f>
        <v>#REF!</v>
      </c>
      <c r="AU188" s="212" t="e">
        <f>Table12117[[#This Row],[Amortised Limit A$ Balance]]*12%</f>
        <v>#REF!</v>
      </c>
      <c r="AV188" s="212" t="b">
        <f>IF(Table12117[[#This Row],[Everest]]="Everest",Table12117[[#This Row],[Assetinsure Amount ]]*0.2)</f>
        <v>0</v>
      </c>
      <c r="AW188" s="261"/>
      <c r="AX188" s="212" t="e">
        <f>MIN(Table12117[[#This Row],[Assetinsure Amount ]]-Table12117[[#This Row],[Reinsurance Everest Re]],Table12117[[#This Row],[Total Amount]])</f>
        <v>#REF!</v>
      </c>
      <c r="AY188" s="212">
        <f t="shared" si="21"/>
        <v>0</v>
      </c>
      <c r="AZ188" s="260"/>
      <c r="BC188" s="212">
        <v>0</v>
      </c>
      <c r="BD188" s="11">
        <v>0</v>
      </c>
      <c r="BK188" s="154"/>
      <c r="BL188" s="138" t="s">
        <v>1194</v>
      </c>
      <c r="BN188" s="311"/>
    </row>
    <row r="189" spans="1:66" ht="32.25" customHeight="1" x14ac:dyDescent="0.2">
      <c r="A189" s="132" t="s">
        <v>1197</v>
      </c>
      <c r="B189" s="132" t="s">
        <v>23</v>
      </c>
      <c r="C189" s="134" t="s">
        <v>1141</v>
      </c>
      <c r="D189" s="133" t="s">
        <v>588</v>
      </c>
      <c r="E189" s="131" t="s">
        <v>499</v>
      </c>
      <c r="F189" s="145" t="s">
        <v>162</v>
      </c>
      <c r="G189" s="14" t="s">
        <v>102</v>
      </c>
      <c r="H189" s="14" t="s">
        <v>102</v>
      </c>
      <c r="I189" s="66" t="s">
        <v>122</v>
      </c>
      <c r="J189" s="133" t="s">
        <v>1080</v>
      </c>
      <c r="K189" s="133" t="s">
        <v>33</v>
      </c>
      <c r="L189" s="300" t="s">
        <v>101</v>
      </c>
      <c r="M189" s="194" t="s">
        <v>191</v>
      </c>
      <c r="N189" s="134" t="s">
        <v>59</v>
      </c>
      <c r="O189" s="167" t="s">
        <v>43</v>
      </c>
      <c r="P189" s="167" t="s">
        <v>533</v>
      </c>
      <c r="Q189" s="167" t="s">
        <v>534</v>
      </c>
      <c r="R189" s="135" t="s">
        <v>9</v>
      </c>
      <c r="S189" s="320" t="e">
        <f>15000/USD</f>
        <v>#REF!</v>
      </c>
      <c r="T189" s="73">
        <v>15000</v>
      </c>
      <c r="U189" s="136" t="e">
        <f>Table12117[[#This Row],[Amortised Limit in Original Currency]]/USD</f>
        <v>#REF!</v>
      </c>
      <c r="V189" s="136" t="e">
        <f>562000/USD</f>
        <v>#REF!</v>
      </c>
      <c r="W189" s="136" t="e">
        <f>612968.14/USD</f>
        <v>#REF!</v>
      </c>
      <c r="X189" s="147" t="s">
        <v>11</v>
      </c>
      <c r="Y189" s="185">
        <v>0.03</v>
      </c>
      <c r="Z189" s="137">
        <v>45016</v>
      </c>
      <c r="AA189" s="137">
        <v>45747</v>
      </c>
      <c r="AB189" s="137">
        <v>45747</v>
      </c>
      <c r="AC189" s="138">
        <f t="shared" si="24"/>
        <v>732</v>
      </c>
      <c r="AD189" s="139" t="e">
        <f t="shared" si="25"/>
        <v>#REF!</v>
      </c>
      <c r="AE189" s="138" t="e">
        <f>AB189-#REF!</f>
        <v>#REF!</v>
      </c>
      <c r="AF189" s="140" t="e">
        <f t="shared" si="26"/>
        <v>#REF!</v>
      </c>
      <c r="AG189" s="56"/>
      <c r="AH189" s="318" t="s">
        <v>1</v>
      </c>
      <c r="AI189" s="318" t="s">
        <v>1</v>
      </c>
      <c r="AJ189" s="319" t="s">
        <v>0</v>
      </c>
      <c r="AK189" s="143" t="e">
        <f t="shared" si="27"/>
        <v>#REF!</v>
      </c>
      <c r="AL189" s="164" t="s">
        <v>271</v>
      </c>
      <c r="AM189" s="188" t="s">
        <v>1196</v>
      </c>
      <c r="AN189" s="260"/>
      <c r="AO189" s="260"/>
      <c r="AP189" s="312" t="str">
        <f>Table12117[[#This Row],[Risk Location ]]</f>
        <v>United States</v>
      </c>
      <c r="AQ189" s="313" t="str">
        <f>Table12117[[#This Row],[Sector (GICS Industry Group)]]</f>
        <v>Real Estate Investment</v>
      </c>
      <c r="AR189" s="260"/>
      <c r="AS189" s="260"/>
      <c r="AT189" s="212" t="e">
        <f>Table12117[[#This Row],[Percentage Impact]]*Table12117[[#This Row],[Amortised Limit A$ Balance]]</f>
        <v>#REF!</v>
      </c>
      <c r="AU189" s="212" t="e">
        <f>Table12117[[#This Row],[Amortised Limit A$ Balance]]*12%</f>
        <v>#REF!</v>
      </c>
      <c r="AV189" s="212" t="b">
        <f>IF(Table12117[[#This Row],[Everest]]="Everest",Table12117[[#This Row],[Assetinsure Amount ]]*0.2)</f>
        <v>0</v>
      </c>
      <c r="AW189" s="261"/>
      <c r="AX189" s="212" t="e">
        <f>MIN(Table12117[[#This Row],[Assetinsure Amount ]]-Table12117[[#This Row],[Reinsurance Everest Re]],Table12117[[#This Row],[Total Amount]])</f>
        <v>#REF!</v>
      </c>
      <c r="AY189" s="212">
        <f t="shared" si="21"/>
        <v>0</v>
      </c>
      <c r="AZ189" s="260"/>
      <c r="BC189" s="212">
        <v>0</v>
      </c>
      <c r="BD189" s="11">
        <v>0</v>
      </c>
      <c r="BK189" s="154"/>
      <c r="BL189" s="138" t="s">
        <v>1195</v>
      </c>
      <c r="BN189" s="311"/>
    </row>
    <row r="190" spans="1:66" ht="32.25" customHeight="1" x14ac:dyDescent="0.2">
      <c r="A190" s="132" t="s">
        <v>1199</v>
      </c>
      <c r="B190" s="132" t="s">
        <v>51</v>
      </c>
      <c r="C190" s="134" t="s">
        <v>1142</v>
      </c>
      <c r="D190" s="133" t="s">
        <v>38</v>
      </c>
      <c r="E190" s="131" t="s">
        <v>541</v>
      </c>
      <c r="F190" s="145" t="s">
        <v>38</v>
      </c>
      <c r="G190" s="131" t="s">
        <v>547</v>
      </c>
      <c r="H190" s="131" t="s">
        <v>124</v>
      </c>
      <c r="I190" s="130" t="s">
        <v>123</v>
      </c>
      <c r="J190" s="133" t="s">
        <v>1112</v>
      </c>
      <c r="K190" s="131" t="s">
        <v>1113</v>
      </c>
      <c r="L190" s="300" t="s">
        <v>29</v>
      </c>
      <c r="M190" s="194" t="s">
        <v>191</v>
      </c>
      <c r="N190" s="134" t="s">
        <v>323</v>
      </c>
      <c r="O190" s="167" t="s">
        <v>43</v>
      </c>
      <c r="P190" s="167" t="s">
        <v>533</v>
      </c>
      <c r="Q190" s="269" t="s">
        <v>548</v>
      </c>
      <c r="R190" s="135" t="s">
        <v>9</v>
      </c>
      <c r="S190" s="136" t="e">
        <f>15000/USD</f>
        <v>#REF!</v>
      </c>
      <c r="T190" s="73">
        <v>15000</v>
      </c>
      <c r="U190" s="136" t="e">
        <f>Table12117[[#This Row],[Amortised Limit in Original Currency]]/USD</f>
        <v>#REF!</v>
      </c>
      <c r="V190" s="136" t="e">
        <f>100000/USD</f>
        <v>#REF!</v>
      </c>
      <c r="W190" s="136" t="e">
        <f>182974.99/USD</f>
        <v>#REF!</v>
      </c>
      <c r="X190" s="147" t="s">
        <v>11</v>
      </c>
      <c r="Y190" s="185">
        <v>0.01</v>
      </c>
      <c r="Z190" s="137">
        <v>45016</v>
      </c>
      <c r="AA190" s="137">
        <v>45923</v>
      </c>
      <c r="AB190" s="137">
        <v>45923</v>
      </c>
      <c r="AC190" s="138">
        <f t="shared" si="24"/>
        <v>908</v>
      </c>
      <c r="AD190" s="139" t="e">
        <f t="shared" si="25"/>
        <v>#REF!</v>
      </c>
      <c r="AE190" s="138" t="e">
        <f>AB190-#REF!</f>
        <v>#REF!</v>
      </c>
      <c r="AF190" s="140" t="e">
        <f t="shared" si="26"/>
        <v>#REF!</v>
      </c>
      <c r="AG190" s="56"/>
      <c r="AH190" s="318" t="s">
        <v>1</v>
      </c>
      <c r="AI190" s="318" t="s">
        <v>1</v>
      </c>
      <c r="AJ190" s="319" t="s">
        <v>0</v>
      </c>
      <c r="AK190" s="143" t="e">
        <f t="shared" si="27"/>
        <v>#REF!</v>
      </c>
      <c r="AL190" s="164" t="s">
        <v>271</v>
      </c>
      <c r="AM190" s="188" t="s">
        <v>1114</v>
      </c>
      <c r="AN190" s="260"/>
      <c r="AO190" s="260"/>
      <c r="AP190" s="312" t="str">
        <f>Table12117[[#This Row],[Risk Location ]]</f>
        <v>Singapore</v>
      </c>
      <c r="AQ190" s="313" t="str">
        <f>Table12117[[#This Row],[Sector (GICS Industry Group)]]</f>
        <v>Consumer Staples</v>
      </c>
      <c r="AR190" s="260"/>
      <c r="AS190" s="260"/>
      <c r="AT190" s="212" t="e">
        <f>Table12117[[#This Row],[Percentage Impact]]*Table12117[[#This Row],[Amortised Limit A$ Balance]]</f>
        <v>#REF!</v>
      </c>
      <c r="AU190" s="212" t="e">
        <f>Table12117[[#This Row],[Amortised Limit A$ Balance]]*12%</f>
        <v>#REF!</v>
      </c>
      <c r="AV190" s="212" t="b">
        <f>IF(Table12117[[#This Row],[Everest]]="Everest",Table12117[[#This Row],[Assetinsure Amount ]]*0.2)</f>
        <v>0</v>
      </c>
      <c r="AW190" s="261"/>
      <c r="AX190" s="212" t="e">
        <f>MIN(Table12117[[#This Row],[Assetinsure Amount ]]-Table12117[[#This Row],[Reinsurance Everest Re]],Table12117[[#This Row],[Total Amount]])</f>
        <v>#REF!</v>
      </c>
      <c r="AY190" s="212">
        <f t="shared" si="21"/>
        <v>0</v>
      </c>
      <c r="AZ190" s="260"/>
      <c r="BC190" s="212">
        <v>0</v>
      </c>
      <c r="BD190" s="11">
        <v>0</v>
      </c>
      <c r="BK190" s="154"/>
      <c r="BL190" s="138" t="s">
        <v>1198</v>
      </c>
      <c r="BN190" s="311"/>
    </row>
    <row r="191" spans="1:66" x14ac:dyDescent="0.2">
      <c r="A191" s="129"/>
      <c r="B191" s="129"/>
      <c r="C191" s="129"/>
      <c r="D191" s="129"/>
      <c r="E191" s="234"/>
      <c r="F191" s="129"/>
      <c r="G191" s="129"/>
      <c r="H191" s="129"/>
      <c r="I191" s="129"/>
      <c r="J191" s="129"/>
      <c r="K191" s="129"/>
      <c r="L191" s="129"/>
      <c r="M191" s="129"/>
      <c r="N191" s="129"/>
      <c r="O191" s="127"/>
      <c r="P191" s="127"/>
      <c r="Q191" s="127"/>
      <c r="R191" s="51" t="s">
        <v>428</v>
      </c>
      <c r="S191" s="50" t="e">
        <f>SUMIFS(Table12117[[#All],[Original Limit (A$)]],Table12117[[#All],[Treaty]],"HDI GS")</f>
        <v>#REF!</v>
      </c>
      <c r="T191" s="50"/>
      <c r="U191" s="50" t="e">
        <f>SUMIFS(Table12117[[#All],[Amortised Limit A$ Balance]],Table12117[[#All],[Treaty]],"HDI GS")</f>
        <v>#REF!</v>
      </c>
      <c r="V191" s="50" t="e">
        <f>SUMIFS(Table12117[[#All],[Approx. Debt /  Facilities outstanding (Bank Limit) (A$)]],Table12117[[#All],[Treaty]],"HDI GS")</f>
        <v>#REF!</v>
      </c>
      <c r="W191" s="50" t="e">
        <f>SUMIFS(Table12117[[#All],[Gross Written Premium (pre-tax premium paid to HDI GS) (A$)]],Table12117[[#All],[Treaty]],"HDI GS")</f>
        <v>#REF!</v>
      </c>
      <c r="X191" s="49"/>
      <c r="Y191" s="183" t="e">
        <f>SUMPRODUCT(Table12117[[#All],[Facility Gross Margin]], Table12117[[#All],[Amortised Limit A$ Balance]])/SUM(Table12117[[#All],[Amortised Limit A$ Balance]])</f>
        <v>#REF!</v>
      </c>
      <c r="Z191" s="48"/>
      <c r="AA191" s="48"/>
      <c r="AB191" s="48" t="s">
        <v>495</v>
      </c>
      <c r="AC191" s="189" t="e">
        <f>SUMPRODUCT(Table12117[[Original Tenor ]],Table12117[Original Limit (A$)])/S191</f>
        <v>#REF!</v>
      </c>
      <c r="AD191" s="47" t="e">
        <f>AC191/365</f>
        <v>#REF!</v>
      </c>
      <c r="AE191" s="189" t="e">
        <f>SUMPRODUCT(Table12117[Tenor Remaining Days],Table12117[Amortised Limit A$ Balance])/U191</f>
        <v>#REF!</v>
      </c>
      <c r="AF191" s="46" t="e">
        <f t="shared" si="26"/>
        <v>#REF!</v>
      </c>
      <c r="AG191" s="45"/>
      <c r="AH191" s="28"/>
      <c r="AI191" s="28"/>
      <c r="AJ191" s="44"/>
      <c r="AK191" s="28"/>
      <c r="AL191" s="28"/>
      <c r="AM191" s="28"/>
      <c r="AN191" s="28"/>
      <c r="AO191" s="28"/>
      <c r="AP191" s="28"/>
      <c r="AQ191" s="28"/>
      <c r="AR191" s="28"/>
      <c r="AS191" s="28"/>
      <c r="AT191" s="28"/>
      <c r="AU191" s="28"/>
      <c r="AV191" s="28"/>
      <c r="AW191" s="28"/>
      <c r="AX191" s="314" t="e">
        <f>SUM(AX3:AX190)</f>
        <v>#REF!</v>
      </c>
      <c r="AY191" s="314">
        <f>SUM(AY3:AY190)</f>
        <v>15420.252904779845</v>
      </c>
      <c r="AZ191" s="28"/>
      <c r="BC191" s="212">
        <f>SUM(BC3:BC173)</f>
        <v>12964.62005576517</v>
      </c>
      <c r="BD191" s="212">
        <f>SUM(BD3:BD173)</f>
        <v>15420.252904779845</v>
      </c>
      <c r="BE191" s="308">
        <v>14094.522089831502</v>
      </c>
      <c r="BL191" s="28"/>
    </row>
    <row r="192" spans="1:66" x14ac:dyDescent="0.2">
      <c r="A192" s="37"/>
      <c r="B192" s="37"/>
      <c r="C192" s="37"/>
      <c r="D192" s="35"/>
      <c r="E192" s="235"/>
      <c r="F192" s="35"/>
      <c r="G192" s="28"/>
      <c r="H192" s="28"/>
      <c r="I192" s="28"/>
      <c r="J192" s="36"/>
      <c r="K192" s="28"/>
      <c r="L192" s="28"/>
      <c r="M192" s="28"/>
      <c r="N192" s="35"/>
      <c r="O192" s="28"/>
      <c r="P192" s="28"/>
      <c r="Q192" s="28"/>
      <c r="R192" s="42" t="s">
        <v>429</v>
      </c>
      <c r="S192" s="41">
        <f>SUMIFS(Table12117[[#All],[Original Limit (A$)]],Table12117[[#All],[Treaty]],"AI - Direct")</f>
        <v>541.01</v>
      </c>
      <c r="T192" s="41"/>
      <c r="U192" s="41">
        <f>SUMIFS(Table12117[[#All],[Amortised Limit A$ Balance]],Table12117[[#All],[Treaty]],"AI - DIrect")</f>
        <v>541.01</v>
      </c>
      <c r="V192" s="41">
        <f>SUMIFS(Table12117[[#All],[Approx. Debt /  Facilities outstanding (Bank Limit) (A$)]],Table12117[[#All],[Treaty]],"AI - Direct")</f>
        <v>541.01</v>
      </c>
      <c r="W192" s="41">
        <f>SUMIFS(Table12117[[#All],[Gross Written Premium (pre-tax premium paid to HDI GS) (A$)]],Table12117[[#All],[Treaty]],"AI - Direct")</f>
        <v>14877.779999999999</v>
      </c>
      <c r="X192" s="30"/>
      <c r="Y192" s="30"/>
      <c r="Z192" s="30"/>
      <c r="AA192" s="28"/>
      <c r="AB192" s="40" t="s">
        <v>242</v>
      </c>
      <c r="AC192" s="38" t="e">
        <f>SUMPRODUCT($AC$29:$AC$63,$S$29:$S$63)/AC194</f>
        <v>#REF!</v>
      </c>
      <c r="AD192" s="39"/>
      <c r="AE192" s="38" t="e">
        <f>SUMPRODUCT($AE$29:$AE$63,$S$29:$S$63)/AC194</f>
        <v>#REF!</v>
      </c>
      <c r="AF192" s="38" t="e">
        <f t="shared" si="26"/>
        <v>#REF!</v>
      </c>
      <c r="AG192" s="29"/>
      <c r="AH192" s="28"/>
      <c r="AI192" s="28"/>
      <c r="AJ192" s="28"/>
      <c r="AK192" s="28"/>
      <c r="AL192" s="28"/>
      <c r="AM192" s="28"/>
      <c r="AN192" s="28"/>
      <c r="AO192" s="28"/>
      <c r="AP192" s="28"/>
      <c r="AQ192" s="28"/>
      <c r="AR192" s="28"/>
      <c r="AS192" s="28"/>
      <c r="AT192" s="28"/>
      <c r="AU192" s="28"/>
      <c r="AV192" s="28"/>
      <c r="AW192" s="28"/>
      <c r="AX192" s="28"/>
      <c r="AY192" s="28"/>
      <c r="AZ192" s="28"/>
      <c r="BL192" s="28"/>
    </row>
    <row r="193" spans="1:64" x14ac:dyDescent="0.2">
      <c r="A193" s="37"/>
      <c r="B193" s="37"/>
      <c r="C193" s="37"/>
      <c r="D193" s="35"/>
      <c r="E193" s="235"/>
      <c r="F193" s="35"/>
      <c r="G193" s="28"/>
      <c r="H193" s="28"/>
      <c r="I193" s="28"/>
      <c r="J193" s="36"/>
      <c r="K193" s="28"/>
      <c r="L193" s="28"/>
      <c r="M193" s="28"/>
      <c r="N193" s="35"/>
      <c r="O193" s="28"/>
      <c r="P193" s="28"/>
      <c r="Q193" s="28"/>
      <c r="R193" s="34" t="s">
        <v>6</v>
      </c>
      <c r="S193" s="33" t="e">
        <f>SUM(S191:S192)</f>
        <v>#REF!</v>
      </c>
      <c r="T193" s="33"/>
      <c r="U193" s="32" t="e">
        <f>SUM(U191:U192)</f>
        <v>#REF!</v>
      </c>
      <c r="V193" s="31" t="e">
        <f>SUM(V191:V192)</f>
        <v>#REF!</v>
      </c>
      <c r="W193" s="31" t="e">
        <f>SUM(W191:W192)</f>
        <v>#REF!</v>
      </c>
      <c r="X193" s="30"/>
      <c r="Y193" s="30"/>
      <c r="Z193" s="30"/>
      <c r="AA193" s="28"/>
      <c r="AB193" s="28"/>
      <c r="AC193" s="28"/>
      <c r="AD193" s="29"/>
      <c r="AE193" s="28"/>
      <c r="AF193" s="28"/>
      <c r="AG193" s="29"/>
      <c r="AH193" s="28"/>
      <c r="AI193" s="28"/>
      <c r="AJ193" s="28"/>
      <c r="AK193" s="28"/>
      <c r="AL193" s="28"/>
      <c r="AM193" s="28"/>
      <c r="AN193" s="28"/>
      <c r="AO193" s="28"/>
      <c r="AP193" s="28"/>
      <c r="AQ193" s="28"/>
      <c r="AR193" s="28"/>
      <c r="AS193" s="28"/>
      <c r="AT193" s="28"/>
      <c r="AU193" s="28"/>
      <c r="AV193" s="28"/>
      <c r="AW193" s="28"/>
      <c r="AX193" s="28"/>
      <c r="AY193" s="28"/>
      <c r="AZ193" s="28"/>
      <c r="BL193" s="28"/>
    </row>
    <row r="194" spans="1:64" x14ac:dyDescent="0.2">
      <c r="R194" s="160"/>
      <c r="S194" s="24"/>
      <c r="T194" s="24"/>
      <c r="U194" s="26"/>
      <c r="X194" s="23"/>
      <c r="Y194" s="23"/>
      <c r="Z194" s="23"/>
      <c r="AA194" s="11"/>
      <c r="AB194" s="11" t="s">
        <v>437</v>
      </c>
      <c r="AC194" s="22">
        <v>1037868.6626063626</v>
      </c>
    </row>
    <row r="195" spans="1:64" x14ac:dyDescent="0.2">
      <c r="F195" s="11">
        <f>COUNT(Table12117[[#All],[Amortised Limit A$ Balance]])</f>
        <v>35</v>
      </c>
      <c r="J195" s="11"/>
      <c r="R195" s="25"/>
      <c r="W195" s="24"/>
      <c r="X195" s="23"/>
      <c r="Y195" s="23"/>
      <c r="Z195" s="23"/>
      <c r="AA195" s="11"/>
      <c r="AH195" s="22"/>
    </row>
    <row r="196" spans="1:64" x14ac:dyDescent="0.2">
      <c r="E196" s="12" t="s">
        <v>495</v>
      </c>
      <c r="J196" s="11"/>
      <c r="R196" s="160"/>
      <c r="S196" s="19"/>
      <c r="T196" s="25"/>
      <c r="U196" s="19"/>
      <c r="V196" s="19"/>
      <c r="W196" s="19"/>
      <c r="X196" s="19"/>
      <c r="Y196" s="19"/>
    </row>
    <row r="197" spans="1:64" x14ac:dyDescent="0.2">
      <c r="H197" s="262"/>
      <c r="J197" s="11"/>
      <c r="R197" s="25"/>
    </row>
    <row r="198" spans="1:64" x14ac:dyDescent="0.2">
      <c r="H198" s="262"/>
      <c r="J198" s="11"/>
      <c r="R198" s="160"/>
    </row>
    <row r="199" spans="1:64" x14ac:dyDescent="0.2">
      <c r="A199" s="290"/>
      <c r="H199" s="262"/>
      <c r="J199" s="11"/>
      <c r="R199" s="25"/>
      <c r="U199" s="19"/>
    </row>
    <row r="200" spans="1:64" x14ac:dyDescent="0.2">
      <c r="I200" s="18"/>
      <c r="J200" s="11"/>
      <c r="R200" s="160"/>
      <c r="U200" s="19"/>
    </row>
    <row r="201" spans="1:64" x14ac:dyDescent="0.2">
      <c r="J201" s="11"/>
      <c r="R201" s="25"/>
      <c r="U201" s="19"/>
    </row>
    <row r="202" spans="1:64" x14ac:dyDescent="0.2">
      <c r="J202" s="11"/>
      <c r="R202" s="268"/>
      <c r="U202" s="19"/>
    </row>
    <row r="203" spans="1:64" x14ac:dyDescent="0.2">
      <c r="J203" s="11"/>
      <c r="R203" s="25"/>
      <c r="U203" s="19"/>
    </row>
    <row r="204" spans="1:64" x14ac:dyDescent="0.2">
      <c r="J204" s="11"/>
      <c r="R204" s="160"/>
      <c r="U204" s="19"/>
    </row>
    <row r="205" spans="1:64" x14ac:dyDescent="0.2">
      <c r="J205" s="11"/>
      <c r="R205" s="25"/>
      <c r="U205" s="19"/>
    </row>
    <row r="206" spans="1:64" x14ac:dyDescent="0.2">
      <c r="J206" s="11"/>
      <c r="R206" s="160"/>
    </row>
    <row r="207" spans="1:64" x14ac:dyDescent="0.2">
      <c r="J207" s="11"/>
      <c r="R207" s="25"/>
    </row>
    <row r="208" spans="1:64" x14ac:dyDescent="0.2">
      <c r="J208" s="11"/>
      <c r="R208" s="160"/>
    </row>
    <row r="209" spans="10:10" x14ac:dyDescent="0.2">
      <c r="J209" s="11"/>
    </row>
    <row r="210" spans="10:10" x14ac:dyDescent="0.2">
      <c r="J210" s="11"/>
    </row>
    <row r="211" spans="10:10" x14ac:dyDescent="0.2">
      <c r="J211" s="11"/>
    </row>
    <row r="212" spans="10:10" x14ac:dyDescent="0.2">
      <c r="J212" s="11"/>
    </row>
    <row r="213" spans="10:10" x14ac:dyDescent="0.2">
      <c r="J213" s="11"/>
    </row>
    <row r="214" spans="10:10" x14ac:dyDescent="0.2">
      <c r="J214" s="11"/>
    </row>
    <row r="215" spans="10:10" x14ac:dyDescent="0.2">
      <c r="J215" s="11"/>
    </row>
  </sheetData>
  <autoFilter ref="BD2:BL191" xr:uid="{F1FEB45D-14C6-4740-82D4-F835EF27DBFD}"/>
  <conditionalFormatting sqref="AK102:AK111 AK122:AK145 AK161:AK166 AK3:AK14 AK17:AK100 AK168:AK177">
    <cfRule type="containsText" dxfId="305" priority="125" operator="containsText" text="SEND NOTICE">
      <formula>NOT(ISERROR(SEARCH("SEND NOTICE",AK3)))</formula>
    </cfRule>
  </conditionalFormatting>
  <conditionalFormatting sqref="A62:B62 M63 O62:P63 J62:M62 Z62:AF62 Z63:AC63 A63 X63 R62:S62 U62:X62 U64:X67 U68:W68 S164 S64:S68 AC64:AC67 Z64:AB68 AE63:AF68 BL62:BL68 D62:D63">
    <cfRule type="cellIs" dxfId="304" priority="124" operator="equal">
      <formula>#REF!</formula>
    </cfRule>
  </conditionalFormatting>
  <conditionalFormatting sqref="R63:S63 U63:W63">
    <cfRule type="cellIs" dxfId="303" priority="123" operator="equal">
      <formula>#REF!</formula>
    </cfRule>
  </conditionalFormatting>
  <conditionalFormatting sqref="F62">
    <cfRule type="cellIs" dxfId="302" priority="122" operator="equal">
      <formula>#REF!</formula>
    </cfRule>
  </conditionalFormatting>
  <conditionalFormatting sqref="R67 S166:S168 W166:W171 X166:X189 S170:S172">
    <cfRule type="cellIs" dxfId="301" priority="121" operator="equal">
      <formula>#REF!</formula>
    </cfRule>
  </conditionalFormatting>
  <conditionalFormatting sqref="K63">
    <cfRule type="cellIs" dxfId="300" priority="120" operator="equal">
      <formula>#REF!</formula>
    </cfRule>
  </conditionalFormatting>
  <conditionalFormatting sqref="AL16">
    <cfRule type="containsText" dxfId="299" priority="119" operator="containsText" text="SEND NOTICE">
      <formula>NOT(ISERROR(SEARCH("SEND NOTICE",AL16)))</formula>
    </cfRule>
  </conditionalFormatting>
  <conditionalFormatting sqref="AK93">
    <cfRule type="containsText" dxfId="298" priority="118" operator="containsText" text="SEND NOTICE">
      <formula>NOT(ISERROR(SEARCH("SEND NOTICE",AK93)))</formula>
    </cfRule>
  </conditionalFormatting>
  <conditionalFormatting sqref="AK94:AK95">
    <cfRule type="containsText" dxfId="297" priority="117" operator="containsText" text="SEND NOTICE">
      <formula>NOT(ISERROR(SEARCH("SEND NOTICE",AK94)))</formula>
    </cfRule>
  </conditionalFormatting>
  <conditionalFormatting sqref="AK94:AK95">
    <cfRule type="containsText" dxfId="296" priority="116" operator="containsText" text="SEND NOTICE">
      <formula>NOT(ISERROR(SEARCH("SEND NOTICE",AK94)))</formula>
    </cfRule>
  </conditionalFormatting>
  <conditionalFormatting sqref="AK96:AK99">
    <cfRule type="containsText" dxfId="295" priority="115" operator="containsText" text="SEND NOTICE">
      <formula>NOT(ISERROR(SEARCH("SEND NOTICE",AK96)))</formula>
    </cfRule>
  </conditionalFormatting>
  <conditionalFormatting sqref="AK96:AK99">
    <cfRule type="containsText" dxfId="294" priority="114" operator="containsText" text="SEND NOTICE">
      <formula>NOT(ISERROR(SEARCH("SEND NOTICE",AK96)))</formula>
    </cfRule>
  </conditionalFormatting>
  <conditionalFormatting sqref="AK96:AK99">
    <cfRule type="containsText" dxfId="293" priority="113" operator="containsText" text="SEND NOTICE">
      <formula>NOT(ISERROR(SEARCH("SEND NOTICE",AK96)))</formula>
    </cfRule>
  </conditionalFormatting>
  <conditionalFormatting sqref="AK100">
    <cfRule type="containsText" dxfId="292" priority="112" operator="containsText" text="SEND NOTICE">
      <formula>NOT(ISERROR(SEARCH("SEND NOTICE",AK100)))</formula>
    </cfRule>
  </conditionalFormatting>
  <conditionalFormatting sqref="AK100">
    <cfRule type="containsText" dxfId="291" priority="111" operator="containsText" text="SEND NOTICE">
      <formula>NOT(ISERROR(SEARCH("SEND NOTICE",AK100)))</formula>
    </cfRule>
  </conditionalFormatting>
  <conditionalFormatting sqref="AK100">
    <cfRule type="containsText" dxfId="290" priority="110" operator="containsText" text="SEND NOTICE">
      <formula>NOT(ISERROR(SEARCH("SEND NOTICE",AK100)))</formula>
    </cfRule>
  </conditionalFormatting>
  <conditionalFormatting sqref="AK100">
    <cfRule type="containsText" dxfId="289" priority="109" operator="containsText" text="SEND NOTICE">
      <formula>NOT(ISERROR(SEARCH("SEND NOTICE",AK100)))</formula>
    </cfRule>
  </conditionalFormatting>
  <conditionalFormatting sqref="AK101">
    <cfRule type="containsText" dxfId="288" priority="108" operator="containsText" text="SEND NOTICE">
      <formula>NOT(ISERROR(SEARCH("SEND NOTICE",AK101)))</formula>
    </cfRule>
  </conditionalFormatting>
  <conditionalFormatting sqref="AK16">
    <cfRule type="containsText" dxfId="287" priority="107" operator="containsText" text="SEND NOTICE">
      <formula>NOT(ISERROR(SEARCH("SEND NOTICE",AK16)))</formula>
    </cfRule>
  </conditionalFormatting>
  <conditionalFormatting sqref="AL15">
    <cfRule type="containsText" dxfId="286" priority="106" operator="containsText" text="SEND NOTICE">
      <formula>NOT(ISERROR(SEARCH("SEND NOTICE",AL15)))</formula>
    </cfRule>
  </conditionalFormatting>
  <conditionalFormatting sqref="AK15">
    <cfRule type="containsText" dxfId="285" priority="105" operator="containsText" text="SEND NOTICE">
      <formula>NOT(ISERROR(SEARCH("SEND NOTICE",AK15)))</formula>
    </cfRule>
  </conditionalFormatting>
  <conditionalFormatting sqref="AK112:AK114">
    <cfRule type="containsText" dxfId="284" priority="104" operator="containsText" text="SEND NOTICE">
      <formula>NOT(ISERROR(SEARCH("SEND NOTICE",AK112)))</formula>
    </cfRule>
  </conditionalFormatting>
  <conditionalFormatting sqref="AK113">
    <cfRule type="containsText" dxfId="283" priority="103" operator="containsText" text="SEND NOTICE">
      <formula>NOT(ISERROR(SEARCH("SEND NOTICE",AK113)))</formula>
    </cfRule>
  </conditionalFormatting>
  <conditionalFormatting sqref="AK115">
    <cfRule type="containsText" dxfId="282" priority="102" operator="containsText" text="SEND NOTICE">
      <formula>NOT(ISERROR(SEARCH("SEND NOTICE",AK115)))</formula>
    </cfRule>
  </conditionalFormatting>
  <conditionalFormatting sqref="AK116">
    <cfRule type="containsText" dxfId="281" priority="101" operator="containsText" text="SEND NOTICE">
      <formula>NOT(ISERROR(SEARCH("SEND NOTICE",AK116)))</formula>
    </cfRule>
  </conditionalFormatting>
  <conditionalFormatting sqref="AK117:AK121">
    <cfRule type="containsText" dxfId="280" priority="100" operator="containsText" text="SEND NOTICE">
      <formula>NOT(ISERROR(SEARCH("SEND NOTICE",AK117)))</formula>
    </cfRule>
  </conditionalFormatting>
  <conditionalFormatting sqref="AK146">
    <cfRule type="containsText" dxfId="279" priority="99" operator="containsText" text="SEND NOTICE">
      <formula>NOT(ISERROR(SEARCH("SEND NOTICE",AK146)))</formula>
    </cfRule>
  </conditionalFormatting>
  <conditionalFormatting sqref="AK147">
    <cfRule type="containsText" dxfId="278" priority="98" operator="containsText" text="SEND NOTICE">
      <formula>NOT(ISERROR(SEARCH("SEND NOTICE",AK147)))</formula>
    </cfRule>
  </conditionalFormatting>
  <conditionalFormatting sqref="AK148">
    <cfRule type="containsText" dxfId="277" priority="97" operator="containsText" text="SEND NOTICE">
      <formula>NOT(ISERROR(SEARCH("SEND NOTICE",AK148)))</formula>
    </cfRule>
  </conditionalFormatting>
  <conditionalFormatting sqref="AK149">
    <cfRule type="containsText" dxfId="276" priority="96" operator="containsText" text="SEND NOTICE">
      <formula>NOT(ISERROR(SEARCH("SEND NOTICE",AK149)))</formula>
    </cfRule>
  </conditionalFormatting>
  <conditionalFormatting sqref="AK150">
    <cfRule type="containsText" dxfId="275" priority="95" operator="containsText" text="SEND NOTICE">
      <formula>NOT(ISERROR(SEARCH("SEND NOTICE",AK150)))</formula>
    </cfRule>
  </conditionalFormatting>
  <conditionalFormatting sqref="AK151">
    <cfRule type="containsText" dxfId="274" priority="94" operator="containsText" text="SEND NOTICE">
      <formula>NOT(ISERROR(SEARCH("SEND NOTICE",AK151)))</formula>
    </cfRule>
  </conditionalFormatting>
  <conditionalFormatting sqref="AJ16">
    <cfRule type="containsText" dxfId="273" priority="93" operator="containsText" text="SEND NOTICE">
      <formula>NOT(ISERROR(SEARCH("SEND NOTICE",AJ16)))</formula>
    </cfRule>
  </conditionalFormatting>
  <conditionalFormatting sqref="AJ15">
    <cfRule type="containsText" dxfId="272" priority="92" operator="containsText" text="SEND NOTICE">
      <formula>NOT(ISERROR(SEARCH("SEND NOTICE",AJ15)))</formula>
    </cfRule>
  </conditionalFormatting>
  <conditionalFormatting sqref="S69">
    <cfRule type="cellIs" dxfId="271" priority="91" operator="equal">
      <formula>#REF!</formula>
    </cfRule>
  </conditionalFormatting>
  <conditionalFormatting sqref="U69">
    <cfRule type="cellIs" dxfId="270" priority="90" operator="equal">
      <formula>#REF!</formula>
    </cfRule>
  </conditionalFormatting>
  <conditionalFormatting sqref="AK152:AK155 AK157:AK160">
    <cfRule type="containsText" dxfId="269" priority="89" operator="containsText" text="SEND NOTICE">
      <formula>NOT(ISERROR(SEARCH("SEND NOTICE",AK152)))</formula>
    </cfRule>
  </conditionalFormatting>
  <conditionalFormatting sqref="AK156">
    <cfRule type="containsText" dxfId="268" priority="88" operator="containsText" text="SEND NOTICE">
      <formula>NOT(ISERROR(SEARCH("SEND NOTICE",AK156)))</formula>
    </cfRule>
  </conditionalFormatting>
  <conditionalFormatting sqref="S156 U156 W156:X156">
    <cfRule type="cellIs" dxfId="267" priority="87" operator="equal">
      <formula>#REF!</formula>
    </cfRule>
  </conditionalFormatting>
  <conditionalFormatting sqref="S157 U157">
    <cfRule type="cellIs" dxfId="266" priority="86" operator="equal">
      <formula>#REF!</formula>
    </cfRule>
  </conditionalFormatting>
  <conditionalFormatting sqref="S158 U158">
    <cfRule type="cellIs" dxfId="265" priority="85" operator="equal">
      <formula>#REF!</formula>
    </cfRule>
  </conditionalFormatting>
  <conditionalFormatting sqref="X157:X158">
    <cfRule type="cellIs" dxfId="264" priority="84" operator="equal">
      <formula>#REF!</formula>
    </cfRule>
  </conditionalFormatting>
  <conditionalFormatting sqref="W157">
    <cfRule type="cellIs" dxfId="263" priority="83" operator="equal">
      <formula>#REF!</formula>
    </cfRule>
  </conditionalFormatting>
  <conditionalFormatting sqref="W158">
    <cfRule type="cellIs" dxfId="262" priority="82" operator="equal">
      <formula>#REF!</formula>
    </cfRule>
  </conditionalFormatting>
  <conditionalFormatting sqref="S159 U159">
    <cfRule type="cellIs" dxfId="261" priority="81" operator="equal">
      <formula>#REF!</formula>
    </cfRule>
  </conditionalFormatting>
  <conditionalFormatting sqref="X159">
    <cfRule type="cellIs" dxfId="260" priority="80" operator="equal">
      <formula>#REF!</formula>
    </cfRule>
  </conditionalFormatting>
  <conditionalFormatting sqref="W159">
    <cfRule type="cellIs" dxfId="259" priority="79" operator="equal">
      <formula>#REF!</formula>
    </cfRule>
  </conditionalFormatting>
  <conditionalFormatting sqref="S160 U160">
    <cfRule type="cellIs" dxfId="258" priority="78" operator="equal">
      <formula>#REF!</formula>
    </cfRule>
  </conditionalFormatting>
  <conditionalFormatting sqref="W160">
    <cfRule type="cellIs" dxfId="257" priority="77" operator="equal">
      <formula>#REF!</formula>
    </cfRule>
  </conditionalFormatting>
  <conditionalFormatting sqref="X160">
    <cfRule type="cellIs" dxfId="256" priority="76" operator="equal">
      <formula>#REF!</formula>
    </cfRule>
  </conditionalFormatting>
  <conditionalFormatting sqref="W69">
    <cfRule type="cellIs" dxfId="255" priority="75" operator="equal">
      <formula>#REF!</formula>
    </cfRule>
  </conditionalFormatting>
  <conditionalFormatting sqref="AA69:AB69">
    <cfRule type="cellIs" dxfId="254" priority="74" operator="equal">
      <formula>#REF!</formula>
    </cfRule>
  </conditionalFormatting>
  <conditionalFormatting sqref="S161:S162">
    <cfRule type="cellIs" dxfId="253" priority="73" operator="equal">
      <formula>#REF!</formula>
    </cfRule>
  </conditionalFormatting>
  <conditionalFormatting sqref="W161:W162">
    <cfRule type="cellIs" dxfId="252" priority="72" operator="equal">
      <formula>#REF!</formula>
    </cfRule>
  </conditionalFormatting>
  <conditionalFormatting sqref="U161">
    <cfRule type="cellIs" dxfId="251" priority="71" operator="equal">
      <formula>#REF!</formula>
    </cfRule>
  </conditionalFormatting>
  <conditionalFormatting sqref="X161">
    <cfRule type="cellIs" dxfId="250" priority="70" operator="equal">
      <formula>#REF!</formula>
    </cfRule>
  </conditionalFormatting>
  <conditionalFormatting sqref="U162">
    <cfRule type="cellIs" dxfId="249" priority="69" operator="equal">
      <formula>#REF!</formula>
    </cfRule>
  </conditionalFormatting>
  <conditionalFormatting sqref="X162">
    <cfRule type="cellIs" dxfId="248" priority="68" operator="equal">
      <formula>#REF!</formula>
    </cfRule>
  </conditionalFormatting>
  <conditionalFormatting sqref="S163">
    <cfRule type="cellIs" dxfId="247" priority="67" operator="equal">
      <formula>#REF!</formula>
    </cfRule>
  </conditionalFormatting>
  <conditionalFormatting sqref="W163">
    <cfRule type="cellIs" dxfId="246" priority="66" operator="equal">
      <formula>#REF!</formula>
    </cfRule>
  </conditionalFormatting>
  <conditionalFormatting sqref="U163">
    <cfRule type="cellIs" dxfId="245" priority="65" operator="equal">
      <formula>#REF!</formula>
    </cfRule>
  </conditionalFormatting>
  <conditionalFormatting sqref="X163">
    <cfRule type="cellIs" dxfId="244" priority="64" operator="equal">
      <formula>#REF!</formula>
    </cfRule>
  </conditionalFormatting>
  <conditionalFormatting sqref="X165">
    <cfRule type="cellIs" dxfId="243" priority="63" operator="equal">
      <formula>#REF!</formula>
    </cfRule>
  </conditionalFormatting>
  <conditionalFormatting sqref="W164">
    <cfRule type="cellIs" dxfId="242" priority="62" operator="equal">
      <formula>#REF!</formula>
    </cfRule>
  </conditionalFormatting>
  <conditionalFormatting sqref="U164">
    <cfRule type="cellIs" dxfId="241" priority="61" operator="equal">
      <formula>#REF!</formula>
    </cfRule>
  </conditionalFormatting>
  <conditionalFormatting sqref="X164">
    <cfRule type="cellIs" dxfId="240" priority="60" operator="equal">
      <formula>#REF!</formula>
    </cfRule>
  </conditionalFormatting>
  <conditionalFormatting sqref="T63">
    <cfRule type="cellIs" dxfId="239" priority="59" operator="equal">
      <formula>#REF!</formula>
    </cfRule>
  </conditionalFormatting>
  <conditionalFormatting sqref="U166:U167">
    <cfRule type="cellIs" dxfId="238" priority="58" operator="equal">
      <formula>#REF!</formula>
    </cfRule>
  </conditionalFormatting>
  <conditionalFormatting sqref="AK167">
    <cfRule type="containsText" dxfId="237" priority="57" operator="containsText" text="SEND NOTICE">
      <formula>NOT(ISERROR(SEARCH("SEND NOTICE",AK167)))</formula>
    </cfRule>
  </conditionalFormatting>
  <conditionalFormatting sqref="U168">
    <cfRule type="cellIs" dxfId="236" priority="56" operator="equal">
      <formula>#REF!</formula>
    </cfRule>
  </conditionalFormatting>
  <conditionalFormatting sqref="U170">
    <cfRule type="cellIs" dxfId="235" priority="55" operator="equal">
      <formula>#REF!</formula>
    </cfRule>
  </conditionalFormatting>
  <conditionalFormatting sqref="U171:U172">
    <cfRule type="cellIs" dxfId="234" priority="54" operator="equal">
      <formula>#REF!</formula>
    </cfRule>
  </conditionalFormatting>
  <conditionalFormatting sqref="S173">
    <cfRule type="cellIs" dxfId="233" priority="53" operator="equal">
      <formula>#REF!</formula>
    </cfRule>
  </conditionalFormatting>
  <conditionalFormatting sqref="W173">
    <cfRule type="cellIs" dxfId="232" priority="52" operator="equal">
      <formula>#REF!</formula>
    </cfRule>
  </conditionalFormatting>
  <conditionalFormatting sqref="U173">
    <cfRule type="cellIs" dxfId="231" priority="51" operator="equal">
      <formula>#REF!</formula>
    </cfRule>
  </conditionalFormatting>
  <conditionalFormatting sqref="S174">
    <cfRule type="cellIs" dxfId="230" priority="50" operator="equal">
      <formula>#REF!</formula>
    </cfRule>
  </conditionalFormatting>
  <conditionalFormatting sqref="W174">
    <cfRule type="cellIs" dxfId="229" priority="49" operator="equal">
      <formula>#REF!</formula>
    </cfRule>
  </conditionalFormatting>
  <conditionalFormatting sqref="U174">
    <cfRule type="cellIs" dxfId="228" priority="48" operator="equal">
      <formula>#REF!</formula>
    </cfRule>
  </conditionalFormatting>
  <conditionalFormatting sqref="S175:S178">
    <cfRule type="cellIs" dxfId="227" priority="47" operator="equal">
      <formula>#REF!</formula>
    </cfRule>
  </conditionalFormatting>
  <conditionalFormatting sqref="W175:W178">
    <cfRule type="cellIs" dxfId="226" priority="46" operator="equal">
      <formula>#REF!</formula>
    </cfRule>
  </conditionalFormatting>
  <conditionalFormatting sqref="U175">
    <cfRule type="cellIs" dxfId="225" priority="45" operator="equal">
      <formula>#REF!</formula>
    </cfRule>
  </conditionalFormatting>
  <conditionalFormatting sqref="T176:T178">
    <cfRule type="cellIs" dxfId="224" priority="44" operator="equal">
      <formula>#REF!</formula>
    </cfRule>
  </conditionalFormatting>
  <conditionalFormatting sqref="U176">
    <cfRule type="cellIs" dxfId="223" priority="43" operator="equal">
      <formula>#REF!</formula>
    </cfRule>
  </conditionalFormatting>
  <conditionalFormatting sqref="U177:U178">
    <cfRule type="cellIs" dxfId="222" priority="42" operator="equal">
      <formula>#REF!</formula>
    </cfRule>
  </conditionalFormatting>
  <conditionalFormatting sqref="AK178:AK190">
    <cfRule type="containsText" dxfId="221" priority="41" operator="containsText" text="SEND NOTICE">
      <formula>NOT(ISERROR(SEARCH("SEND NOTICE",AK178)))</formula>
    </cfRule>
  </conditionalFormatting>
  <conditionalFormatting sqref="S179">
    <cfRule type="cellIs" dxfId="220" priority="40" operator="equal">
      <formula>#REF!</formula>
    </cfRule>
  </conditionalFormatting>
  <conditionalFormatting sqref="W179">
    <cfRule type="cellIs" dxfId="219" priority="39" operator="equal">
      <formula>#REF!</formula>
    </cfRule>
  </conditionalFormatting>
  <conditionalFormatting sqref="T179">
    <cfRule type="cellIs" dxfId="218" priority="38" operator="equal">
      <formula>#REF!</formula>
    </cfRule>
  </conditionalFormatting>
  <conditionalFormatting sqref="U179">
    <cfRule type="cellIs" dxfId="217" priority="37" operator="equal">
      <formula>#REF!</formula>
    </cfRule>
  </conditionalFormatting>
  <conditionalFormatting sqref="S180">
    <cfRule type="cellIs" dxfId="216" priority="36" operator="equal">
      <formula>#REF!</formula>
    </cfRule>
  </conditionalFormatting>
  <conditionalFormatting sqref="W180:W184">
    <cfRule type="cellIs" dxfId="215" priority="35" operator="equal">
      <formula>#REF!</formula>
    </cfRule>
  </conditionalFormatting>
  <conditionalFormatting sqref="T180">
    <cfRule type="cellIs" dxfId="214" priority="34" operator="equal">
      <formula>#REF!</formula>
    </cfRule>
  </conditionalFormatting>
  <conditionalFormatting sqref="U180">
    <cfRule type="cellIs" dxfId="213" priority="33" operator="equal">
      <formula>#REF!</formula>
    </cfRule>
  </conditionalFormatting>
  <conditionalFormatting sqref="S181:S183">
    <cfRule type="cellIs" dxfId="212" priority="32" operator="equal">
      <formula>#REF!</formula>
    </cfRule>
  </conditionalFormatting>
  <conditionalFormatting sqref="T181:T183">
    <cfRule type="cellIs" dxfId="211" priority="31" operator="equal">
      <formula>#REF!</formula>
    </cfRule>
  </conditionalFormatting>
  <conditionalFormatting sqref="U181">
    <cfRule type="cellIs" dxfId="210" priority="30" operator="equal">
      <formula>#REF!</formula>
    </cfRule>
  </conditionalFormatting>
  <conditionalFormatting sqref="U182">
    <cfRule type="cellIs" dxfId="209" priority="29" operator="equal">
      <formula>#REF!</formula>
    </cfRule>
  </conditionalFormatting>
  <conditionalFormatting sqref="S184">
    <cfRule type="cellIs" dxfId="208" priority="28" operator="equal">
      <formula>#REF!</formula>
    </cfRule>
  </conditionalFormatting>
  <conditionalFormatting sqref="U184">
    <cfRule type="cellIs" dxfId="207" priority="27" operator="equal">
      <formula>#REF!</formula>
    </cfRule>
  </conditionalFormatting>
  <conditionalFormatting sqref="W185">
    <cfRule type="cellIs" dxfId="206" priority="26" operator="equal">
      <formula>#REF!</formula>
    </cfRule>
  </conditionalFormatting>
  <conditionalFormatting sqref="S185">
    <cfRule type="cellIs" dxfId="205" priority="25" operator="equal">
      <formula>#REF!</formula>
    </cfRule>
  </conditionalFormatting>
  <conditionalFormatting sqref="T185">
    <cfRule type="cellIs" dxfId="204" priority="24" operator="equal">
      <formula>#REF!</formula>
    </cfRule>
  </conditionalFormatting>
  <conditionalFormatting sqref="U185">
    <cfRule type="cellIs" dxfId="203" priority="23" operator="equal">
      <formula>#REF!</formula>
    </cfRule>
  </conditionalFormatting>
  <conditionalFormatting sqref="S186">
    <cfRule type="cellIs" dxfId="202" priority="22" operator="equal">
      <formula>#REF!</formula>
    </cfRule>
  </conditionalFormatting>
  <conditionalFormatting sqref="W186">
    <cfRule type="cellIs" dxfId="201" priority="21" operator="equal">
      <formula>#REF!</formula>
    </cfRule>
  </conditionalFormatting>
  <conditionalFormatting sqref="T186">
    <cfRule type="cellIs" dxfId="200" priority="20" operator="equal">
      <formula>#REF!</formula>
    </cfRule>
  </conditionalFormatting>
  <conditionalFormatting sqref="U186">
    <cfRule type="cellIs" dxfId="199" priority="19" operator="equal">
      <formula>#REF!</formula>
    </cfRule>
  </conditionalFormatting>
  <conditionalFormatting sqref="S187">
    <cfRule type="cellIs" dxfId="198" priority="18" operator="equal">
      <formula>#REF!</formula>
    </cfRule>
  </conditionalFormatting>
  <conditionalFormatting sqref="W187">
    <cfRule type="cellIs" dxfId="197" priority="17" operator="equal">
      <formula>#REF!</formula>
    </cfRule>
  </conditionalFormatting>
  <conditionalFormatting sqref="T187">
    <cfRule type="cellIs" dxfId="196" priority="16" operator="equal">
      <formula>#REF!</formula>
    </cfRule>
  </conditionalFormatting>
  <conditionalFormatting sqref="U187">
    <cfRule type="cellIs" dxfId="195" priority="15" operator="equal">
      <formula>#REF!</formula>
    </cfRule>
  </conditionalFormatting>
  <conditionalFormatting sqref="S188">
    <cfRule type="cellIs" dxfId="194" priority="14" operator="equal">
      <formula>#REF!</formula>
    </cfRule>
  </conditionalFormatting>
  <conditionalFormatting sqref="W188">
    <cfRule type="cellIs" dxfId="193" priority="13" operator="equal">
      <formula>#REF!</formula>
    </cfRule>
  </conditionalFormatting>
  <conditionalFormatting sqref="T188">
    <cfRule type="cellIs" dxfId="192" priority="12" operator="equal">
      <formula>#REF!</formula>
    </cfRule>
  </conditionalFormatting>
  <conditionalFormatting sqref="U188">
    <cfRule type="cellIs" dxfId="191" priority="11" operator="equal">
      <formula>#REF!</formula>
    </cfRule>
  </conditionalFormatting>
  <conditionalFormatting sqref="W189">
    <cfRule type="cellIs" dxfId="190" priority="10" operator="equal">
      <formula>#REF!</formula>
    </cfRule>
  </conditionalFormatting>
  <conditionalFormatting sqref="S189">
    <cfRule type="cellIs" dxfId="189" priority="9" operator="equal">
      <formula>#REF!</formula>
    </cfRule>
  </conditionalFormatting>
  <conditionalFormatting sqref="T189">
    <cfRule type="cellIs" dxfId="188" priority="8" operator="equal">
      <formula>#REF!</formula>
    </cfRule>
  </conditionalFormatting>
  <conditionalFormatting sqref="U189">
    <cfRule type="cellIs" dxfId="187" priority="7" operator="equal">
      <formula>#REF!</formula>
    </cfRule>
  </conditionalFormatting>
  <conditionalFormatting sqref="S190">
    <cfRule type="cellIs" dxfId="186" priority="6" operator="equal">
      <formula>#REF!</formula>
    </cfRule>
  </conditionalFormatting>
  <conditionalFormatting sqref="X190">
    <cfRule type="cellIs" dxfId="185" priority="5" operator="equal">
      <formula>#REF!</formula>
    </cfRule>
  </conditionalFormatting>
  <conditionalFormatting sqref="U190">
    <cfRule type="cellIs" dxfId="184" priority="4" operator="equal">
      <formula>#REF!</formula>
    </cfRule>
  </conditionalFormatting>
  <conditionalFormatting sqref="U183">
    <cfRule type="cellIs" dxfId="183" priority="3" operator="equal">
      <formula>#REF!</formula>
    </cfRule>
  </conditionalFormatting>
  <conditionalFormatting sqref="S169">
    <cfRule type="cellIs" dxfId="182" priority="2" operator="equal">
      <formula>#REF!</formula>
    </cfRule>
  </conditionalFormatting>
  <conditionalFormatting sqref="U169">
    <cfRule type="cellIs" dxfId="181" priority="1" operator="equal">
      <formula>#REF!</formula>
    </cfRule>
  </conditionalFormatting>
  <pageMargins left="0.25" right="0.25" top="0.75" bottom="0.75" header="0.3" footer="0.3"/>
  <pageSetup paperSize="9" scale="10"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25210-7050-40B9-8EC3-CC85EC12DD92}">
  <sheetPr codeName="Sheet33">
    <tabColor theme="5" tint="0.79998168889431442"/>
    <pageSetUpPr fitToPage="1"/>
  </sheetPr>
  <dimension ref="A1:BU235"/>
  <sheetViews>
    <sheetView topLeftCell="A2" workbookViewId="0"/>
  </sheetViews>
  <sheetFormatPr defaultColWidth="9.140625" defaultRowHeight="12.75" outlineLevelCol="1" x14ac:dyDescent="0.2"/>
  <cols>
    <col min="1" max="1" width="36.85546875" style="21" customWidth="1"/>
    <col min="2" max="2" width="8.140625" style="21" bestFit="1" customWidth="1"/>
    <col min="3" max="3" width="6.28515625" style="21" bestFit="1" customWidth="1"/>
    <col min="4" max="4" width="14.7109375" style="11" customWidth="1"/>
    <col min="5" max="5" width="14.28515625" style="12" customWidth="1" outlineLevel="1"/>
    <col min="6" max="6" width="13.28515625" style="11" customWidth="1"/>
    <col min="7" max="7" width="25.7109375" style="11" customWidth="1"/>
    <col min="8" max="8" width="24.85546875" style="11" customWidth="1" outlineLevel="1"/>
    <col min="9" max="9" width="28.7109375" style="11" customWidth="1"/>
    <col min="10" max="10" width="30.42578125" style="21" customWidth="1"/>
    <col min="11" max="11" width="21.42578125" style="11" customWidth="1"/>
    <col min="12" max="12" width="14.5703125" style="11" customWidth="1"/>
    <col min="13" max="13" width="9.85546875" style="11" customWidth="1" outlineLevel="1"/>
    <col min="14" max="14" width="8.5703125" style="11" customWidth="1"/>
    <col min="15" max="15" width="20.5703125" style="11" customWidth="1"/>
    <col min="16" max="16" width="10.5703125" style="11" customWidth="1"/>
    <col min="17" max="17" width="9" style="11" customWidth="1"/>
    <col min="18" max="18" width="11.28515625" style="11" customWidth="1"/>
    <col min="19" max="19" width="8.42578125" style="19" customWidth="1"/>
    <col min="20" max="20" width="13.85546875" style="11" customWidth="1"/>
    <col min="21" max="21" width="11.5703125" style="293" customWidth="1"/>
    <col min="22" max="22" width="14" style="11" customWidth="1"/>
    <col min="23" max="23" width="14.42578125" style="11" customWidth="1"/>
    <col min="24" max="24" width="17" style="356" customWidth="1"/>
    <col min="25" max="25" width="10.42578125" style="361" customWidth="1"/>
    <col min="26" max="26" width="9.140625" style="11" customWidth="1"/>
    <col min="27" max="28" width="11.28515625" style="11" customWidth="1"/>
    <col min="29" max="29" width="9.28515625" style="11" customWidth="1"/>
    <col min="30" max="30" width="12.28515625" style="11" customWidth="1"/>
    <col min="31" max="31" width="11.7109375" style="20" customWidth="1"/>
    <col min="32" max="32" width="11.42578125" style="11" customWidth="1"/>
    <col min="33" max="33" width="11.28515625" style="11" customWidth="1"/>
    <col min="34" max="34" width="8.42578125" style="19" customWidth="1"/>
    <col min="35" max="35" width="8" style="11" customWidth="1"/>
    <col min="36" max="36" width="7.5703125" style="11" customWidth="1"/>
    <col min="37" max="37" width="11.140625" style="19" customWidth="1"/>
    <col min="38" max="38" width="8.85546875" style="11" customWidth="1"/>
    <col min="39" max="39" width="8.42578125" style="11" customWidth="1"/>
    <col min="40" max="40" width="11.140625" style="11" customWidth="1"/>
    <col min="41" max="41" width="16.42578125" style="11" customWidth="1"/>
    <col min="42" max="42" width="12.28515625" style="11" customWidth="1"/>
    <col min="43" max="43" width="22.5703125" style="11" customWidth="1"/>
    <col min="44" max="44" width="9.140625" style="11" customWidth="1"/>
    <col min="45" max="45" width="10.42578125" style="11" customWidth="1"/>
    <col min="46" max="46" width="13.28515625" style="11" customWidth="1"/>
    <col min="47" max="47" width="25.7109375" style="11" customWidth="1"/>
    <col min="48" max="48" width="10.42578125" style="11" customWidth="1"/>
    <col min="49" max="55" width="13.5703125" style="11" customWidth="1"/>
    <col min="56" max="56" width="22.140625" style="11" customWidth="1"/>
    <col min="57" max="58" width="3.42578125" style="11" customWidth="1"/>
    <col min="59" max="59" width="10.85546875" style="11" customWidth="1"/>
    <col min="60" max="60" width="10.7109375" style="11" customWidth="1"/>
    <col min="61" max="61" width="10.42578125" style="11" customWidth="1"/>
    <col min="62" max="63" width="9.42578125" style="11" customWidth="1"/>
    <col min="64" max="64" width="10.140625" style="11" customWidth="1"/>
    <col min="65" max="68" width="9.140625" style="11" customWidth="1"/>
    <col min="69" max="69" width="21.28515625" style="11" customWidth="1"/>
    <col min="70" max="70" width="9.140625" style="11"/>
    <col min="71" max="71" width="17" style="11" customWidth="1"/>
    <col min="72" max="72" width="68" style="11" bestFit="1" customWidth="1"/>
    <col min="73" max="73" width="63.5703125" style="11" bestFit="1" customWidth="1"/>
    <col min="74" max="16384" width="9.140625" style="11"/>
  </cols>
  <sheetData>
    <row r="1" spans="1:73" hidden="1" x14ac:dyDescent="0.2">
      <c r="A1" s="126" t="e">
        <f>#REF!</f>
        <v>#REF!</v>
      </c>
      <c r="B1" s="125"/>
      <c r="C1" s="125"/>
      <c r="D1" s="124"/>
      <c r="E1" s="233"/>
      <c r="F1" s="124"/>
      <c r="N1" s="124"/>
      <c r="AT1" s="195"/>
      <c r="AU1" s="196"/>
      <c r="AV1" s="196"/>
      <c r="AW1" s="196"/>
      <c r="AX1" s="196"/>
      <c r="AY1" s="196"/>
      <c r="AZ1" s="196"/>
      <c r="BA1" s="196"/>
      <c r="BB1" s="196"/>
      <c r="BC1" s="196"/>
      <c r="BD1" s="196"/>
      <c r="BE1" s="196"/>
      <c r="BF1" s="196"/>
      <c r="BG1" s="196"/>
      <c r="BH1" s="196"/>
      <c r="BI1" s="196"/>
      <c r="BJ1" s="196"/>
      <c r="BK1" s="196"/>
      <c r="BL1" s="196"/>
      <c r="BM1" s="196"/>
      <c r="BN1" s="196"/>
      <c r="BO1" s="196"/>
    </row>
    <row r="2" spans="1:73" s="288" customFormat="1" ht="64.5" thickBot="1" x14ac:dyDescent="0.25">
      <c r="A2" s="279" t="s">
        <v>14</v>
      </c>
      <c r="B2" s="122" t="s">
        <v>63</v>
      </c>
      <c r="C2" s="122" t="s">
        <v>1140</v>
      </c>
      <c r="D2" s="122" t="s">
        <v>84</v>
      </c>
      <c r="E2" s="122" t="s">
        <v>468</v>
      </c>
      <c r="F2" s="122" t="s">
        <v>467</v>
      </c>
      <c r="G2" s="122" t="s">
        <v>81</v>
      </c>
      <c r="H2" s="122" t="s">
        <v>82</v>
      </c>
      <c r="I2" s="122" t="s">
        <v>83</v>
      </c>
      <c r="J2" s="122" t="s">
        <v>2</v>
      </c>
      <c r="K2" s="122" t="s">
        <v>217</v>
      </c>
      <c r="L2" s="122" t="s">
        <v>39</v>
      </c>
      <c r="M2" s="280" t="s">
        <v>5</v>
      </c>
      <c r="N2" s="281" t="s">
        <v>427</v>
      </c>
      <c r="O2" s="282" t="s">
        <v>41</v>
      </c>
      <c r="P2" s="282" t="s">
        <v>1263</v>
      </c>
      <c r="Q2" s="282" t="s">
        <v>535</v>
      </c>
      <c r="R2" s="282" t="s">
        <v>536</v>
      </c>
      <c r="S2" s="283" t="s">
        <v>403</v>
      </c>
      <c r="T2" s="284" t="s">
        <v>479</v>
      </c>
      <c r="U2" s="284" t="s">
        <v>430</v>
      </c>
      <c r="V2" s="376" t="s">
        <v>431</v>
      </c>
      <c r="W2" s="284" t="s">
        <v>783</v>
      </c>
      <c r="X2" s="284" t="s">
        <v>754</v>
      </c>
      <c r="Y2" s="284" t="s">
        <v>1292</v>
      </c>
      <c r="Z2" s="281" t="s">
        <v>1293</v>
      </c>
      <c r="AA2" s="284" t="s">
        <v>12</v>
      </c>
      <c r="AB2" s="284" t="s">
        <v>573</v>
      </c>
      <c r="AC2" s="284" t="s">
        <v>1294</v>
      </c>
      <c r="AD2" s="284" t="s">
        <v>471</v>
      </c>
      <c r="AE2" s="284" t="s">
        <v>433</v>
      </c>
      <c r="AF2" s="284" t="s">
        <v>15</v>
      </c>
      <c r="AG2" s="285" t="s">
        <v>17</v>
      </c>
      <c r="AH2" s="285" t="s">
        <v>18</v>
      </c>
      <c r="AI2" s="285" t="s">
        <v>434</v>
      </c>
      <c r="AJ2" s="285" t="s">
        <v>435</v>
      </c>
      <c r="AK2" s="285" t="s">
        <v>436</v>
      </c>
      <c r="AL2" s="286" t="s">
        <v>46</v>
      </c>
      <c r="AM2" s="286" t="s">
        <v>19</v>
      </c>
      <c r="AN2" s="286" t="s">
        <v>20</v>
      </c>
      <c r="AO2" s="286" t="s">
        <v>170</v>
      </c>
      <c r="AP2" s="286" t="s">
        <v>241</v>
      </c>
      <c r="AQ2" s="283" t="s">
        <v>324</v>
      </c>
      <c r="AR2" s="287" t="s">
        <v>482</v>
      </c>
      <c r="AS2" s="287" t="s">
        <v>481</v>
      </c>
      <c r="AT2" s="281" t="s">
        <v>612</v>
      </c>
      <c r="AU2" s="281" t="s">
        <v>613</v>
      </c>
      <c r="AV2" s="306" t="s">
        <v>614</v>
      </c>
      <c r="AW2" s="306" t="s">
        <v>615</v>
      </c>
      <c r="AX2" s="307" t="s">
        <v>616</v>
      </c>
      <c r="AY2" s="307" t="s">
        <v>617</v>
      </c>
      <c r="AZ2" s="307" t="s">
        <v>618</v>
      </c>
      <c r="BA2" s="306" t="s">
        <v>619</v>
      </c>
      <c r="BB2" s="307" t="s">
        <v>620</v>
      </c>
      <c r="BC2" s="307" t="s">
        <v>1330</v>
      </c>
      <c r="BD2" s="306" t="s">
        <v>623</v>
      </c>
      <c r="BG2" s="289">
        <v>45078</v>
      </c>
      <c r="BH2" s="289">
        <v>44986</v>
      </c>
      <c r="BI2" s="289">
        <v>44896</v>
      </c>
      <c r="BJ2" s="289">
        <v>44805</v>
      </c>
      <c r="BK2" s="289">
        <v>44713</v>
      </c>
      <c r="BL2" s="289">
        <v>44621</v>
      </c>
      <c r="BM2" s="289">
        <v>44531</v>
      </c>
      <c r="BN2" s="289">
        <v>44440</v>
      </c>
      <c r="BO2" s="289">
        <v>44348</v>
      </c>
      <c r="BP2" s="317"/>
      <c r="BQ2" s="285" t="s">
        <v>893</v>
      </c>
      <c r="BS2" s="285" t="s">
        <v>898</v>
      </c>
    </row>
    <row r="3" spans="1:73" ht="39.950000000000003" customHeight="1" thickTop="1" x14ac:dyDescent="0.2">
      <c r="A3" s="111" t="s">
        <v>25</v>
      </c>
      <c r="B3" s="337" t="s">
        <v>1333</v>
      </c>
      <c r="C3" s="337" t="s">
        <v>1143</v>
      </c>
      <c r="D3" s="110" t="s">
        <v>34</v>
      </c>
      <c r="E3" s="111" t="s">
        <v>34</v>
      </c>
      <c r="F3" s="130" t="s">
        <v>34</v>
      </c>
      <c r="G3" s="14" t="s">
        <v>543</v>
      </c>
      <c r="H3" s="14" t="s">
        <v>97</v>
      </c>
      <c r="I3" s="14" t="s">
        <v>186</v>
      </c>
      <c r="J3" s="66" t="s">
        <v>26</v>
      </c>
      <c r="K3" s="66" t="s">
        <v>26</v>
      </c>
      <c r="L3" s="13" t="s">
        <v>45</v>
      </c>
      <c r="M3" s="65" t="s">
        <v>191</v>
      </c>
      <c r="N3" s="65" t="s">
        <v>323</v>
      </c>
      <c r="O3" s="65" t="s">
        <v>43</v>
      </c>
      <c r="P3" s="65">
        <v>3</v>
      </c>
      <c r="Q3" s="65" t="s">
        <v>531</v>
      </c>
      <c r="R3" s="65" t="s">
        <v>534</v>
      </c>
      <c r="S3" s="64" t="s">
        <v>8</v>
      </c>
      <c r="T3" s="62">
        <v>10000</v>
      </c>
      <c r="U3" s="62">
        <v>5693.72</v>
      </c>
      <c r="V3" s="62">
        <f>Table12118[[#This Row],[Amortised Limit in Original Currency]]</f>
        <v>5693.72</v>
      </c>
      <c r="W3" s="62">
        <v>32395.415789999999</v>
      </c>
      <c r="X3" s="62">
        <f>658778.47+65570+58206</f>
        <v>782554.47</v>
      </c>
      <c r="Y3" s="62"/>
      <c r="Z3" s="366"/>
      <c r="AA3" s="61" t="s">
        <v>11</v>
      </c>
      <c r="AB3" s="181">
        <f>1%/0.6</f>
        <v>1.6666666666666666E-2</v>
      </c>
      <c r="AC3" s="181"/>
      <c r="AD3" s="105">
        <v>41884</v>
      </c>
      <c r="AE3" s="60">
        <v>44806</v>
      </c>
      <c r="AF3" s="60">
        <v>45173</v>
      </c>
      <c r="AG3" s="58">
        <f>AF3-AD3+1</f>
        <v>3290</v>
      </c>
      <c r="AH3" s="59" t="e">
        <f>IF(AF3-$A$1&gt;60,"No","Yes")</f>
        <v>#REF!</v>
      </c>
      <c r="AI3" s="58" t="e">
        <f>AF3-#REF!</f>
        <v>#REF!</v>
      </c>
      <c r="AJ3" s="57" t="e">
        <f t="shared" ref="AJ3:AJ13" si="0">AI3/365</f>
        <v>#REF!</v>
      </c>
      <c r="AK3" s="56"/>
      <c r="AL3" s="71" t="s">
        <v>1</v>
      </c>
      <c r="AM3" s="71" t="s">
        <v>1</v>
      </c>
      <c r="AN3" s="70" t="s">
        <v>888</v>
      </c>
      <c r="AO3" s="11" t="e">
        <f>+IF(AF3-60&lt;$A$1, "SEND NOTICE", "N/A")</f>
        <v>#REF!</v>
      </c>
      <c r="AP3" s="11" t="s">
        <v>271</v>
      </c>
      <c r="AQ3" s="14" t="s">
        <v>327</v>
      </c>
      <c r="AR3" s="11">
        <v>25104.400000000001</v>
      </c>
      <c r="AS3" s="11">
        <v>45000</v>
      </c>
      <c r="AT3" s="197" t="str">
        <f>Table12118[[#This Row],[Risk Location ]]</f>
        <v>Australia</v>
      </c>
      <c r="AU3" s="198" t="str">
        <f>Table12118[[#This Row],[Sector (GICS Industry Group)]]</f>
        <v>Industrials</v>
      </c>
      <c r="AX3" s="212">
        <f>Table12118[[#This Row],[Percentage Impact]]*Table12118[[#This Row],[Amortised Limit A$ Balance]]</f>
        <v>0</v>
      </c>
      <c r="AY3" s="212">
        <f>Table12118[[#This Row],[Amortised Limit A$ Balance]]*12%</f>
        <v>683.24639999999999</v>
      </c>
      <c r="AZ3" s="212" t="b">
        <f>IF(Table12118[[#This Row],[Everest]]="Everest",Table12118[[#This Row],[Assetinsure Amount ]]*0.2)</f>
        <v>0</v>
      </c>
      <c r="BA3" s="212"/>
      <c r="BB3" s="212">
        <f>MIN(Table12118[[#This Row],[Assetinsure Amount ]]-Table12118[[#This Row],[Reinsurance Everest Re]],Table12118[[#This Row],[Total Amount]])</f>
        <v>0</v>
      </c>
      <c r="BC3" s="212">
        <f>+BH3</f>
        <v>0</v>
      </c>
      <c r="BG3" s="18">
        <v>0</v>
      </c>
      <c r="BH3" s="212">
        <v>0</v>
      </c>
      <c r="BI3" s="212">
        <v>0</v>
      </c>
      <c r="BJ3" s="212">
        <v>0</v>
      </c>
      <c r="BK3" s="212">
        <v>0</v>
      </c>
      <c r="BL3" s="212">
        <v>0</v>
      </c>
      <c r="BN3" s="11">
        <v>0</v>
      </c>
      <c r="BQ3" s="58" t="s">
        <v>945</v>
      </c>
      <c r="BR3" s="112"/>
      <c r="BS3" s="58"/>
      <c r="BT3" s="288"/>
      <c r="BU3" s="288"/>
    </row>
    <row r="4" spans="1:73" ht="25.5" x14ac:dyDescent="0.2">
      <c r="A4" s="13" t="s">
        <v>30</v>
      </c>
      <c r="B4" s="337" t="s">
        <v>1333</v>
      </c>
      <c r="C4" s="337" t="s">
        <v>1142</v>
      </c>
      <c r="D4" s="66" t="s">
        <v>34</v>
      </c>
      <c r="E4" s="14" t="s">
        <v>34</v>
      </c>
      <c r="F4" s="130" t="s">
        <v>34</v>
      </c>
      <c r="G4" s="66" t="s">
        <v>545</v>
      </c>
      <c r="H4" s="66" t="s">
        <v>85</v>
      </c>
      <c r="I4" s="66" t="s">
        <v>99</v>
      </c>
      <c r="J4" s="66" t="s">
        <v>232</v>
      </c>
      <c r="K4" s="66" t="s">
        <v>21</v>
      </c>
      <c r="L4" s="13" t="s">
        <v>139</v>
      </c>
      <c r="M4" s="65" t="s">
        <v>191</v>
      </c>
      <c r="N4" s="65" t="s">
        <v>323</v>
      </c>
      <c r="O4" s="65" t="s">
        <v>43</v>
      </c>
      <c r="P4" s="65">
        <v>3</v>
      </c>
      <c r="Q4" s="65" t="s">
        <v>538</v>
      </c>
      <c r="R4" s="65" t="s">
        <v>534</v>
      </c>
      <c r="S4" s="64" t="s">
        <v>8</v>
      </c>
      <c r="T4" s="62">
        <v>25000</v>
      </c>
      <c r="U4" s="62">
        <v>17943.338039999999</v>
      </c>
      <c r="V4" s="62">
        <f>Table12118[[#This Row],[Amortised Limit in Original Currency]]</f>
        <v>17943.338039999999</v>
      </c>
      <c r="W4" s="62">
        <v>35886.676079999997</v>
      </c>
      <c r="X4" s="62">
        <f>2930540.94-212645+325000-509005.96+77599.4+13215</f>
        <v>2624704.38</v>
      </c>
      <c r="Y4" s="62" t="s">
        <v>16</v>
      </c>
      <c r="Z4" s="366">
        <v>0</v>
      </c>
      <c r="AA4" s="61" t="s">
        <v>11</v>
      </c>
      <c r="AB4" s="181">
        <v>0.05</v>
      </c>
      <c r="AC4" s="181"/>
      <c r="AD4" s="105">
        <v>42152</v>
      </c>
      <c r="AE4" s="105">
        <v>45441</v>
      </c>
      <c r="AF4" s="60">
        <f>Table12118[[#This Row],[Expiry Date]]</f>
        <v>45441</v>
      </c>
      <c r="AG4" s="58">
        <f>AF4-AD4+1</f>
        <v>3290</v>
      </c>
      <c r="AH4" s="59" t="e">
        <f>IF(AF4-$A$1&gt;60,"No","Yes")</f>
        <v>#REF!</v>
      </c>
      <c r="AI4" s="58" t="e">
        <f>AF4-#REF!</f>
        <v>#REF!</v>
      </c>
      <c r="AJ4" s="57" t="e">
        <f t="shared" si="0"/>
        <v>#REF!</v>
      </c>
      <c r="AK4" s="56" t="s">
        <v>436</v>
      </c>
      <c r="AL4" s="71" t="s">
        <v>1</v>
      </c>
      <c r="AM4" s="71" t="s">
        <v>1</v>
      </c>
      <c r="AN4" s="70" t="s">
        <v>0</v>
      </c>
      <c r="AO4" s="11" t="e">
        <f t="shared" ref="AO4:AO67" si="1">+IF(AF4-60&lt;$A$1, "SEND NOTICE", "N/A")</f>
        <v>#REF!</v>
      </c>
      <c r="AP4" s="11" t="s">
        <v>271</v>
      </c>
      <c r="AQ4" s="13" t="s">
        <v>328</v>
      </c>
      <c r="AR4" s="11">
        <v>15700</v>
      </c>
      <c r="AS4" s="213">
        <v>50000</v>
      </c>
      <c r="AT4" s="197" t="str">
        <f>Table12118[[#This Row],[Risk Location ]]</f>
        <v>Australia</v>
      </c>
      <c r="AU4" s="198" t="str">
        <f>Table12118[[#This Row],[Sector (GICS Industry Group)]]</f>
        <v>Financials</v>
      </c>
      <c r="AV4" s="199">
        <v>1</v>
      </c>
      <c r="AW4" s="214">
        <v>4.4999999999999998E-2</v>
      </c>
      <c r="AX4" s="212">
        <f>Table12118[[#This Row],[Percentage Impact]]*Table12118[[#This Row],[Amortised Limit A$ Balance]]</f>
        <v>807.45021179999992</v>
      </c>
      <c r="AY4" s="212">
        <f>Table12118[[#This Row],[Amortised Limit A$ Balance]]*12%</f>
        <v>2153.2005647999999</v>
      </c>
      <c r="AZ4" s="212">
        <f>IF(Table12118[[#This Row],[Everest]]="Everest",Table12118[[#This Row],[Assetinsure Amount ]]*0.2)</f>
        <v>430.64011296000001</v>
      </c>
      <c r="BA4" s="212"/>
      <c r="BB4" s="212">
        <f>MIN(Table12118[[#This Row],[Assetinsure Amount ]]-Table12118[[#This Row],[Reinsurance Everest Re]],Table12118[[#This Row],[Total Amount]])</f>
        <v>807.45021179999992</v>
      </c>
      <c r="BC4" s="212">
        <f>+BH4</f>
        <v>807.45021179999992</v>
      </c>
      <c r="BD4" s="12" t="s">
        <v>1214</v>
      </c>
      <c r="BG4" s="18">
        <v>807.45021179999992</v>
      </c>
      <c r="BH4" s="212">
        <v>807.45021179999992</v>
      </c>
      <c r="BI4" s="212">
        <v>897.16690199999994</v>
      </c>
      <c r="BJ4" s="212">
        <v>477.5</v>
      </c>
      <c r="BK4" s="212">
        <v>477.5</v>
      </c>
      <c r="BL4" s="212">
        <v>477.5</v>
      </c>
      <c r="BM4" s="212">
        <v>1134.7452000000001</v>
      </c>
      <c r="BN4" s="226">
        <v>1134.7452000000001</v>
      </c>
      <c r="BO4" s="226">
        <v>1134.7452000000001</v>
      </c>
      <c r="BQ4" s="58" t="s">
        <v>926</v>
      </c>
      <c r="BR4" s="112"/>
      <c r="BS4" s="58"/>
      <c r="BT4" s="288"/>
      <c r="BU4" s="288"/>
    </row>
    <row r="5" spans="1:73" ht="39.950000000000003" customHeight="1" x14ac:dyDescent="0.2">
      <c r="A5" s="13" t="s">
        <v>1286</v>
      </c>
      <c r="B5" s="337" t="s">
        <v>1247</v>
      </c>
      <c r="C5" s="337" t="s">
        <v>1142</v>
      </c>
      <c r="D5" s="133" t="s">
        <v>1287</v>
      </c>
      <c r="E5" s="14" t="s">
        <v>540</v>
      </c>
      <c r="F5" s="77" t="s">
        <v>90</v>
      </c>
      <c r="G5" s="14" t="s">
        <v>102</v>
      </c>
      <c r="H5" s="14" t="s">
        <v>102</v>
      </c>
      <c r="I5" s="66" t="s">
        <v>110</v>
      </c>
      <c r="J5" s="66" t="s">
        <v>142</v>
      </c>
      <c r="K5" s="66" t="s">
        <v>218</v>
      </c>
      <c r="L5" s="13" t="s">
        <v>101</v>
      </c>
      <c r="M5" s="65" t="s">
        <v>191</v>
      </c>
      <c r="N5" s="13" t="s">
        <v>323</v>
      </c>
      <c r="O5" s="13" t="s">
        <v>43</v>
      </c>
      <c r="P5" s="65">
        <v>0</v>
      </c>
      <c r="Q5" s="13" t="s">
        <v>531</v>
      </c>
      <c r="R5" s="65" t="s">
        <v>534</v>
      </c>
      <c r="S5" s="64" t="s">
        <v>59</v>
      </c>
      <c r="T5" s="62" t="e">
        <f>25000/EUR</f>
        <v>#REF!</v>
      </c>
      <c r="U5" s="62" t="e">
        <f>V5*EUR</f>
        <v>#REF!</v>
      </c>
      <c r="V5" s="62" t="e">
        <f>25000/EUR</f>
        <v>#REF!</v>
      </c>
      <c r="W5" s="62" t="e">
        <f>50000/EUR</f>
        <v>#REF!</v>
      </c>
      <c r="X5" s="62" t="e">
        <f>1015097.29/EUR</f>
        <v>#REF!</v>
      </c>
      <c r="Y5" s="62" t="s">
        <v>16</v>
      </c>
      <c r="Z5" s="366">
        <v>0</v>
      </c>
      <c r="AA5" s="61" t="s">
        <v>11</v>
      </c>
      <c r="AB5" s="181">
        <v>2.75E-2</v>
      </c>
      <c r="AC5" s="181">
        <v>1.379E-2</v>
      </c>
      <c r="AD5" s="60">
        <v>45086</v>
      </c>
      <c r="AE5" s="351">
        <v>46145</v>
      </c>
      <c r="AF5" s="105">
        <v>46156</v>
      </c>
      <c r="AG5" s="58">
        <f>AF5-AD5+1</f>
        <v>1071</v>
      </c>
      <c r="AH5" s="59" t="e">
        <f>IF(AF5-$A$1&gt;60,"No","Yes")</f>
        <v>#REF!</v>
      </c>
      <c r="AI5" s="58" t="e">
        <f>AF5-#REF!</f>
        <v>#REF!</v>
      </c>
      <c r="AJ5" s="57" t="e">
        <f t="shared" si="0"/>
        <v>#REF!</v>
      </c>
      <c r="AK5" s="56" t="s">
        <v>436</v>
      </c>
      <c r="AL5" s="71" t="s">
        <v>1</v>
      </c>
      <c r="AM5" s="71" t="s">
        <v>1</v>
      </c>
      <c r="AN5" s="70" t="s">
        <v>0</v>
      </c>
      <c r="AO5" s="11" t="e">
        <f t="shared" si="1"/>
        <v>#REF!</v>
      </c>
      <c r="AP5" s="229" t="s">
        <v>563</v>
      </c>
      <c r="AQ5" s="13" t="s">
        <v>1284</v>
      </c>
      <c r="AR5" s="11">
        <v>10000</v>
      </c>
      <c r="AS5" s="11">
        <v>120000</v>
      </c>
      <c r="AT5" s="197" t="str">
        <f>Table12118[[#This Row],[Risk Location ]]</f>
        <v>Tahiti</v>
      </c>
      <c r="AU5" s="198" t="str">
        <f>Table12118[[#This Row],[Sector (GICS Industry Group)]]</f>
        <v>Real Estate Investment</v>
      </c>
      <c r="AX5" s="212" t="e">
        <f>Table12118[[#This Row],[Percentage Impact]]*Table12118[[#This Row],[Amortised Limit A$ Balance]]</f>
        <v>#REF!</v>
      </c>
      <c r="AY5" s="212" t="e">
        <f>Table12118[[#This Row],[Amortised Limit A$ Balance]]*12%</f>
        <v>#REF!</v>
      </c>
      <c r="AZ5" s="212" t="e">
        <f>IF(Table12118[[#This Row],[Everest]]="Everest",Table12118[[#This Row],[Assetinsure Amount ]]*0.2)</f>
        <v>#REF!</v>
      </c>
      <c r="BA5" s="212"/>
      <c r="BB5" s="212" t="e">
        <f>MIN(Table12118[[#This Row],[Assetinsure Amount ]]-Table12118[[#This Row],[Reinsurance Everest Re]],Table12118[[#This Row],[Total Amount]])</f>
        <v>#REF!</v>
      </c>
      <c r="BC5" s="212">
        <f t="shared" ref="BC5:BC68" si="2">+BH5</f>
        <v>0</v>
      </c>
      <c r="BG5" s="18">
        <v>0</v>
      </c>
      <c r="BH5" s="212">
        <v>0</v>
      </c>
      <c r="BI5" s="212">
        <v>0</v>
      </c>
      <c r="BJ5" s="212">
        <v>0</v>
      </c>
      <c r="BK5" s="212">
        <v>0</v>
      </c>
      <c r="BL5" s="212">
        <v>0</v>
      </c>
      <c r="BM5" s="212">
        <v>0</v>
      </c>
      <c r="BN5" s="226">
        <v>0</v>
      </c>
      <c r="BO5" s="226"/>
      <c r="BQ5" s="58" t="s">
        <v>1285</v>
      </c>
      <c r="BR5" s="112"/>
      <c r="BS5" s="58"/>
      <c r="BT5" s="288"/>
      <c r="BU5" s="288"/>
    </row>
    <row r="6" spans="1:73" ht="39.950000000000003" customHeight="1" x14ac:dyDescent="0.2">
      <c r="A6" s="269" t="s">
        <v>65</v>
      </c>
      <c r="B6" s="337" t="s">
        <v>1334</v>
      </c>
      <c r="C6" s="337" t="s">
        <v>1142</v>
      </c>
      <c r="D6" s="66" t="s">
        <v>38</v>
      </c>
      <c r="E6" s="14" t="s">
        <v>540</v>
      </c>
      <c r="F6" s="130" t="s">
        <v>35</v>
      </c>
      <c r="G6" s="66" t="s">
        <v>106</v>
      </c>
      <c r="H6" s="66" t="s">
        <v>106</v>
      </c>
      <c r="I6" s="66" t="s">
        <v>107</v>
      </c>
      <c r="J6" s="14" t="s">
        <v>300</v>
      </c>
      <c r="K6" s="66" t="s">
        <v>218</v>
      </c>
      <c r="L6" s="13" t="s">
        <v>101</v>
      </c>
      <c r="M6" s="65" t="s">
        <v>191</v>
      </c>
      <c r="N6" s="13" t="s">
        <v>323</v>
      </c>
      <c r="O6" s="65" t="s">
        <v>43</v>
      </c>
      <c r="P6" s="65">
        <v>2</v>
      </c>
      <c r="Q6" s="65" t="s">
        <v>875</v>
      </c>
      <c r="R6" s="65" t="s">
        <v>534</v>
      </c>
      <c r="S6" s="64" t="s">
        <v>66</v>
      </c>
      <c r="T6" s="73" t="e">
        <f>1000000/INR</f>
        <v>#REF!</v>
      </c>
      <c r="U6" s="62">
        <v>1000000</v>
      </c>
      <c r="V6" s="150" t="e">
        <f>Table12118[[#This Row],[Amortised Limit in Original Currency]]/INR</f>
        <v>#REF!</v>
      </c>
      <c r="W6" s="62" t="e">
        <f>(6000000*(1-(25/975)))/INR</f>
        <v>#REF!</v>
      </c>
      <c r="X6" s="76" t="e">
        <f>139692988/INR</f>
        <v>#REF!</v>
      </c>
      <c r="Y6" s="62" t="s">
        <v>16</v>
      </c>
      <c r="Z6" s="366">
        <v>0</v>
      </c>
      <c r="AA6" s="106" t="s">
        <v>551</v>
      </c>
      <c r="AB6" s="181">
        <f>3.55%/0.6</f>
        <v>5.9166666666666666E-2</v>
      </c>
      <c r="AC6" s="181"/>
      <c r="AD6" s="105">
        <v>43013</v>
      </c>
      <c r="AE6" s="60">
        <v>44839</v>
      </c>
      <c r="AF6" s="60">
        <v>45382</v>
      </c>
      <c r="AG6" s="58">
        <f>AF6-AD6</f>
        <v>2369</v>
      </c>
      <c r="AH6" s="59" t="s">
        <v>10</v>
      </c>
      <c r="AI6" s="58" t="e">
        <f>AF6-#REF!</f>
        <v>#REF!</v>
      </c>
      <c r="AJ6" s="57" t="e">
        <f t="shared" si="0"/>
        <v>#REF!</v>
      </c>
      <c r="AK6" s="56"/>
      <c r="AL6" s="71" t="s">
        <v>1</v>
      </c>
      <c r="AM6" s="71" t="s">
        <v>1</v>
      </c>
      <c r="AN6" s="70" t="s">
        <v>886</v>
      </c>
      <c r="AO6" s="11" t="e">
        <f t="shared" si="1"/>
        <v>#REF!</v>
      </c>
      <c r="AP6" s="11" t="s">
        <v>271</v>
      </c>
      <c r="AQ6" s="13" t="s">
        <v>333</v>
      </c>
      <c r="AR6" s="11">
        <f>27272.73+950 +3100+1300+17600</f>
        <v>50222.729999999996</v>
      </c>
      <c r="AT6" s="323" t="str">
        <f>Table12118[[#This Row],[Risk Location ]]</f>
        <v>India</v>
      </c>
      <c r="AU6" s="324" t="str">
        <f>Table12118[[#This Row],[Sector (GICS Industry Group)]]</f>
        <v>Real Estate Management &amp; Development</v>
      </c>
      <c r="AV6" s="229"/>
      <c r="AW6" s="310">
        <v>0</v>
      </c>
      <c r="AX6" s="278" t="e">
        <f>Table12118[[#This Row],[Percentage Impact]]*Table12118[[#This Row],[Amortised Limit A$ Balance]]</f>
        <v>#REF!</v>
      </c>
      <c r="AY6" s="278" t="e">
        <f>Table12118[[#This Row],[Amortised Limit A$ Balance]]*12%</f>
        <v>#REF!</v>
      </c>
      <c r="AZ6" s="278" t="b">
        <f>IF(Table12118[[#This Row],[Everest]]="Everest",Table12118[[#This Row],[Assetinsure Amount ]]*0.2)</f>
        <v>0</v>
      </c>
      <c r="BA6" s="278"/>
      <c r="BB6" s="278" t="e">
        <f>MIN(Table12118[[#This Row],[Assetinsure Amount ]]-Table12118[[#This Row],[Reinsurance Everest Re]],Table12118[[#This Row],[Total Amount]])</f>
        <v>#REF!</v>
      </c>
      <c r="BC6" s="212">
        <f t="shared" si="2"/>
        <v>0</v>
      </c>
      <c r="BD6" s="298"/>
      <c r="BG6" s="18">
        <v>0</v>
      </c>
      <c r="BH6" s="212">
        <v>0</v>
      </c>
      <c r="BI6" s="212">
        <v>0</v>
      </c>
      <c r="BJ6" s="212">
        <v>2279.8951248242579</v>
      </c>
      <c r="BK6" s="212">
        <v>2225.4367419606097</v>
      </c>
      <c r="BL6" s="212">
        <v>2116.5141012751997</v>
      </c>
      <c r="BM6" s="212">
        <v>1404.4154822762766</v>
      </c>
      <c r="BN6" s="226">
        <v>983.09083759339376</v>
      </c>
      <c r="BO6" s="226">
        <v>605.7781919850886</v>
      </c>
      <c r="BQ6" s="58" t="s">
        <v>948</v>
      </c>
      <c r="BR6" s="112"/>
      <c r="BS6" s="58" t="s">
        <v>476</v>
      </c>
      <c r="BT6" s="288"/>
      <c r="BU6" s="288"/>
    </row>
    <row r="7" spans="1:73" ht="39.950000000000003" customHeight="1" x14ac:dyDescent="0.2">
      <c r="A7" s="14" t="s">
        <v>207</v>
      </c>
      <c r="B7" s="337" t="s">
        <v>51</v>
      </c>
      <c r="C7" s="337" t="s">
        <v>1143</v>
      </c>
      <c r="D7" s="66" t="s">
        <v>127</v>
      </c>
      <c r="E7" s="14" t="s">
        <v>542</v>
      </c>
      <c r="F7" s="130" t="s">
        <v>127</v>
      </c>
      <c r="G7" s="14" t="s">
        <v>102</v>
      </c>
      <c r="H7" s="14" t="s">
        <v>102</v>
      </c>
      <c r="I7" s="66" t="s">
        <v>122</v>
      </c>
      <c r="J7" s="14" t="s">
        <v>158</v>
      </c>
      <c r="K7" s="66" t="s">
        <v>220</v>
      </c>
      <c r="L7" s="13" t="s">
        <v>101</v>
      </c>
      <c r="M7" s="65" t="s">
        <v>191</v>
      </c>
      <c r="N7" s="65" t="s">
        <v>59</v>
      </c>
      <c r="O7" s="65" t="s">
        <v>43</v>
      </c>
      <c r="P7" s="65">
        <v>2</v>
      </c>
      <c r="Q7" s="65" t="s">
        <v>875</v>
      </c>
      <c r="R7" s="65" t="s">
        <v>534</v>
      </c>
      <c r="S7" s="64" t="s">
        <v>59</v>
      </c>
      <c r="T7" s="62" t="e">
        <f>20000/EUR</f>
        <v>#REF!</v>
      </c>
      <c r="U7" s="62" t="e">
        <f>V7*EUR</f>
        <v>#REF!</v>
      </c>
      <c r="V7" s="62" t="e">
        <f>+T7</f>
        <v>#REF!</v>
      </c>
      <c r="W7" s="62" t="e">
        <f>175000/EUR</f>
        <v>#REF!</v>
      </c>
      <c r="X7" s="62" t="e">
        <f>1525333/EUR</f>
        <v>#REF!</v>
      </c>
      <c r="Y7" s="62" t="s">
        <v>16</v>
      </c>
      <c r="Z7" s="366">
        <v>0</v>
      </c>
      <c r="AA7" s="61" t="s">
        <v>551</v>
      </c>
      <c r="AB7" s="181">
        <v>0.01</v>
      </c>
      <c r="AC7" s="181"/>
      <c r="AD7" s="105">
        <v>43070</v>
      </c>
      <c r="AE7" s="60">
        <v>46689</v>
      </c>
      <c r="AF7" s="60">
        <f>AE7</f>
        <v>46689</v>
      </c>
      <c r="AG7" s="58">
        <f t="shared" ref="AG7:AG68" si="3">AF7-AD7+1</f>
        <v>3620</v>
      </c>
      <c r="AH7" s="59" t="e">
        <f t="shared" ref="AH7:AH13" si="4">IF(AF7-$A$1&gt;60,"No","Yes")</f>
        <v>#REF!</v>
      </c>
      <c r="AI7" s="58" t="e">
        <f>AF7-#REF!</f>
        <v>#REF!</v>
      </c>
      <c r="AJ7" s="57" t="e">
        <f t="shared" si="0"/>
        <v>#REF!</v>
      </c>
      <c r="AK7" s="56"/>
      <c r="AL7" s="71" t="s">
        <v>1</v>
      </c>
      <c r="AM7" s="71" t="s">
        <v>1</v>
      </c>
      <c r="AN7" s="70" t="s">
        <v>0</v>
      </c>
      <c r="AO7" s="11" t="e">
        <f t="shared" si="1"/>
        <v>#REF!</v>
      </c>
      <c r="AP7" s="11" t="s">
        <v>271</v>
      </c>
      <c r="AQ7" s="14" t="s">
        <v>334</v>
      </c>
      <c r="AR7" s="11">
        <v>16300</v>
      </c>
      <c r="AT7" s="197" t="str">
        <f>Table12118[[#This Row],[Risk Location ]]</f>
        <v>Germany</v>
      </c>
      <c r="AU7" s="198" t="str">
        <f>Table12118[[#This Row],[Sector (GICS Industry Group)]]</f>
        <v>Real Estate Investment</v>
      </c>
      <c r="AX7" s="212" t="e">
        <f>Table12118[[#This Row],[Percentage Impact]]*Table12118[[#This Row],[Amortised Limit A$ Balance]]</f>
        <v>#REF!</v>
      </c>
      <c r="AY7" s="212" t="e">
        <f>Table12118[[#This Row],[Amortised Limit A$ Balance]]*12%</f>
        <v>#REF!</v>
      </c>
      <c r="AZ7" s="212" t="b">
        <f>IF(Table12118[[#This Row],[Everest]]="Everest",Table12118[[#This Row],[Assetinsure Amount ]]*0.2)</f>
        <v>0</v>
      </c>
      <c r="BA7" s="212"/>
      <c r="BB7" s="212" t="e">
        <f>MIN(Table12118[[#This Row],[Assetinsure Amount ]]-Table12118[[#This Row],[Reinsurance Everest Re]],Table12118[[#This Row],[Total Amount]])</f>
        <v>#REF!</v>
      </c>
      <c r="BC7" s="212">
        <f t="shared" si="2"/>
        <v>0</v>
      </c>
      <c r="BG7" s="18">
        <v>0</v>
      </c>
      <c r="BH7" s="212">
        <v>0</v>
      </c>
      <c r="BI7" s="212">
        <v>0</v>
      </c>
      <c r="BJ7" s="212">
        <v>0</v>
      </c>
      <c r="BK7" s="212">
        <v>0</v>
      </c>
      <c r="BL7" s="212">
        <v>0</v>
      </c>
      <c r="BM7" s="212">
        <v>0</v>
      </c>
      <c r="BN7" s="226">
        <v>0</v>
      </c>
      <c r="BO7" s="226"/>
      <c r="BQ7" s="58" t="s">
        <v>949</v>
      </c>
      <c r="BR7" s="112"/>
      <c r="BS7" s="58" t="s">
        <v>476</v>
      </c>
      <c r="BT7" s="288"/>
      <c r="BU7" s="288"/>
    </row>
    <row r="8" spans="1:73" ht="39.950000000000003" customHeight="1" x14ac:dyDescent="0.2">
      <c r="A8" s="14" t="s">
        <v>69</v>
      </c>
      <c r="B8" s="337" t="s">
        <v>23</v>
      </c>
      <c r="C8" s="337" t="s">
        <v>1141</v>
      </c>
      <c r="D8" s="66" t="s">
        <v>47</v>
      </c>
      <c r="E8" s="14" t="s">
        <v>469</v>
      </c>
      <c r="F8" s="77" t="s">
        <v>128</v>
      </c>
      <c r="G8" s="14" t="s">
        <v>48</v>
      </c>
      <c r="H8" s="14" t="s">
        <v>95</v>
      </c>
      <c r="I8" s="130" t="s">
        <v>447</v>
      </c>
      <c r="J8" s="14" t="s">
        <v>32</v>
      </c>
      <c r="K8" s="14" t="s">
        <v>33</v>
      </c>
      <c r="L8" s="13" t="s">
        <v>140</v>
      </c>
      <c r="M8" s="65" t="s">
        <v>191</v>
      </c>
      <c r="N8" s="13" t="s">
        <v>323</v>
      </c>
      <c r="O8" s="13" t="s">
        <v>43</v>
      </c>
      <c r="P8" s="65">
        <v>3</v>
      </c>
      <c r="Q8" s="13" t="s">
        <v>533</v>
      </c>
      <c r="R8" s="65" t="s">
        <v>534</v>
      </c>
      <c r="S8" s="64" t="s">
        <v>9</v>
      </c>
      <c r="T8" s="62" t="e">
        <f>20000/USD</f>
        <v>#REF!</v>
      </c>
      <c r="U8" s="62">
        <v>8330.3070000000007</v>
      </c>
      <c r="V8" s="150" t="e">
        <f>Table12118[[#This Row],[Amortised Limit in Original Currency]]/USD</f>
        <v>#REF!</v>
      </c>
      <c r="W8" s="62" t="e">
        <f>131750/USD</f>
        <v>#REF!</v>
      </c>
      <c r="X8" s="76" t="e">
        <f>(1455218.02-256759.86)*0.85/USD</f>
        <v>#REF!</v>
      </c>
      <c r="Y8" s="62"/>
      <c r="Z8" s="367"/>
      <c r="AA8" s="61" t="s">
        <v>11</v>
      </c>
      <c r="AB8" s="181">
        <f>1.19%/0.6</f>
        <v>1.9833333333333331E-2</v>
      </c>
      <c r="AC8" s="181"/>
      <c r="AD8" s="60">
        <v>43076</v>
      </c>
      <c r="AE8" s="60">
        <v>46751</v>
      </c>
      <c r="AF8" s="60">
        <f>AE8</f>
        <v>46751</v>
      </c>
      <c r="AG8" s="58">
        <f t="shared" si="3"/>
        <v>3676</v>
      </c>
      <c r="AH8" s="59" t="e">
        <f t="shared" si="4"/>
        <v>#REF!</v>
      </c>
      <c r="AI8" s="58" t="e">
        <f>AF8-#REF!</f>
        <v>#REF!</v>
      </c>
      <c r="AJ8" s="57" t="e">
        <f t="shared" si="0"/>
        <v>#REF!</v>
      </c>
      <c r="AK8" s="56"/>
      <c r="AL8" s="71" t="s">
        <v>1</v>
      </c>
      <c r="AM8" s="71" t="s">
        <v>1</v>
      </c>
      <c r="AN8" s="70" t="s">
        <v>569</v>
      </c>
      <c r="AO8" s="11" t="e">
        <f t="shared" si="1"/>
        <v>#REF!</v>
      </c>
      <c r="AP8" s="11" t="s">
        <v>271</v>
      </c>
      <c r="AQ8" s="14" t="s">
        <v>326</v>
      </c>
      <c r="AR8" s="11">
        <v>8817.5</v>
      </c>
      <c r="AT8" s="197" t="str">
        <f>Table12118[[#This Row],[Risk Location ]]</f>
        <v>Angola</v>
      </c>
      <c r="AU8" s="198" t="str">
        <f>Table12118[[#This Row],[Sector (GICS Industry Group)]]</f>
        <v>Energy</v>
      </c>
      <c r="AX8" s="212" t="e">
        <f>Table12118[[#This Row],[Percentage Impact]]*Table12118[[#This Row],[Amortised Limit A$ Balance]]</f>
        <v>#REF!</v>
      </c>
      <c r="AY8" s="212" t="e">
        <f>Table12118[[#This Row],[Amortised Limit A$ Balance]]*12%</f>
        <v>#REF!</v>
      </c>
      <c r="AZ8" s="212" t="b">
        <f>IF(Table12118[[#This Row],[Everest]]="Everest",Table12118[[#This Row],[Assetinsure Amount ]]*0.2)</f>
        <v>0</v>
      </c>
      <c r="BA8" s="212"/>
      <c r="BB8" s="212" t="e">
        <f>MIN(Table12118[[#This Row],[Assetinsure Amount ]]-Table12118[[#This Row],[Reinsurance Everest Re]],Table12118[[#This Row],[Total Amount]])</f>
        <v>#REF!</v>
      </c>
      <c r="BC8" s="212">
        <f t="shared" si="2"/>
        <v>0</v>
      </c>
      <c r="BG8" s="18">
        <v>0</v>
      </c>
      <c r="BH8" s="212">
        <v>0</v>
      </c>
      <c r="BI8" s="212">
        <v>0</v>
      </c>
      <c r="BJ8" s="212">
        <v>0</v>
      </c>
      <c r="BK8" s="212">
        <v>0</v>
      </c>
      <c r="BL8" s="212">
        <v>0</v>
      </c>
      <c r="BM8" s="212">
        <v>0</v>
      </c>
      <c r="BN8" s="226">
        <v>0</v>
      </c>
      <c r="BO8" s="226"/>
      <c r="BQ8" s="58" t="s">
        <v>950</v>
      </c>
      <c r="BR8" s="112"/>
      <c r="BS8" s="58" t="s">
        <v>476</v>
      </c>
      <c r="BT8" s="288"/>
      <c r="BU8" s="288"/>
    </row>
    <row r="9" spans="1:73" ht="39.950000000000003" customHeight="1" x14ac:dyDescent="0.2">
      <c r="A9" s="13" t="s">
        <v>144</v>
      </c>
      <c r="B9" s="337" t="s">
        <v>23</v>
      </c>
      <c r="C9" s="337" t="s">
        <v>1142</v>
      </c>
      <c r="D9" s="66" t="s">
        <v>166</v>
      </c>
      <c r="E9" s="14" t="s">
        <v>540</v>
      </c>
      <c r="F9" s="161" t="s">
        <v>36</v>
      </c>
      <c r="G9" s="14" t="s">
        <v>92</v>
      </c>
      <c r="H9" s="14" t="s">
        <v>100</v>
      </c>
      <c r="I9" s="66" t="s">
        <v>100</v>
      </c>
      <c r="J9" s="14" t="s">
        <v>145</v>
      </c>
      <c r="K9" s="66" t="s">
        <v>221</v>
      </c>
      <c r="L9" s="14" t="s">
        <v>44</v>
      </c>
      <c r="M9" s="65" t="s">
        <v>191</v>
      </c>
      <c r="N9" s="13" t="s">
        <v>59</v>
      </c>
      <c r="O9" s="13" t="s">
        <v>43</v>
      </c>
      <c r="P9" s="65">
        <v>2</v>
      </c>
      <c r="Q9" s="65" t="s">
        <v>875</v>
      </c>
      <c r="R9" s="65" t="s">
        <v>534</v>
      </c>
      <c r="S9" s="64" t="s">
        <v>9</v>
      </c>
      <c r="T9" s="62" t="e">
        <f>10000/USD</f>
        <v>#REF!</v>
      </c>
      <c r="U9" s="62">
        <v>8500</v>
      </c>
      <c r="V9" s="150" t="e">
        <f>U9/USD</f>
        <v>#REF!</v>
      </c>
      <c r="W9" s="62" t="e">
        <f>120000/USD</f>
        <v>#REF!</v>
      </c>
      <c r="X9" s="76" t="e">
        <f>445059.41/USD</f>
        <v>#REF!</v>
      </c>
      <c r="Y9" s="62"/>
      <c r="Z9" s="367"/>
      <c r="AA9" s="61" t="s">
        <v>551</v>
      </c>
      <c r="AB9" s="181">
        <v>2.1000000000000001E-2</v>
      </c>
      <c r="AC9" s="181"/>
      <c r="AD9" s="60">
        <v>43279</v>
      </c>
      <c r="AE9" s="60">
        <v>45503</v>
      </c>
      <c r="AF9" s="60">
        <v>45503</v>
      </c>
      <c r="AG9" s="58">
        <f t="shared" si="3"/>
        <v>2225</v>
      </c>
      <c r="AH9" s="59" t="e">
        <f t="shared" si="4"/>
        <v>#REF!</v>
      </c>
      <c r="AI9" s="58" t="e">
        <f>AF9-#REF!</f>
        <v>#REF!</v>
      </c>
      <c r="AJ9" s="57" t="e">
        <f t="shared" si="0"/>
        <v>#REF!</v>
      </c>
      <c r="AK9" s="56"/>
      <c r="AL9" s="71" t="s">
        <v>1</v>
      </c>
      <c r="AM9" s="71" t="s">
        <v>1</v>
      </c>
      <c r="AN9" s="70" t="s">
        <v>0</v>
      </c>
      <c r="AO9" s="11" t="e">
        <f t="shared" si="1"/>
        <v>#REF!</v>
      </c>
      <c r="AP9" s="11" t="s">
        <v>271</v>
      </c>
      <c r="AQ9" s="13" t="s">
        <v>345</v>
      </c>
      <c r="AT9" s="197" t="str">
        <f>Table12118[[#This Row],[Risk Location ]]</f>
        <v>China</v>
      </c>
      <c r="AU9" s="198" t="str">
        <f>Table12118[[#This Row],[Sector (GICS Industry Group)]]</f>
        <v>Transportation</v>
      </c>
      <c r="AV9" s="229">
        <v>1</v>
      </c>
      <c r="AW9" s="310">
        <v>0.05</v>
      </c>
      <c r="AX9" s="278" t="e">
        <f>Table12118[[#This Row],[Percentage Impact]]*Table12118[[#This Row],[Amortised Limit A$ Balance]]</f>
        <v>#REF!</v>
      </c>
      <c r="AY9" s="278" t="e">
        <f>Table12118[[#This Row],[Amortised Limit A$ Balance]]*12%</f>
        <v>#REF!</v>
      </c>
      <c r="AZ9" s="278" t="b">
        <f>IF(Table12118[[#This Row],[Everest]]="Everest",Table12118[[#This Row],[Assetinsure Amount ]]*0.2)</f>
        <v>0</v>
      </c>
      <c r="BA9" s="278"/>
      <c r="BB9" s="278" t="e">
        <f>MIN(Table12118[[#This Row],[Assetinsure Amount ]]-Table12118[[#This Row],[Reinsurance Everest Re]],Table12118[[#This Row],[Total Amount]])</f>
        <v>#REF!</v>
      </c>
      <c r="BC9" s="212">
        <f t="shared" si="2"/>
        <v>637.51995437457208</v>
      </c>
      <c r="BD9" s="298"/>
      <c r="BG9" s="18">
        <v>636.60964411783334</v>
      </c>
      <c r="BH9" s="212">
        <v>637.51995437457208</v>
      </c>
      <c r="BI9" s="212">
        <v>617.50508649836911</v>
      </c>
      <c r="BJ9" s="212">
        <v>668.89105732002906</v>
      </c>
      <c r="BK9" s="212">
        <v>625.66246614061947</v>
      </c>
      <c r="BL9" s="212">
        <v>571.43625460510395</v>
      </c>
      <c r="BM9" s="212">
        <v>592.11167922872232</v>
      </c>
      <c r="BN9" s="226">
        <v>592.11167922872232</v>
      </c>
      <c r="BO9" s="226">
        <v>592.11167922872232</v>
      </c>
      <c r="BQ9" s="58" t="s">
        <v>952</v>
      </c>
      <c r="BR9" s="112"/>
      <c r="BS9" s="58" t="s">
        <v>476</v>
      </c>
      <c r="BT9" s="288"/>
      <c r="BU9" s="288"/>
    </row>
    <row r="10" spans="1:73" s="229" customFormat="1" ht="39.950000000000003" customHeight="1" x14ac:dyDescent="0.2">
      <c r="A10" s="131" t="s">
        <v>146</v>
      </c>
      <c r="B10" s="337" t="s">
        <v>1334</v>
      </c>
      <c r="C10" s="337" t="s">
        <v>243</v>
      </c>
      <c r="D10" s="133" t="s">
        <v>38</v>
      </c>
      <c r="E10" s="131" t="s">
        <v>34</v>
      </c>
      <c r="F10" s="161" t="s">
        <v>34</v>
      </c>
      <c r="G10" s="133" t="s">
        <v>106</v>
      </c>
      <c r="H10" s="133" t="s">
        <v>106</v>
      </c>
      <c r="I10" s="133" t="s">
        <v>107</v>
      </c>
      <c r="J10" s="133" t="s">
        <v>1088</v>
      </c>
      <c r="K10" s="131" t="s">
        <v>687</v>
      </c>
      <c r="L10" s="131" t="s">
        <v>101</v>
      </c>
      <c r="M10" s="270" t="s">
        <v>191</v>
      </c>
      <c r="N10" s="269" t="s">
        <v>323</v>
      </c>
      <c r="O10" s="269" t="s">
        <v>43</v>
      </c>
      <c r="P10" s="65">
        <v>3</v>
      </c>
      <c r="Q10" s="269" t="s">
        <v>539</v>
      </c>
      <c r="R10" s="270" t="s">
        <v>534</v>
      </c>
      <c r="S10" s="135" t="s">
        <v>8</v>
      </c>
      <c r="T10" s="62">
        <v>17500</v>
      </c>
      <c r="U10" s="62">
        <v>22500</v>
      </c>
      <c r="V10" s="62">
        <f>+U10</f>
        <v>22500</v>
      </c>
      <c r="W10" s="62">
        <v>55000</v>
      </c>
      <c r="X10" s="76">
        <f>2014904.53+336391.65+91059+291164.74</f>
        <v>2733519.92</v>
      </c>
      <c r="Y10" s="62"/>
      <c r="Z10" s="366"/>
      <c r="AA10" s="61" t="s">
        <v>11</v>
      </c>
      <c r="AB10" s="181">
        <v>0.06</v>
      </c>
      <c r="AC10" s="181"/>
      <c r="AD10" s="271">
        <v>43320</v>
      </c>
      <c r="AE10" s="271">
        <v>44856</v>
      </c>
      <c r="AF10" s="271">
        <v>45114</v>
      </c>
      <c r="AG10" s="272">
        <f t="shared" si="3"/>
        <v>1795</v>
      </c>
      <c r="AH10" s="139" t="e">
        <f t="shared" si="4"/>
        <v>#REF!</v>
      </c>
      <c r="AI10" s="272" t="e">
        <f>AF10-#REF!</f>
        <v>#REF!</v>
      </c>
      <c r="AJ10" s="273" t="e">
        <f t="shared" si="0"/>
        <v>#REF!</v>
      </c>
      <c r="AK10" s="274"/>
      <c r="AL10" s="275" t="s">
        <v>1</v>
      </c>
      <c r="AM10" s="275" t="s">
        <v>1</v>
      </c>
      <c r="AN10" s="163" t="s">
        <v>0</v>
      </c>
      <c r="AO10" s="229" t="e">
        <f>+IF(AF10-60&lt;$A$1, "SEND NOTICE", "N/A")</f>
        <v>#REF!</v>
      </c>
      <c r="AP10" s="229" t="s">
        <v>271</v>
      </c>
      <c r="AQ10" s="131" t="s">
        <v>346</v>
      </c>
      <c r="AR10" s="229">
        <v>19560</v>
      </c>
      <c r="AT10" s="323" t="str">
        <f>Table12118[[#This Row],[Risk Location ]]</f>
        <v>Australia</v>
      </c>
      <c r="AU10" s="324" t="str">
        <f>Table12118[[#This Row],[Sector (GICS Industry Group)]]</f>
        <v>Real Estate Management &amp; Development</v>
      </c>
      <c r="AV10" s="229">
        <v>1</v>
      </c>
      <c r="AW10" s="310">
        <v>4.4999999999999998E-2</v>
      </c>
      <c r="AX10" s="278">
        <f>Table12118[[#This Row],[Percentage Impact]]*Table12118[[#This Row],[Amortised Limit A$ Balance]]</f>
        <v>1012.5</v>
      </c>
      <c r="AY10" s="278">
        <f>Table12118[[#This Row],[Amortised Limit A$ Balance]]*12%</f>
        <v>2700</v>
      </c>
      <c r="AZ10" s="278" t="b">
        <f>IF(Table12118[[#This Row],[Everest]]="Everest",Table12118[[#This Row],[Assetinsure Amount ]]*0.2)</f>
        <v>0</v>
      </c>
      <c r="BA10" s="278"/>
      <c r="BB10" s="278">
        <f>MIN(Table12118[[#This Row],[Assetinsure Amount ]]-Table12118[[#This Row],[Reinsurance Everest Re]],Table12118[[#This Row],[Total Amount]])</f>
        <v>1012.5</v>
      </c>
      <c r="BC10" s="212">
        <f t="shared" si="2"/>
        <v>1237.5</v>
      </c>
      <c r="BD10" s="298" t="s">
        <v>1215</v>
      </c>
      <c r="BG10" s="18">
        <v>1012.5</v>
      </c>
      <c r="BH10" s="278">
        <v>1237.5</v>
      </c>
      <c r="BI10" s="278">
        <v>1687.5</v>
      </c>
      <c r="BJ10" s="278">
        <v>1687.5</v>
      </c>
      <c r="BK10" s="278">
        <v>1125</v>
      </c>
      <c r="BL10" s="278">
        <v>562.5</v>
      </c>
      <c r="BM10" s="278">
        <v>0</v>
      </c>
      <c r="BN10" s="226">
        <v>0</v>
      </c>
      <c r="BO10" s="226"/>
      <c r="BQ10" s="272" t="s">
        <v>953</v>
      </c>
      <c r="BR10" s="276"/>
      <c r="BS10" s="272" t="s">
        <v>476</v>
      </c>
      <c r="BT10" s="288"/>
      <c r="BU10" s="288"/>
    </row>
    <row r="11" spans="1:73" ht="39.950000000000003" customHeight="1" x14ac:dyDescent="0.2">
      <c r="A11" s="13" t="s">
        <v>153</v>
      </c>
      <c r="B11" s="337" t="s">
        <v>23</v>
      </c>
      <c r="C11" s="337" t="s">
        <v>1141</v>
      </c>
      <c r="D11" s="66" t="s">
        <v>89</v>
      </c>
      <c r="E11" s="14" t="s">
        <v>542</v>
      </c>
      <c r="F11" s="77" t="s">
        <v>127</v>
      </c>
      <c r="G11" s="14" t="s">
        <v>92</v>
      </c>
      <c r="H11" s="14" t="s">
        <v>108</v>
      </c>
      <c r="I11" s="66" t="s">
        <v>109</v>
      </c>
      <c r="J11" s="14" t="s">
        <v>220</v>
      </c>
      <c r="K11" s="14" t="s">
        <v>220</v>
      </c>
      <c r="L11" s="14" t="s">
        <v>22</v>
      </c>
      <c r="M11" s="65" t="s">
        <v>191</v>
      </c>
      <c r="N11" s="13" t="s">
        <v>59</v>
      </c>
      <c r="O11" s="13" t="s">
        <v>43</v>
      </c>
      <c r="P11" s="65">
        <v>3</v>
      </c>
      <c r="Q11" s="13" t="s">
        <v>531</v>
      </c>
      <c r="R11" s="65" t="s">
        <v>534</v>
      </c>
      <c r="S11" s="64" t="s">
        <v>9</v>
      </c>
      <c r="T11" s="62" t="e">
        <f>2898.889/USD</f>
        <v>#REF!</v>
      </c>
      <c r="U11" s="62">
        <v>1002.8218000000001</v>
      </c>
      <c r="V11" s="150" t="e">
        <f>Table12118[[#This Row],[Amortised Limit in Original Currency]]/USD</f>
        <v>#REF!</v>
      </c>
      <c r="W11" s="62" t="e">
        <f>33820.368*V11/T11/USD</f>
        <v>#REF!</v>
      </c>
      <c r="X11" s="76" t="e">
        <f>149469/USD</f>
        <v>#REF!</v>
      </c>
      <c r="Y11" s="62" t="s">
        <v>16</v>
      </c>
      <c r="Z11" s="366">
        <v>0</v>
      </c>
      <c r="AA11" s="61" t="s">
        <v>11</v>
      </c>
      <c r="AB11" s="181">
        <v>2.2499999999999999E-2</v>
      </c>
      <c r="AC11" s="181"/>
      <c r="AD11" s="60">
        <v>43350</v>
      </c>
      <c r="AE11" s="60">
        <v>45894</v>
      </c>
      <c r="AF11" s="60">
        <f>AE11</f>
        <v>45894</v>
      </c>
      <c r="AG11" s="58">
        <f t="shared" si="3"/>
        <v>2545</v>
      </c>
      <c r="AH11" s="59" t="e">
        <f t="shared" si="4"/>
        <v>#REF!</v>
      </c>
      <c r="AI11" s="58" t="e">
        <f>AF11-#REF!</f>
        <v>#REF!</v>
      </c>
      <c r="AJ11" s="57" t="e">
        <f t="shared" si="0"/>
        <v>#REF!</v>
      </c>
      <c r="AK11" s="56"/>
      <c r="AL11" s="71" t="s">
        <v>1</v>
      </c>
      <c r="AM11" s="71" t="s">
        <v>1</v>
      </c>
      <c r="AN11" s="187" t="s">
        <v>251</v>
      </c>
      <c r="AO11" s="11" t="e">
        <f t="shared" si="1"/>
        <v>#REF!</v>
      </c>
      <c r="AP11" s="11" t="s">
        <v>271</v>
      </c>
      <c r="AQ11" s="13" t="s">
        <v>347</v>
      </c>
      <c r="AR11" s="11">
        <v>12110</v>
      </c>
      <c r="AT11" s="197" t="str">
        <f>Table12118[[#This Row],[Risk Location ]]</f>
        <v>Germany</v>
      </c>
      <c r="AU11" s="198" t="str">
        <f>Table12118[[#This Row],[Sector (GICS Industry Group)]]</f>
        <v>Transportation</v>
      </c>
      <c r="AX11" s="212" t="e">
        <f>Table12118[[#This Row],[Percentage Impact]]*Table12118[[#This Row],[Amortised Limit A$ Balance]]</f>
        <v>#REF!</v>
      </c>
      <c r="AY11" s="212" t="e">
        <f>Table12118[[#This Row],[Amortised Limit A$ Balance]]*12%</f>
        <v>#REF!</v>
      </c>
      <c r="AZ11" s="212" t="b">
        <f>IF(Table12118[[#This Row],[Everest]]="Everest",Table12118[[#This Row],[Assetinsure Amount ]]*0.2)</f>
        <v>0</v>
      </c>
      <c r="BA11" s="212"/>
      <c r="BB11" s="212" t="e">
        <f>MIN(Table12118[[#This Row],[Assetinsure Amount ]]-Table12118[[#This Row],[Reinsurance Everest Re]],Table12118[[#This Row],[Total Amount]])</f>
        <v>#REF!</v>
      </c>
      <c r="BC11" s="212">
        <f t="shared" si="2"/>
        <v>0</v>
      </c>
      <c r="BG11" s="18">
        <v>0</v>
      </c>
      <c r="BH11" s="212">
        <v>0</v>
      </c>
      <c r="BI11" s="212">
        <v>0</v>
      </c>
      <c r="BJ11" s="212">
        <v>0</v>
      </c>
      <c r="BK11" s="212">
        <v>0</v>
      </c>
      <c r="BL11" s="212">
        <v>0</v>
      </c>
      <c r="BM11" s="212">
        <v>0</v>
      </c>
      <c r="BN11" s="226">
        <v>0</v>
      </c>
      <c r="BO11" s="226"/>
      <c r="BQ11" s="58" t="s">
        <v>929</v>
      </c>
      <c r="BR11" s="112"/>
      <c r="BS11" s="58" t="s">
        <v>476</v>
      </c>
      <c r="BT11" s="288"/>
      <c r="BU11" s="288"/>
    </row>
    <row r="12" spans="1:73" ht="39.950000000000003" customHeight="1" x14ac:dyDescent="0.2">
      <c r="A12" s="13" t="s">
        <v>202</v>
      </c>
      <c r="B12" s="337" t="s">
        <v>23</v>
      </c>
      <c r="C12" s="337" t="s">
        <v>1141</v>
      </c>
      <c r="D12" s="66" t="s">
        <v>89</v>
      </c>
      <c r="E12" s="14" t="s">
        <v>542</v>
      </c>
      <c r="F12" s="77" t="s">
        <v>127</v>
      </c>
      <c r="G12" s="14" t="s">
        <v>92</v>
      </c>
      <c r="H12" s="14" t="s">
        <v>108</v>
      </c>
      <c r="I12" s="66" t="s">
        <v>109</v>
      </c>
      <c r="J12" s="14" t="s">
        <v>220</v>
      </c>
      <c r="K12" s="66" t="s">
        <v>220</v>
      </c>
      <c r="L12" s="14" t="s">
        <v>22</v>
      </c>
      <c r="M12" s="65" t="s">
        <v>191</v>
      </c>
      <c r="N12" s="13" t="s">
        <v>59</v>
      </c>
      <c r="O12" s="13" t="s">
        <v>43</v>
      </c>
      <c r="P12" s="65">
        <v>3</v>
      </c>
      <c r="Q12" s="13" t="s">
        <v>531</v>
      </c>
      <c r="R12" s="65" t="s">
        <v>534</v>
      </c>
      <c r="S12" s="64" t="s">
        <v>9</v>
      </c>
      <c r="T12" s="62" t="e">
        <f>2439/USD</f>
        <v>#REF!</v>
      </c>
      <c r="U12" s="62">
        <v>960.24099999999999</v>
      </c>
      <c r="V12" s="150" t="e">
        <f>U12/USD</f>
        <v>#REF!</v>
      </c>
      <c r="W12" s="62" t="e">
        <f>28455*V12/T12/USD</f>
        <v>#REF!</v>
      </c>
      <c r="X12" s="76" t="e">
        <f>129847/USD</f>
        <v>#REF!</v>
      </c>
      <c r="Y12" s="62" t="s">
        <v>16</v>
      </c>
      <c r="Z12" s="366">
        <v>0</v>
      </c>
      <c r="AA12" s="61" t="s">
        <v>11</v>
      </c>
      <c r="AB12" s="181">
        <v>2.2499999999999999E-2</v>
      </c>
      <c r="AC12" s="181"/>
      <c r="AD12" s="60">
        <v>43368</v>
      </c>
      <c r="AE12" s="60">
        <v>45955</v>
      </c>
      <c r="AF12" s="60">
        <f>AE12</f>
        <v>45955</v>
      </c>
      <c r="AG12" s="58">
        <f t="shared" si="3"/>
        <v>2588</v>
      </c>
      <c r="AH12" s="59" t="e">
        <f t="shared" si="4"/>
        <v>#REF!</v>
      </c>
      <c r="AI12" s="58" t="e">
        <f>AF12-#REF!</f>
        <v>#REF!</v>
      </c>
      <c r="AJ12" s="57" t="e">
        <f t="shared" si="0"/>
        <v>#REF!</v>
      </c>
      <c r="AK12" s="56"/>
      <c r="AL12" s="71" t="s">
        <v>1</v>
      </c>
      <c r="AM12" s="71" t="s">
        <v>1</v>
      </c>
      <c r="AN12" s="187" t="s">
        <v>658</v>
      </c>
      <c r="AO12" s="11" t="e">
        <f t="shared" si="1"/>
        <v>#REF!</v>
      </c>
      <c r="AP12" s="11" t="s">
        <v>271</v>
      </c>
      <c r="AQ12" s="13" t="s">
        <v>349</v>
      </c>
      <c r="AR12" s="11">
        <v>2242.5</v>
      </c>
      <c r="AT12" s="197" t="str">
        <f>Table12118[[#This Row],[Risk Location ]]</f>
        <v>Germany</v>
      </c>
      <c r="AU12" s="198" t="str">
        <f>Table12118[[#This Row],[Sector (GICS Industry Group)]]</f>
        <v>Transportation</v>
      </c>
      <c r="AX12" s="212" t="e">
        <f>Table12118[[#This Row],[Percentage Impact]]*Table12118[[#This Row],[Amortised Limit A$ Balance]]</f>
        <v>#REF!</v>
      </c>
      <c r="AY12" s="212" t="e">
        <f>Table12118[[#This Row],[Amortised Limit A$ Balance]]*12%</f>
        <v>#REF!</v>
      </c>
      <c r="AZ12" s="212" t="b">
        <f>IF(Table12118[[#This Row],[Everest]]="Everest",Table12118[[#This Row],[Assetinsure Amount ]]*0.2)</f>
        <v>0</v>
      </c>
      <c r="BA12" s="212"/>
      <c r="BB12" s="212" t="e">
        <f>MIN(Table12118[[#This Row],[Assetinsure Amount ]]-Table12118[[#This Row],[Reinsurance Everest Re]],Table12118[[#This Row],[Total Amount]])</f>
        <v>#REF!</v>
      </c>
      <c r="BC12" s="212">
        <f t="shared" si="2"/>
        <v>0</v>
      </c>
      <c r="BG12" s="18">
        <v>0</v>
      </c>
      <c r="BH12" s="212">
        <v>0</v>
      </c>
      <c r="BI12" s="212">
        <v>0</v>
      </c>
      <c r="BJ12" s="212">
        <v>0</v>
      </c>
      <c r="BK12" s="212">
        <v>0</v>
      </c>
      <c r="BL12" s="212">
        <v>0</v>
      </c>
      <c r="BM12" s="212">
        <v>0</v>
      </c>
      <c r="BN12" s="226">
        <v>0</v>
      </c>
      <c r="BO12" s="226"/>
      <c r="BQ12" s="58" t="s">
        <v>930</v>
      </c>
      <c r="BR12" s="112"/>
      <c r="BS12" s="58" t="s">
        <v>476</v>
      </c>
      <c r="BT12" s="288"/>
      <c r="BU12" s="288"/>
    </row>
    <row r="13" spans="1:73" ht="39.950000000000003" customHeight="1" x14ac:dyDescent="0.2">
      <c r="A13" s="14" t="s">
        <v>164</v>
      </c>
      <c r="B13" s="337" t="s">
        <v>23</v>
      </c>
      <c r="C13" s="337" t="s">
        <v>1142</v>
      </c>
      <c r="D13" s="66" t="s">
        <v>127</v>
      </c>
      <c r="E13" s="14" t="s">
        <v>542</v>
      </c>
      <c r="F13" s="77" t="s">
        <v>89</v>
      </c>
      <c r="G13" s="14" t="s">
        <v>102</v>
      </c>
      <c r="H13" s="14" t="s">
        <v>102</v>
      </c>
      <c r="I13" s="66" t="s">
        <v>122</v>
      </c>
      <c r="J13" s="14" t="s">
        <v>158</v>
      </c>
      <c r="K13" s="66" t="s">
        <v>220</v>
      </c>
      <c r="L13" s="14" t="s">
        <v>101</v>
      </c>
      <c r="M13" s="65" t="s">
        <v>191</v>
      </c>
      <c r="N13" s="13" t="s">
        <v>59</v>
      </c>
      <c r="O13" s="13" t="s">
        <v>43</v>
      </c>
      <c r="P13" s="65">
        <v>1</v>
      </c>
      <c r="Q13" s="13" t="s">
        <v>538</v>
      </c>
      <c r="R13" s="65" t="s">
        <v>534</v>
      </c>
      <c r="S13" s="64" t="s">
        <v>59</v>
      </c>
      <c r="T13" s="62" t="e">
        <f>19000/EUR</f>
        <v>#REF!</v>
      </c>
      <c r="U13" s="62">
        <v>19000</v>
      </c>
      <c r="V13" s="79" t="e">
        <f>T13</f>
        <v>#REF!</v>
      </c>
      <c r="W13" s="62" t="e">
        <f>174000/EUR</f>
        <v>#REF!</v>
      </c>
      <c r="X13" s="76" t="e">
        <f>634744.24/EUR</f>
        <v>#REF!</v>
      </c>
      <c r="Y13" s="62" t="s">
        <v>16</v>
      </c>
      <c r="Z13" s="366">
        <v>0</v>
      </c>
      <c r="AA13" s="61" t="s">
        <v>11</v>
      </c>
      <c r="AB13" s="181">
        <v>9.5999999999999992E-3</v>
      </c>
      <c r="AC13" s="181"/>
      <c r="AD13" s="60">
        <v>43392</v>
      </c>
      <c r="AE13" s="60">
        <v>45534</v>
      </c>
      <c r="AF13" s="60">
        <f>AE13</f>
        <v>45534</v>
      </c>
      <c r="AG13" s="58">
        <f t="shared" si="3"/>
        <v>2143</v>
      </c>
      <c r="AH13" s="59" t="e">
        <f t="shared" si="4"/>
        <v>#REF!</v>
      </c>
      <c r="AI13" s="58" t="e">
        <f>AF13-#REF!</f>
        <v>#REF!</v>
      </c>
      <c r="AJ13" s="57" t="e">
        <f t="shared" si="0"/>
        <v>#REF!</v>
      </c>
      <c r="AK13" s="56"/>
      <c r="AL13" s="71" t="s">
        <v>1</v>
      </c>
      <c r="AM13" s="71" t="s">
        <v>1</v>
      </c>
      <c r="AN13" s="187" t="s">
        <v>0</v>
      </c>
      <c r="AO13" s="11" t="e">
        <f t="shared" si="1"/>
        <v>#REF!</v>
      </c>
      <c r="AP13" s="11" t="s">
        <v>271</v>
      </c>
      <c r="AQ13" s="14" t="s">
        <v>353</v>
      </c>
      <c r="AR13" s="11">
        <v>6040</v>
      </c>
      <c r="AT13" s="197" t="str">
        <f>Table12118[[#This Row],[Risk Location ]]</f>
        <v>Netherlands</v>
      </c>
      <c r="AU13" s="198" t="str">
        <f>Table12118[[#This Row],[Sector (GICS Industry Group)]]</f>
        <v>Real Estate Investment</v>
      </c>
      <c r="AX13" s="212" t="e">
        <f>Table12118[[#This Row],[Percentage Impact]]*Table12118[[#This Row],[Amortised Limit A$ Balance]]</f>
        <v>#REF!</v>
      </c>
      <c r="AY13" s="212" t="e">
        <f>Table12118[[#This Row],[Amortised Limit A$ Balance]]*12%</f>
        <v>#REF!</v>
      </c>
      <c r="AZ13" s="212" t="b">
        <f>IF(Table12118[[#This Row],[Everest]]="Everest",Table12118[[#This Row],[Assetinsure Amount ]]*0.2)</f>
        <v>0</v>
      </c>
      <c r="BA13" s="212"/>
      <c r="BB13" s="212" t="e">
        <f>MIN(Table12118[[#This Row],[Assetinsure Amount ]]-Table12118[[#This Row],[Reinsurance Everest Re]],Table12118[[#This Row],[Total Amount]])</f>
        <v>#REF!</v>
      </c>
      <c r="BC13" s="212">
        <f t="shared" si="2"/>
        <v>0</v>
      </c>
      <c r="BG13" s="18">
        <v>0</v>
      </c>
      <c r="BH13" s="212">
        <v>0</v>
      </c>
      <c r="BI13" s="212">
        <v>0</v>
      </c>
      <c r="BJ13" s="212">
        <v>0</v>
      </c>
      <c r="BK13" s="212">
        <v>0</v>
      </c>
      <c r="BL13" s="212">
        <v>0</v>
      </c>
      <c r="BM13" s="212">
        <v>0</v>
      </c>
      <c r="BN13" s="226">
        <v>0</v>
      </c>
      <c r="BO13" s="226"/>
      <c r="BQ13" s="58" t="s">
        <v>927</v>
      </c>
      <c r="BR13" s="112"/>
      <c r="BS13" s="58" t="s">
        <v>476</v>
      </c>
      <c r="BT13" s="288"/>
      <c r="BU13" s="288"/>
    </row>
    <row r="14" spans="1:73" ht="39.950000000000003" customHeight="1" x14ac:dyDescent="0.2">
      <c r="A14" s="87" t="s">
        <v>714</v>
      </c>
      <c r="B14" s="338" t="s">
        <v>51</v>
      </c>
      <c r="C14" s="338" t="s">
        <v>1141</v>
      </c>
      <c r="D14" s="104" t="s">
        <v>34</v>
      </c>
      <c r="E14" s="103" t="s">
        <v>34</v>
      </c>
      <c r="F14" s="102" t="s">
        <v>34</v>
      </c>
      <c r="G14" s="103" t="s">
        <v>543</v>
      </c>
      <c r="H14" s="101" t="s">
        <v>136</v>
      </c>
      <c r="I14" s="101" t="s">
        <v>136</v>
      </c>
      <c r="J14" s="102" t="s">
        <v>52</v>
      </c>
      <c r="K14" s="102" t="s">
        <v>52</v>
      </c>
      <c r="L14" s="101" t="s">
        <v>7</v>
      </c>
      <c r="M14" s="100" t="s">
        <v>40</v>
      </c>
      <c r="N14" s="87"/>
      <c r="O14" s="87" t="s">
        <v>42</v>
      </c>
      <c r="P14" s="87">
        <v>0</v>
      </c>
      <c r="Q14" s="87" t="s">
        <v>531</v>
      </c>
      <c r="R14" s="87" t="s">
        <v>532</v>
      </c>
      <c r="S14" s="99" t="s">
        <v>8</v>
      </c>
      <c r="T14" s="97">
        <v>236.60400000000001</v>
      </c>
      <c r="U14" s="97">
        <f>Table12118[[#This Row],[Original Limit (A$)]]</f>
        <v>236.60400000000001</v>
      </c>
      <c r="V14" s="155">
        <f>Table12118[[#This Row],[Amortised Limit in Original Currency]]</f>
        <v>236.60400000000001</v>
      </c>
      <c r="W14" s="97">
        <f>Table12118[[#This Row],[Amortised Limit A$ Balance]]</f>
        <v>236.60400000000001</v>
      </c>
      <c r="X14" s="357">
        <v>6506.61</v>
      </c>
      <c r="Y14" s="97"/>
      <c r="Z14" s="368"/>
      <c r="AA14" s="96" t="s">
        <v>11</v>
      </c>
      <c r="AB14" s="182">
        <v>2.75E-2</v>
      </c>
      <c r="AC14" s="182"/>
      <c r="AD14" s="95">
        <v>44896</v>
      </c>
      <c r="AE14" s="95">
        <v>45260</v>
      </c>
      <c r="AF14" s="95">
        <v>45260</v>
      </c>
      <c r="AG14" s="93">
        <f>AF14-AD14+1</f>
        <v>365</v>
      </c>
      <c r="AH14" s="94" t="s">
        <v>10</v>
      </c>
      <c r="AI14" s="93" t="e">
        <f>AF14-#REF!</f>
        <v>#REF!</v>
      </c>
      <c r="AJ14" s="92" t="e">
        <f>AI14/365</f>
        <v>#REF!</v>
      </c>
      <c r="AK14" s="91"/>
      <c r="AL14" s="90" t="s">
        <v>1</v>
      </c>
      <c r="AM14" s="90" t="s">
        <v>1</v>
      </c>
      <c r="AN14" s="88" t="s">
        <v>0</v>
      </c>
      <c r="AO14" s="88" t="e">
        <f>+IF(AF14-60&lt;$A$1, "SEND NOTICE", "N/A")</f>
        <v>#REF!</v>
      </c>
      <c r="AP14" s="88" t="s">
        <v>271</v>
      </c>
      <c r="AQ14" s="87" t="s">
        <v>716</v>
      </c>
      <c r="AT14" s="197" t="str">
        <f>Table12118[[#This Row],[Risk Location ]]</f>
        <v>Australia</v>
      </c>
      <c r="AU14" s="198" t="str">
        <f>Table12118[[#This Row],[Sector (GICS Industry Group)]]</f>
        <v>Industrials</v>
      </c>
      <c r="AX14" s="212">
        <f>Table12118[[#This Row],[Percentage Impact]]*Table12118[[#This Row],[Amortised Limit A$ Balance]]</f>
        <v>0</v>
      </c>
      <c r="AY14" s="212">
        <f>Table12118[[#This Row],[Amortised Limit A$ Balance]]*12%</f>
        <v>28.392479999999999</v>
      </c>
      <c r="AZ14" s="212" t="b">
        <f>IF(Table12118[[#This Row],[Everest]]="Everest",Table12118[[#This Row],[Assetinsure Amount ]]*0.2)</f>
        <v>0</v>
      </c>
      <c r="BA14" s="212"/>
      <c r="BB14" s="212">
        <f>MIN(Table12118[[#This Row],[Assetinsure Amount ]]-Table12118[[#This Row],[Reinsurance Everest Re]],Table12118[[#This Row],[Total Amount]])</f>
        <v>0</v>
      </c>
      <c r="BC14" s="212">
        <f t="shared" si="2"/>
        <v>0</v>
      </c>
      <c r="BG14" s="18">
        <v>0</v>
      </c>
      <c r="BH14" s="212">
        <v>0</v>
      </c>
      <c r="BI14" s="212">
        <v>0</v>
      </c>
      <c r="BJ14" s="212">
        <v>0</v>
      </c>
      <c r="BK14" s="212">
        <v>0</v>
      </c>
      <c r="BL14" s="212">
        <v>0</v>
      </c>
      <c r="BM14" s="212">
        <v>0</v>
      </c>
      <c r="BN14" s="226">
        <v>0</v>
      </c>
      <c r="BO14" s="226"/>
      <c r="BQ14" s="93"/>
      <c r="BR14" s="112"/>
      <c r="BS14" s="58" t="s">
        <v>476</v>
      </c>
      <c r="BT14" s="288"/>
      <c r="BU14" s="288"/>
    </row>
    <row r="15" spans="1:73" ht="39.950000000000003" customHeight="1" x14ac:dyDescent="0.2">
      <c r="A15" s="87" t="s">
        <v>715</v>
      </c>
      <c r="B15" s="338" t="s">
        <v>51</v>
      </c>
      <c r="C15" s="338" t="s">
        <v>1141</v>
      </c>
      <c r="D15" s="104" t="s">
        <v>34</v>
      </c>
      <c r="E15" s="103" t="s">
        <v>34</v>
      </c>
      <c r="F15" s="102" t="s">
        <v>34</v>
      </c>
      <c r="G15" s="103" t="s">
        <v>543</v>
      </c>
      <c r="H15" s="101" t="s">
        <v>136</v>
      </c>
      <c r="I15" s="101" t="s">
        <v>136</v>
      </c>
      <c r="J15" s="102" t="s">
        <v>52</v>
      </c>
      <c r="K15" s="102" t="s">
        <v>52</v>
      </c>
      <c r="L15" s="101" t="s">
        <v>7</v>
      </c>
      <c r="M15" s="100" t="s">
        <v>40</v>
      </c>
      <c r="N15" s="87"/>
      <c r="O15" s="87" t="s">
        <v>42</v>
      </c>
      <c r="P15" s="87">
        <v>0</v>
      </c>
      <c r="Q15" s="87" t="s">
        <v>531</v>
      </c>
      <c r="R15" s="87" t="s">
        <v>532</v>
      </c>
      <c r="S15" s="99" t="s">
        <v>8</v>
      </c>
      <c r="T15" s="97">
        <f>304.406</f>
        <v>304.40600000000001</v>
      </c>
      <c r="U15" s="97">
        <f>Table12118[[#This Row],[Original Limit (A$)]]</f>
        <v>304.40600000000001</v>
      </c>
      <c r="V15" s="155">
        <f>Table12118[[#This Row],[Amortised Limit in Original Currency]]</f>
        <v>304.40600000000001</v>
      </c>
      <c r="W15" s="97">
        <f>Table12118[[#This Row],[Amortised Limit A$ Balance]]</f>
        <v>304.40600000000001</v>
      </c>
      <c r="X15" s="357">
        <v>8371.17</v>
      </c>
      <c r="Y15" s="97"/>
      <c r="Z15" s="368"/>
      <c r="AA15" s="96" t="s">
        <v>11</v>
      </c>
      <c r="AB15" s="182">
        <v>2.75E-2</v>
      </c>
      <c r="AC15" s="182"/>
      <c r="AD15" s="95">
        <v>44896</v>
      </c>
      <c r="AE15" s="95">
        <v>45260</v>
      </c>
      <c r="AF15" s="95">
        <v>45260</v>
      </c>
      <c r="AG15" s="93">
        <f t="shared" si="3"/>
        <v>365</v>
      </c>
      <c r="AH15" s="94" t="s">
        <v>10</v>
      </c>
      <c r="AI15" s="93" t="e">
        <f>AF15-#REF!</f>
        <v>#REF!</v>
      </c>
      <c r="AJ15" s="92" t="e">
        <f t="shared" ref="AJ15:AJ68" si="5">AI15/365</f>
        <v>#REF!</v>
      </c>
      <c r="AK15" s="91"/>
      <c r="AL15" s="90" t="s">
        <v>1</v>
      </c>
      <c r="AM15" s="90" t="s">
        <v>1</v>
      </c>
      <c r="AN15" s="88" t="s">
        <v>0</v>
      </c>
      <c r="AO15" s="88" t="e">
        <f t="shared" si="1"/>
        <v>#REF!</v>
      </c>
      <c r="AP15" s="88" t="s">
        <v>271</v>
      </c>
      <c r="AQ15" s="87" t="s">
        <v>717</v>
      </c>
      <c r="AT15" s="197" t="str">
        <f>Table12118[[#This Row],[Risk Location ]]</f>
        <v>Australia</v>
      </c>
      <c r="AU15" s="198" t="str">
        <f>Table12118[[#This Row],[Sector (GICS Industry Group)]]</f>
        <v>Industrials</v>
      </c>
      <c r="AX15" s="212">
        <f>Table12118[[#This Row],[Percentage Impact]]*Table12118[[#This Row],[Amortised Limit A$ Balance]]</f>
        <v>0</v>
      </c>
      <c r="AY15" s="212">
        <f>Table12118[[#This Row],[Amortised Limit A$ Balance]]*12%</f>
        <v>36.52872</v>
      </c>
      <c r="AZ15" s="212" t="b">
        <f>IF(Table12118[[#This Row],[Everest]]="Everest",Table12118[[#This Row],[Assetinsure Amount ]]*0.2)</f>
        <v>0</v>
      </c>
      <c r="BA15" s="212"/>
      <c r="BB15" s="212">
        <f>MIN(Table12118[[#This Row],[Assetinsure Amount ]]-Table12118[[#This Row],[Reinsurance Everest Re]],Table12118[[#This Row],[Total Amount]])</f>
        <v>0</v>
      </c>
      <c r="BC15" s="212">
        <f t="shared" si="2"/>
        <v>0</v>
      </c>
      <c r="BG15" s="18">
        <v>0</v>
      </c>
      <c r="BH15" s="212">
        <v>0</v>
      </c>
      <c r="BI15" s="212">
        <v>0</v>
      </c>
      <c r="BJ15" s="212">
        <v>0</v>
      </c>
      <c r="BK15" s="212">
        <v>0</v>
      </c>
      <c r="BL15" s="212">
        <v>0</v>
      </c>
      <c r="BM15" s="212">
        <v>0</v>
      </c>
      <c r="BN15" s="226">
        <v>0</v>
      </c>
      <c r="BO15" s="226"/>
      <c r="BQ15" s="93"/>
      <c r="BR15" s="112"/>
      <c r="BS15" s="58" t="s">
        <v>476</v>
      </c>
      <c r="BT15" s="288"/>
      <c r="BU15" s="288"/>
    </row>
    <row r="16" spans="1:73" ht="39.950000000000003" customHeight="1" x14ac:dyDescent="0.2">
      <c r="A16" s="13" t="s">
        <v>171</v>
      </c>
      <c r="B16" s="337" t="s">
        <v>1247</v>
      </c>
      <c r="C16" s="337" t="s">
        <v>1141</v>
      </c>
      <c r="D16" s="66" t="s">
        <v>87</v>
      </c>
      <c r="E16" s="14" t="s">
        <v>542</v>
      </c>
      <c r="F16" s="77" t="s">
        <v>87</v>
      </c>
      <c r="G16" s="14" t="s">
        <v>173</v>
      </c>
      <c r="H16" s="14" t="s">
        <v>174</v>
      </c>
      <c r="I16" s="14" t="s">
        <v>172</v>
      </c>
      <c r="J16" s="77" t="s">
        <v>75</v>
      </c>
      <c r="K16" s="77" t="s">
        <v>21</v>
      </c>
      <c r="L16" s="14" t="s">
        <v>29</v>
      </c>
      <c r="M16" s="65" t="s">
        <v>191</v>
      </c>
      <c r="N16" s="13" t="s">
        <v>59</v>
      </c>
      <c r="O16" s="13" t="s">
        <v>43</v>
      </c>
      <c r="P16" s="65">
        <v>3</v>
      </c>
      <c r="Q16" s="13" t="s">
        <v>538</v>
      </c>
      <c r="R16" s="13" t="s">
        <v>548</v>
      </c>
      <c r="S16" s="64" t="s">
        <v>9</v>
      </c>
      <c r="T16" s="62" t="e">
        <f>25000/USD</f>
        <v>#REF!</v>
      </c>
      <c r="U16" s="62">
        <v>20000</v>
      </c>
      <c r="V16" s="150" t="e">
        <f>+U16/USD</f>
        <v>#REF!</v>
      </c>
      <c r="W16" s="62" t="e">
        <f>102777.7777/USD</f>
        <v>#REF!</v>
      </c>
      <c r="X16" s="76" t="e">
        <f>1517343.76/USD</f>
        <v>#REF!</v>
      </c>
      <c r="Y16" s="62" t="s">
        <v>16</v>
      </c>
      <c r="Z16" s="366">
        <v>0</v>
      </c>
      <c r="AA16" s="61" t="s">
        <v>11</v>
      </c>
      <c r="AB16" s="181">
        <v>1.6299999999999999E-2</v>
      </c>
      <c r="AC16" s="181"/>
      <c r="AD16" s="60">
        <v>43448</v>
      </c>
      <c r="AE16" s="60">
        <v>45716</v>
      </c>
      <c r="AF16" s="60">
        <f>AE16</f>
        <v>45716</v>
      </c>
      <c r="AG16" s="58">
        <f t="shared" si="3"/>
        <v>2269</v>
      </c>
      <c r="AH16" s="75" t="e">
        <f t="shared" ref="AH16:AH29" si="6">IF(AF16-$A$1&gt;60,"No","Yes")</f>
        <v>#REF!</v>
      </c>
      <c r="AI16" s="58" t="e">
        <f>AF16-#REF!</f>
        <v>#REF!</v>
      </c>
      <c r="AJ16" s="57" t="e">
        <f t="shared" si="5"/>
        <v>#REF!</v>
      </c>
      <c r="AK16" s="56"/>
      <c r="AL16" s="71" t="s">
        <v>1</v>
      </c>
      <c r="AM16" s="71" t="s">
        <v>1</v>
      </c>
      <c r="AN16" s="187" t="s">
        <v>1202</v>
      </c>
      <c r="AO16" s="11" t="e">
        <f t="shared" si="1"/>
        <v>#REF!</v>
      </c>
      <c r="AP16" s="11" t="s">
        <v>271</v>
      </c>
      <c r="AQ16" s="13" t="s">
        <v>355</v>
      </c>
      <c r="AT16" s="197" t="str">
        <f>Table12118[[#This Row],[Risk Location ]]</f>
        <v>United Kingdom</v>
      </c>
      <c r="AU16" s="198" t="str">
        <f>Table12118[[#This Row],[Sector (GICS Industry Group)]]</f>
        <v>Automobiles &amp; Components</v>
      </c>
      <c r="AV16" s="229">
        <v>1</v>
      </c>
      <c r="AW16" s="310">
        <v>2.5000000000000001E-2</v>
      </c>
      <c r="AX16" s="212" t="e">
        <f>Table12118[[#This Row],[Percentage Impact]]*Table12118[[#This Row],[Amortised Limit A$ Balance]]</f>
        <v>#REF!</v>
      </c>
      <c r="AY16" s="212" t="e">
        <f>Table12118[[#This Row],[Amortised Limit A$ Balance]]*12%</f>
        <v>#REF!</v>
      </c>
      <c r="AZ16" s="212" t="b">
        <f>IF(Table12118[[#This Row],[Everest]]="Everest",Table12118[[#This Row],[Assetinsure Amount ]]*0.2)</f>
        <v>0</v>
      </c>
      <c r="BA16" s="278"/>
      <c r="BB16" s="212" t="e">
        <f>MIN(Table12118[[#This Row],[Assetinsure Amount ]]-Table12118[[#This Row],[Reinsurance Everest Re]],Table12118[[#This Row],[Total Amount]])</f>
        <v>#REF!</v>
      </c>
      <c r="BC16" s="212">
        <f t="shared" si="2"/>
        <v>750.02347573479062</v>
      </c>
      <c r="BD16" s="229"/>
      <c r="BG16" s="18">
        <v>748.95252249156852</v>
      </c>
      <c r="BH16" s="212">
        <v>750.02347573479062</v>
      </c>
      <c r="BI16" s="212">
        <v>726.47657235102236</v>
      </c>
      <c r="BJ16" s="212">
        <v>0</v>
      </c>
      <c r="BK16" s="212">
        <v>0</v>
      </c>
      <c r="BL16" s="212">
        <v>0</v>
      </c>
      <c r="BM16" s="212">
        <v>0</v>
      </c>
      <c r="BN16" s="226">
        <v>0</v>
      </c>
      <c r="BO16" s="226"/>
      <c r="BQ16" s="58" t="s">
        <v>956</v>
      </c>
      <c r="BR16" s="112"/>
      <c r="BS16" s="58" t="s">
        <v>476</v>
      </c>
      <c r="BT16" s="288"/>
      <c r="BU16" s="288"/>
    </row>
    <row r="17" spans="1:73" s="298" customFormat="1" ht="39.950000000000003" customHeight="1" x14ac:dyDescent="0.2">
      <c r="A17" s="269" t="s">
        <v>175</v>
      </c>
      <c r="B17" s="337" t="s">
        <v>23</v>
      </c>
      <c r="C17" s="337" t="s">
        <v>243</v>
      </c>
      <c r="D17" s="133" t="s">
        <v>34</v>
      </c>
      <c r="E17" s="131" t="s">
        <v>34</v>
      </c>
      <c r="F17" s="161" t="s">
        <v>34</v>
      </c>
      <c r="G17" s="131" t="s">
        <v>544</v>
      </c>
      <c r="H17" s="131" t="s">
        <v>178</v>
      </c>
      <c r="I17" s="131" t="s">
        <v>177</v>
      </c>
      <c r="J17" s="133" t="s">
        <v>232</v>
      </c>
      <c r="K17" s="161" t="s">
        <v>21</v>
      </c>
      <c r="L17" s="131" t="s">
        <v>29</v>
      </c>
      <c r="M17" s="270" t="s">
        <v>191</v>
      </c>
      <c r="N17" s="269" t="s">
        <v>323</v>
      </c>
      <c r="O17" s="269" t="s">
        <v>43</v>
      </c>
      <c r="P17" s="270">
        <v>4</v>
      </c>
      <c r="Q17" s="269" t="s">
        <v>531</v>
      </c>
      <c r="R17" s="270" t="s">
        <v>534</v>
      </c>
      <c r="S17" s="135" t="s">
        <v>8</v>
      </c>
      <c r="T17" s="62">
        <v>20000</v>
      </c>
      <c r="U17" s="62">
        <v>20000</v>
      </c>
      <c r="V17" s="150">
        <v>20000</v>
      </c>
      <c r="W17" s="62">
        <v>95000</v>
      </c>
      <c r="X17" s="76">
        <v>1708122.82</v>
      </c>
      <c r="Y17" s="62" t="s">
        <v>16</v>
      </c>
      <c r="Z17" s="366">
        <v>0</v>
      </c>
      <c r="AA17" s="61" t="s">
        <v>11</v>
      </c>
      <c r="AB17" s="181">
        <v>1.95E-2</v>
      </c>
      <c r="AC17" s="181"/>
      <c r="AD17" s="271">
        <v>43480</v>
      </c>
      <c r="AE17" s="271">
        <v>45322</v>
      </c>
      <c r="AF17" s="271">
        <v>45322</v>
      </c>
      <c r="AG17" s="272">
        <f t="shared" si="3"/>
        <v>1843</v>
      </c>
      <c r="AH17" s="139" t="e">
        <f t="shared" si="6"/>
        <v>#REF!</v>
      </c>
      <c r="AI17" s="272" t="e">
        <f>AF17-#REF!</f>
        <v>#REF!</v>
      </c>
      <c r="AJ17" s="273" t="e">
        <f t="shared" si="5"/>
        <v>#REF!</v>
      </c>
      <c r="AK17" s="274"/>
      <c r="AL17" s="275" t="s">
        <v>1</v>
      </c>
      <c r="AM17" s="275" t="s">
        <v>1</v>
      </c>
      <c r="AN17" s="187" t="s">
        <v>0</v>
      </c>
      <c r="AO17" s="229" t="e">
        <f t="shared" si="1"/>
        <v>#REF!</v>
      </c>
      <c r="AP17" s="229" t="s">
        <v>271</v>
      </c>
      <c r="AQ17" s="269" t="s">
        <v>356</v>
      </c>
      <c r="AR17" s="229">
        <v>7789.99</v>
      </c>
      <c r="AS17" s="229"/>
      <c r="AT17" s="323" t="str">
        <f>Table12118[[#This Row],[Risk Location ]]</f>
        <v>Australia</v>
      </c>
      <c r="AU17" s="324" t="str">
        <f>Table12118[[#This Row],[Sector (GICS Industry Group)]]</f>
        <v>Consumer Discretionary</v>
      </c>
      <c r="AV17" s="229"/>
      <c r="AW17" s="310">
        <v>0</v>
      </c>
      <c r="AX17" s="278">
        <f>Table12118[[#This Row],[Percentage Impact]]*Table12118[[#This Row],[Amortised Limit A$ Balance]]</f>
        <v>0</v>
      </c>
      <c r="AY17" s="278">
        <f>Table12118[[#This Row],[Amortised Limit A$ Balance]]*12%</f>
        <v>2400</v>
      </c>
      <c r="AZ17" s="278" t="b">
        <f>IF(Table12118[[#This Row],[Everest]]="Everest",Table12118[[#This Row],[Assetinsure Amount ]]*0.2)</f>
        <v>0</v>
      </c>
      <c r="BA17" s="278"/>
      <c r="BB17" s="278">
        <f>MIN(Table12118[[#This Row],[Assetinsure Amount ]]-Table12118[[#This Row],[Reinsurance Everest Re]],Table12118[[#This Row],[Total Amount]])</f>
        <v>0</v>
      </c>
      <c r="BC17" s="212">
        <f t="shared" si="2"/>
        <v>0</v>
      </c>
      <c r="BG17" s="381">
        <v>0</v>
      </c>
      <c r="BH17" s="371">
        <v>0</v>
      </c>
      <c r="BI17" s="371">
        <v>0</v>
      </c>
      <c r="BJ17" s="371">
        <v>0</v>
      </c>
      <c r="BK17" s="371">
        <v>1000</v>
      </c>
      <c r="BL17" s="278">
        <v>1000</v>
      </c>
      <c r="BM17" s="278">
        <v>1250</v>
      </c>
      <c r="BN17" s="227">
        <v>1000</v>
      </c>
      <c r="BO17" s="227">
        <v>1000</v>
      </c>
      <c r="BQ17" s="272" t="s">
        <v>931</v>
      </c>
      <c r="BR17" s="276"/>
      <c r="BS17" s="272" t="s">
        <v>476</v>
      </c>
      <c r="BT17" s="299"/>
      <c r="BU17" s="299"/>
    </row>
    <row r="18" spans="1:73" ht="39.950000000000003" customHeight="1" x14ac:dyDescent="0.2">
      <c r="A18" s="269" t="s">
        <v>204</v>
      </c>
      <c r="B18" s="337" t="s">
        <v>23</v>
      </c>
      <c r="C18" s="337" t="s">
        <v>1141</v>
      </c>
      <c r="D18" s="66" t="s">
        <v>89</v>
      </c>
      <c r="E18" s="14" t="s">
        <v>542</v>
      </c>
      <c r="F18" s="77" t="s">
        <v>127</v>
      </c>
      <c r="G18" s="14" t="s">
        <v>92</v>
      </c>
      <c r="H18" s="14" t="s">
        <v>108</v>
      </c>
      <c r="I18" s="14" t="s">
        <v>109</v>
      </c>
      <c r="J18" s="14" t="s">
        <v>220</v>
      </c>
      <c r="K18" s="14" t="s">
        <v>220</v>
      </c>
      <c r="L18" s="14" t="s">
        <v>22</v>
      </c>
      <c r="M18" s="65" t="s">
        <v>191</v>
      </c>
      <c r="N18" s="13" t="s">
        <v>59</v>
      </c>
      <c r="O18" s="13" t="s">
        <v>43</v>
      </c>
      <c r="P18" s="65">
        <v>3</v>
      </c>
      <c r="Q18" s="13" t="s">
        <v>531</v>
      </c>
      <c r="R18" s="65" t="s">
        <v>534</v>
      </c>
      <c r="S18" s="64" t="s">
        <v>9</v>
      </c>
      <c r="T18" s="62" t="e">
        <f>2682/USD</f>
        <v>#REF!</v>
      </c>
      <c r="U18" s="62">
        <v>1045.5740000000001</v>
      </c>
      <c r="V18" s="150" t="e">
        <f>+U18/USD</f>
        <v>#REF!</v>
      </c>
      <c r="W18" s="62" t="e">
        <f>31287*V18/T18/USD</f>
        <v>#REF!</v>
      </c>
      <c r="X18" s="76" t="e">
        <f>122955.42/USD</f>
        <v>#REF!</v>
      </c>
      <c r="Y18" s="62" t="s">
        <v>16</v>
      </c>
      <c r="Z18" s="366">
        <v>0</v>
      </c>
      <c r="AA18" s="61" t="s">
        <v>11</v>
      </c>
      <c r="AB18" s="181">
        <v>2.2499999999999999E-2</v>
      </c>
      <c r="AC18" s="181"/>
      <c r="AD18" s="60">
        <v>43486</v>
      </c>
      <c r="AE18" s="60">
        <v>46041</v>
      </c>
      <c r="AF18" s="60">
        <v>46041</v>
      </c>
      <c r="AG18" s="58">
        <f t="shared" si="3"/>
        <v>2556</v>
      </c>
      <c r="AH18" s="59" t="e">
        <f t="shared" si="6"/>
        <v>#REF!</v>
      </c>
      <c r="AI18" s="58" t="e">
        <f>AF18-#REF!</f>
        <v>#REF!</v>
      </c>
      <c r="AJ18" s="57" t="e">
        <f t="shared" si="5"/>
        <v>#REF!</v>
      </c>
      <c r="AK18" s="56"/>
      <c r="AL18" s="71" t="s">
        <v>1</v>
      </c>
      <c r="AM18" s="71" t="s">
        <v>1</v>
      </c>
      <c r="AN18" s="187" t="s">
        <v>251</v>
      </c>
      <c r="AO18" s="11" t="e">
        <f t="shared" si="1"/>
        <v>#REF!</v>
      </c>
      <c r="AP18" s="11" t="s">
        <v>271</v>
      </c>
      <c r="AQ18" s="13" t="s">
        <v>357</v>
      </c>
      <c r="AR18" s="11">
        <v>2145</v>
      </c>
      <c r="AT18" s="197" t="str">
        <f>Table12118[[#This Row],[Risk Location ]]</f>
        <v>Germany</v>
      </c>
      <c r="AU18" s="198" t="str">
        <f>Table12118[[#This Row],[Sector (GICS Industry Group)]]</f>
        <v>Transportation</v>
      </c>
      <c r="AX18" s="212" t="e">
        <f>Table12118[[#This Row],[Percentage Impact]]*Table12118[[#This Row],[Amortised Limit A$ Balance]]</f>
        <v>#REF!</v>
      </c>
      <c r="AY18" s="212" t="e">
        <f>Table12118[[#This Row],[Amortised Limit A$ Balance]]*12%</f>
        <v>#REF!</v>
      </c>
      <c r="AZ18" s="212" t="b">
        <f>IF(Table12118[[#This Row],[Everest]]="Everest",Table12118[[#This Row],[Assetinsure Amount ]]*0.2)</f>
        <v>0</v>
      </c>
      <c r="BA18" s="212"/>
      <c r="BB18" s="212" t="e">
        <f>MIN(Table12118[[#This Row],[Assetinsure Amount ]]-Table12118[[#This Row],[Reinsurance Everest Re]],Table12118[[#This Row],[Total Amount]])</f>
        <v>#REF!</v>
      </c>
      <c r="BC18" s="212">
        <f t="shared" si="2"/>
        <v>0</v>
      </c>
      <c r="BG18" s="18">
        <v>0</v>
      </c>
      <c r="BH18" s="212">
        <v>0</v>
      </c>
      <c r="BI18" s="212">
        <v>0</v>
      </c>
      <c r="BJ18" s="212">
        <v>0</v>
      </c>
      <c r="BK18" s="212">
        <v>0</v>
      </c>
      <c r="BL18" s="212">
        <v>0</v>
      </c>
      <c r="BM18" s="212">
        <v>0</v>
      </c>
      <c r="BN18" s="226">
        <v>0</v>
      </c>
      <c r="BO18" s="226"/>
      <c r="BQ18" s="58" t="s">
        <v>954</v>
      </c>
      <c r="BR18" s="112"/>
      <c r="BS18" s="58" t="s">
        <v>476</v>
      </c>
      <c r="BT18" s="288"/>
      <c r="BU18" s="288"/>
    </row>
    <row r="19" spans="1:73" ht="39.950000000000003" customHeight="1" x14ac:dyDescent="0.2">
      <c r="A19" s="131" t="s">
        <v>190</v>
      </c>
      <c r="B19" s="337" t="s">
        <v>23</v>
      </c>
      <c r="C19" s="337" t="s">
        <v>1141</v>
      </c>
      <c r="D19" s="66" t="s">
        <v>37</v>
      </c>
      <c r="E19" s="14" t="s">
        <v>540</v>
      </c>
      <c r="F19" s="161" t="s">
        <v>36</v>
      </c>
      <c r="G19" s="66" t="s">
        <v>106</v>
      </c>
      <c r="H19" s="66" t="s">
        <v>106</v>
      </c>
      <c r="I19" s="66" t="s">
        <v>107</v>
      </c>
      <c r="J19" s="14" t="s">
        <v>72</v>
      </c>
      <c r="K19" s="14" t="s">
        <v>219</v>
      </c>
      <c r="L19" s="14" t="s">
        <v>29</v>
      </c>
      <c r="M19" s="65" t="s">
        <v>191</v>
      </c>
      <c r="N19" s="13" t="s">
        <v>323</v>
      </c>
      <c r="O19" s="13" t="s">
        <v>43</v>
      </c>
      <c r="P19" s="65">
        <v>2</v>
      </c>
      <c r="Q19" s="65" t="s">
        <v>875</v>
      </c>
      <c r="R19" s="13" t="s">
        <v>548</v>
      </c>
      <c r="S19" s="64" t="s">
        <v>9</v>
      </c>
      <c r="T19" s="62" t="e">
        <f>4250/USD</f>
        <v>#REF!</v>
      </c>
      <c r="U19" s="62">
        <v>2125</v>
      </c>
      <c r="V19" s="150" t="e">
        <f>+U19/USD</f>
        <v>#REF!</v>
      </c>
      <c r="W19" s="62" t="e">
        <f>50000/USD</f>
        <v>#REF!</v>
      </c>
      <c r="X19" s="76" t="e">
        <f>(212639*0.9)/USD</f>
        <v>#REF!</v>
      </c>
      <c r="Y19" s="62"/>
      <c r="Z19" s="367"/>
      <c r="AA19" s="61" t="s">
        <v>551</v>
      </c>
      <c r="AB19" s="181">
        <v>2.5000000000000001E-2</v>
      </c>
      <c r="AC19" s="181"/>
      <c r="AD19" s="60">
        <v>43496</v>
      </c>
      <c r="AE19" s="60">
        <v>44848</v>
      </c>
      <c r="AF19" s="60">
        <f>AE19</f>
        <v>44848</v>
      </c>
      <c r="AG19" s="58">
        <f t="shared" si="3"/>
        <v>1353</v>
      </c>
      <c r="AH19" s="59" t="e">
        <f t="shared" si="6"/>
        <v>#REF!</v>
      </c>
      <c r="AI19" s="58" t="e">
        <f>AF19-#REF!</f>
        <v>#REF!</v>
      </c>
      <c r="AJ19" s="57" t="e">
        <f t="shared" si="5"/>
        <v>#REF!</v>
      </c>
      <c r="AK19" s="56"/>
      <c r="AL19" s="71" t="s">
        <v>1</v>
      </c>
      <c r="AM19" s="71" t="s">
        <v>1</v>
      </c>
      <c r="AN19" s="187" t="s">
        <v>1329</v>
      </c>
      <c r="AO19" s="11" t="e">
        <f t="shared" si="1"/>
        <v>#REF!</v>
      </c>
      <c r="AP19" s="11" t="s">
        <v>271</v>
      </c>
      <c r="AQ19" s="14" t="s">
        <v>361</v>
      </c>
      <c r="AR19" s="11">
        <v>5500</v>
      </c>
      <c r="AT19" s="197" t="str">
        <f>Table12118[[#This Row],[Risk Location ]]</f>
        <v>China</v>
      </c>
      <c r="AU19" s="198" t="str">
        <f>Table12118[[#This Row],[Sector (GICS Industry Group)]]</f>
        <v>Real Estate Management &amp; Development</v>
      </c>
      <c r="AV19" s="11">
        <v>1</v>
      </c>
      <c r="AW19" s="309">
        <v>0.25</v>
      </c>
      <c r="AX19" s="212" t="e">
        <f>Table12118[[#This Row],[Percentage Impact]]*Table12118[[#This Row],[Amortised Limit A$ Balance]]</f>
        <v>#REF!</v>
      </c>
      <c r="AY19" s="212" t="e">
        <f>Table12118[[#This Row],[Amortised Limit A$ Balance]]*12%</f>
        <v>#REF!</v>
      </c>
      <c r="AZ19" s="212" t="b">
        <f>IF(Table12118[[#This Row],[Everest]]="Everest",Table12118[[#This Row],[Assetinsure Amount ]]*0.2)</f>
        <v>0</v>
      </c>
      <c r="BA19" s="212"/>
      <c r="BB19" s="212" t="e">
        <f>MIN(Table12118[[#This Row],[Assetinsure Amount ]]-Table12118[[#This Row],[Reinsurance Everest Re]],Table12118[[#This Row],[Total Amount]])</f>
        <v>#REF!</v>
      </c>
      <c r="BC19" s="212">
        <f t="shared" si="2"/>
        <v>382.51197262474318</v>
      </c>
      <c r="BG19" s="18">
        <v>381.96578647069992</v>
      </c>
      <c r="BH19" s="212">
        <v>382.51197262474318</v>
      </c>
      <c r="BI19" s="212">
        <v>370.50305189902139</v>
      </c>
      <c r="BJ19" s="212">
        <v>401.33463439201739</v>
      </c>
      <c r="BK19" s="212">
        <v>0</v>
      </c>
      <c r="BL19" s="212">
        <v>0</v>
      </c>
      <c r="BM19" s="212">
        <v>0</v>
      </c>
      <c r="BN19" s="226">
        <v>0</v>
      </c>
      <c r="BO19" s="226"/>
      <c r="BQ19" s="58" t="s">
        <v>957</v>
      </c>
      <c r="BR19" s="112"/>
      <c r="BS19" s="58" t="s">
        <v>476</v>
      </c>
      <c r="BT19" s="288"/>
      <c r="BU19" s="288"/>
    </row>
    <row r="20" spans="1:73" ht="39.950000000000003" customHeight="1" x14ac:dyDescent="0.2">
      <c r="A20" s="131" t="s">
        <v>185</v>
      </c>
      <c r="B20" s="337" t="s">
        <v>1336</v>
      </c>
      <c r="C20" s="337" t="s">
        <v>1142</v>
      </c>
      <c r="D20" s="66" t="s">
        <v>127</v>
      </c>
      <c r="E20" s="14" t="s">
        <v>542</v>
      </c>
      <c r="F20" s="68" t="s">
        <v>127</v>
      </c>
      <c r="G20" s="14" t="s">
        <v>92</v>
      </c>
      <c r="H20" s="14" t="s">
        <v>93</v>
      </c>
      <c r="I20" s="66" t="s">
        <v>94</v>
      </c>
      <c r="J20" s="14" t="s">
        <v>165</v>
      </c>
      <c r="K20" s="14" t="s">
        <v>220</v>
      </c>
      <c r="L20" s="14" t="s">
        <v>22</v>
      </c>
      <c r="M20" s="65" t="s">
        <v>191</v>
      </c>
      <c r="N20" s="13" t="s">
        <v>59</v>
      </c>
      <c r="O20" s="13" t="s">
        <v>43</v>
      </c>
      <c r="P20" s="65">
        <v>2</v>
      </c>
      <c r="Q20" s="13" t="s">
        <v>538</v>
      </c>
      <c r="R20" s="65" t="s">
        <v>534</v>
      </c>
      <c r="S20" s="64" t="s">
        <v>59</v>
      </c>
      <c r="T20" s="62" t="e">
        <f>18000/EUR</f>
        <v>#REF!</v>
      </c>
      <c r="U20" s="62">
        <v>18000</v>
      </c>
      <c r="V20" s="150" t="e">
        <f>+T20</f>
        <v>#REF!</v>
      </c>
      <c r="W20" s="62" t="e">
        <f>175000/EUR</f>
        <v>#REF!</v>
      </c>
      <c r="X20" s="76" t="e">
        <f>822727/EUR+406999.5/EUR</f>
        <v>#REF!</v>
      </c>
      <c r="Y20" s="62" t="s">
        <v>16</v>
      </c>
      <c r="Z20" s="366">
        <v>0</v>
      </c>
      <c r="AA20" s="61" t="s">
        <v>11</v>
      </c>
      <c r="AB20" s="181">
        <v>1.7999999999999999E-2</v>
      </c>
      <c r="AC20" s="181"/>
      <c r="AD20" s="60">
        <v>43500</v>
      </c>
      <c r="AE20" s="60">
        <v>46042</v>
      </c>
      <c r="AF20" s="60">
        <v>46042</v>
      </c>
      <c r="AG20" s="58">
        <f t="shared" si="3"/>
        <v>2543</v>
      </c>
      <c r="AH20" s="59" t="e">
        <f t="shared" si="6"/>
        <v>#REF!</v>
      </c>
      <c r="AI20" s="58" t="e">
        <f>AF20-#REF!</f>
        <v>#REF!</v>
      </c>
      <c r="AJ20" s="57" t="e">
        <f t="shared" si="5"/>
        <v>#REF!</v>
      </c>
      <c r="AK20" s="56" t="s">
        <v>436</v>
      </c>
      <c r="AL20" s="71" t="s">
        <v>1</v>
      </c>
      <c r="AM20" s="71" t="s">
        <v>1</v>
      </c>
      <c r="AN20" s="187" t="s">
        <v>0</v>
      </c>
      <c r="AO20" s="11" t="e">
        <f t="shared" si="1"/>
        <v>#REF!</v>
      </c>
      <c r="AP20" s="11" t="s">
        <v>271</v>
      </c>
      <c r="AQ20" s="14" t="s">
        <v>358</v>
      </c>
      <c r="AR20" s="11">
        <v>23780</v>
      </c>
      <c r="AT20" s="197" t="str">
        <f>Table12118[[#This Row],[Risk Location ]]</f>
        <v>Germany</v>
      </c>
      <c r="AU20" s="198" t="str">
        <f>Table12118[[#This Row],[Sector (GICS Industry Group)]]</f>
        <v>Transportation</v>
      </c>
      <c r="AX20" s="212" t="e">
        <f>Table12118[[#This Row],[Percentage Impact]]*Table12118[[#This Row],[Amortised Limit A$ Balance]]</f>
        <v>#REF!</v>
      </c>
      <c r="AY20" s="212" t="e">
        <f>Table12118[[#This Row],[Amortised Limit A$ Balance]]*12%</f>
        <v>#REF!</v>
      </c>
      <c r="AZ20" s="212" t="e">
        <f>IF(Table12118[[#This Row],[Everest]]="Everest",Table12118[[#This Row],[Assetinsure Amount ]]*0.2)</f>
        <v>#REF!</v>
      </c>
      <c r="BA20" s="212"/>
      <c r="BB20" s="212" t="e">
        <f>MIN(Table12118[[#This Row],[Assetinsure Amount ]]-Table12118[[#This Row],[Reinsurance Everest Re]],Table12118[[#This Row],[Total Amount]])</f>
        <v>#REF!</v>
      </c>
      <c r="BC20" s="212">
        <f t="shared" si="2"/>
        <v>0</v>
      </c>
      <c r="BG20" s="18">
        <v>0</v>
      </c>
      <c r="BH20" s="212">
        <v>0</v>
      </c>
      <c r="BI20" s="212">
        <v>0</v>
      </c>
      <c r="BJ20" s="212">
        <v>0</v>
      </c>
      <c r="BK20" s="212">
        <v>0</v>
      </c>
      <c r="BL20" s="212">
        <v>0</v>
      </c>
      <c r="BM20" s="212">
        <v>0</v>
      </c>
      <c r="BN20" s="226">
        <v>0</v>
      </c>
      <c r="BO20" s="226"/>
      <c r="BQ20" s="58" t="s">
        <v>1217</v>
      </c>
      <c r="BR20" s="112"/>
      <c r="BS20" s="58"/>
      <c r="BT20" s="288"/>
      <c r="BU20" s="288"/>
    </row>
    <row r="21" spans="1:73" ht="39.950000000000003" customHeight="1" x14ac:dyDescent="0.2">
      <c r="A21" s="350" t="s">
        <v>203</v>
      </c>
      <c r="B21" s="337" t="s">
        <v>23</v>
      </c>
      <c r="C21" s="337" t="s">
        <v>1141</v>
      </c>
      <c r="D21" s="66" t="s">
        <v>89</v>
      </c>
      <c r="E21" s="14" t="s">
        <v>542</v>
      </c>
      <c r="F21" s="77" t="s">
        <v>127</v>
      </c>
      <c r="G21" s="14" t="s">
        <v>92</v>
      </c>
      <c r="H21" s="14" t="s">
        <v>108</v>
      </c>
      <c r="I21" s="14" t="s">
        <v>109</v>
      </c>
      <c r="J21" s="14" t="s">
        <v>220</v>
      </c>
      <c r="K21" s="14" t="s">
        <v>220</v>
      </c>
      <c r="L21" s="14" t="s">
        <v>22</v>
      </c>
      <c r="M21" s="65" t="s">
        <v>191</v>
      </c>
      <c r="N21" s="13" t="s">
        <v>59</v>
      </c>
      <c r="O21" s="13" t="s">
        <v>43</v>
      </c>
      <c r="P21" s="65">
        <v>3</v>
      </c>
      <c r="Q21" s="13" t="s">
        <v>531</v>
      </c>
      <c r="R21" s="65" t="s">
        <v>534</v>
      </c>
      <c r="S21" s="64" t="s">
        <v>9</v>
      </c>
      <c r="T21" s="62" t="e">
        <f>1980.411/USD</f>
        <v>#REF!</v>
      </c>
      <c r="U21" s="62">
        <v>802.73500000000001</v>
      </c>
      <c r="V21" s="150" t="e">
        <f>+U21/USD</f>
        <v>#REF!</v>
      </c>
      <c r="W21" s="62" t="e">
        <f>23713*V21/T21/USD</f>
        <v>#REF!</v>
      </c>
      <c r="X21" s="76" t="e">
        <f>95662.71/USD</f>
        <v>#REF!</v>
      </c>
      <c r="Y21" s="62" t="s">
        <v>16</v>
      </c>
      <c r="Z21" s="366">
        <v>0</v>
      </c>
      <c r="AA21" s="61" t="s">
        <v>11</v>
      </c>
      <c r="AB21" s="181">
        <v>2.2499999999999999E-2</v>
      </c>
      <c r="AC21" s="181"/>
      <c r="AD21" s="60">
        <v>43508</v>
      </c>
      <c r="AE21" s="60">
        <v>46081</v>
      </c>
      <c r="AF21" s="60">
        <v>46081</v>
      </c>
      <c r="AG21" s="58">
        <f t="shared" si="3"/>
        <v>2574</v>
      </c>
      <c r="AH21" s="59" t="e">
        <f t="shared" si="6"/>
        <v>#REF!</v>
      </c>
      <c r="AI21" s="58" t="e">
        <f>AF21-#REF!</f>
        <v>#REF!</v>
      </c>
      <c r="AJ21" s="57" t="e">
        <f t="shared" si="5"/>
        <v>#REF!</v>
      </c>
      <c r="AK21" s="56"/>
      <c r="AL21" s="71" t="s">
        <v>1</v>
      </c>
      <c r="AM21" s="71" t="s">
        <v>1</v>
      </c>
      <c r="AN21" s="187" t="s">
        <v>251</v>
      </c>
      <c r="AO21" s="11" t="e">
        <f t="shared" si="1"/>
        <v>#REF!</v>
      </c>
      <c r="AP21" s="11" t="s">
        <v>271</v>
      </c>
      <c r="AQ21" s="14" t="s">
        <v>360</v>
      </c>
      <c r="AR21" s="11">
        <v>1555</v>
      </c>
      <c r="AT21" s="197" t="str">
        <f>Table12118[[#This Row],[Risk Location ]]</f>
        <v>Germany</v>
      </c>
      <c r="AU21" s="198" t="str">
        <f>Table12118[[#This Row],[Sector (GICS Industry Group)]]</f>
        <v>Transportation</v>
      </c>
      <c r="AX21" s="212" t="e">
        <f>Table12118[[#This Row],[Percentage Impact]]*Table12118[[#This Row],[Amortised Limit A$ Balance]]</f>
        <v>#REF!</v>
      </c>
      <c r="AY21" s="212" t="e">
        <f>Table12118[[#This Row],[Amortised Limit A$ Balance]]*12%</f>
        <v>#REF!</v>
      </c>
      <c r="AZ21" s="212" t="b">
        <f>IF(Table12118[[#This Row],[Everest]]="Everest",Table12118[[#This Row],[Assetinsure Amount ]]*0.2)</f>
        <v>0</v>
      </c>
      <c r="BA21" s="212"/>
      <c r="BB21" s="212" t="e">
        <f>MIN(Table12118[[#This Row],[Assetinsure Amount ]]-Table12118[[#This Row],[Reinsurance Everest Re]],Table12118[[#This Row],[Total Amount]])</f>
        <v>#REF!</v>
      </c>
      <c r="BC21" s="212">
        <f t="shared" si="2"/>
        <v>0</v>
      </c>
      <c r="BG21" s="18">
        <v>0</v>
      </c>
      <c r="BH21" s="212">
        <v>0</v>
      </c>
      <c r="BI21" s="212">
        <v>0</v>
      </c>
      <c r="BJ21" s="212">
        <v>0</v>
      </c>
      <c r="BK21" s="212">
        <v>0</v>
      </c>
      <c r="BL21" s="212">
        <v>0</v>
      </c>
      <c r="BM21" s="212">
        <v>0</v>
      </c>
      <c r="BN21" s="226">
        <v>0</v>
      </c>
      <c r="BO21" s="226"/>
      <c r="BQ21" s="58" t="s">
        <v>955</v>
      </c>
      <c r="BR21" s="112"/>
      <c r="BS21" s="58"/>
      <c r="BT21" s="288"/>
      <c r="BU21" s="288"/>
    </row>
    <row r="22" spans="1:73" ht="39.950000000000003" customHeight="1" x14ac:dyDescent="0.2">
      <c r="A22" s="131" t="s">
        <v>187</v>
      </c>
      <c r="B22" s="337" t="s">
        <v>1336</v>
      </c>
      <c r="C22" s="337" t="s">
        <v>1141</v>
      </c>
      <c r="D22" s="66" t="s">
        <v>34</v>
      </c>
      <c r="E22" s="14" t="s">
        <v>34</v>
      </c>
      <c r="F22" s="77" t="s">
        <v>34</v>
      </c>
      <c r="G22" s="14" t="s">
        <v>543</v>
      </c>
      <c r="H22" s="14" t="s">
        <v>97</v>
      </c>
      <c r="I22" s="14" t="s">
        <v>186</v>
      </c>
      <c r="J22" s="14" t="s">
        <v>70</v>
      </c>
      <c r="K22" s="14" t="s">
        <v>218</v>
      </c>
      <c r="L22" s="14" t="s">
        <v>139</v>
      </c>
      <c r="M22" s="65" t="s">
        <v>191</v>
      </c>
      <c r="N22" s="13" t="s">
        <v>323</v>
      </c>
      <c r="O22" s="13" t="s">
        <v>43</v>
      </c>
      <c r="P22" s="65">
        <v>4</v>
      </c>
      <c r="Q22" s="13" t="s">
        <v>538</v>
      </c>
      <c r="R22" s="65" t="s">
        <v>534</v>
      </c>
      <c r="S22" s="15" t="s">
        <v>8</v>
      </c>
      <c r="T22" s="86">
        <v>15000</v>
      </c>
      <c r="U22" s="62">
        <v>15000</v>
      </c>
      <c r="V22" s="169">
        <f>+T22</f>
        <v>15000</v>
      </c>
      <c r="W22" s="86">
        <v>65000</v>
      </c>
      <c r="X22" s="358">
        <v>1815402.7390411</v>
      </c>
      <c r="Y22" s="62" t="s">
        <v>16</v>
      </c>
      <c r="Z22" s="366">
        <v>0</v>
      </c>
      <c r="AA22" s="61" t="s">
        <v>11</v>
      </c>
      <c r="AB22" s="181">
        <v>5.2499999999999998E-2</v>
      </c>
      <c r="AC22" s="181"/>
      <c r="AD22" s="85">
        <v>43511</v>
      </c>
      <c r="AE22" s="85">
        <v>45392</v>
      </c>
      <c r="AF22" s="85">
        <v>45392</v>
      </c>
      <c r="AG22" s="58">
        <f t="shared" si="3"/>
        <v>1882</v>
      </c>
      <c r="AH22" s="59" t="e">
        <f t="shared" si="6"/>
        <v>#REF!</v>
      </c>
      <c r="AI22" s="58" t="e">
        <f>AF22-#REF!</f>
        <v>#REF!</v>
      </c>
      <c r="AJ22" s="57" t="e">
        <f t="shared" si="5"/>
        <v>#REF!</v>
      </c>
      <c r="AK22" s="56"/>
      <c r="AL22" s="71" t="s">
        <v>1</v>
      </c>
      <c r="AM22" s="71" t="s">
        <v>1</v>
      </c>
      <c r="AN22" s="70" t="s">
        <v>0</v>
      </c>
      <c r="AO22" s="11" t="e">
        <f t="shared" si="1"/>
        <v>#REF!</v>
      </c>
      <c r="AP22" s="11" t="s">
        <v>271</v>
      </c>
      <c r="AQ22" s="14" t="s">
        <v>359</v>
      </c>
      <c r="AR22" s="12">
        <v>5500</v>
      </c>
      <c r="AS22" s="12"/>
      <c r="AT22" s="197" t="str">
        <f>Table12118[[#This Row],[Risk Location ]]</f>
        <v>Australia</v>
      </c>
      <c r="AU22" s="198" t="str">
        <f>Table12118[[#This Row],[Sector (GICS Industry Group)]]</f>
        <v>Industrials</v>
      </c>
      <c r="AV22" s="12"/>
      <c r="AX22" s="212">
        <f>Table12118[[#This Row],[Percentage Impact]]*Table12118[[#This Row],[Amortised Limit A$ Balance]]</f>
        <v>0</v>
      </c>
      <c r="AY22" s="212">
        <f>Table12118[[#This Row],[Amortised Limit A$ Balance]]*12%</f>
        <v>1800</v>
      </c>
      <c r="AZ22" s="212" t="b">
        <f>IF(Table12118[[#This Row],[Everest]]="Everest",Table12118[[#This Row],[Assetinsure Amount ]]*0.2)</f>
        <v>0</v>
      </c>
      <c r="BA22" s="212"/>
      <c r="BB22" s="212">
        <f>MIN(Table12118[[#This Row],[Assetinsure Amount ]]-Table12118[[#This Row],[Reinsurance Everest Re]],Table12118[[#This Row],[Total Amount]])</f>
        <v>0</v>
      </c>
      <c r="BC22" s="212">
        <f t="shared" si="2"/>
        <v>0</v>
      </c>
      <c r="BG22" s="18">
        <v>0</v>
      </c>
      <c r="BH22" s="212">
        <v>0</v>
      </c>
      <c r="BI22" s="212">
        <v>0</v>
      </c>
      <c r="BJ22" s="212">
        <v>0</v>
      </c>
      <c r="BK22" s="212">
        <v>0</v>
      </c>
      <c r="BL22" s="212">
        <v>0</v>
      </c>
      <c r="BM22" s="212">
        <v>0</v>
      </c>
      <c r="BN22" s="226">
        <v>0</v>
      </c>
      <c r="BO22" s="226"/>
      <c r="BQ22" s="58" t="s">
        <v>958</v>
      </c>
      <c r="BR22" s="112"/>
      <c r="BS22" s="58"/>
      <c r="BT22" s="288"/>
      <c r="BU22" s="288"/>
    </row>
    <row r="23" spans="1:73" ht="39.950000000000003" customHeight="1" x14ac:dyDescent="0.2">
      <c r="A23" s="270" t="s">
        <v>194</v>
      </c>
      <c r="B23" s="337" t="s">
        <v>23</v>
      </c>
      <c r="C23" s="337" t="s">
        <v>1141</v>
      </c>
      <c r="D23" s="66" t="s">
        <v>89</v>
      </c>
      <c r="E23" s="14" t="s">
        <v>542</v>
      </c>
      <c r="F23" s="77" t="s">
        <v>193</v>
      </c>
      <c r="G23" s="14" t="s">
        <v>92</v>
      </c>
      <c r="H23" s="66" t="s">
        <v>134</v>
      </c>
      <c r="I23" s="14" t="s">
        <v>134</v>
      </c>
      <c r="J23" s="14" t="s">
        <v>220</v>
      </c>
      <c r="K23" s="14" t="s">
        <v>220</v>
      </c>
      <c r="L23" s="14" t="s">
        <v>22</v>
      </c>
      <c r="M23" s="65" t="s">
        <v>191</v>
      </c>
      <c r="N23" s="13" t="s">
        <v>59</v>
      </c>
      <c r="O23" s="13" t="s">
        <v>43</v>
      </c>
      <c r="P23" s="65">
        <v>3</v>
      </c>
      <c r="Q23" s="13" t="s">
        <v>531</v>
      </c>
      <c r="R23" s="65" t="s">
        <v>534</v>
      </c>
      <c r="S23" s="64" t="s">
        <v>9</v>
      </c>
      <c r="T23" s="62" t="e">
        <f>15000/USD</f>
        <v>#REF!</v>
      </c>
      <c r="U23" s="62">
        <v>4615.38</v>
      </c>
      <c r="V23" s="169" t="e">
        <f>+U23/USD</f>
        <v>#REF!</v>
      </c>
      <c r="W23" s="86" t="e">
        <f>137000*V23/T23/USD</f>
        <v>#REF!</v>
      </c>
      <c r="X23" s="358" t="e">
        <f>765437/USD</f>
        <v>#REF!</v>
      </c>
      <c r="Y23" s="62" t="s">
        <v>16</v>
      </c>
      <c r="Z23" s="366">
        <v>0</v>
      </c>
      <c r="AA23" s="61" t="s">
        <v>11</v>
      </c>
      <c r="AB23" s="181">
        <v>2.8500000000000001E-2</v>
      </c>
      <c r="AC23" s="181"/>
      <c r="AD23" s="60">
        <v>43515</v>
      </c>
      <c r="AE23" s="60">
        <v>46042</v>
      </c>
      <c r="AF23" s="60">
        <v>46042</v>
      </c>
      <c r="AG23" s="58">
        <f t="shared" si="3"/>
        <v>2528</v>
      </c>
      <c r="AH23" s="59" t="e">
        <f t="shared" si="6"/>
        <v>#REF!</v>
      </c>
      <c r="AI23" s="58" t="e">
        <f>AF23-#REF!</f>
        <v>#REF!</v>
      </c>
      <c r="AJ23" s="57" t="e">
        <f t="shared" si="5"/>
        <v>#REF!</v>
      </c>
      <c r="AK23" s="56"/>
      <c r="AL23" s="71" t="s">
        <v>1</v>
      </c>
      <c r="AM23" s="71" t="s">
        <v>1</v>
      </c>
      <c r="AN23" s="70" t="s">
        <v>269</v>
      </c>
      <c r="AO23" s="11" t="e">
        <f t="shared" si="1"/>
        <v>#REF!</v>
      </c>
      <c r="AP23" s="11" t="s">
        <v>271</v>
      </c>
      <c r="AQ23" s="13" t="s">
        <v>362</v>
      </c>
      <c r="AR23" s="11">
        <v>6472.5</v>
      </c>
      <c r="AT23" s="197" t="str">
        <f>Table12118[[#This Row],[Risk Location ]]</f>
        <v>Switzerland</v>
      </c>
      <c r="AU23" s="198" t="str">
        <f>Table12118[[#This Row],[Sector (GICS Industry Group)]]</f>
        <v>Transportation</v>
      </c>
      <c r="AX23" s="212" t="e">
        <f>Table12118[[#This Row],[Percentage Impact]]*Table12118[[#This Row],[Amortised Limit A$ Balance]]</f>
        <v>#REF!</v>
      </c>
      <c r="AY23" s="212" t="e">
        <f>Table12118[[#This Row],[Amortised Limit A$ Balance]]*12%</f>
        <v>#REF!</v>
      </c>
      <c r="AZ23" s="212" t="b">
        <f>IF(Table12118[[#This Row],[Everest]]="Everest",Table12118[[#This Row],[Assetinsure Amount ]]*0.2)</f>
        <v>0</v>
      </c>
      <c r="BA23" s="212"/>
      <c r="BB23" s="212" t="e">
        <f>MIN(Table12118[[#This Row],[Assetinsure Amount ]]-Table12118[[#This Row],[Reinsurance Everest Re]],Table12118[[#This Row],[Total Amount]])</f>
        <v>#REF!</v>
      </c>
      <c r="BC23" s="212">
        <f t="shared" si="2"/>
        <v>0</v>
      </c>
      <c r="BG23" s="18">
        <v>0</v>
      </c>
      <c r="BH23" s="212">
        <v>0</v>
      </c>
      <c r="BI23" s="212">
        <v>0</v>
      </c>
      <c r="BJ23" s="212">
        <v>0</v>
      </c>
      <c r="BK23" s="212">
        <v>0</v>
      </c>
      <c r="BL23" s="212">
        <v>0</v>
      </c>
      <c r="BM23" s="212">
        <v>0</v>
      </c>
      <c r="BN23" s="226">
        <v>0</v>
      </c>
      <c r="BO23" s="226"/>
      <c r="BQ23" s="58" t="s">
        <v>959</v>
      </c>
      <c r="BR23" s="112"/>
      <c r="BS23" s="58"/>
      <c r="BT23" s="288"/>
      <c r="BU23" s="288"/>
    </row>
    <row r="24" spans="1:73" ht="39.950000000000003" customHeight="1" x14ac:dyDescent="0.2">
      <c r="A24" s="133" t="s">
        <v>192</v>
      </c>
      <c r="B24" s="337" t="s">
        <v>23</v>
      </c>
      <c r="C24" s="337" t="s">
        <v>1144</v>
      </c>
      <c r="D24" s="66" t="s">
        <v>149</v>
      </c>
      <c r="E24" s="14" t="s">
        <v>541</v>
      </c>
      <c r="F24" s="130" t="s">
        <v>37</v>
      </c>
      <c r="G24" s="14" t="s">
        <v>544</v>
      </c>
      <c r="H24" s="66" t="s">
        <v>178</v>
      </c>
      <c r="I24" s="66" t="s">
        <v>177</v>
      </c>
      <c r="J24" s="14" t="s">
        <v>148</v>
      </c>
      <c r="K24" s="14" t="s">
        <v>148</v>
      </c>
      <c r="L24" s="14" t="s">
        <v>29</v>
      </c>
      <c r="M24" s="65" t="s">
        <v>191</v>
      </c>
      <c r="N24" s="13" t="s">
        <v>59</v>
      </c>
      <c r="O24" s="13" t="s">
        <v>43</v>
      </c>
      <c r="P24" s="65">
        <v>5</v>
      </c>
      <c r="Q24" s="65" t="s">
        <v>875</v>
      </c>
      <c r="R24" s="65" t="s">
        <v>534</v>
      </c>
      <c r="S24" s="64" t="s">
        <v>9</v>
      </c>
      <c r="T24" s="62" t="e">
        <f>7500/USD</f>
        <v>#REF!</v>
      </c>
      <c r="U24" s="62">
        <v>5025</v>
      </c>
      <c r="V24" s="169" t="e">
        <f>+U24/USD</f>
        <v>#REF!</v>
      </c>
      <c r="W24" s="86" t="e">
        <f>30000/USD</f>
        <v>#REF!</v>
      </c>
      <c r="X24" s="358" t="e">
        <f>(475435*0.85+141833.93*0.85)/USD</f>
        <v>#REF!</v>
      </c>
      <c r="Y24" s="62"/>
      <c r="Z24" s="366"/>
      <c r="AA24" s="61" t="s">
        <v>551</v>
      </c>
      <c r="AB24" s="181">
        <v>3.5000000000000003E-2</v>
      </c>
      <c r="AC24" s="181"/>
      <c r="AD24" s="60">
        <v>43532</v>
      </c>
      <c r="AE24" s="271">
        <f>+Table12118[[#This Row],[Policy Expiry Date ]]</f>
        <v>45884</v>
      </c>
      <c r="AF24" s="271">
        <v>45884</v>
      </c>
      <c r="AG24" s="58">
        <f t="shared" si="3"/>
        <v>2353</v>
      </c>
      <c r="AH24" s="59" t="e">
        <f t="shared" si="6"/>
        <v>#REF!</v>
      </c>
      <c r="AI24" s="58" t="e">
        <f>AF24-#REF!</f>
        <v>#REF!</v>
      </c>
      <c r="AJ24" s="57" t="e">
        <f t="shared" si="5"/>
        <v>#REF!</v>
      </c>
      <c r="AK24" s="56"/>
      <c r="AL24" s="71" t="s">
        <v>1</v>
      </c>
      <c r="AM24" s="71" t="s">
        <v>1</v>
      </c>
      <c r="AN24" s="70" t="s">
        <v>0</v>
      </c>
      <c r="AO24" s="11" t="e">
        <f t="shared" si="1"/>
        <v>#REF!</v>
      </c>
      <c r="AP24" s="11" t="s">
        <v>271</v>
      </c>
      <c r="AQ24" s="14" t="s">
        <v>363</v>
      </c>
      <c r="AR24" s="11">
        <v>8000</v>
      </c>
      <c r="AT24" s="197" t="str">
        <f>Table12118[[#This Row],[Risk Location ]]</f>
        <v>Hong Kong</v>
      </c>
      <c r="AU24" s="198" t="str">
        <f>Table12118[[#This Row],[Sector (GICS Industry Group)]]</f>
        <v>Consumer Discretionary</v>
      </c>
      <c r="AV24" s="11">
        <v>1</v>
      </c>
      <c r="AW24" s="310">
        <v>7.4999999999999997E-2</v>
      </c>
      <c r="AX24" s="212" t="e">
        <f>Table12118[[#This Row],[Percentage Impact]]*Table12118[[#This Row],[Amortised Limit A$ Balance]]</f>
        <v>#REF!</v>
      </c>
      <c r="AY24" s="212" t="e">
        <f>Table12118[[#This Row],[Amortised Limit A$ Balance]]*12%</f>
        <v>#REF!</v>
      </c>
      <c r="AZ24" s="212" t="b">
        <f>IF(Table12118[[#This Row],[Everest]]="Everest",Table12118[[#This Row],[Assetinsure Amount ]]*0.2)</f>
        <v>0</v>
      </c>
      <c r="BA24" s="212"/>
      <c r="BB24" s="212" t="e">
        <f>MIN(Table12118[[#This Row],[Assetinsure Amount ]]-Table12118[[#This Row],[Reinsurance Everest Re]],Table12118[[#This Row],[Total Amount]])</f>
        <v>#REF!</v>
      </c>
      <c r="BC24" s="212">
        <f t="shared" si="2"/>
        <v>565.33019483509838</v>
      </c>
      <c r="BD24" s="12"/>
      <c r="BG24" s="18">
        <v>564.52296382801978</v>
      </c>
      <c r="BH24" s="212">
        <v>565.33019483509838</v>
      </c>
      <c r="BI24" s="212">
        <v>547.58171640958301</v>
      </c>
      <c r="BJ24" s="212">
        <v>593.14898171173161</v>
      </c>
      <c r="BK24" s="212">
        <v>369.87692851254269</v>
      </c>
      <c r="BL24" s="212">
        <v>337.81966816360563</v>
      </c>
      <c r="BM24" s="212">
        <v>783.67722250860299</v>
      </c>
      <c r="BN24" s="226">
        <v>1044.9029633448042</v>
      </c>
      <c r="BO24" s="226">
        <v>1038.2059800664451</v>
      </c>
      <c r="BQ24" s="58" t="s">
        <v>960</v>
      </c>
      <c r="BR24" s="112"/>
      <c r="BS24" s="58"/>
      <c r="BT24" s="288"/>
      <c r="BU24" s="288"/>
    </row>
    <row r="25" spans="1:73" ht="39.950000000000003" customHeight="1" x14ac:dyDescent="0.2">
      <c r="A25" s="133" t="s">
        <v>205</v>
      </c>
      <c r="B25" s="337" t="s">
        <v>23</v>
      </c>
      <c r="C25" s="337" t="s">
        <v>1141</v>
      </c>
      <c r="D25" s="66" t="s">
        <v>38</v>
      </c>
      <c r="E25" s="14" t="s">
        <v>540</v>
      </c>
      <c r="F25" s="161" t="s">
        <v>36</v>
      </c>
      <c r="G25" s="14" t="s">
        <v>92</v>
      </c>
      <c r="H25" s="66" t="s">
        <v>134</v>
      </c>
      <c r="I25" s="66" t="s">
        <v>134</v>
      </c>
      <c r="J25" s="66" t="s">
        <v>50</v>
      </c>
      <c r="K25" s="66" t="s">
        <v>21</v>
      </c>
      <c r="L25" s="14" t="s">
        <v>22</v>
      </c>
      <c r="M25" s="65" t="s">
        <v>191</v>
      </c>
      <c r="N25" s="13" t="s">
        <v>323</v>
      </c>
      <c r="O25" s="65" t="s">
        <v>43</v>
      </c>
      <c r="P25" s="65">
        <v>2</v>
      </c>
      <c r="Q25" s="65" t="s">
        <v>531</v>
      </c>
      <c r="R25" s="65" t="s">
        <v>534</v>
      </c>
      <c r="S25" s="83" t="s">
        <v>9</v>
      </c>
      <c r="T25" s="62" t="e">
        <f>20250/USD</f>
        <v>#REF!</v>
      </c>
      <c r="U25" s="62">
        <v>10277.84</v>
      </c>
      <c r="V25" s="82" t="e">
        <f>Table12118[[#This Row],[Amortised Limit in Original Currency]]/USD</f>
        <v>#REF!</v>
      </c>
      <c r="W25" s="82" t="e">
        <f>96800*V25/T25/USD</f>
        <v>#REF!</v>
      </c>
      <c r="X25" s="62" t="e">
        <f>631314/USD</f>
        <v>#REF!</v>
      </c>
      <c r="Y25" s="62" t="s">
        <v>16</v>
      </c>
      <c r="Z25" s="366">
        <v>0</v>
      </c>
      <c r="AA25" s="61" t="s">
        <v>11</v>
      </c>
      <c r="AB25" s="181">
        <v>1.4E-2</v>
      </c>
      <c r="AC25" s="364"/>
      <c r="AD25" s="81">
        <v>43609</v>
      </c>
      <c r="AE25" s="81">
        <v>46457</v>
      </c>
      <c r="AF25" s="81">
        <v>46457</v>
      </c>
      <c r="AG25" s="58">
        <f t="shared" si="3"/>
        <v>2849</v>
      </c>
      <c r="AH25" s="151" t="e">
        <f t="shared" si="6"/>
        <v>#REF!</v>
      </c>
      <c r="AI25" s="80" t="e">
        <f>AF25-#REF!</f>
        <v>#REF!</v>
      </c>
      <c r="AJ25" s="57" t="e">
        <f t="shared" si="5"/>
        <v>#REF!</v>
      </c>
      <c r="AK25" s="56" t="s">
        <v>436</v>
      </c>
      <c r="AL25" s="71" t="s">
        <v>1</v>
      </c>
      <c r="AM25" s="71" t="s">
        <v>1</v>
      </c>
      <c r="AN25" s="70" t="s">
        <v>883</v>
      </c>
      <c r="AO25" s="11" t="e">
        <f t="shared" si="1"/>
        <v>#REF!</v>
      </c>
      <c r="AP25" s="11" t="s">
        <v>271</v>
      </c>
      <c r="AQ25" s="14" t="s">
        <v>366</v>
      </c>
      <c r="AR25" s="11">
        <v>8100</v>
      </c>
      <c r="AT25" s="197" t="str">
        <f>Table12118[[#This Row],[Risk Location ]]</f>
        <v>China</v>
      </c>
      <c r="AU25" s="198" t="str">
        <f>Table12118[[#This Row],[Sector (GICS Industry Group)]]</f>
        <v>Transportation</v>
      </c>
      <c r="AX25" s="212" t="e">
        <f>Table12118[[#This Row],[Percentage Impact]]*Table12118[[#This Row],[Amortised Limit A$ Balance]]</f>
        <v>#REF!</v>
      </c>
      <c r="AY25" s="212" t="e">
        <f>Table12118[[#This Row],[Amortised Limit A$ Balance]]*12%</f>
        <v>#REF!</v>
      </c>
      <c r="AZ25" s="212" t="e">
        <f>IF(Table12118[[#This Row],[Everest]]="Everest",Table12118[[#This Row],[Assetinsure Amount ]]*0.2)</f>
        <v>#REF!</v>
      </c>
      <c r="BA25" s="212"/>
      <c r="BB25" s="212" t="e">
        <f>MIN(Table12118[[#This Row],[Assetinsure Amount ]]-Table12118[[#This Row],[Reinsurance Everest Re]],Table12118[[#This Row],[Total Amount]])</f>
        <v>#REF!</v>
      </c>
      <c r="BC25" s="212">
        <f t="shared" si="2"/>
        <v>0</v>
      </c>
      <c r="BG25" s="18">
        <v>0</v>
      </c>
      <c r="BH25" s="212">
        <v>0</v>
      </c>
      <c r="BI25" s="212">
        <v>0</v>
      </c>
      <c r="BJ25" s="212">
        <v>0</v>
      </c>
      <c r="BK25" s="212">
        <v>0</v>
      </c>
      <c r="BL25" s="212">
        <v>0</v>
      </c>
      <c r="BM25" s="212">
        <v>0</v>
      </c>
      <c r="BN25" s="226">
        <v>0</v>
      </c>
      <c r="BO25" s="226"/>
      <c r="BQ25" s="58" t="s">
        <v>961</v>
      </c>
      <c r="BR25" s="112"/>
      <c r="BS25" s="58"/>
      <c r="BT25" s="288"/>
      <c r="BU25" s="288"/>
    </row>
    <row r="26" spans="1:73" ht="39.950000000000003" customHeight="1" x14ac:dyDescent="0.2">
      <c r="A26" s="270" t="s">
        <v>210</v>
      </c>
      <c r="B26" s="337" t="s">
        <v>51</v>
      </c>
      <c r="C26" s="337" t="s">
        <v>1141</v>
      </c>
      <c r="D26" s="66" t="s">
        <v>211</v>
      </c>
      <c r="E26" s="14" t="s">
        <v>542</v>
      </c>
      <c r="F26" s="77" t="s">
        <v>211</v>
      </c>
      <c r="G26" s="14" t="s">
        <v>102</v>
      </c>
      <c r="H26" s="14" t="s">
        <v>102</v>
      </c>
      <c r="I26" s="66" t="s">
        <v>122</v>
      </c>
      <c r="J26" s="66" t="s">
        <v>212</v>
      </c>
      <c r="K26" s="66" t="s">
        <v>220</v>
      </c>
      <c r="L26" s="14" t="s">
        <v>13</v>
      </c>
      <c r="M26" s="65" t="s">
        <v>191</v>
      </c>
      <c r="N26" s="13" t="s">
        <v>59</v>
      </c>
      <c r="O26" s="65" t="s">
        <v>43</v>
      </c>
      <c r="P26" s="65">
        <v>3</v>
      </c>
      <c r="Q26" s="65" t="s">
        <v>538</v>
      </c>
      <c r="R26" s="65" t="s">
        <v>534</v>
      </c>
      <c r="S26" s="64" t="s">
        <v>59</v>
      </c>
      <c r="T26" s="62" t="e">
        <f>8027.5/EUR</f>
        <v>#REF!</v>
      </c>
      <c r="U26" s="62">
        <v>8027.5</v>
      </c>
      <c r="V26" s="82" t="e">
        <f>T26</f>
        <v>#REF!</v>
      </c>
      <c r="W26" s="82" t="e">
        <f>16055/EUR</f>
        <v>#REF!</v>
      </c>
      <c r="X26" s="62" t="e">
        <f>489841.63/EUR</f>
        <v>#REF!</v>
      </c>
      <c r="Y26" s="62" t="s">
        <v>16</v>
      </c>
      <c r="Z26" s="366">
        <v>0</v>
      </c>
      <c r="AA26" s="61" t="s">
        <v>11</v>
      </c>
      <c r="AB26" s="181">
        <v>2.5000000000000001E-2</v>
      </c>
      <c r="AC26" s="364"/>
      <c r="AD26" s="81">
        <v>43626</v>
      </c>
      <c r="AE26" s="60">
        <v>45301</v>
      </c>
      <c r="AF26" s="157">
        <v>45301</v>
      </c>
      <c r="AG26" s="58">
        <f t="shared" si="3"/>
        <v>1676</v>
      </c>
      <c r="AH26" s="151" t="e">
        <f t="shared" si="6"/>
        <v>#REF!</v>
      </c>
      <c r="AI26" s="80" t="e">
        <f>AF26-#REF!</f>
        <v>#REF!</v>
      </c>
      <c r="AJ26" s="57" t="e">
        <f t="shared" si="5"/>
        <v>#REF!</v>
      </c>
      <c r="AK26" s="56"/>
      <c r="AL26" s="71" t="s">
        <v>1</v>
      </c>
      <c r="AM26" s="71" t="s">
        <v>1</v>
      </c>
      <c r="AN26" s="70" t="s">
        <v>0</v>
      </c>
      <c r="AO26" s="11" t="e">
        <f t="shared" si="1"/>
        <v>#REF!</v>
      </c>
      <c r="AP26" s="11" t="s">
        <v>271</v>
      </c>
      <c r="AQ26" s="14" t="s">
        <v>1116</v>
      </c>
      <c r="AR26" s="11">
        <v>11000</v>
      </c>
      <c r="AT26" s="197" t="str">
        <f>Table12118[[#This Row],[Risk Location ]]</f>
        <v>Spain</v>
      </c>
      <c r="AU26" s="198" t="str">
        <f>Table12118[[#This Row],[Sector (GICS Industry Group)]]</f>
        <v>Real Estate Investment</v>
      </c>
      <c r="AX26" s="212" t="e">
        <f>Table12118[[#This Row],[Percentage Impact]]*Table12118[[#This Row],[Amortised Limit A$ Balance]]</f>
        <v>#REF!</v>
      </c>
      <c r="AY26" s="212" t="e">
        <f>Table12118[[#This Row],[Amortised Limit A$ Balance]]*12%</f>
        <v>#REF!</v>
      </c>
      <c r="AZ26" s="212" t="b">
        <f>IF(Table12118[[#This Row],[Everest]]="Everest",Table12118[[#This Row],[Assetinsure Amount ]]*0.2)</f>
        <v>0</v>
      </c>
      <c r="BA26" s="212"/>
      <c r="BB26" s="212" t="e">
        <f>MIN(Table12118[[#This Row],[Assetinsure Amount ]]-Table12118[[#This Row],[Reinsurance Everest Re]],Table12118[[#This Row],[Total Amount]])</f>
        <v>#REF!</v>
      </c>
      <c r="BC26" s="212">
        <f t="shared" si="2"/>
        <v>0</v>
      </c>
      <c r="BG26" s="18">
        <v>0</v>
      </c>
      <c r="BH26" s="212">
        <v>0</v>
      </c>
      <c r="BI26" s="212">
        <v>0</v>
      </c>
      <c r="BJ26" s="212">
        <v>0</v>
      </c>
      <c r="BK26" s="212">
        <v>0</v>
      </c>
      <c r="BL26" s="212">
        <v>0</v>
      </c>
      <c r="BM26" s="212">
        <v>0</v>
      </c>
      <c r="BN26" s="226">
        <v>0</v>
      </c>
      <c r="BO26" s="226"/>
      <c r="BQ26" s="58" t="s">
        <v>1117</v>
      </c>
      <c r="BR26" s="112"/>
      <c r="BS26" s="58"/>
      <c r="BT26" s="288"/>
      <c r="BU26" s="288"/>
    </row>
    <row r="27" spans="1:73" ht="39.950000000000003" customHeight="1" x14ac:dyDescent="0.2">
      <c r="A27" s="131" t="s">
        <v>215</v>
      </c>
      <c r="B27" s="337" t="s">
        <v>1335</v>
      </c>
      <c r="C27" s="337" t="s">
        <v>1142</v>
      </c>
      <c r="D27" s="66" t="s">
        <v>38</v>
      </c>
      <c r="E27" s="14" t="s">
        <v>541</v>
      </c>
      <c r="F27" s="77" t="s">
        <v>37</v>
      </c>
      <c r="G27" s="14" t="s">
        <v>102</v>
      </c>
      <c r="H27" s="14" t="s">
        <v>102</v>
      </c>
      <c r="I27" s="66" t="s">
        <v>122</v>
      </c>
      <c r="J27" s="14" t="s">
        <v>142</v>
      </c>
      <c r="K27" s="66" t="s">
        <v>218</v>
      </c>
      <c r="L27" s="14" t="s">
        <v>101</v>
      </c>
      <c r="M27" s="65" t="s">
        <v>191</v>
      </c>
      <c r="N27" s="13" t="s">
        <v>323</v>
      </c>
      <c r="O27" s="13" t="s">
        <v>43</v>
      </c>
      <c r="P27" s="65">
        <v>2</v>
      </c>
      <c r="Q27" s="65" t="s">
        <v>875</v>
      </c>
      <c r="R27" s="65" t="s">
        <v>534</v>
      </c>
      <c r="S27" s="64" t="s">
        <v>54</v>
      </c>
      <c r="T27" s="62" t="e">
        <f>195000/HKD</f>
        <v>#REF!</v>
      </c>
      <c r="U27" s="62">
        <v>158000</v>
      </c>
      <c r="V27" s="62" t="e">
        <f>T27</f>
        <v>#REF!</v>
      </c>
      <c r="W27" s="62" t="e">
        <f>2430000/#REF!</f>
        <v>#REF!</v>
      </c>
      <c r="X27" s="76" t="e">
        <f>4954015.1/HKD-1784223.29/HKD</f>
        <v>#REF!</v>
      </c>
      <c r="Y27" s="62" t="s">
        <v>16</v>
      </c>
      <c r="Z27" s="366">
        <v>0</v>
      </c>
      <c r="AA27" s="61" t="s">
        <v>551</v>
      </c>
      <c r="AB27" s="181">
        <v>1.6799999999999999E-2</v>
      </c>
      <c r="AC27" s="181"/>
      <c r="AD27" s="60">
        <v>43633</v>
      </c>
      <c r="AE27" s="60">
        <v>45412</v>
      </c>
      <c r="AF27" s="60">
        <v>45412</v>
      </c>
      <c r="AG27" s="58">
        <f t="shared" si="3"/>
        <v>1780</v>
      </c>
      <c r="AH27" s="59" t="e">
        <f t="shared" si="6"/>
        <v>#REF!</v>
      </c>
      <c r="AI27" s="58" t="e">
        <f>AF27-#REF!</f>
        <v>#REF!</v>
      </c>
      <c r="AJ27" s="57" t="e">
        <f t="shared" si="5"/>
        <v>#REF!</v>
      </c>
      <c r="AK27" s="56" t="s">
        <v>436</v>
      </c>
      <c r="AL27" s="152" t="s">
        <v>1</v>
      </c>
      <c r="AM27" s="152" t="s">
        <v>1</v>
      </c>
      <c r="AN27" s="153" t="s">
        <v>0</v>
      </c>
      <c r="AO27" s="11" t="e">
        <f t="shared" si="1"/>
        <v>#REF!</v>
      </c>
      <c r="AP27" s="11" t="s">
        <v>271</v>
      </c>
      <c r="AQ27" s="14" t="s">
        <v>374</v>
      </c>
      <c r="AR27" s="11">
        <v>8500</v>
      </c>
      <c r="AT27" s="197" t="str">
        <f>Table12118[[#This Row],[Risk Location ]]</f>
        <v>Hong Kong</v>
      </c>
      <c r="AU27" s="198" t="str">
        <f>Table12118[[#This Row],[Sector (GICS Industry Group)]]</f>
        <v>Real Estate Investment</v>
      </c>
      <c r="AV27" s="11">
        <v>1</v>
      </c>
      <c r="AW27" s="309">
        <v>0.02</v>
      </c>
      <c r="AX27" s="212" t="e">
        <f>Table12118[[#This Row],[Percentage Impact]]*Table12118[[#This Row],[Amortised Limit A$ Balance]]</f>
        <v>#REF!</v>
      </c>
      <c r="AY27" s="212" t="e">
        <f>Table12118[[#This Row],[Amortised Limit A$ Balance]]*12%</f>
        <v>#REF!</v>
      </c>
      <c r="AZ27" s="212" t="e">
        <f>IF(Table12118[[#This Row],[Everest]]="Everest",Table12118[[#This Row],[Assetinsure Amount ]]*0.2)</f>
        <v>#REF!</v>
      </c>
      <c r="BA27" s="212"/>
      <c r="BB27" s="212" t="e">
        <f>MIN(Table12118[[#This Row],[Assetinsure Amount ]]-Table12118[[#This Row],[Reinsurance Everest Re]],Table12118[[#This Row],[Total Amount]])</f>
        <v>#REF!</v>
      </c>
      <c r="BC27" s="212">
        <f t="shared" si="2"/>
        <v>931.30229071325982</v>
      </c>
      <c r="BD27" s="112" t="s">
        <v>1338</v>
      </c>
      <c r="BG27" s="18">
        <v>746.1747066672433</v>
      </c>
      <c r="BH27" s="212">
        <v>931.30229071325982</v>
      </c>
      <c r="BI27" s="212">
        <v>907.068767367227</v>
      </c>
      <c r="BJ27" s="212">
        <v>977.5220067774859</v>
      </c>
      <c r="BK27" s="212">
        <v>0</v>
      </c>
      <c r="BL27" s="212">
        <v>0</v>
      </c>
      <c r="BM27" s="212">
        <v>0</v>
      </c>
      <c r="BN27" s="226">
        <v>0</v>
      </c>
      <c r="BO27" s="226"/>
      <c r="BQ27" s="58" t="s">
        <v>963</v>
      </c>
      <c r="BR27" s="112"/>
      <c r="BS27" s="58"/>
      <c r="BT27" s="288"/>
      <c r="BU27" s="288"/>
    </row>
    <row r="28" spans="1:73" ht="39.950000000000003" customHeight="1" x14ac:dyDescent="0.2">
      <c r="A28" s="131" t="s">
        <v>223</v>
      </c>
      <c r="B28" s="337" t="s">
        <v>1333</v>
      </c>
      <c r="C28" s="337" t="s">
        <v>1143</v>
      </c>
      <c r="D28" s="66" t="s">
        <v>38</v>
      </c>
      <c r="E28" s="14" t="s">
        <v>540</v>
      </c>
      <c r="F28" s="77" t="s">
        <v>229</v>
      </c>
      <c r="G28" s="14" t="s">
        <v>92</v>
      </c>
      <c r="H28" s="66" t="s">
        <v>100</v>
      </c>
      <c r="I28" s="14" t="s">
        <v>100</v>
      </c>
      <c r="J28" s="14" t="s">
        <v>230</v>
      </c>
      <c r="K28" s="66" t="s">
        <v>231</v>
      </c>
      <c r="L28" s="14" t="s">
        <v>44</v>
      </c>
      <c r="M28" s="65" t="s">
        <v>191</v>
      </c>
      <c r="N28" s="13" t="s">
        <v>323</v>
      </c>
      <c r="O28" s="13" t="s">
        <v>43</v>
      </c>
      <c r="P28" s="65">
        <v>2</v>
      </c>
      <c r="Q28" s="65" t="s">
        <v>875</v>
      </c>
      <c r="R28" s="65" t="s">
        <v>534</v>
      </c>
      <c r="S28" s="64" t="s">
        <v>9</v>
      </c>
      <c r="T28" s="62" t="e">
        <f>11000/USD</f>
        <v>#REF!</v>
      </c>
      <c r="U28" s="62">
        <v>7755.84</v>
      </c>
      <c r="V28" s="62" t="e">
        <f>Table12118[[#This Row],[Amortised Limit in Original Currency]]/USD</f>
        <v>#REF!</v>
      </c>
      <c r="W28" s="62" t="e">
        <f>35608/USD</f>
        <v>#REF!</v>
      </c>
      <c r="X28" s="76" t="e">
        <f>545335/USD</f>
        <v>#REF!</v>
      </c>
      <c r="Y28" s="62"/>
      <c r="Z28" s="366"/>
      <c r="AA28" s="61" t="s">
        <v>551</v>
      </c>
      <c r="AB28" s="181">
        <v>1.7500000000000002E-2</v>
      </c>
      <c r="AC28" s="181"/>
      <c r="AD28" s="60">
        <v>43670</v>
      </c>
      <c r="AE28" s="60">
        <v>47992</v>
      </c>
      <c r="AF28" s="60">
        <v>47992</v>
      </c>
      <c r="AG28" s="58">
        <f t="shared" si="3"/>
        <v>4323</v>
      </c>
      <c r="AH28" s="59" t="e">
        <f t="shared" si="6"/>
        <v>#REF!</v>
      </c>
      <c r="AI28" s="58" t="e">
        <f>AF28-#REF!</f>
        <v>#REF!</v>
      </c>
      <c r="AJ28" s="57" t="e">
        <f t="shared" si="5"/>
        <v>#REF!</v>
      </c>
      <c r="AK28" s="56"/>
      <c r="AL28" s="71" t="s">
        <v>1</v>
      </c>
      <c r="AM28" s="71" t="s">
        <v>1</v>
      </c>
      <c r="AN28" s="187" t="s">
        <v>882</v>
      </c>
      <c r="AO28" s="11" t="e">
        <f t="shared" si="1"/>
        <v>#REF!</v>
      </c>
      <c r="AP28" s="11" t="s">
        <v>271</v>
      </c>
      <c r="AQ28" s="14" t="s">
        <v>1325</v>
      </c>
      <c r="AR28" s="11">
        <v>19997.5</v>
      </c>
      <c r="AT28" s="197" t="str">
        <f>Table12118[[#This Row],[Risk Location ]]</f>
        <v>Vietnam</v>
      </c>
      <c r="AU28" s="198" t="str">
        <f>Table12118[[#This Row],[Sector (GICS Industry Group)]]</f>
        <v>Transportation</v>
      </c>
      <c r="AV28" s="11">
        <v>1</v>
      </c>
      <c r="AW28" s="310">
        <v>2.75E-2</v>
      </c>
      <c r="AX28" s="212" t="e">
        <f>Table12118[[#This Row],[Percentage Impact]]*Table12118[[#This Row],[Amortised Limit A$ Balance]]</f>
        <v>#REF!</v>
      </c>
      <c r="AY28" s="212" t="e">
        <f>Table12118[[#This Row],[Amortised Limit A$ Balance]]*12%</f>
        <v>#REF!</v>
      </c>
      <c r="AZ28" s="212" t="b">
        <f>IF(Table12118[[#This Row],[Everest]]="Everest",Table12118[[#This Row],[Assetinsure Amount ]]*0.2)</f>
        <v>0</v>
      </c>
      <c r="BA28" s="212"/>
      <c r="BB28" s="212" t="e">
        <f>MIN(Table12118[[#This Row],[Assetinsure Amount ]]-Table12118[[#This Row],[Reinsurance Everest Re]],Table12118[[#This Row],[Total Amount]])</f>
        <v>#REF!</v>
      </c>
      <c r="BC28" s="212">
        <f t="shared" si="2"/>
        <v>643.8125763336393</v>
      </c>
      <c r="BD28" s="11" t="s">
        <v>1216</v>
      </c>
      <c r="BG28" s="18">
        <v>319.48157626225537</v>
      </c>
      <c r="BH28" s="212">
        <v>643.8125763336393</v>
      </c>
      <c r="BI28" s="212">
        <v>935.40022843910515</v>
      </c>
      <c r="BJ28" s="212">
        <v>1013.2399902420599</v>
      </c>
      <c r="BK28" s="212">
        <v>1035.6367403721588</v>
      </c>
      <c r="BL28" s="212">
        <v>630.58535240809965</v>
      </c>
      <c r="BM28" s="212">
        <v>653.40088050489715</v>
      </c>
      <c r="BN28" s="226">
        <v>653.40088050489715</v>
      </c>
      <c r="BO28" s="226">
        <v>0</v>
      </c>
      <c r="BQ28" s="58" t="s">
        <v>964</v>
      </c>
      <c r="BR28" s="112"/>
      <c r="BS28" s="58"/>
      <c r="BT28" s="288"/>
      <c r="BU28" s="288"/>
    </row>
    <row r="29" spans="1:73" ht="39.950000000000003" customHeight="1" x14ac:dyDescent="0.2">
      <c r="A29" s="131" t="s">
        <v>226</v>
      </c>
      <c r="B29" s="337" t="s">
        <v>23</v>
      </c>
      <c r="C29" s="337" t="s">
        <v>1144</v>
      </c>
      <c r="D29" s="66" t="s">
        <v>87</v>
      </c>
      <c r="E29" s="14" t="s">
        <v>496</v>
      </c>
      <c r="F29" s="77" t="s">
        <v>872</v>
      </c>
      <c r="G29" s="14" t="s">
        <v>475</v>
      </c>
      <c r="H29" s="66" t="s">
        <v>227</v>
      </c>
      <c r="I29" s="14" t="s">
        <v>228</v>
      </c>
      <c r="J29" s="14" t="s">
        <v>181</v>
      </c>
      <c r="K29" s="14" t="s">
        <v>33</v>
      </c>
      <c r="L29" s="14" t="s">
        <v>209</v>
      </c>
      <c r="M29" s="65" t="s">
        <v>191</v>
      </c>
      <c r="N29" s="13" t="s">
        <v>59</v>
      </c>
      <c r="O29" s="13" t="s">
        <v>43</v>
      </c>
      <c r="P29" s="65">
        <v>3</v>
      </c>
      <c r="Q29" s="13" t="s">
        <v>538</v>
      </c>
      <c r="R29" s="65" t="s">
        <v>534</v>
      </c>
      <c r="S29" s="64" t="s">
        <v>9</v>
      </c>
      <c r="T29" s="62" t="e">
        <f>22500/USD</f>
        <v>#REF!</v>
      </c>
      <c r="U29" s="62">
        <v>22500</v>
      </c>
      <c r="V29" s="62" t="e">
        <f t="shared" ref="V29:V34" si="7">T29</f>
        <v>#REF!</v>
      </c>
      <c r="W29" s="62" t="e">
        <f>150000/USD</f>
        <v>#REF!</v>
      </c>
      <c r="X29" s="76" t="e">
        <f>659096/USD</f>
        <v>#REF!</v>
      </c>
      <c r="Y29" s="62"/>
      <c r="Z29" s="366"/>
      <c r="AA29" s="61" t="s">
        <v>11</v>
      </c>
      <c r="AB29" s="181">
        <v>1.8499999999999999E-2</v>
      </c>
      <c r="AC29" s="181"/>
      <c r="AD29" s="60">
        <v>43672</v>
      </c>
      <c r="AE29" s="60">
        <v>45197</v>
      </c>
      <c r="AF29" s="60">
        <v>45197</v>
      </c>
      <c r="AG29" s="58">
        <f t="shared" si="3"/>
        <v>1526</v>
      </c>
      <c r="AH29" s="59" t="e">
        <f t="shared" si="6"/>
        <v>#REF!</v>
      </c>
      <c r="AI29" s="58" t="e">
        <f>AF29-#REF!</f>
        <v>#REF!</v>
      </c>
      <c r="AJ29" s="57" t="e">
        <f t="shared" si="5"/>
        <v>#REF!</v>
      </c>
      <c r="AK29" s="56" t="s">
        <v>436</v>
      </c>
      <c r="AL29" s="71" t="s">
        <v>1</v>
      </c>
      <c r="AM29" s="71" t="s">
        <v>1</v>
      </c>
      <c r="AN29" s="70" t="s">
        <v>0</v>
      </c>
      <c r="AO29" s="11" t="e">
        <f t="shared" si="1"/>
        <v>#REF!</v>
      </c>
      <c r="AP29" s="11" t="s">
        <v>271</v>
      </c>
      <c r="AQ29" s="14" t="s">
        <v>350</v>
      </c>
      <c r="AR29" s="11">
        <v>9195</v>
      </c>
      <c r="AT29" s="197" t="str">
        <f>Table12118[[#This Row],[Risk Location ]]</f>
        <v>United Arab Emirates</v>
      </c>
      <c r="AU29" s="198" t="str">
        <f>Table12118[[#This Row],[Sector (GICS Industry Group)]]</f>
        <v>Health Care</v>
      </c>
      <c r="AX29" s="212" t="e">
        <f>Table12118[[#This Row],[Percentage Impact]]*Table12118[[#This Row],[Amortised Limit A$ Balance]]</f>
        <v>#REF!</v>
      </c>
      <c r="AY29" s="212" t="e">
        <f>Table12118[[#This Row],[Amortised Limit A$ Balance]]*12%</f>
        <v>#REF!</v>
      </c>
      <c r="AZ29" s="212" t="e">
        <f>IF(Table12118[[#This Row],[Everest]]="Everest",Table12118[[#This Row],[Assetinsure Amount ]]*0.2)</f>
        <v>#REF!</v>
      </c>
      <c r="BA29" s="212"/>
      <c r="BB29" s="212" t="e">
        <f>MIN(Table12118[[#This Row],[Assetinsure Amount ]]-Table12118[[#This Row],[Reinsurance Everest Re]],Table12118[[#This Row],[Total Amount]])</f>
        <v>#REF!</v>
      </c>
      <c r="BC29" s="212">
        <f t="shared" si="2"/>
        <v>0</v>
      </c>
      <c r="BG29" s="18">
        <v>0</v>
      </c>
      <c r="BH29" s="212">
        <v>0</v>
      </c>
      <c r="BI29" s="212">
        <v>0</v>
      </c>
      <c r="BJ29" s="212">
        <v>0</v>
      </c>
      <c r="BK29" s="212">
        <v>0</v>
      </c>
      <c r="BL29" s="212">
        <v>0</v>
      </c>
      <c r="BM29" s="212">
        <v>0</v>
      </c>
      <c r="BN29" s="226">
        <v>0</v>
      </c>
      <c r="BO29" s="226"/>
      <c r="BQ29" s="58" t="s">
        <v>965</v>
      </c>
      <c r="BR29" s="112"/>
      <c r="BS29" s="58"/>
      <c r="BT29" s="288"/>
      <c r="BU29" s="288"/>
    </row>
    <row r="30" spans="1:73" ht="39.950000000000003" customHeight="1" x14ac:dyDescent="0.2">
      <c r="A30" s="131" t="s">
        <v>247</v>
      </c>
      <c r="B30" s="337" t="s">
        <v>1335</v>
      </c>
      <c r="C30" s="337" t="s">
        <v>1142</v>
      </c>
      <c r="D30" s="66" t="s">
        <v>87</v>
      </c>
      <c r="E30" s="14" t="s">
        <v>542</v>
      </c>
      <c r="F30" s="77" t="s">
        <v>87</v>
      </c>
      <c r="G30" s="14" t="s">
        <v>48</v>
      </c>
      <c r="H30" s="66" t="s">
        <v>95</v>
      </c>
      <c r="I30" s="66" t="s">
        <v>447</v>
      </c>
      <c r="J30" s="14" t="s">
        <v>246</v>
      </c>
      <c r="K30" s="14" t="s">
        <v>219</v>
      </c>
      <c r="L30" s="14" t="s">
        <v>140</v>
      </c>
      <c r="M30" s="65" t="s">
        <v>191</v>
      </c>
      <c r="N30" s="13" t="s">
        <v>59</v>
      </c>
      <c r="O30" s="13" t="s">
        <v>43</v>
      </c>
      <c r="P30" s="65">
        <v>3</v>
      </c>
      <c r="Q30" s="13" t="s">
        <v>538</v>
      </c>
      <c r="R30" s="65" t="s">
        <v>534</v>
      </c>
      <c r="S30" s="64" t="s">
        <v>9</v>
      </c>
      <c r="T30" s="62" t="e">
        <f>20000/USD</f>
        <v>#REF!</v>
      </c>
      <c r="U30" s="62">
        <v>20000</v>
      </c>
      <c r="V30" s="62" t="e">
        <f t="shared" si="7"/>
        <v>#REF!</v>
      </c>
      <c r="W30" s="62" t="e">
        <f>100000/USD</f>
        <v>#REF!</v>
      </c>
      <c r="X30" s="76" t="e">
        <f>1362409.1/USD</f>
        <v>#REF!</v>
      </c>
      <c r="Y30" s="62"/>
      <c r="Z30" s="366"/>
      <c r="AA30" s="61" t="s">
        <v>11</v>
      </c>
      <c r="AB30" s="181">
        <v>8.6999999999999994E-3</v>
      </c>
      <c r="AC30" s="181"/>
      <c r="AD30" s="60">
        <v>43732</v>
      </c>
      <c r="AE30" s="60">
        <v>46598</v>
      </c>
      <c r="AF30" s="60">
        <f>AE30</f>
        <v>46598</v>
      </c>
      <c r="AG30" s="58">
        <f t="shared" si="3"/>
        <v>2867</v>
      </c>
      <c r="AH30" s="59" t="s">
        <v>10</v>
      </c>
      <c r="AI30" s="58" t="e">
        <f>AF30-#REF!</f>
        <v>#REF!</v>
      </c>
      <c r="AJ30" s="57" t="e">
        <f t="shared" si="5"/>
        <v>#REF!</v>
      </c>
      <c r="AK30" s="56" t="s">
        <v>436</v>
      </c>
      <c r="AL30" s="152" t="s">
        <v>1</v>
      </c>
      <c r="AM30" s="152" t="s">
        <v>1</v>
      </c>
      <c r="AN30" s="153" t="s">
        <v>0</v>
      </c>
      <c r="AO30" s="11" t="e">
        <f t="shared" si="1"/>
        <v>#REF!</v>
      </c>
      <c r="AP30" s="11" t="s">
        <v>271</v>
      </c>
      <c r="AQ30" s="14" t="s">
        <v>381</v>
      </c>
      <c r="AR30" s="11">
        <v>13000</v>
      </c>
      <c r="AT30" s="197" t="str">
        <f>Table12118[[#This Row],[Risk Location ]]</f>
        <v>United Kingdom</v>
      </c>
      <c r="AU30" s="198" t="str">
        <f>Table12118[[#This Row],[Sector (GICS Industry Group)]]</f>
        <v>Energy</v>
      </c>
      <c r="AX30" s="212" t="e">
        <f>Table12118[[#This Row],[Percentage Impact]]*Table12118[[#This Row],[Amortised Limit A$ Balance]]</f>
        <v>#REF!</v>
      </c>
      <c r="AY30" s="212" t="e">
        <f>Table12118[[#This Row],[Amortised Limit A$ Balance]]*12%</f>
        <v>#REF!</v>
      </c>
      <c r="AZ30" s="212" t="e">
        <f>IF(Table12118[[#This Row],[Everest]]="Everest",Table12118[[#This Row],[Assetinsure Amount ]]*0.2)</f>
        <v>#REF!</v>
      </c>
      <c r="BA30" s="212"/>
      <c r="BB30" s="212" t="e">
        <f>MIN(Table12118[[#This Row],[Assetinsure Amount ]]-Table12118[[#This Row],[Reinsurance Everest Re]],Table12118[[#This Row],[Total Amount]])</f>
        <v>#REF!</v>
      </c>
      <c r="BC30" s="212">
        <f t="shared" si="2"/>
        <v>0</v>
      </c>
      <c r="BG30" s="18">
        <v>0</v>
      </c>
      <c r="BH30" s="212">
        <v>0</v>
      </c>
      <c r="BI30" s="212">
        <v>0</v>
      </c>
      <c r="BJ30" s="212">
        <v>0</v>
      </c>
      <c r="BK30" s="212">
        <v>0</v>
      </c>
      <c r="BL30" s="212">
        <v>0</v>
      </c>
      <c r="BM30" s="212">
        <v>0</v>
      </c>
      <c r="BN30" s="226">
        <v>0</v>
      </c>
      <c r="BO30" s="226"/>
      <c r="BQ30" s="58" t="s">
        <v>966</v>
      </c>
      <c r="BR30" s="112"/>
      <c r="BS30" s="58"/>
      <c r="BT30" s="288"/>
      <c r="BU30" s="288"/>
    </row>
    <row r="31" spans="1:73" ht="39.950000000000003" customHeight="1" x14ac:dyDescent="0.2">
      <c r="A31" s="131" t="s">
        <v>240</v>
      </c>
      <c r="B31" s="337" t="s">
        <v>51</v>
      </c>
      <c r="C31" s="337" t="s">
        <v>1143</v>
      </c>
      <c r="D31" s="66" t="s">
        <v>38</v>
      </c>
      <c r="E31" s="14" t="s">
        <v>541</v>
      </c>
      <c r="F31" s="77" t="s">
        <v>38</v>
      </c>
      <c r="G31" s="14" t="s">
        <v>102</v>
      </c>
      <c r="H31" s="14" t="s">
        <v>102</v>
      </c>
      <c r="I31" s="14" t="s">
        <v>474</v>
      </c>
      <c r="J31" s="14" t="s">
        <v>237</v>
      </c>
      <c r="K31" s="14" t="s">
        <v>219</v>
      </c>
      <c r="L31" s="14" t="s">
        <v>101</v>
      </c>
      <c r="M31" s="65" t="s">
        <v>191</v>
      </c>
      <c r="N31" s="13" t="s">
        <v>323</v>
      </c>
      <c r="O31" s="13" t="s">
        <v>43</v>
      </c>
      <c r="P31" s="65">
        <v>2</v>
      </c>
      <c r="Q31" s="13" t="s">
        <v>538</v>
      </c>
      <c r="R31" s="65" t="s">
        <v>534</v>
      </c>
      <c r="S31" s="64" t="s">
        <v>238</v>
      </c>
      <c r="T31" s="62" t="e">
        <f>28000/SGD</f>
        <v>#REF!</v>
      </c>
      <c r="U31" s="62">
        <v>28000</v>
      </c>
      <c r="V31" s="62" t="e">
        <f t="shared" si="7"/>
        <v>#REF!</v>
      </c>
      <c r="W31" s="62" t="e">
        <f>100000/SGD</f>
        <v>#REF!</v>
      </c>
      <c r="X31" s="76" t="e">
        <f>1263349.95/SGD</f>
        <v>#REF!</v>
      </c>
      <c r="Y31" s="62"/>
      <c r="Z31" s="366"/>
      <c r="AA31" s="61" t="s">
        <v>11</v>
      </c>
      <c r="AB31" s="181">
        <v>2.0400000000000001E-2</v>
      </c>
      <c r="AC31" s="181"/>
      <c r="AD31" s="60">
        <v>43738</v>
      </c>
      <c r="AE31" s="60">
        <v>45148</v>
      </c>
      <c r="AF31" s="60">
        <v>45148</v>
      </c>
      <c r="AG31" s="58">
        <f t="shared" si="3"/>
        <v>1411</v>
      </c>
      <c r="AH31" s="59" t="e">
        <f>IF(AF31-$A$1&gt;60,"No","Yes")</f>
        <v>#REF!</v>
      </c>
      <c r="AI31" s="58" t="e">
        <f>AF31-#REF!</f>
        <v>#REF!</v>
      </c>
      <c r="AJ31" s="57" t="e">
        <f t="shared" si="5"/>
        <v>#REF!</v>
      </c>
      <c r="AK31" s="56" t="s">
        <v>436</v>
      </c>
      <c r="AL31" s="152" t="s">
        <v>1</v>
      </c>
      <c r="AM31" s="152" t="s">
        <v>1</v>
      </c>
      <c r="AN31" s="153" t="s">
        <v>0</v>
      </c>
      <c r="AO31" s="11" t="e">
        <f t="shared" si="1"/>
        <v>#REF!</v>
      </c>
      <c r="AP31" s="11" t="s">
        <v>271</v>
      </c>
      <c r="AQ31" s="14" t="s">
        <v>379</v>
      </c>
      <c r="AR31" s="11">
        <f>8092.5 +2280</f>
        <v>10372.5</v>
      </c>
      <c r="AT31" s="197" t="str">
        <f>Table12118[[#This Row],[Risk Location ]]</f>
        <v>Singapore</v>
      </c>
      <c r="AU31" s="198" t="str">
        <f>Table12118[[#This Row],[Sector (GICS Industry Group)]]</f>
        <v>Real Estate Investment</v>
      </c>
      <c r="AX31" s="212" t="e">
        <f>Table12118[[#This Row],[Percentage Impact]]*Table12118[[#This Row],[Amortised Limit A$ Balance]]</f>
        <v>#REF!</v>
      </c>
      <c r="AY31" s="212" t="e">
        <f>Table12118[[#This Row],[Amortised Limit A$ Balance]]*12%</f>
        <v>#REF!</v>
      </c>
      <c r="AZ31" s="212" t="e">
        <f>IF(Table12118[[#This Row],[Everest]]="Everest",Table12118[[#This Row],[Assetinsure Amount ]]*0.2)</f>
        <v>#REF!</v>
      </c>
      <c r="BA31" s="212"/>
      <c r="BB31" s="212" t="e">
        <f>MIN(Table12118[[#This Row],[Assetinsure Amount ]]-Table12118[[#This Row],[Reinsurance Everest Re]],Table12118[[#This Row],[Total Amount]])</f>
        <v>#REF!</v>
      </c>
      <c r="BC31" s="212">
        <f t="shared" si="2"/>
        <v>0</v>
      </c>
      <c r="BG31" s="18">
        <v>0</v>
      </c>
      <c r="BH31" s="212">
        <v>0</v>
      </c>
      <c r="BI31" s="212">
        <v>0</v>
      </c>
      <c r="BJ31" s="212">
        <v>0</v>
      </c>
      <c r="BK31" s="212">
        <v>0</v>
      </c>
      <c r="BL31" s="212">
        <v>0</v>
      </c>
      <c r="BM31" s="212">
        <v>0</v>
      </c>
      <c r="BN31" s="226">
        <v>0</v>
      </c>
      <c r="BO31" s="226"/>
      <c r="BQ31" s="58" t="s">
        <v>967</v>
      </c>
      <c r="BR31" s="112"/>
      <c r="BS31" s="58"/>
      <c r="BT31" s="288"/>
      <c r="BU31" s="288"/>
    </row>
    <row r="32" spans="1:73" ht="39.950000000000003" customHeight="1" x14ac:dyDescent="0.2">
      <c r="A32" s="131" t="s">
        <v>244</v>
      </c>
      <c r="B32" s="337" t="s">
        <v>23</v>
      </c>
      <c r="C32" s="337" t="s">
        <v>1143</v>
      </c>
      <c r="D32" s="66" t="s">
        <v>38</v>
      </c>
      <c r="E32" s="14" t="s">
        <v>541</v>
      </c>
      <c r="F32" s="77" t="s">
        <v>38</v>
      </c>
      <c r="G32" s="66" t="s">
        <v>106</v>
      </c>
      <c r="H32" s="66" t="s">
        <v>106</v>
      </c>
      <c r="I32" s="14" t="s">
        <v>245</v>
      </c>
      <c r="J32" s="14" t="s">
        <v>50</v>
      </c>
      <c r="K32" s="14" t="s">
        <v>21</v>
      </c>
      <c r="L32" s="14" t="s">
        <v>101</v>
      </c>
      <c r="M32" s="65" t="s">
        <v>191</v>
      </c>
      <c r="N32" s="13" t="s">
        <v>323</v>
      </c>
      <c r="O32" s="13" t="s">
        <v>43</v>
      </c>
      <c r="P32" s="65">
        <v>2</v>
      </c>
      <c r="Q32" s="13" t="s">
        <v>533</v>
      </c>
      <c r="R32" s="65" t="s">
        <v>534</v>
      </c>
      <c r="S32" s="64" t="s">
        <v>8</v>
      </c>
      <c r="T32" s="62">
        <v>25000</v>
      </c>
      <c r="U32" s="62">
        <v>25000</v>
      </c>
      <c r="V32" s="62">
        <f t="shared" si="7"/>
        <v>25000</v>
      </c>
      <c r="W32" s="62">
        <v>75000</v>
      </c>
      <c r="X32" s="76">
        <v>711986.31</v>
      </c>
      <c r="Y32" s="62" t="s">
        <v>16</v>
      </c>
      <c r="Z32" s="366">
        <v>0</v>
      </c>
      <c r="AA32" s="61" t="s">
        <v>11</v>
      </c>
      <c r="AB32" s="181">
        <v>1.35E-2</v>
      </c>
      <c r="AC32" s="181"/>
      <c r="AD32" s="60">
        <v>43756</v>
      </c>
      <c r="AE32" s="60">
        <v>45520</v>
      </c>
      <c r="AF32" s="60">
        <v>45520</v>
      </c>
      <c r="AG32" s="58">
        <f t="shared" si="3"/>
        <v>1765</v>
      </c>
      <c r="AH32" s="59" t="e">
        <f>IF(AF32-$A$1&gt;60,"No","Yes")</f>
        <v>#REF!</v>
      </c>
      <c r="AI32" s="58" t="e">
        <f>AF32-#REF!</f>
        <v>#REF!</v>
      </c>
      <c r="AJ32" s="57" t="e">
        <f t="shared" si="5"/>
        <v>#REF!</v>
      </c>
      <c r="AK32" s="56" t="s">
        <v>436</v>
      </c>
      <c r="AL32" s="71" t="s">
        <v>1</v>
      </c>
      <c r="AM32" s="71" t="s">
        <v>1</v>
      </c>
      <c r="AN32" s="70" t="s">
        <v>0</v>
      </c>
      <c r="AO32" s="11" t="e">
        <f t="shared" si="1"/>
        <v>#REF!</v>
      </c>
      <c r="AP32" s="11" t="s">
        <v>271</v>
      </c>
      <c r="AQ32" s="14" t="s">
        <v>371</v>
      </c>
      <c r="AR32" s="11">
        <v>6000</v>
      </c>
      <c r="AT32" s="197" t="str">
        <f>Table12118[[#This Row],[Risk Location ]]</f>
        <v>Singapore</v>
      </c>
      <c r="AU32" s="198" t="str">
        <f>Table12118[[#This Row],[Sector (GICS Industry Group)]]</f>
        <v>Real Estate Management &amp; Development</v>
      </c>
      <c r="AX32" s="212">
        <f>Table12118[[#This Row],[Percentage Impact]]*Table12118[[#This Row],[Amortised Limit A$ Balance]]</f>
        <v>0</v>
      </c>
      <c r="AY32" s="212">
        <f>Table12118[[#This Row],[Amortised Limit A$ Balance]]*12%</f>
        <v>3000</v>
      </c>
      <c r="AZ32" s="212">
        <f>IF(Table12118[[#This Row],[Everest]]="Everest",Table12118[[#This Row],[Assetinsure Amount ]]*0.2)</f>
        <v>600</v>
      </c>
      <c r="BA32" s="212"/>
      <c r="BB32" s="212">
        <f>MIN(Table12118[[#This Row],[Assetinsure Amount ]]-Table12118[[#This Row],[Reinsurance Everest Re]],Table12118[[#This Row],[Total Amount]])</f>
        <v>0</v>
      </c>
      <c r="BC32" s="212">
        <f t="shared" si="2"/>
        <v>0</v>
      </c>
      <c r="BG32" s="18">
        <v>0</v>
      </c>
      <c r="BH32" s="212">
        <v>0</v>
      </c>
      <c r="BI32" s="212">
        <v>0</v>
      </c>
      <c r="BJ32" s="212">
        <v>0</v>
      </c>
      <c r="BK32" s="212">
        <v>0</v>
      </c>
      <c r="BL32" s="212">
        <v>0</v>
      </c>
      <c r="BM32" s="212">
        <v>0</v>
      </c>
      <c r="BN32" s="226">
        <v>0</v>
      </c>
      <c r="BO32" s="226"/>
      <c r="BQ32" s="58" t="s">
        <v>968</v>
      </c>
      <c r="BR32" s="112"/>
      <c r="BS32" s="58" t="s">
        <v>122</v>
      </c>
      <c r="BT32" s="288"/>
      <c r="BU32" s="288"/>
    </row>
    <row r="33" spans="1:73" ht="39.950000000000003" customHeight="1" x14ac:dyDescent="0.2">
      <c r="A33" s="131" t="s">
        <v>248</v>
      </c>
      <c r="B33" s="337" t="s">
        <v>1248</v>
      </c>
      <c r="C33" s="337" t="s">
        <v>243</v>
      </c>
      <c r="D33" s="66" t="s">
        <v>127</v>
      </c>
      <c r="E33" s="14" t="s">
        <v>542</v>
      </c>
      <c r="F33" s="77" t="s">
        <v>127</v>
      </c>
      <c r="G33" s="14" t="s">
        <v>891</v>
      </c>
      <c r="H33" s="66" t="s">
        <v>249</v>
      </c>
      <c r="I33" s="14" t="s">
        <v>767</v>
      </c>
      <c r="J33" s="14" t="s">
        <v>158</v>
      </c>
      <c r="K33" s="14" t="s">
        <v>220</v>
      </c>
      <c r="L33" s="14" t="s">
        <v>29</v>
      </c>
      <c r="M33" s="65" t="s">
        <v>191</v>
      </c>
      <c r="N33" s="13" t="s">
        <v>59</v>
      </c>
      <c r="O33" s="13" t="s">
        <v>43</v>
      </c>
      <c r="P33" s="65">
        <v>2</v>
      </c>
      <c r="Q33" s="13" t="s">
        <v>538</v>
      </c>
      <c r="R33" s="65" t="s">
        <v>534</v>
      </c>
      <c r="S33" s="64" t="s">
        <v>59</v>
      </c>
      <c r="T33" s="62" t="e">
        <f>10000/EUR</f>
        <v>#REF!</v>
      </c>
      <c r="U33" s="62">
        <v>10000</v>
      </c>
      <c r="V33" s="62" t="e">
        <f t="shared" si="7"/>
        <v>#REF!</v>
      </c>
      <c r="W33" s="62" t="e">
        <f>131564.36/EUR</f>
        <v>#REF!</v>
      </c>
      <c r="X33" s="76" t="e">
        <f>522857.63/EUR</f>
        <v>#REF!</v>
      </c>
      <c r="Y33" s="62" t="s">
        <v>16</v>
      </c>
      <c r="Z33" s="366">
        <v>0</v>
      </c>
      <c r="AA33" s="61" t="s">
        <v>11</v>
      </c>
      <c r="AB33" s="181">
        <v>1.7500000000000002E-2</v>
      </c>
      <c r="AC33" s="181"/>
      <c r="AD33" s="60">
        <v>43784</v>
      </c>
      <c r="AE33" s="60">
        <v>45627</v>
      </c>
      <c r="AF33" s="60">
        <v>45627</v>
      </c>
      <c r="AG33" s="58">
        <f t="shared" si="3"/>
        <v>1844</v>
      </c>
      <c r="AH33" s="59" t="s">
        <v>10</v>
      </c>
      <c r="AI33" s="58" t="e">
        <f>AF33-#REF!</f>
        <v>#REF!</v>
      </c>
      <c r="AJ33" s="57" t="e">
        <f t="shared" si="5"/>
        <v>#REF!</v>
      </c>
      <c r="AK33" s="56"/>
      <c r="AL33" s="71" t="s">
        <v>1</v>
      </c>
      <c r="AM33" s="71" t="s">
        <v>1</v>
      </c>
      <c r="AN33" s="70" t="s">
        <v>0</v>
      </c>
      <c r="AO33" s="11" t="e">
        <f t="shared" si="1"/>
        <v>#REF!</v>
      </c>
      <c r="AP33" s="11" t="s">
        <v>271</v>
      </c>
      <c r="AQ33" s="14" t="s">
        <v>372</v>
      </c>
      <c r="AR33" s="11">
        <v>8100</v>
      </c>
      <c r="AT33" s="197" t="str">
        <f>Table12118[[#This Row],[Risk Location ]]</f>
        <v>Germany</v>
      </c>
      <c r="AU33" s="198" t="str">
        <f>Table12118[[#This Row],[Sector (GICS Industry Group)]]</f>
        <v>Information Technology - Hardware &amp; Equipment</v>
      </c>
      <c r="AX33" s="212" t="e">
        <f>Table12118[[#This Row],[Percentage Impact]]*Table12118[[#This Row],[Amortised Limit A$ Balance]]</f>
        <v>#REF!</v>
      </c>
      <c r="AY33" s="212" t="e">
        <f>Table12118[[#This Row],[Amortised Limit A$ Balance]]*12%</f>
        <v>#REF!</v>
      </c>
      <c r="AZ33" s="212" t="b">
        <f>IF(Table12118[[#This Row],[Everest]]="Everest",Table12118[[#This Row],[Assetinsure Amount ]]*0.2)</f>
        <v>0</v>
      </c>
      <c r="BA33" s="212"/>
      <c r="BB33" s="212" t="e">
        <f>MIN(Table12118[[#This Row],[Assetinsure Amount ]]-Table12118[[#This Row],[Reinsurance Everest Re]],Table12118[[#This Row],[Total Amount]])</f>
        <v>#REF!</v>
      </c>
      <c r="BC33" s="212">
        <f t="shared" si="2"/>
        <v>0</v>
      </c>
      <c r="BG33" s="18">
        <v>0</v>
      </c>
      <c r="BH33" s="212">
        <v>0</v>
      </c>
      <c r="BI33" s="212">
        <v>0</v>
      </c>
      <c r="BJ33" s="212">
        <v>0</v>
      </c>
      <c r="BK33" s="212">
        <v>0</v>
      </c>
      <c r="BL33" s="212">
        <v>0</v>
      </c>
      <c r="BM33" s="212">
        <v>0</v>
      </c>
      <c r="BN33" s="226">
        <v>0</v>
      </c>
      <c r="BO33" s="226"/>
      <c r="BQ33" s="58" t="s">
        <v>932</v>
      </c>
      <c r="BR33" s="112"/>
      <c r="BS33" s="58"/>
      <c r="BT33" s="288"/>
      <c r="BU33" s="288"/>
    </row>
    <row r="34" spans="1:73" ht="39.950000000000003" customHeight="1" x14ac:dyDescent="0.2">
      <c r="A34" s="131" t="s">
        <v>260</v>
      </c>
      <c r="B34" s="337" t="s">
        <v>51</v>
      </c>
      <c r="C34" s="337" t="s">
        <v>1141</v>
      </c>
      <c r="D34" s="66" t="s">
        <v>119</v>
      </c>
      <c r="E34" s="14" t="s">
        <v>542</v>
      </c>
      <c r="F34" s="77" t="s">
        <v>119</v>
      </c>
      <c r="G34" s="66" t="s">
        <v>106</v>
      </c>
      <c r="H34" s="66" t="s">
        <v>106</v>
      </c>
      <c r="I34" s="14" t="s">
        <v>263</v>
      </c>
      <c r="J34" s="14" t="s">
        <v>264</v>
      </c>
      <c r="K34" s="14" t="s">
        <v>221</v>
      </c>
      <c r="L34" s="14" t="s">
        <v>13</v>
      </c>
      <c r="M34" s="65" t="s">
        <v>191</v>
      </c>
      <c r="N34" s="13" t="s">
        <v>59</v>
      </c>
      <c r="O34" s="13" t="s">
        <v>43</v>
      </c>
      <c r="P34" s="65">
        <v>2</v>
      </c>
      <c r="Q34" s="13" t="s">
        <v>538</v>
      </c>
      <c r="R34" s="65" t="s">
        <v>534</v>
      </c>
      <c r="S34" s="64" t="s">
        <v>59</v>
      </c>
      <c r="T34" s="62" t="e">
        <f>15000/EUR</f>
        <v>#REF!</v>
      </c>
      <c r="U34" s="62">
        <v>15000</v>
      </c>
      <c r="V34" s="62" t="e">
        <f t="shared" si="7"/>
        <v>#REF!</v>
      </c>
      <c r="W34" s="62" t="e">
        <f>48600/EUR</f>
        <v>#REF!</v>
      </c>
      <c r="X34" s="76" t="e">
        <f>(581493.94)/EUR</f>
        <v>#REF!</v>
      </c>
      <c r="Y34" s="62"/>
      <c r="Z34" s="366"/>
      <c r="AA34" s="61" t="s">
        <v>11</v>
      </c>
      <c r="AB34" s="181">
        <v>2.1999999999999999E-2</v>
      </c>
      <c r="AC34" s="181"/>
      <c r="AD34" s="60">
        <v>43805</v>
      </c>
      <c r="AE34" s="60">
        <v>45306</v>
      </c>
      <c r="AF34" s="60">
        <v>45306</v>
      </c>
      <c r="AG34" s="58">
        <f t="shared" si="3"/>
        <v>1502</v>
      </c>
      <c r="AH34" s="59" t="e">
        <f t="shared" ref="AH34:AH55" si="8">IF(AF34-$A$1&gt;60,"No","Yes")</f>
        <v>#REF!</v>
      </c>
      <c r="AI34" s="58" t="e">
        <f>AF34-#REF!</f>
        <v>#REF!</v>
      </c>
      <c r="AJ34" s="57" t="e">
        <f t="shared" si="5"/>
        <v>#REF!</v>
      </c>
      <c r="AK34" s="56"/>
      <c r="AL34" s="71" t="s">
        <v>1</v>
      </c>
      <c r="AM34" s="71" t="s">
        <v>1</v>
      </c>
      <c r="AN34" s="70" t="s">
        <v>0</v>
      </c>
      <c r="AO34" s="11" t="e">
        <f t="shared" si="1"/>
        <v>#REF!</v>
      </c>
      <c r="AP34" s="11" t="s">
        <v>271</v>
      </c>
      <c r="AQ34" s="14" t="s">
        <v>380</v>
      </c>
      <c r="AR34" s="11">
        <v>7250</v>
      </c>
      <c r="AT34" s="197" t="str">
        <f>Table12118[[#This Row],[Risk Location ]]</f>
        <v>Italy</v>
      </c>
      <c r="AU34" s="198" t="str">
        <f>Table12118[[#This Row],[Sector (GICS Industry Group)]]</f>
        <v>Real Estate Management &amp; Development</v>
      </c>
      <c r="AX34" s="212" t="e">
        <f>Table12118[[#This Row],[Percentage Impact]]*Table12118[[#This Row],[Amortised Limit A$ Balance]]</f>
        <v>#REF!</v>
      </c>
      <c r="AY34" s="212" t="e">
        <f>Table12118[[#This Row],[Amortised Limit A$ Balance]]*12%</f>
        <v>#REF!</v>
      </c>
      <c r="AZ34" s="212" t="b">
        <f>IF(Table12118[[#This Row],[Everest]]="Everest",Table12118[[#This Row],[Assetinsure Amount ]]*0.2)</f>
        <v>0</v>
      </c>
      <c r="BA34" s="212"/>
      <c r="BB34" s="212" t="e">
        <f>MIN(Table12118[[#This Row],[Assetinsure Amount ]]-Table12118[[#This Row],[Reinsurance Everest Re]],Table12118[[#This Row],[Total Amount]])</f>
        <v>#REF!</v>
      </c>
      <c r="BC34" s="212">
        <f t="shared" si="2"/>
        <v>0</v>
      </c>
      <c r="BG34" s="18">
        <v>0</v>
      </c>
      <c r="BH34" s="212">
        <v>0</v>
      </c>
      <c r="BI34" s="212">
        <v>0</v>
      </c>
      <c r="BJ34" s="212">
        <v>0</v>
      </c>
      <c r="BK34" s="212">
        <v>0</v>
      </c>
      <c r="BL34" s="212">
        <v>0</v>
      </c>
      <c r="BM34" s="212">
        <v>0</v>
      </c>
      <c r="BN34" s="226">
        <v>0</v>
      </c>
      <c r="BO34" s="226"/>
      <c r="BQ34" s="58" t="s">
        <v>969</v>
      </c>
      <c r="BR34" s="112"/>
      <c r="BS34" s="58" t="s">
        <v>103</v>
      </c>
      <c r="BT34" s="288"/>
      <c r="BU34" s="288"/>
    </row>
    <row r="35" spans="1:73" ht="39.950000000000003" customHeight="1" x14ac:dyDescent="0.2">
      <c r="A35" s="131" t="s">
        <v>276</v>
      </c>
      <c r="B35" s="337" t="s">
        <v>51</v>
      </c>
      <c r="C35" s="337" t="s">
        <v>1143</v>
      </c>
      <c r="D35" s="66" t="s">
        <v>38</v>
      </c>
      <c r="E35" s="14" t="s">
        <v>540</v>
      </c>
      <c r="F35" s="77" t="s">
        <v>274</v>
      </c>
      <c r="G35" s="14" t="s">
        <v>48</v>
      </c>
      <c r="H35" s="66" t="s">
        <v>95</v>
      </c>
      <c r="I35" s="14" t="s">
        <v>275</v>
      </c>
      <c r="J35" s="14" t="s">
        <v>50</v>
      </c>
      <c r="K35" s="14" t="s">
        <v>21</v>
      </c>
      <c r="L35" s="14" t="s">
        <v>45</v>
      </c>
      <c r="M35" s="65" t="s">
        <v>191</v>
      </c>
      <c r="N35" s="13" t="s">
        <v>323</v>
      </c>
      <c r="O35" s="13" t="s">
        <v>43</v>
      </c>
      <c r="P35" s="65">
        <v>2</v>
      </c>
      <c r="Q35" s="13" t="s">
        <v>538</v>
      </c>
      <c r="R35" s="13" t="s">
        <v>548</v>
      </c>
      <c r="S35" s="64" t="s">
        <v>9</v>
      </c>
      <c r="T35" s="62" t="e">
        <f>20000/USD</f>
        <v>#REF!</v>
      </c>
      <c r="U35" s="62">
        <v>20000</v>
      </c>
      <c r="V35" s="62" t="e">
        <f>20000/USD</f>
        <v>#REF!</v>
      </c>
      <c r="W35" s="62">
        <v>175000</v>
      </c>
      <c r="X35" s="76" t="e">
        <f>500861/USD</f>
        <v>#REF!</v>
      </c>
      <c r="Y35" s="62" t="s">
        <v>16</v>
      </c>
      <c r="Z35" s="366">
        <v>0</v>
      </c>
      <c r="AA35" s="61" t="s">
        <v>11</v>
      </c>
      <c r="AB35" s="181">
        <v>1.77E-2</v>
      </c>
      <c r="AC35" s="181"/>
      <c r="AD35" s="60">
        <v>43850</v>
      </c>
      <c r="AE35" s="60">
        <v>45562</v>
      </c>
      <c r="AF35" s="60">
        <v>45562</v>
      </c>
      <c r="AG35" s="58">
        <f t="shared" si="3"/>
        <v>1713</v>
      </c>
      <c r="AH35" s="59" t="e">
        <f t="shared" si="8"/>
        <v>#REF!</v>
      </c>
      <c r="AI35" s="58" t="e">
        <f>AF35-#REF!</f>
        <v>#REF!</v>
      </c>
      <c r="AJ35" s="57" t="e">
        <f t="shared" si="5"/>
        <v>#REF!</v>
      </c>
      <c r="AK35" s="56" t="s">
        <v>436</v>
      </c>
      <c r="AL35" s="71" t="s">
        <v>1</v>
      </c>
      <c r="AM35" s="71" t="s">
        <v>1</v>
      </c>
      <c r="AN35" s="70" t="s">
        <v>0</v>
      </c>
      <c r="AO35" s="11" t="e">
        <f t="shared" si="1"/>
        <v>#REF!</v>
      </c>
      <c r="AP35" s="11" t="s">
        <v>271</v>
      </c>
      <c r="AQ35" s="14" t="s">
        <v>385</v>
      </c>
      <c r="AR35" s="11">
        <v>6697.5</v>
      </c>
      <c r="AS35" s="11">
        <v>7000</v>
      </c>
      <c r="AT35" s="197" t="str">
        <f>Table12118[[#This Row],[Risk Location ]]</f>
        <v>Philippines</v>
      </c>
      <c r="AU35" s="198" t="str">
        <f>Table12118[[#This Row],[Sector (GICS Industry Group)]]</f>
        <v>Energy</v>
      </c>
      <c r="AX35" s="212" t="e">
        <f>Table12118[[#This Row],[Percentage Impact]]*Table12118[[#This Row],[Amortised Limit A$ Balance]]</f>
        <v>#REF!</v>
      </c>
      <c r="AY35" s="212" t="e">
        <f>Table12118[[#This Row],[Amortised Limit A$ Balance]]*12%</f>
        <v>#REF!</v>
      </c>
      <c r="AZ35" s="212" t="e">
        <f>IF(Table12118[[#This Row],[Everest]]="Everest",Table12118[[#This Row],[Assetinsure Amount ]]*0.2)</f>
        <v>#REF!</v>
      </c>
      <c r="BA35" s="212"/>
      <c r="BB35" s="212" t="e">
        <f>MIN(Table12118[[#This Row],[Assetinsure Amount ]]-Table12118[[#This Row],[Reinsurance Everest Re]],Table12118[[#This Row],[Total Amount]])</f>
        <v>#REF!</v>
      </c>
      <c r="BC35" s="212">
        <f t="shared" si="2"/>
        <v>0</v>
      </c>
      <c r="BG35" s="18">
        <v>0</v>
      </c>
      <c r="BH35" s="212">
        <v>0</v>
      </c>
      <c r="BI35" s="212">
        <v>0</v>
      </c>
      <c r="BJ35" s="212">
        <v>0</v>
      </c>
      <c r="BK35" s="212">
        <v>0</v>
      </c>
      <c r="BL35" s="212">
        <v>0</v>
      </c>
      <c r="BM35" s="212">
        <v>0</v>
      </c>
      <c r="BN35" s="226">
        <v>0</v>
      </c>
      <c r="BO35" s="226"/>
      <c r="BQ35" s="58" t="s">
        <v>970</v>
      </c>
      <c r="BR35" s="112"/>
      <c r="BS35" s="58"/>
      <c r="BT35" s="288"/>
      <c r="BU35" s="288"/>
    </row>
    <row r="36" spans="1:73" ht="39.950000000000003" customHeight="1" x14ac:dyDescent="0.2">
      <c r="A36" s="131" t="s">
        <v>284</v>
      </c>
      <c r="B36" s="337" t="s">
        <v>1248</v>
      </c>
      <c r="C36" s="337" t="s">
        <v>1142</v>
      </c>
      <c r="D36" s="66" t="s">
        <v>127</v>
      </c>
      <c r="E36" s="14" t="s">
        <v>542</v>
      </c>
      <c r="F36" s="77" t="s">
        <v>88</v>
      </c>
      <c r="G36" s="14" t="s">
        <v>104</v>
      </c>
      <c r="H36" s="66" t="s">
        <v>105</v>
      </c>
      <c r="I36" s="14" t="s">
        <v>285</v>
      </c>
      <c r="J36" s="14" t="s">
        <v>286</v>
      </c>
      <c r="K36" s="14" t="s">
        <v>220</v>
      </c>
      <c r="L36" s="14" t="s">
        <v>209</v>
      </c>
      <c r="M36" s="65" t="s">
        <v>191</v>
      </c>
      <c r="N36" s="13" t="s">
        <v>59</v>
      </c>
      <c r="O36" s="13" t="s">
        <v>43</v>
      </c>
      <c r="P36" s="65">
        <v>2</v>
      </c>
      <c r="Q36" s="13" t="s">
        <v>538</v>
      </c>
      <c r="R36" s="13" t="s">
        <v>548</v>
      </c>
      <c r="S36" s="64" t="s">
        <v>59</v>
      </c>
      <c r="T36" s="62" t="e">
        <f>15000/EUR</f>
        <v>#REF!</v>
      </c>
      <c r="U36" s="62">
        <v>11199.32</v>
      </c>
      <c r="V36" s="62" t="e">
        <f>Table12118[[#This Row],[Amortised Limit in Original Currency]]/EUR</f>
        <v>#REF!</v>
      </c>
      <c r="W36" s="62" t="e">
        <f>120000/EUR</f>
        <v>#REF!</v>
      </c>
      <c r="X36" s="62" t="e">
        <f>568447.41/EUR</f>
        <v>#REF!</v>
      </c>
      <c r="Y36" s="62" t="s">
        <v>16</v>
      </c>
      <c r="Z36" s="366">
        <v>0</v>
      </c>
      <c r="AA36" s="61" t="s">
        <v>11</v>
      </c>
      <c r="AB36" s="181">
        <v>0.01</v>
      </c>
      <c r="AC36" s="181"/>
      <c r="AD36" s="60">
        <v>43861</v>
      </c>
      <c r="AE36" s="60">
        <v>45868</v>
      </c>
      <c r="AF36" s="60">
        <v>45868</v>
      </c>
      <c r="AG36" s="58">
        <f t="shared" si="3"/>
        <v>2008</v>
      </c>
      <c r="AH36" s="75" t="e">
        <f t="shared" si="8"/>
        <v>#REF!</v>
      </c>
      <c r="AI36" s="58" t="e">
        <f>AF36-#REF!</f>
        <v>#REF!</v>
      </c>
      <c r="AJ36" s="57" t="e">
        <f t="shared" si="5"/>
        <v>#REF!</v>
      </c>
      <c r="AK36" s="56"/>
      <c r="AL36" s="71" t="s">
        <v>1</v>
      </c>
      <c r="AM36" s="71" t="s">
        <v>1</v>
      </c>
      <c r="AN36" s="187" t="s">
        <v>890</v>
      </c>
      <c r="AO36" s="11" t="e">
        <f t="shared" si="1"/>
        <v>#REF!</v>
      </c>
      <c r="AP36" s="11" t="s">
        <v>271</v>
      </c>
      <c r="AQ36" s="14" t="s">
        <v>389</v>
      </c>
      <c r="AR36" s="11">
        <v>10000</v>
      </c>
      <c r="AS36" s="11">
        <v>30000</v>
      </c>
      <c r="AT36" s="197" t="str">
        <f>Table12118[[#This Row],[Risk Location ]]</f>
        <v>Belgium</v>
      </c>
      <c r="AU36" s="198" t="str">
        <f>Table12118[[#This Row],[Sector (GICS Industry Group)]]</f>
        <v>Materials</v>
      </c>
      <c r="AV36" s="229">
        <v>1</v>
      </c>
      <c r="AW36" s="310">
        <v>0.1</v>
      </c>
      <c r="AX36" s="212" t="e">
        <f>Table12118[[#This Row],[Percentage Impact]]*Table12118[[#This Row],[Amortised Limit A$ Balance]]</f>
        <v>#REF!</v>
      </c>
      <c r="AY36" s="212" t="e">
        <f>Table12118[[#This Row],[Amortised Limit A$ Balance]]*12%</f>
        <v>#REF!</v>
      </c>
      <c r="AZ36" s="212" t="b">
        <f>IF(Table12118[[#This Row],[Everest]]="Everest",Table12118[[#This Row],[Assetinsure Amount ]]*0.2)</f>
        <v>0</v>
      </c>
      <c r="BA36" s="278"/>
      <c r="BB36" s="212" t="e">
        <f>MIN(Table12118[[#This Row],[Assetinsure Amount ]]-Table12118[[#This Row],[Reinsurance Everest Re]],Table12118[[#This Row],[Total Amount]])</f>
        <v>#REF!</v>
      </c>
      <c r="BC36" s="212">
        <f t="shared" si="2"/>
        <v>1936.2856580448515</v>
      </c>
      <c r="BG36" s="18">
        <v>1829.4925705349783</v>
      </c>
      <c r="BH36" s="212">
        <v>1936.2856580448515</v>
      </c>
      <c r="BI36" s="212">
        <v>1943.9601371133028</v>
      </c>
      <c r="BJ36" s="212">
        <v>0</v>
      </c>
      <c r="BK36" s="212">
        <v>0</v>
      </c>
      <c r="BL36" s="212">
        <v>0</v>
      </c>
      <c r="BM36" s="212">
        <v>0</v>
      </c>
      <c r="BN36" s="226">
        <v>0</v>
      </c>
      <c r="BO36" s="226"/>
      <c r="BQ36" s="58" t="s">
        <v>971</v>
      </c>
      <c r="BR36" s="112"/>
      <c r="BS36" s="58"/>
      <c r="BT36" s="288"/>
      <c r="BU36" s="288"/>
    </row>
    <row r="37" spans="1:73" ht="39.950000000000003" customHeight="1" x14ac:dyDescent="0.2">
      <c r="A37" s="131" t="s">
        <v>289</v>
      </c>
      <c r="B37" s="337" t="s">
        <v>1277</v>
      </c>
      <c r="C37" s="337" t="s">
        <v>243</v>
      </c>
      <c r="D37" s="66" t="s">
        <v>38</v>
      </c>
      <c r="E37" s="14" t="s">
        <v>540</v>
      </c>
      <c r="F37" s="77" t="s">
        <v>35</v>
      </c>
      <c r="G37" s="14" t="s">
        <v>892</v>
      </c>
      <c r="H37" s="66" t="s">
        <v>259</v>
      </c>
      <c r="I37" s="14" t="s">
        <v>258</v>
      </c>
      <c r="J37" s="133" t="s">
        <v>1088</v>
      </c>
      <c r="K37" s="14" t="s">
        <v>687</v>
      </c>
      <c r="L37" s="14" t="s">
        <v>209</v>
      </c>
      <c r="M37" s="65" t="s">
        <v>191</v>
      </c>
      <c r="N37" s="13" t="s">
        <v>323</v>
      </c>
      <c r="O37" s="13" t="s">
        <v>43</v>
      </c>
      <c r="P37" s="65">
        <v>2</v>
      </c>
      <c r="Q37" s="13" t="s">
        <v>531</v>
      </c>
      <c r="R37" s="65" t="s">
        <v>534</v>
      </c>
      <c r="S37" s="64" t="s">
        <v>9</v>
      </c>
      <c r="T37" s="62" t="e">
        <f>10000/USD</f>
        <v>#REF!</v>
      </c>
      <c r="U37" s="62">
        <f>10000</f>
        <v>10000</v>
      </c>
      <c r="V37" s="62" t="e">
        <f>Table12118[[#This Row],[Amortised Limit in Original Currency]]/USD</f>
        <v>#REF!</v>
      </c>
      <c r="W37" s="62" t="e">
        <f>30000/USD</f>
        <v>#REF!</v>
      </c>
      <c r="X37" s="62" t="e">
        <f>475041.6/USD+1162786.67/USD</f>
        <v>#REF!</v>
      </c>
      <c r="Y37" s="62"/>
      <c r="Z37" s="366"/>
      <c r="AA37" s="61" t="s">
        <v>11</v>
      </c>
      <c r="AB37" s="181">
        <v>0.04</v>
      </c>
      <c r="AC37" s="181"/>
      <c r="AD37" s="60">
        <v>44629</v>
      </c>
      <c r="AE37" s="60">
        <v>46442</v>
      </c>
      <c r="AF37" s="60">
        <v>46486</v>
      </c>
      <c r="AG37" s="58">
        <f t="shared" si="3"/>
        <v>1858</v>
      </c>
      <c r="AH37" s="59" t="e">
        <f t="shared" si="8"/>
        <v>#REF!</v>
      </c>
      <c r="AI37" s="58" t="e">
        <f>AF37-#REF!</f>
        <v>#REF!</v>
      </c>
      <c r="AJ37" s="57" t="e">
        <f t="shared" si="5"/>
        <v>#REF!</v>
      </c>
      <c r="AK37" s="56"/>
      <c r="AL37" s="71" t="s">
        <v>1</v>
      </c>
      <c r="AM37" s="71" t="s">
        <v>1</v>
      </c>
      <c r="AN37" s="70" t="s">
        <v>752</v>
      </c>
      <c r="AO37" s="11" t="e">
        <f>+IF(AF37-60&lt;$A$1, "SEND NOTICE", "N/A")</f>
        <v>#REF!</v>
      </c>
      <c r="AP37" s="11" t="s">
        <v>563</v>
      </c>
      <c r="AQ37" s="14" t="s">
        <v>386</v>
      </c>
      <c r="AR37" s="11">
        <v>10000</v>
      </c>
      <c r="AS37" s="11">
        <v>66600</v>
      </c>
      <c r="AT37" s="197" t="str">
        <f>Table12118[[#This Row],[Risk Location ]]</f>
        <v>India</v>
      </c>
      <c r="AU37" s="198" t="str">
        <f>Table12118[[#This Row],[Sector (GICS Industry Group)]]</f>
        <v>Information Technology - Software &amp; Services</v>
      </c>
      <c r="AX37" s="212" t="e">
        <f>Table12118[[#This Row],[Percentage Impact]]*Table12118[[#This Row],[Amortised Limit A$ Balance]]</f>
        <v>#REF!</v>
      </c>
      <c r="AY37" s="212" t="e">
        <f>Table12118[[#This Row],[Amortised Limit A$ Balance]]*12%</f>
        <v>#REF!</v>
      </c>
      <c r="AZ37" s="212" t="b">
        <f>IF(Table12118[[#This Row],[Everest]]="Everest",Table12118[[#This Row],[Assetinsure Amount ]]*0.2)</f>
        <v>0</v>
      </c>
      <c r="BA37" s="212"/>
      <c r="BB37" s="212" t="e">
        <f>MIN(Table12118[[#This Row],[Assetinsure Amount ]]-Table12118[[#This Row],[Reinsurance Everest Re]],Table12118[[#This Row],[Total Amount]])</f>
        <v>#REF!</v>
      </c>
      <c r="BC37" s="212">
        <f t="shared" si="2"/>
        <v>0</v>
      </c>
      <c r="BG37" s="18">
        <v>0</v>
      </c>
      <c r="BH37" s="212">
        <v>0</v>
      </c>
      <c r="BI37" s="212">
        <v>0</v>
      </c>
      <c r="BJ37" s="212">
        <v>0</v>
      </c>
      <c r="BK37" s="212">
        <v>0</v>
      </c>
      <c r="BL37" s="212">
        <v>0</v>
      </c>
      <c r="BM37" s="212">
        <v>0</v>
      </c>
      <c r="BN37" s="226">
        <v>0</v>
      </c>
      <c r="BO37" s="226"/>
      <c r="BQ37" s="58" t="s">
        <v>972</v>
      </c>
      <c r="BR37" s="112"/>
      <c r="BS37" s="58"/>
      <c r="BT37" s="288"/>
      <c r="BU37" s="288"/>
    </row>
    <row r="38" spans="1:73" s="229" customFormat="1" ht="39.950000000000003" customHeight="1" x14ac:dyDescent="0.2">
      <c r="A38" s="131" t="s">
        <v>280</v>
      </c>
      <c r="B38" s="337" t="s">
        <v>23</v>
      </c>
      <c r="C38" s="337" t="s">
        <v>1144</v>
      </c>
      <c r="D38" s="133" t="s">
        <v>89</v>
      </c>
      <c r="E38" s="131" t="s">
        <v>542</v>
      </c>
      <c r="F38" s="161" t="s">
        <v>89</v>
      </c>
      <c r="G38" s="131" t="s">
        <v>891</v>
      </c>
      <c r="H38" s="133" t="s">
        <v>249</v>
      </c>
      <c r="I38" s="131" t="s">
        <v>767</v>
      </c>
      <c r="J38" s="131" t="s">
        <v>281</v>
      </c>
      <c r="K38" s="131" t="s">
        <v>256</v>
      </c>
      <c r="L38" s="131" t="s">
        <v>29</v>
      </c>
      <c r="M38" s="270" t="s">
        <v>191</v>
      </c>
      <c r="N38" s="269" t="s">
        <v>59</v>
      </c>
      <c r="O38" s="270" t="s">
        <v>43</v>
      </c>
      <c r="P38" s="270">
        <v>3</v>
      </c>
      <c r="Q38" s="270" t="s">
        <v>538</v>
      </c>
      <c r="R38" s="270" t="s">
        <v>534</v>
      </c>
      <c r="S38" s="135" t="s">
        <v>9</v>
      </c>
      <c r="T38" s="62" t="e">
        <f>7500/USD</f>
        <v>#REF!</v>
      </c>
      <c r="U38" s="62">
        <v>7500</v>
      </c>
      <c r="V38" s="62" t="e">
        <f>T38</f>
        <v>#REF!</v>
      </c>
      <c r="W38" s="62" t="e">
        <f>114400/USD</f>
        <v>#REF!</v>
      </c>
      <c r="X38" s="62" t="e">
        <f>196045.41/USD</f>
        <v>#REF!</v>
      </c>
      <c r="Y38" s="62"/>
      <c r="Z38" s="366"/>
      <c r="AA38" s="61" t="s">
        <v>11</v>
      </c>
      <c r="AB38" s="181">
        <v>2.2499999999999999E-2</v>
      </c>
      <c r="AC38" s="181"/>
      <c r="AD38" s="271">
        <v>43872</v>
      </c>
      <c r="AE38" s="271">
        <v>45558</v>
      </c>
      <c r="AF38" s="271">
        <f>AE38</f>
        <v>45558</v>
      </c>
      <c r="AG38" s="272">
        <f t="shared" si="3"/>
        <v>1687</v>
      </c>
      <c r="AH38" s="139" t="e">
        <f t="shared" si="8"/>
        <v>#REF!</v>
      </c>
      <c r="AI38" s="272" t="e">
        <f>AF38-#REF!</f>
        <v>#REF!</v>
      </c>
      <c r="AJ38" s="273" t="e">
        <f t="shared" si="5"/>
        <v>#REF!</v>
      </c>
      <c r="AK38" s="274"/>
      <c r="AL38" s="275" t="s">
        <v>1</v>
      </c>
      <c r="AM38" s="275" t="s">
        <v>1</v>
      </c>
      <c r="AN38" s="163" t="s">
        <v>0</v>
      </c>
      <c r="AO38" s="229" t="e">
        <f t="shared" si="1"/>
        <v>#REF!</v>
      </c>
      <c r="AP38" s="229" t="s">
        <v>271</v>
      </c>
      <c r="AQ38" s="131" t="s">
        <v>387</v>
      </c>
      <c r="AR38" s="229">
        <v>7255</v>
      </c>
      <c r="AS38" s="229">
        <v>25000</v>
      </c>
      <c r="AT38" s="323" t="str">
        <f>Table12118[[#This Row],[Risk Location ]]</f>
        <v>Netherlands</v>
      </c>
      <c r="AU38" s="324" t="str">
        <f>Table12118[[#This Row],[Sector (GICS Industry Group)]]</f>
        <v>Information Technology - Hardware &amp; Equipment</v>
      </c>
      <c r="AX38" s="278" t="e">
        <f>Table12118[[#This Row],[Percentage Impact]]*Table12118[[#This Row],[Amortised Limit A$ Balance]]</f>
        <v>#REF!</v>
      </c>
      <c r="AY38" s="278" t="e">
        <f>Table12118[[#This Row],[Amortised Limit A$ Balance]]*12%</f>
        <v>#REF!</v>
      </c>
      <c r="AZ38" s="278" t="b">
        <f>IF(Table12118[[#This Row],[Everest]]="Everest",Table12118[[#This Row],[Assetinsure Amount ]]*0.2)</f>
        <v>0</v>
      </c>
      <c r="BA38" s="278"/>
      <c r="BB38" s="278" t="e">
        <f>MIN(Table12118[[#This Row],[Assetinsure Amount ]]-Table12118[[#This Row],[Reinsurance Everest Re]],Table12118[[#This Row],[Total Amount]])</f>
        <v>#REF!</v>
      </c>
      <c r="BC38" s="212">
        <f t="shared" si="2"/>
        <v>0</v>
      </c>
      <c r="BG38" s="18">
        <v>0</v>
      </c>
      <c r="BH38" s="278">
        <v>0</v>
      </c>
      <c r="BI38" s="278">
        <v>0</v>
      </c>
      <c r="BJ38" s="278">
        <v>0</v>
      </c>
      <c r="BK38" s="278">
        <v>0</v>
      </c>
      <c r="BL38" s="278">
        <v>0</v>
      </c>
      <c r="BM38" s="278">
        <v>0</v>
      </c>
      <c r="BN38" s="226">
        <v>0</v>
      </c>
      <c r="BO38" s="226"/>
      <c r="BQ38" s="272" t="s">
        <v>973</v>
      </c>
      <c r="BR38" s="276"/>
      <c r="BS38" s="272"/>
      <c r="BT38" s="299"/>
      <c r="BU38" s="299"/>
    </row>
    <row r="39" spans="1:73" s="229" customFormat="1" ht="39.950000000000003" customHeight="1" x14ac:dyDescent="0.2">
      <c r="A39" s="131" t="s">
        <v>282</v>
      </c>
      <c r="B39" s="337" t="s">
        <v>23</v>
      </c>
      <c r="C39" s="337" t="s">
        <v>1143</v>
      </c>
      <c r="D39" s="133" t="s">
        <v>88</v>
      </c>
      <c r="E39" s="131" t="s">
        <v>540</v>
      </c>
      <c r="F39" s="161" t="s">
        <v>49</v>
      </c>
      <c r="G39" s="131" t="s">
        <v>104</v>
      </c>
      <c r="H39" s="131" t="s">
        <v>111</v>
      </c>
      <c r="I39" s="131" t="s">
        <v>135</v>
      </c>
      <c r="J39" s="131" t="s">
        <v>283</v>
      </c>
      <c r="K39" s="131" t="s">
        <v>148</v>
      </c>
      <c r="L39" s="131" t="s">
        <v>140</v>
      </c>
      <c r="M39" s="270" t="s">
        <v>191</v>
      </c>
      <c r="N39" s="269" t="s">
        <v>59</v>
      </c>
      <c r="O39" s="269" t="s">
        <v>43</v>
      </c>
      <c r="P39" s="270">
        <v>4</v>
      </c>
      <c r="Q39" s="269" t="s">
        <v>531</v>
      </c>
      <c r="R39" s="270" t="s">
        <v>534</v>
      </c>
      <c r="S39" s="135" t="s">
        <v>9</v>
      </c>
      <c r="T39" s="62" t="e">
        <f>7500/USD</f>
        <v>#REF!</v>
      </c>
      <c r="U39" s="62">
        <v>7500</v>
      </c>
      <c r="V39" s="62" t="e">
        <f>T39</f>
        <v>#REF!</v>
      </c>
      <c r="W39" s="62" t="e">
        <f>15000/USD</f>
        <v>#REF!</v>
      </c>
      <c r="X39" s="62" t="e">
        <f>773873.2/USD</f>
        <v>#REF!</v>
      </c>
      <c r="Y39" s="62"/>
      <c r="Z39" s="366"/>
      <c r="AA39" s="61" t="s">
        <v>11</v>
      </c>
      <c r="AB39" s="181">
        <v>3.0700000000000002E-2</v>
      </c>
      <c r="AC39" s="181"/>
      <c r="AD39" s="271">
        <v>43878</v>
      </c>
      <c r="AE39" s="271">
        <v>47382</v>
      </c>
      <c r="AF39" s="271">
        <v>47382</v>
      </c>
      <c r="AG39" s="272">
        <f t="shared" si="3"/>
        <v>3505</v>
      </c>
      <c r="AH39" s="139" t="e">
        <f t="shared" si="8"/>
        <v>#REF!</v>
      </c>
      <c r="AI39" s="272" t="e">
        <f>AF39-#REF!</f>
        <v>#REF!</v>
      </c>
      <c r="AJ39" s="273" t="e">
        <f t="shared" si="5"/>
        <v>#REF!</v>
      </c>
      <c r="AK39" s="274"/>
      <c r="AL39" s="275" t="s">
        <v>1</v>
      </c>
      <c r="AM39" s="275" t="s">
        <v>1</v>
      </c>
      <c r="AN39" s="163" t="s">
        <v>0</v>
      </c>
      <c r="AO39" s="229" t="e">
        <f t="shared" si="1"/>
        <v>#REF!</v>
      </c>
      <c r="AP39" s="229" t="s">
        <v>271</v>
      </c>
      <c r="AQ39" s="131" t="s">
        <v>388</v>
      </c>
      <c r="AR39" s="229">
        <v>7700</v>
      </c>
      <c r="AS39" s="229">
        <v>50000</v>
      </c>
      <c r="AT39" s="323" t="str">
        <f>Table12118[[#This Row],[Risk Location ]]</f>
        <v>Indonesia</v>
      </c>
      <c r="AU39" s="324" t="str">
        <f>Table12118[[#This Row],[Sector (GICS Industry Group)]]</f>
        <v>Materials</v>
      </c>
      <c r="AX39" s="278" t="e">
        <f>Table12118[[#This Row],[Percentage Impact]]*Table12118[[#This Row],[Amortised Limit A$ Balance]]</f>
        <v>#REF!</v>
      </c>
      <c r="AY39" s="278" t="e">
        <f>Table12118[[#This Row],[Amortised Limit A$ Balance]]*12%</f>
        <v>#REF!</v>
      </c>
      <c r="AZ39" s="278" t="b">
        <f>IF(Table12118[[#This Row],[Everest]]="Everest",Table12118[[#This Row],[Assetinsure Amount ]]*0.2)</f>
        <v>0</v>
      </c>
      <c r="BA39" s="278"/>
      <c r="BB39" s="278" t="e">
        <f>MIN(Table12118[[#This Row],[Assetinsure Amount ]]-Table12118[[#This Row],[Reinsurance Everest Re]],Table12118[[#This Row],[Total Amount]])</f>
        <v>#REF!</v>
      </c>
      <c r="BC39" s="212">
        <f t="shared" si="2"/>
        <v>0</v>
      </c>
      <c r="BG39" s="18">
        <v>0</v>
      </c>
      <c r="BH39" s="278">
        <v>0</v>
      </c>
      <c r="BI39" s="278">
        <v>0</v>
      </c>
      <c r="BJ39" s="278">
        <v>0</v>
      </c>
      <c r="BK39" s="278">
        <v>0</v>
      </c>
      <c r="BL39" s="278">
        <v>0</v>
      </c>
      <c r="BM39" s="278">
        <v>0</v>
      </c>
      <c r="BN39" s="226">
        <v>0</v>
      </c>
      <c r="BO39" s="226"/>
      <c r="BQ39" s="272" t="s">
        <v>974</v>
      </c>
      <c r="BR39" s="276"/>
      <c r="BS39" s="272"/>
      <c r="BT39" s="299"/>
      <c r="BU39" s="299"/>
    </row>
    <row r="40" spans="1:73" ht="39.950000000000003" customHeight="1" x14ac:dyDescent="0.2">
      <c r="A40" s="269" t="s">
        <v>317</v>
      </c>
      <c r="B40" s="337" t="s">
        <v>23</v>
      </c>
      <c r="C40" s="337" t="s">
        <v>243</v>
      </c>
      <c r="D40" s="66" t="s">
        <v>34</v>
      </c>
      <c r="E40" s="14" t="s">
        <v>34</v>
      </c>
      <c r="F40" s="77" t="s">
        <v>34</v>
      </c>
      <c r="G40" s="14" t="s">
        <v>48</v>
      </c>
      <c r="H40" s="66" t="s">
        <v>95</v>
      </c>
      <c r="I40" s="14" t="s">
        <v>130</v>
      </c>
      <c r="J40" s="14" t="s">
        <v>321</v>
      </c>
      <c r="K40" s="14" t="s">
        <v>26</v>
      </c>
      <c r="L40" s="14" t="s">
        <v>29</v>
      </c>
      <c r="M40" s="65" t="s">
        <v>191</v>
      </c>
      <c r="N40" s="13" t="s">
        <v>323</v>
      </c>
      <c r="O40" s="13" t="s">
        <v>43</v>
      </c>
      <c r="P40" s="65">
        <v>2</v>
      </c>
      <c r="Q40" s="13" t="s">
        <v>537</v>
      </c>
      <c r="R40" s="65" t="s">
        <v>534</v>
      </c>
      <c r="S40" s="64" t="s">
        <v>8</v>
      </c>
      <c r="T40" s="62">
        <v>7000</v>
      </c>
      <c r="U40" s="62">
        <v>7000</v>
      </c>
      <c r="V40" s="62">
        <v>7000</v>
      </c>
      <c r="W40" s="62">
        <v>50000</v>
      </c>
      <c r="X40" s="62">
        <f>454461.66-2810.62-55923.75</f>
        <v>395727.29</v>
      </c>
      <c r="Y40" s="62"/>
      <c r="Z40" s="366"/>
      <c r="AA40" s="61" t="s">
        <v>11</v>
      </c>
      <c r="AB40" s="181">
        <v>2.1499999999999998E-2</v>
      </c>
      <c r="AC40" s="181"/>
      <c r="AD40" s="60">
        <v>43886</v>
      </c>
      <c r="AE40" s="60">
        <v>45152</v>
      </c>
      <c r="AF40" s="60">
        <v>45152</v>
      </c>
      <c r="AG40" s="58">
        <f t="shared" si="3"/>
        <v>1267</v>
      </c>
      <c r="AH40" s="59" t="e">
        <f t="shared" si="8"/>
        <v>#REF!</v>
      </c>
      <c r="AI40" s="58" t="e">
        <f>AF40-#REF!</f>
        <v>#REF!</v>
      </c>
      <c r="AJ40" s="57" t="e">
        <f t="shared" si="5"/>
        <v>#REF!</v>
      </c>
      <c r="AK40" s="56"/>
      <c r="AL40" s="71" t="s">
        <v>1</v>
      </c>
      <c r="AM40" s="71" t="s">
        <v>1</v>
      </c>
      <c r="AN40" s="70" t="s">
        <v>0</v>
      </c>
      <c r="AO40" s="11" t="e">
        <f t="shared" si="1"/>
        <v>#REF!</v>
      </c>
      <c r="AP40" s="11" t="s">
        <v>271</v>
      </c>
      <c r="AQ40" s="78" t="s">
        <v>399</v>
      </c>
      <c r="AT40" s="197" t="str">
        <f>Table12118[[#This Row],[Risk Location ]]</f>
        <v>Australia</v>
      </c>
      <c r="AU40" s="198" t="str">
        <f>Table12118[[#This Row],[Sector (GICS Industry Group)]]</f>
        <v>Energy</v>
      </c>
      <c r="AX40" s="212">
        <f>Table12118[[#This Row],[Percentage Impact]]*Table12118[[#This Row],[Amortised Limit A$ Balance]]</f>
        <v>0</v>
      </c>
      <c r="AY40" s="212">
        <f>Table12118[[#This Row],[Amortised Limit A$ Balance]]*12%</f>
        <v>840</v>
      </c>
      <c r="AZ40" s="212" t="b">
        <f>IF(Table12118[[#This Row],[Everest]]="Everest",Table12118[[#This Row],[Assetinsure Amount ]]*0.2)</f>
        <v>0</v>
      </c>
      <c r="BA40" s="212"/>
      <c r="BB40" s="212">
        <f>MIN(Table12118[[#This Row],[Assetinsure Amount ]]-Table12118[[#This Row],[Reinsurance Everest Re]],Table12118[[#This Row],[Total Amount]])</f>
        <v>0</v>
      </c>
      <c r="BC40" s="212">
        <f t="shared" si="2"/>
        <v>0</v>
      </c>
      <c r="BG40" s="18">
        <v>0</v>
      </c>
      <c r="BH40" s="212">
        <v>0</v>
      </c>
      <c r="BI40" s="212">
        <v>0</v>
      </c>
      <c r="BJ40" s="212">
        <v>0</v>
      </c>
      <c r="BK40" s="212">
        <v>0</v>
      </c>
      <c r="BL40" s="212">
        <v>0</v>
      </c>
      <c r="BM40" s="212">
        <v>0</v>
      </c>
      <c r="BN40" s="226">
        <v>0</v>
      </c>
      <c r="BO40" s="226"/>
      <c r="BQ40" s="58" t="s">
        <v>975</v>
      </c>
      <c r="BR40" s="112"/>
      <c r="BS40" s="58"/>
      <c r="BT40" s="288"/>
      <c r="BU40" s="288"/>
    </row>
    <row r="41" spans="1:73" ht="39.950000000000003" customHeight="1" x14ac:dyDescent="0.2">
      <c r="A41" s="131" t="s">
        <v>294</v>
      </c>
      <c r="B41" s="337" t="s">
        <v>1277</v>
      </c>
      <c r="C41" s="337" t="s">
        <v>243</v>
      </c>
      <c r="D41" s="66" t="s">
        <v>295</v>
      </c>
      <c r="E41" s="14" t="s">
        <v>34</v>
      </c>
      <c r="F41" s="77" t="s">
        <v>295</v>
      </c>
      <c r="G41" s="66" t="s">
        <v>106</v>
      </c>
      <c r="H41" s="66" t="s">
        <v>106</v>
      </c>
      <c r="I41" s="66" t="s">
        <v>107</v>
      </c>
      <c r="J41" s="66" t="s">
        <v>296</v>
      </c>
      <c r="K41" s="66" t="s">
        <v>687</v>
      </c>
      <c r="L41" s="14" t="s">
        <v>101</v>
      </c>
      <c r="M41" s="65" t="s">
        <v>191</v>
      </c>
      <c r="N41" s="65" t="s">
        <v>323</v>
      </c>
      <c r="O41" s="13" t="s">
        <v>43</v>
      </c>
      <c r="P41" s="65">
        <v>2</v>
      </c>
      <c r="Q41" s="13" t="s">
        <v>531</v>
      </c>
      <c r="R41" s="65" t="s">
        <v>534</v>
      </c>
      <c r="S41" s="64" t="s">
        <v>297</v>
      </c>
      <c r="T41" s="62" t="e">
        <f>34375/NZD</f>
        <v>#REF!</v>
      </c>
      <c r="U41" s="62">
        <f>31927589/1000</f>
        <v>31927.589</v>
      </c>
      <c r="V41" s="62" t="e">
        <f>Table12118[[#This Row],[Amortised Limit in Original Currency]]/NZD</f>
        <v>#REF!</v>
      </c>
      <c r="W41" s="62" t="e">
        <f>70857670.14/1000/NZD</f>
        <v>#REF!</v>
      </c>
      <c r="X41" s="62" t="e">
        <f>(1386683.39)/NZD</f>
        <v>#REF!</v>
      </c>
      <c r="Y41" s="62"/>
      <c r="Z41" s="366"/>
      <c r="AA41" s="61" t="s">
        <v>11</v>
      </c>
      <c r="AB41" s="181">
        <v>2.5000000000000001E-2</v>
      </c>
      <c r="AC41" s="181"/>
      <c r="AD41" s="60">
        <v>43910</v>
      </c>
      <c r="AE41" s="60">
        <v>45377</v>
      </c>
      <c r="AF41" s="60">
        <v>45397</v>
      </c>
      <c r="AG41" s="58">
        <f t="shared" si="3"/>
        <v>1488</v>
      </c>
      <c r="AH41" s="59" t="e">
        <f t="shared" si="8"/>
        <v>#REF!</v>
      </c>
      <c r="AI41" s="58" t="e">
        <f>AF41-#REF!</f>
        <v>#REF!</v>
      </c>
      <c r="AJ41" s="57" t="e">
        <f t="shared" si="5"/>
        <v>#REF!</v>
      </c>
      <c r="AK41" s="56" t="s">
        <v>436</v>
      </c>
      <c r="AL41" s="71" t="s">
        <v>1</v>
      </c>
      <c r="AM41" s="71" t="s">
        <v>1</v>
      </c>
      <c r="AN41" s="70" t="s">
        <v>0</v>
      </c>
      <c r="AO41" s="11" t="e">
        <f t="shared" si="1"/>
        <v>#REF!</v>
      </c>
      <c r="AP41" s="11" t="s">
        <v>271</v>
      </c>
      <c r="AQ41" s="14" t="s">
        <v>391</v>
      </c>
      <c r="AR41" s="11">
        <v>13000</v>
      </c>
      <c r="AS41" s="11">
        <v>60000</v>
      </c>
      <c r="AT41" s="197" t="str">
        <f>Table12118[[#This Row],[Risk Location ]]</f>
        <v>New Zealand</v>
      </c>
      <c r="AU41" s="198" t="str">
        <f>Table12118[[#This Row],[Sector (GICS Industry Group)]]</f>
        <v>Real Estate Management &amp; Development</v>
      </c>
      <c r="AX41" s="212" t="e">
        <f>Table12118[[#This Row],[Percentage Impact]]*Table12118[[#This Row],[Amortised Limit A$ Balance]]</f>
        <v>#REF!</v>
      </c>
      <c r="AY41" s="212" t="e">
        <f>Table12118[[#This Row],[Amortised Limit A$ Balance]]*12%</f>
        <v>#REF!</v>
      </c>
      <c r="AZ41" s="212" t="e">
        <f>IF(Table12118[[#This Row],[Everest]]="Everest",Table12118[[#This Row],[Assetinsure Amount ]]*0.2)</f>
        <v>#REF!</v>
      </c>
      <c r="BA41" s="212"/>
      <c r="BB41" s="212" t="e">
        <f>MIN(Table12118[[#This Row],[Assetinsure Amount ]]-Table12118[[#This Row],[Reinsurance Everest Re]],Table12118[[#This Row],[Total Amount]])</f>
        <v>#REF!</v>
      </c>
      <c r="BC41" s="212">
        <f t="shared" si="2"/>
        <v>0</v>
      </c>
      <c r="BG41" s="18">
        <v>0</v>
      </c>
      <c r="BH41" s="212">
        <v>0</v>
      </c>
      <c r="BI41" s="212">
        <v>0</v>
      </c>
      <c r="BJ41" s="212">
        <v>0</v>
      </c>
      <c r="BK41" s="212">
        <v>0</v>
      </c>
      <c r="BL41" s="212">
        <v>0</v>
      </c>
      <c r="BM41" s="212">
        <v>0</v>
      </c>
      <c r="BN41" s="226">
        <v>0</v>
      </c>
      <c r="BO41" s="226"/>
      <c r="BQ41" s="58" t="s">
        <v>933</v>
      </c>
      <c r="BR41" s="112"/>
      <c r="BS41" s="58" t="s">
        <v>103</v>
      </c>
      <c r="BT41" s="288"/>
      <c r="BU41" s="288"/>
    </row>
    <row r="42" spans="1:73" ht="39.950000000000003" customHeight="1" x14ac:dyDescent="0.2">
      <c r="A42" s="131" t="s">
        <v>313</v>
      </c>
      <c r="B42" s="337" t="s">
        <v>243</v>
      </c>
      <c r="C42" s="337" t="s">
        <v>243</v>
      </c>
      <c r="D42" s="66" t="s">
        <v>87</v>
      </c>
      <c r="E42" s="14" t="s">
        <v>499</v>
      </c>
      <c r="F42" s="77" t="s">
        <v>162</v>
      </c>
      <c r="G42" s="14" t="s">
        <v>891</v>
      </c>
      <c r="H42" s="66" t="s">
        <v>167</v>
      </c>
      <c r="I42" s="131" t="s">
        <v>167</v>
      </c>
      <c r="J42" s="14" t="s">
        <v>298</v>
      </c>
      <c r="K42" s="66" t="s">
        <v>218</v>
      </c>
      <c r="L42" s="14" t="s">
        <v>209</v>
      </c>
      <c r="M42" s="65" t="s">
        <v>191</v>
      </c>
      <c r="N42" s="65" t="s">
        <v>59</v>
      </c>
      <c r="O42" s="13" t="s">
        <v>43</v>
      </c>
      <c r="P42" s="65">
        <v>4</v>
      </c>
      <c r="Q42" s="13" t="s">
        <v>531</v>
      </c>
      <c r="R42" s="65" t="s">
        <v>534</v>
      </c>
      <c r="S42" s="64" t="s">
        <v>9</v>
      </c>
      <c r="T42" s="62" t="e">
        <f>15000/USD</f>
        <v>#REF!</v>
      </c>
      <c r="U42" s="62">
        <v>15000</v>
      </c>
      <c r="V42" s="62" t="e">
        <f>15000/USD</f>
        <v>#REF!</v>
      </c>
      <c r="W42" s="62" t="e">
        <f>30000/USD</f>
        <v>#REF!</v>
      </c>
      <c r="X42" s="62" t="e">
        <f>2800416.69/USD</f>
        <v>#REF!</v>
      </c>
      <c r="Y42" s="62" t="s">
        <v>16</v>
      </c>
      <c r="Z42" s="366">
        <v>0</v>
      </c>
      <c r="AA42" s="61" t="s">
        <v>11</v>
      </c>
      <c r="AB42" s="181">
        <v>5.3800000000000001E-2</v>
      </c>
      <c r="AC42" s="181"/>
      <c r="AD42" s="60">
        <v>43915</v>
      </c>
      <c r="AE42" s="60">
        <v>46372</v>
      </c>
      <c r="AF42" s="60">
        <v>46372</v>
      </c>
      <c r="AG42" s="58">
        <f t="shared" si="3"/>
        <v>2458</v>
      </c>
      <c r="AH42" s="75" t="e">
        <f t="shared" si="8"/>
        <v>#REF!</v>
      </c>
      <c r="AI42" s="58" t="e">
        <f>AF42-#REF!</f>
        <v>#REF!</v>
      </c>
      <c r="AJ42" s="57" t="e">
        <f t="shared" si="5"/>
        <v>#REF!</v>
      </c>
      <c r="AK42" s="56"/>
      <c r="AL42" s="71" t="s">
        <v>182</v>
      </c>
      <c r="AM42" s="71" t="s">
        <v>182</v>
      </c>
      <c r="AN42" s="70" t="s">
        <v>0</v>
      </c>
      <c r="AO42" s="11" t="e">
        <f t="shared" si="1"/>
        <v>#REF!</v>
      </c>
      <c r="AP42" s="11" t="s">
        <v>271</v>
      </c>
      <c r="AQ42" s="14" t="s">
        <v>392</v>
      </c>
      <c r="AR42" s="11">
        <v>12000</v>
      </c>
      <c r="AS42" s="11">
        <v>250000</v>
      </c>
      <c r="AT42" s="197" t="str">
        <f>Table12118[[#This Row],[Risk Location ]]</f>
        <v>United States</v>
      </c>
      <c r="AU42" s="198" t="str">
        <f>Table12118[[#This Row],[Sector (GICS Industry Group)]]</f>
        <v>Information Technology - Hardware &amp; Equipment</v>
      </c>
      <c r="AX42" s="212" t="e">
        <f>Table12118[[#This Row],[Percentage Impact]]*Table12118[[#This Row],[Amortised Limit A$ Balance]]</f>
        <v>#REF!</v>
      </c>
      <c r="AY42" s="212" t="e">
        <f>Table12118[[#This Row],[Amortised Limit A$ Balance]]*12%</f>
        <v>#REF!</v>
      </c>
      <c r="AZ42" s="212" t="b">
        <f>IF(Table12118[[#This Row],[Everest]]="Everest",Table12118[[#This Row],[Assetinsure Amount ]]*0.2)</f>
        <v>0</v>
      </c>
      <c r="BA42" s="212"/>
      <c r="BB42" s="212" t="e">
        <f>MIN(Table12118[[#This Row],[Assetinsure Amount ]]-Table12118[[#This Row],[Reinsurance Everest Re]],Table12118[[#This Row],[Total Amount]])</f>
        <v>#REF!</v>
      </c>
      <c r="BC42" s="212">
        <f t="shared" si="2"/>
        <v>0</v>
      </c>
      <c r="BG42" s="18">
        <v>0</v>
      </c>
      <c r="BH42" s="212">
        <v>0</v>
      </c>
      <c r="BI42" s="212">
        <v>0</v>
      </c>
      <c r="BJ42" s="212">
        <v>0</v>
      </c>
      <c r="BK42" s="212">
        <v>0</v>
      </c>
      <c r="BL42" s="212">
        <v>0</v>
      </c>
      <c r="BM42" s="212">
        <v>0</v>
      </c>
      <c r="BN42" s="226">
        <v>0</v>
      </c>
      <c r="BO42" s="226"/>
      <c r="BQ42" s="58" t="s">
        <v>976</v>
      </c>
      <c r="BR42" s="112"/>
      <c r="BS42" s="58"/>
      <c r="BT42" s="288"/>
      <c r="BU42" s="288"/>
    </row>
    <row r="43" spans="1:73" ht="39.950000000000003" customHeight="1" x14ac:dyDescent="0.2">
      <c r="A43" s="269" t="s">
        <v>306</v>
      </c>
      <c r="B43" s="337" t="s">
        <v>307</v>
      </c>
      <c r="C43" s="337" t="s">
        <v>1144</v>
      </c>
      <c r="D43" s="66" t="s">
        <v>89</v>
      </c>
      <c r="E43" s="14" t="s">
        <v>542</v>
      </c>
      <c r="F43" s="130" t="s">
        <v>308</v>
      </c>
      <c r="G43" s="14" t="s">
        <v>92</v>
      </c>
      <c r="H43" s="66" t="s">
        <v>134</v>
      </c>
      <c r="I43" s="66" t="s">
        <v>134</v>
      </c>
      <c r="J43" s="66" t="s">
        <v>311</v>
      </c>
      <c r="K43" s="66" t="s">
        <v>256</v>
      </c>
      <c r="L43" s="14" t="s">
        <v>68</v>
      </c>
      <c r="M43" s="65" t="s">
        <v>191</v>
      </c>
      <c r="N43" s="65" t="s">
        <v>59</v>
      </c>
      <c r="O43" s="13" t="s">
        <v>43</v>
      </c>
      <c r="P43" s="65">
        <v>2</v>
      </c>
      <c r="Q43" s="13" t="s">
        <v>538</v>
      </c>
      <c r="R43" s="65" t="s">
        <v>534</v>
      </c>
      <c r="S43" s="64" t="s">
        <v>9</v>
      </c>
      <c r="T43" s="62" t="e">
        <f>8000/USD</f>
        <v>#REF!</v>
      </c>
      <c r="U43" s="62">
        <v>3066.67</v>
      </c>
      <c r="V43" s="62" t="e">
        <f>Table12118[[#This Row],[Amortised Limit in Original Currency]]/USD</f>
        <v>#REF!</v>
      </c>
      <c r="W43" s="62" t="e">
        <f>42033.33333/USD</f>
        <v>#REF!</v>
      </c>
      <c r="X43" s="62" t="e">
        <f>275381.15/USD</f>
        <v>#REF!</v>
      </c>
      <c r="Y43" s="62"/>
      <c r="Z43" s="366"/>
      <c r="AA43" s="61" t="s">
        <v>11</v>
      </c>
      <c r="AB43" s="181">
        <v>0.02</v>
      </c>
      <c r="AC43" s="181"/>
      <c r="AD43" s="60">
        <v>43921</v>
      </c>
      <c r="AE43" s="60">
        <v>45660</v>
      </c>
      <c r="AF43" s="60">
        <v>45660</v>
      </c>
      <c r="AG43" s="58">
        <f t="shared" si="3"/>
        <v>1740</v>
      </c>
      <c r="AH43" s="59" t="e">
        <f t="shared" si="8"/>
        <v>#REF!</v>
      </c>
      <c r="AI43" s="58" t="e">
        <f>AF43-#REF!</f>
        <v>#REF!</v>
      </c>
      <c r="AJ43" s="57" t="e">
        <f t="shared" si="5"/>
        <v>#REF!</v>
      </c>
      <c r="AK43" s="56"/>
      <c r="AL43" s="71" t="s">
        <v>1</v>
      </c>
      <c r="AM43" s="71" t="s">
        <v>1</v>
      </c>
      <c r="AN43" s="187" t="s">
        <v>784</v>
      </c>
      <c r="AO43" s="11" t="e">
        <f t="shared" si="1"/>
        <v>#REF!</v>
      </c>
      <c r="AP43" s="11" t="s">
        <v>271</v>
      </c>
      <c r="AQ43" s="13" t="s">
        <v>396</v>
      </c>
      <c r="AR43" s="11">
        <v>10480</v>
      </c>
      <c r="AS43" s="11">
        <v>31210</v>
      </c>
      <c r="AT43" s="197" t="str">
        <f>Table12118[[#This Row],[Risk Location ]]</f>
        <v>Norway</v>
      </c>
      <c r="AU43" s="198" t="str">
        <f>Table12118[[#This Row],[Sector (GICS Industry Group)]]</f>
        <v>Transportation</v>
      </c>
      <c r="AX43" s="212" t="e">
        <f>Table12118[[#This Row],[Percentage Impact]]*Table12118[[#This Row],[Amortised Limit A$ Balance]]</f>
        <v>#REF!</v>
      </c>
      <c r="AY43" s="212" t="e">
        <f>Table12118[[#This Row],[Amortised Limit A$ Balance]]*12%</f>
        <v>#REF!</v>
      </c>
      <c r="AZ43" s="212" t="b">
        <f>IF(Table12118[[#This Row],[Everest]]="Everest",Table12118[[#This Row],[Assetinsure Amount ]]*0.2)</f>
        <v>0</v>
      </c>
      <c r="BA43" s="212"/>
      <c r="BB43" s="212" t="e">
        <f>MIN(Table12118[[#This Row],[Assetinsure Amount ]]-Table12118[[#This Row],[Reinsurance Everest Re]],Table12118[[#This Row],[Total Amount]])</f>
        <v>#REF!</v>
      </c>
      <c r="BC43" s="212">
        <f t="shared" si="2"/>
        <v>0</v>
      </c>
      <c r="BG43" s="18">
        <v>0</v>
      </c>
      <c r="BH43" s="212">
        <v>0</v>
      </c>
      <c r="BI43" s="212">
        <v>0</v>
      </c>
      <c r="BJ43" s="212">
        <v>0</v>
      </c>
      <c r="BK43" s="212">
        <v>0</v>
      </c>
      <c r="BL43" s="212">
        <v>0</v>
      </c>
      <c r="BM43" s="212">
        <v>0</v>
      </c>
      <c r="BN43" s="226">
        <v>0</v>
      </c>
      <c r="BO43" s="226"/>
      <c r="BQ43" s="58" t="s">
        <v>978</v>
      </c>
      <c r="BR43" s="112"/>
      <c r="BS43" s="58"/>
      <c r="BT43" s="288"/>
      <c r="BU43" s="288"/>
    </row>
    <row r="44" spans="1:73" ht="39.950000000000003" customHeight="1" x14ac:dyDescent="0.2">
      <c r="A44" s="269" t="s">
        <v>303</v>
      </c>
      <c r="B44" s="337" t="s">
        <v>23</v>
      </c>
      <c r="C44" s="337" t="s">
        <v>1141</v>
      </c>
      <c r="D44" s="66" t="s">
        <v>38</v>
      </c>
      <c r="E44" s="14" t="s">
        <v>540</v>
      </c>
      <c r="F44" s="130" t="s">
        <v>49</v>
      </c>
      <c r="G44" s="14" t="s">
        <v>544</v>
      </c>
      <c r="H44" s="66" t="s">
        <v>304</v>
      </c>
      <c r="I44" s="14" t="s">
        <v>310</v>
      </c>
      <c r="J44" s="66" t="s">
        <v>142</v>
      </c>
      <c r="K44" s="66" t="s">
        <v>218</v>
      </c>
      <c r="L44" s="14" t="s">
        <v>29</v>
      </c>
      <c r="M44" s="65" t="s">
        <v>191</v>
      </c>
      <c r="N44" s="65" t="s">
        <v>323</v>
      </c>
      <c r="O44" s="13" t="s">
        <v>43</v>
      </c>
      <c r="P44" s="65">
        <v>3</v>
      </c>
      <c r="Q44" s="65" t="s">
        <v>875</v>
      </c>
      <c r="R44" s="65" t="s">
        <v>534</v>
      </c>
      <c r="S44" s="64" t="s">
        <v>59</v>
      </c>
      <c r="T44" s="62" t="e">
        <f>7500/EUR</f>
        <v>#REF!</v>
      </c>
      <c r="U44" s="62">
        <v>5137.5</v>
      </c>
      <c r="V44" s="62" t="e">
        <f>Table12118[[#This Row],[Amortised Limit in Original Currency]]/EUR</f>
        <v>#REF!</v>
      </c>
      <c r="W44" s="62" t="e">
        <f>10000/EUR</f>
        <v>#REF!</v>
      </c>
      <c r="X44" s="62" t="e">
        <f>407389.86/EUR</f>
        <v>#REF!</v>
      </c>
      <c r="Y44" s="62" t="s">
        <v>16</v>
      </c>
      <c r="Z44" s="366">
        <v>0</v>
      </c>
      <c r="AA44" s="61" t="s">
        <v>551</v>
      </c>
      <c r="AB44" s="181">
        <v>2.7E-2</v>
      </c>
      <c r="AC44" s="181"/>
      <c r="AD44" s="60">
        <v>43921</v>
      </c>
      <c r="AE44" s="60">
        <v>45691</v>
      </c>
      <c r="AF44" s="60">
        <v>45691</v>
      </c>
      <c r="AG44" s="58">
        <f t="shared" si="3"/>
        <v>1771</v>
      </c>
      <c r="AH44" s="59" t="e">
        <f t="shared" si="8"/>
        <v>#REF!</v>
      </c>
      <c r="AI44" s="58" t="e">
        <f>AF44-#REF!</f>
        <v>#REF!</v>
      </c>
      <c r="AJ44" s="57" t="e">
        <f t="shared" si="5"/>
        <v>#REF!</v>
      </c>
      <c r="AK44" s="56"/>
      <c r="AL44" s="71" t="s">
        <v>1</v>
      </c>
      <c r="AM44" s="71" t="s">
        <v>1</v>
      </c>
      <c r="AN44" s="70" t="s">
        <v>663</v>
      </c>
      <c r="AO44" s="11" t="e">
        <f t="shared" si="1"/>
        <v>#REF!</v>
      </c>
      <c r="AP44" s="11" t="s">
        <v>271</v>
      </c>
      <c r="AQ44" s="14" t="s">
        <v>395</v>
      </c>
      <c r="AR44" s="11">
        <v>10000</v>
      </c>
      <c r="AS44" s="11">
        <v>45000</v>
      </c>
      <c r="AT44" s="197" t="str">
        <f>Table12118[[#This Row],[Risk Location ]]</f>
        <v>Indonesia</v>
      </c>
      <c r="AU44" s="198" t="str">
        <f>Table12118[[#This Row],[Sector (GICS Industry Group)]]</f>
        <v>Consumer Discretionary</v>
      </c>
      <c r="AV44" s="11">
        <v>1</v>
      </c>
      <c r="AW44" s="214">
        <v>0.1</v>
      </c>
      <c r="AX44" s="212" t="e">
        <f>Table12118[[#This Row],[Percentage Impact]]*Table12118[[#This Row],[Amortised Limit A$ Balance]]</f>
        <v>#REF!</v>
      </c>
      <c r="AY44" s="212" t="e">
        <f>Table12118[[#This Row],[Amortised Limit A$ Balance]]*12%</f>
        <v>#REF!</v>
      </c>
      <c r="AZ44" s="212" t="b">
        <f>IF(Table12118[[#This Row],[Everest]]="Everest",Table12118[[#This Row],[Assetinsure Amount ]]*0.2)</f>
        <v>0</v>
      </c>
      <c r="BA44" s="212"/>
      <c r="BB44" s="212" t="e">
        <f>MIN(Table12118[[#This Row],[Assetinsure Amount ]]-Table12118[[#This Row],[Reinsurance Everest Re]],Table12118[[#This Row],[Total Amount]])</f>
        <v>#REF!</v>
      </c>
      <c r="BC44" s="212">
        <f t="shared" si="2"/>
        <v>1362.4230983803532</v>
      </c>
      <c r="BD44" s="288" t="s">
        <v>1339</v>
      </c>
      <c r="BG44" s="18">
        <v>839.24899736086218</v>
      </c>
      <c r="BH44" s="212">
        <v>1362.4230983803532</v>
      </c>
      <c r="BI44" s="212">
        <v>1371.2443970977135</v>
      </c>
      <c r="BJ44" s="212">
        <v>1357.1439506437439</v>
      </c>
      <c r="BK44" s="212">
        <v>1116.2063338571256</v>
      </c>
      <c r="BL44" s="212">
        <v>1081.0063186093237</v>
      </c>
      <c r="BM44" s="212">
        <v>1411.5699873896597</v>
      </c>
      <c r="BN44" s="226">
        <v>1411.5699873896597</v>
      </c>
      <c r="BO44" s="226">
        <v>1198.713532738429</v>
      </c>
      <c r="BQ44" s="58" t="s">
        <v>979</v>
      </c>
      <c r="BR44" s="112"/>
      <c r="BS44" s="58"/>
      <c r="BT44" s="288"/>
      <c r="BU44" s="288"/>
    </row>
    <row r="45" spans="1:73" ht="39.950000000000003" customHeight="1" x14ac:dyDescent="0.2">
      <c r="A45" s="269" t="s">
        <v>320</v>
      </c>
      <c r="B45" s="337" t="s">
        <v>51</v>
      </c>
      <c r="C45" s="337" t="s">
        <v>1144</v>
      </c>
      <c r="D45" s="66" t="s">
        <v>87</v>
      </c>
      <c r="E45" s="14" t="s">
        <v>542</v>
      </c>
      <c r="F45" s="130" t="s">
        <v>87</v>
      </c>
      <c r="G45" s="14" t="s">
        <v>173</v>
      </c>
      <c r="H45" s="66" t="s">
        <v>316</v>
      </c>
      <c r="I45" s="14" t="s">
        <v>197</v>
      </c>
      <c r="J45" s="77" t="s">
        <v>75</v>
      </c>
      <c r="K45" s="66" t="s">
        <v>21</v>
      </c>
      <c r="L45" s="14" t="s">
        <v>29</v>
      </c>
      <c r="M45" s="65" t="s">
        <v>191</v>
      </c>
      <c r="N45" s="65" t="s">
        <v>59</v>
      </c>
      <c r="O45" s="13" t="s">
        <v>43</v>
      </c>
      <c r="P45" s="65">
        <v>2</v>
      </c>
      <c r="Q45" s="13" t="s">
        <v>538</v>
      </c>
      <c r="R45" s="13" t="s">
        <v>548</v>
      </c>
      <c r="S45" s="64" t="s">
        <v>156</v>
      </c>
      <c r="T45" s="62" t="e">
        <f>10000/GBP</f>
        <v>#REF!</v>
      </c>
      <c r="U45" s="62">
        <v>6500</v>
      </c>
      <c r="V45" s="62" t="e">
        <f>Table12118[[#This Row],[Amortised Limit in Original Currency]]/GBP</f>
        <v>#REF!</v>
      </c>
      <c r="W45" s="62" t="e">
        <f>80000/GBP</f>
        <v>#REF!</v>
      </c>
      <c r="X45" s="62" t="e">
        <f>175390.44/GBP</f>
        <v>#REF!</v>
      </c>
      <c r="Y45" s="62" t="s">
        <v>16</v>
      </c>
      <c r="Z45" s="366">
        <v>0</v>
      </c>
      <c r="AA45" s="61" t="s">
        <v>11</v>
      </c>
      <c r="AB45" s="181">
        <v>7.7000000000000002E-3</v>
      </c>
      <c r="AC45" s="181"/>
      <c r="AD45" s="60">
        <v>43927</v>
      </c>
      <c r="AE45" s="60">
        <v>46081</v>
      </c>
      <c r="AF45" s="60">
        <v>46081</v>
      </c>
      <c r="AG45" s="58">
        <f t="shared" si="3"/>
        <v>2155</v>
      </c>
      <c r="AH45" s="75" t="e">
        <f t="shared" si="8"/>
        <v>#REF!</v>
      </c>
      <c r="AI45" s="58" t="e">
        <f>AF45-#REF!</f>
        <v>#REF!</v>
      </c>
      <c r="AJ45" s="57" t="e">
        <f t="shared" si="5"/>
        <v>#REF!</v>
      </c>
      <c r="AK45" s="56"/>
      <c r="AL45" s="71" t="s">
        <v>1</v>
      </c>
      <c r="AM45" s="71" t="s">
        <v>1</v>
      </c>
      <c r="AN45" s="70" t="s">
        <v>0</v>
      </c>
      <c r="AO45" s="11" t="e">
        <f t="shared" si="1"/>
        <v>#REF!</v>
      </c>
      <c r="AP45" s="11" t="s">
        <v>271</v>
      </c>
      <c r="AQ45" s="13" t="s">
        <v>398</v>
      </c>
      <c r="AR45" s="11">
        <v>10230</v>
      </c>
      <c r="AT45" s="197" t="str">
        <f>Table12118[[#This Row],[Risk Location ]]</f>
        <v>United Kingdom</v>
      </c>
      <c r="AU45" s="198" t="str">
        <f>Table12118[[#This Row],[Sector (GICS Industry Group)]]</f>
        <v>Automobiles &amp; Components</v>
      </c>
      <c r="AX45" s="212" t="e">
        <f>Table12118[[#This Row],[Percentage Impact]]*Table12118[[#This Row],[Amortised Limit A$ Balance]]</f>
        <v>#REF!</v>
      </c>
      <c r="AY45" s="212" t="e">
        <f>Table12118[[#This Row],[Amortised Limit A$ Balance]]*12%</f>
        <v>#REF!</v>
      </c>
      <c r="AZ45" s="212" t="b">
        <f>IF(Table12118[[#This Row],[Everest]]="Everest",Table12118[[#This Row],[Assetinsure Amount ]]*0.2)</f>
        <v>0</v>
      </c>
      <c r="BA45" s="212"/>
      <c r="BB45" s="212" t="e">
        <f>MIN(Table12118[[#This Row],[Assetinsure Amount ]]-Table12118[[#This Row],[Reinsurance Everest Re]],Table12118[[#This Row],[Total Amount]])</f>
        <v>#REF!</v>
      </c>
      <c r="BC45" s="212">
        <f t="shared" si="2"/>
        <v>0</v>
      </c>
      <c r="BG45" s="18">
        <v>0</v>
      </c>
      <c r="BH45" s="212">
        <v>0</v>
      </c>
      <c r="BI45" s="212">
        <v>0</v>
      </c>
      <c r="BJ45" s="212">
        <v>0</v>
      </c>
      <c r="BK45" s="212">
        <v>0</v>
      </c>
      <c r="BL45" s="212">
        <v>0</v>
      </c>
      <c r="BM45" s="212">
        <v>0</v>
      </c>
      <c r="BN45" s="226">
        <v>0</v>
      </c>
      <c r="BO45" s="226"/>
      <c r="BQ45" s="58" t="s">
        <v>980</v>
      </c>
      <c r="BR45" s="112"/>
      <c r="BS45" s="58"/>
      <c r="BT45" s="288"/>
      <c r="BU45" s="288"/>
    </row>
    <row r="46" spans="1:73" ht="39.950000000000003" customHeight="1" x14ac:dyDescent="0.2">
      <c r="A46" s="269" t="s">
        <v>319</v>
      </c>
      <c r="B46" s="337" t="s">
        <v>23</v>
      </c>
      <c r="C46" s="337" t="s">
        <v>1144</v>
      </c>
      <c r="D46" s="66" t="s">
        <v>89</v>
      </c>
      <c r="E46" s="14" t="s">
        <v>542</v>
      </c>
      <c r="F46" s="130" t="s">
        <v>166</v>
      </c>
      <c r="G46" s="14" t="s">
        <v>92</v>
      </c>
      <c r="H46" s="66" t="s">
        <v>134</v>
      </c>
      <c r="I46" s="14" t="s">
        <v>134</v>
      </c>
      <c r="J46" s="66" t="s">
        <v>58</v>
      </c>
      <c r="K46" s="14" t="s">
        <v>220</v>
      </c>
      <c r="L46" s="14" t="s">
        <v>68</v>
      </c>
      <c r="M46" s="65" t="s">
        <v>191</v>
      </c>
      <c r="N46" s="65" t="s">
        <v>59</v>
      </c>
      <c r="O46" s="13" t="s">
        <v>43</v>
      </c>
      <c r="P46" s="65">
        <v>3</v>
      </c>
      <c r="Q46" s="13" t="s">
        <v>539</v>
      </c>
      <c r="R46" s="65" t="s">
        <v>534</v>
      </c>
      <c r="S46" s="64" t="s">
        <v>9</v>
      </c>
      <c r="T46" s="62" t="e">
        <f>20000/USD</f>
        <v>#REF!</v>
      </c>
      <c r="U46" s="62">
        <v>9677.94</v>
      </c>
      <c r="V46" s="62" t="e">
        <f>Table12118[[#This Row],[Amortised Limit in Original Currency]]/USD</f>
        <v>#REF!</v>
      </c>
      <c r="W46" s="62" t="e">
        <f>53400/USD</f>
        <v>#REF!</v>
      </c>
      <c r="X46" s="62" t="e">
        <f>886043/USD</f>
        <v>#REF!</v>
      </c>
      <c r="Y46" s="62" t="s">
        <v>16</v>
      </c>
      <c r="Z46" s="366">
        <v>0</v>
      </c>
      <c r="AA46" s="61" t="s">
        <v>11</v>
      </c>
      <c r="AB46" s="181">
        <v>2.1999999999999999E-2</v>
      </c>
      <c r="AC46" s="181"/>
      <c r="AD46" s="60">
        <v>43943</v>
      </c>
      <c r="AE46" s="60">
        <v>45860</v>
      </c>
      <c r="AF46" s="60">
        <v>45860</v>
      </c>
      <c r="AG46" s="58">
        <f t="shared" si="3"/>
        <v>1918</v>
      </c>
      <c r="AH46" s="59" t="e">
        <f t="shared" si="8"/>
        <v>#REF!</v>
      </c>
      <c r="AI46" s="58" t="e">
        <f>AF46-#REF!</f>
        <v>#REF!</v>
      </c>
      <c r="AJ46" s="57" t="e">
        <f t="shared" si="5"/>
        <v>#REF!</v>
      </c>
      <c r="AK46" s="56" t="s">
        <v>436</v>
      </c>
      <c r="AL46" s="71" t="s">
        <v>1</v>
      </c>
      <c r="AM46" s="71" t="s">
        <v>1</v>
      </c>
      <c r="AN46" s="187" t="s">
        <v>1205</v>
      </c>
      <c r="AO46" s="11" t="e">
        <f t="shared" si="1"/>
        <v>#REF!</v>
      </c>
      <c r="AP46" s="11" t="s">
        <v>271</v>
      </c>
      <c r="AQ46" s="13" t="s">
        <v>402</v>
      </c>
      <c r="AR46" s="11">
        <v>6000</v>
      </c>
      <c r="AT46" s="197" t="str">
        <f>Table12118[[#This Row],[Risk Location ]]</f>
        <v>France</v>
      </c>
      <c r="AU46" s="198" t="str">
        <f>Table12118[[#This Row],[Sector (GICS Industry Group)]]</f>
        <v>Transportation</v>
      </c>
      <c r="AX46" s="212" t="e">
        <f>Table12118[[#This Row],[Percentage Impact]]*Table12118[[#This Row],[Amortised Limit A$ Balance]]</f>
        <v>#REF!</v>
      </c>
      <c r="AY46" s="212" t="e">
        <f>Table12118[[#This Row],[Amortised Limit A$ Balance]]*12%</f>
        <v>#REF!</v>
      </c>
      <c r="AZ46" s="212" t="e">
        <f>IF(Table12118[[#This Row],[Everest]]="Everest",Table12118[[#This Row],[Assetinsure Amount ]]*0.2)</f>
        <v>#REF!</v>
      </c>
      <c r="BA46" s="212"/>
      <c r="BB46" s="212" t="e">
        <f>MIN(Table12118[[#This Row],[Assetinsure Amount ]]-Table12118[[#This Row],[Reinsurance Everest Re]],Table12118[[#This Row],[Total Amount]])</f>
        <v>#REF!</v>
      </c>
      <c r="BC46" s="212">
        <f t="shared" si="2"/>
        <v>0</v>
      </c>
      <c r="BG46" s="18">
        <v>0</v>
      </c>
      <c r="BH46" s="212">
        <v>0</v>
      </c>
      <c r="BI46" s="212">
        <v>0</v>
      </c>
      <c r="BJ46" s="212">
        <v>0</v>
      </c>
      <c r="BK46" s="212">
        <v>0</v>
      </c>
      <c r="BL46" s="212">
        <v>0</v>
      </c>
      <c r="BM46" s="212">
        <v>0</v>
      </c>
      <c r="BN46" s="226">
        <v>0</v>
      </c>
      <c r="BO46" s="226"/>
      <c r="BQ46" s="58" t="s">
        <v>934</v>
      </c>
      <c r="BR46" s="112"/>
      <c r="BS46" s="58"/>
      <c r="BT46" s="288"/>
      <c r="BU46" s="288"/>
    </row>
    <row r="47" spans="1:73" ht="39.950000000000003" customHeight="1" x14ac:dyDescent="0.2">
      <c r="A47" s="269" t="s">
        <v>318</v>
      </c>
      <c r="B47" s="337" t="s">
        <v>1333</v>
      </c>
      <c r="C47" s="337" t="s">
        <v>1142</v>
      </c>
      <c r="D47" s="66" t="s">
        <v>38</v>
      </c>
      <c r="E47" s="14" t="s">
        <v>540</v>
      </c>
      <c r="F47" s="161" t="s">
        <v>36</v>
      </c>
      <c r="G47" s="14" t="s">
        <v>102</v>
      </c>
      <c r="H47" s="14" t="s">
        <v>102</v>
      </c>
      <c r="I47" s="130" t="s">
        <v>473</v>
      </c>
      <c r="J47" s="133" t="s">
        <v>706</v>
      </c>
      <c r="K47" s="14" t="s">
        <v>220</v>
      </c>
      <c r="L47" s="14" t="s">
        <v>101</v>
      </c>
      <c r="M47" s="65" t="s">
        <v>191</v>
      </c>
      <c r="N47" s="65" t="s">
        <v>323</v>
      </c>
      <c r="O47" s="13" t="s">
        <v>43</v>
      </c>
      <c r="P47" s="65">
        <v>2</v>
      </c>
      <c r="Q47" s="13" t="s">
        <v>531</v>
      </c>
      <c r="R47" s="65" t="s">
        <v>534</v>
      </c>
      <c r="S47" s="64" t="s">
        <v>238</v>
      </c>
      <c r="T47" s="62" t="e">
        <f>14100/SGD</f>
        <v>#REF!</v>
      </c>
      <c r="U47" s="62">
        <v>14100</v>
      </c>
      <c r="V47" s="62" t="e">
        <f>T47</f>
        <v>#REF!</v>
      </c>
      <c r="W47" s="62" t="e">
        <f>51700/SGD</f>
        <v>#REF!</v>
      </c>
      <c r="X47" s="62" t="e">
        <f>782511.34/SGD</f>
        <v>#REF!</v>
      </c>
      <c r="Y47" s="62" t="s">
        <v>16</v>
      </c>
      <c r="Z47" s="366">
        <v>0</v>
      </c>
      <c r="AA47" s="61" t="s">
        <v>11</v>
      </c>
      <c r="AB47" s="181">
        <v>2.3E-2</v>
      </c>
      <c r="AC47" s="181"/>
      <c r="AD47" s="60">
        <v>43948</v>
      </c>
      <c r="AE47" s="60">
        <v>45748</v>
      </c>
      <c r="AF47" s="60">
        <v>45748</v>
      </c>
      <c r="AG47" s="58">
        <f t="shared" si="3"/>
        <v>1801</v>
      </c>
      <c r="AH47" s="59" t="e">
        <f t="shared" si="8"/>
        <v>#REF!</v>
      </c>
      <c r="AI47" s="58" t="e">
        <f>AF47-#REF!</f>
        <v>#REF!</v>
      </c>
      <c r="AJ47" s="57" t="e">
        <f t="shared" si="5"/>
        <v>#REF!</v>
      </c>
      <c r="AK47" s="56"/>
      <c r="AL47" s="71" t="s">
        <v>1</v>
      </c>
      <c r="AM47" s="71" t="s">
        <v>1</v>
      </c>
      <c r="AN47" s="70" t="s">
        <v>0</v>
      </c>
      <c r="AO47" s="11" t="e">
        <f t="shared" si="1"/>
        <v>#REF!</v>
      </c>
      <c r="AP47" s="11" t="s">
        <v>271</v>
      </c>
      <c r="AQ47" s="14" t="s">
        <v>400</v>
      </c>
      <c r="AR47" s="11">
        <v>15933</v>
      </c>
      <c r="AT47" s="197" t="str">
        <f>Table12118[[#This Row],[Risk Location ]]</f>
        <v>China</v>
      </c>
      <c r="AU47" s="198" t="str">
        <f>Table12118[[#This Row],[Sector (GICS Industry Group)]]</f>
        <v>Real Estate Investment</v>
      </c>
      <c r="AX47" s="212" t="e">
        <f>Table12118[[#This Row],[Percentage Impact]]*Table12118[[#This Row],[Amortised Limit A$ Balance]]</f>
        <v>#REF!</v>
      </c>
      <c r="AY47" s="212" t="e">
        <f>Table12118[[#This Row],[Amortised Limit A$ Balance]]*12%</f>
        <v>#REF!</v>
      </c>
      <c r="AZ47" s="212" t="b">
        <f>IF(Table12118[[#This Row],[Everest]]="Everest",Table12118[[#This Row],[Assetinsure Amount ]]*0.2)</f>
        <v>0</v>
      </c>
      <c r="BA47" s="212"/>
      <c r="BB47" s="212" t="e">
        <f>MIN(Table12118[[#This Row],[Assetinsure Amount ]]-Table12118[[#This Row],[Reinsurance Everest Re]],Table12118[[#This Row],[Total Amount]])</f>
        <v>#REF!</v>
      </c>
      <c r="BC47" s="212">
        <f t="shared" si="2"/>
        <v>0</v>
      </c>
      <c r="BG47" s="18">
        <v>0</v>
      </c>
      <c r="BH47" s="212">
        <v>0</v>
      </c>
      <c r="BI47" s="212">
        <v>0</v>
      </c>
      <c r="BJ47" s="212">
        <v>0</v>
      </c>
      <c r="BK47" s="212">
        <v>0</v>
      </c>
      <c r="BL47" s="212">
        <v>0</v>
      </c>
      <c r="BM47" s="212">
        <v>0</v>
      </c>
      <c r="BN47" s="226">
        <v>0</v>
      </c>
      <c r="BO47" s="226"/>
      <c r="BQ47" s="58" t="s">
        <v>987</v>
      </c>
      <c r="BR47" s="112"/>
      <c r="BS47" s="58"/>
      <c r="BT47" s="288"/>
      <c r="BU47" s="288"/>
    </row>
    <row r="48" spans="1:73" ht="39.950000000000003" customHeight="1" x14ac:dyDescent="0.2">
      <c r="A48" s="269" t="s">
        <v>404</v>
      </c>
      <c r="B48" s="337" t="s">
        <v>67</v>
      </c>
      <c r="C48" s="337" t="s">
        <v>243</v>
      </c>
      <c r="D48" s="66" t="s">
        <v>87</v>
      </c>
      <c r="E48" s="14" t="s">
        <v>34</v>
      </c>
      <c r="F48" s="130" t="s">
        <v>34</v>
      </c>
      <c r="G48" s="14" t="s">
        <v>891</v>
      </c>
      <c r="H48" s="66" t="s">
        <v>167</v>
      </c>
      <c r="I48" s="131" t="s">
        <v>167</v>
      </c>
      <c r="J48" s="66" t="s">
        <v>298</v>
      </c>
      <c r="K48" s="14" t="s">
        <v>218</v>
      </c>
      <c r="L48" s="14" t="s">
        <v>209</v>
      </c>
      <c r="M48" s="65" t="s">
        <v>191</v>
      </c>
      <c r="N48" s="65" t="s">
        <v>59</v>
      </c>
      <c r="O48" s="13" t="s">
        <v>43</v>
      </c>
      <c r="P48" s="65">
        <v>3</v>
      </c>
      <c r="Q48" s="13" t="s">
        <v>531</v>
      </c>
      <c r="R48" s="65" t="s">
        <v>534</v>
      </c>
      <c r="S48" s="64" t="s">
        <v>8</v>
      </c>
      <c r="T48" s="62">
        <v>30000</v>
      </c>
      <c r="U48" s="62">
        <v>30000</v>
      </c>
      <c r="V48" s="62">
        <v>30000</v>
      </c>
      <c r="W48" s="62">
        <v>60000</v>
      </c>
      <c r="X48" s="62">
        <f>3639452.05-656449.37</f>
        <v>2983002.6799999997</v>
      </c>
      <c r="Y48" s="62" t="s">
        <v>16</v>
      </c>
      <c r="Z48" s="366">
        <v>0</v>
      </c>
      <c r="AA48" s="61" t="s">
        <v>11</v>
      </c>
      <c r="AB48" s="181">
        <v>4.4999999999999998E-2</v>
      </c>
      <c r="AC48" s="181"/>
      <c r="AD48" s="60">
        <v>43955</v>
      </c>
      <c r="AE48" s="60">
        <v>45768</v>
      </c>
      <c r="AF48" s="60">
        <v>45768</v>
      </c>
      <c r="AG48" s="58">
        <f t="shared" si="3"/>
        <v>1814</v>
      </c>
      <c r="AH48" s="59" t="e">
        <f t="shared" si="8"/>
        <v>#REF!</v>
      </c>
      <c r="AI48" s="58" t="e">
        <f>AF48-#REF!</f>
        <v>#REF!</v>
      </c>
      <c r="AJ48" s="57" t="e">
        <f t="shared" si="5"/>
        <v>#REF!</v>
      </c>
      <c r="AK48" s="56" t="s">
        <v>436</v>
      </c>
      <c r="AL48" s="71" t="s">
        <v>1</v>
      </c>
      <c r="AM48" s="71" t="s">
        <v>1</v>
      </c>
      <c r="AN48" s="70" t="s">
        <v>0</v>
      </c>
      <c r="AO48" s="11" t="e">
        <f t="shared" si="1"/>
        <v>#REF!</v>
      </c>
      <c r="AP48" s="11" t="s">
        <v>271</v>
      </c>
      <c r="AQ48" s="13" t="s">
        <v>406</v>
      </c>
      <c r="AR48" s="11">
        <v>12267.5</v>
      </c>
      <c r="AT48" s="197" t="str">
        <f>Table12118[[#This Row],[Risk Location ]]</f>
        <v>Australia</v>
      </c>
      <c r="AU48" s="198" t="str">
        <f>Table12118[[#This Row],[Sector (GICS Industry Group)]]</f>
        <v>Information Technology - Hardware &amp; Equipment</v>
      </c>
      <c r="AX48" s="212">
        <f>Table12118[[#This Row],[Percentage Impact]]*Table12118[[#This Row],[Amortised Limit A$ Balance]]</f>
        <v>0</v>
      </c>
      <c r="AY48" s="212">
        <f>Table12118[[#This Row],[Amortised Limit A$ Balance]]*12%</f>
        <v>3600</v>
      </c>
      <c r="AZ48" s="212">
        <f>IF(Table12118[[#This Row],[Everest]]="Everest",Table12118[[#This Row],[Assetinsure Amount ]]*0.2)</f>
        <v>720</v>
      </c>
      <c r="BA48" s="212"/>
      <c r="BB48" s="212">
        <f>MIN(Table12118[[#This Row],[Assetinsure Amount ]]-Table12118[[#This Row],[Reinsurance Everest Re]],Table12118[[#This Row],[Total Amount]])</f>
        <v>0</v>
      </c>
      <c r="BC48" s="212">
        <f t="shared" si="2"/>
        <v>0</v>
      </c>
      <c r="BG48" s="18">
        <v>0</v>
      </c>
      <c r="BH48" s="212">
        <v>0</v>
      </c>
      <c r="BI48" s="212">
        <v>0</v>
      </c>
      <c r="BJ48" s="212">
        <v>0</v>
      </c>
      <c r="BK48" s="212">
        <v>0</v>
      </c>
      <c r="BL48" s="212">
        <v>0</v>
      </c>
      <c r="BM48" s="212">
        <v>0</v>
      </c>
      <c r="BN48" s="226">
        <v>0</v>
      </c>
      <c r="BO48" s="226"/>
      <c r="BQ48" s="58" t="s">
        <v>988</v>
      </c>
      <c r="BR48" s="112"/>
      <c r="BS48" s="58"/>
      <c r="BT48" s="288"/>
      <c r="BU48" s="288"/>
    </row>
    <row r="49" spans="1:73" ht="39.950000000000003" customHeight="1" x14ac:dyDescent="0.2">
      <c r="A49" s="269" t="s">
        <v>405</v>
      </c>
      <c r="B49" s="337" t="s">
        <v>1335</v>
      </c>
      <c r="C49" s="337" t="s">
        <v>1143</v>
      </c>
      <c r="D49" s="66" t="s">
        <v>34</v>
      </c>
      <c r="E49" s="14" t="s">
        <v>34</v>
      </c>
      <c r="F49" s="130" t="s">
        <v>34</v>
      </c>
      <c r="G49" s="14" t="s">
        <v>102</v>
      </c>
      <c r="H49" s="14" t="s">
        <v>102</v>
      </c>
      <c r="I49" s="130" t="s">
        <v>473</v>
      </c>
      <c r="J49" s="66" t="s">
        <v>409</v>
      </c>
      <c r="K49" s="14" t="s">
        <v>408</v>
      </c>
      <c r="L49" s="14" t="s">
        <v>29</v>
      </c>
      <c r="M49" s="65" t="s">
        <v>191</v>
      </c>
      <c r="N49" s="13" t="s">
        <v>323</v>
      </c>
      <c r="O49" s="13" t="s">
        <v>43</v>
      </c>
      <c r="P49" s="65">
        <v>2</v>
      </c>
      <c r="Q49" s="13" t="s">
        <v>533</v>
      </c>
      <c r="R49" s="65" t="s">
        <v>534</v>
      </c>
      <c r="S49" s="64" t="s">
        <v>8</v>
      </c>
      <c r="T49" s="62">
        <v>25000</v>
      </c>
      <c r="U49" s="62">
        <v>25000</v>
      </c>
      <c r="V49" s="62">
        <v>25000</v>
      </c>
      <c r="W49" s="62">
        <v>50000</v>
      </c>
      <c r="X49" s="62">
        <v>1429880.14</v>
      </c>
      <c r="Y49" s="62"/>
      <c r="Z49" s="366"/>
      <c r="AA49" s="61" t="s">
        <v>11</v>
      </c>
      <c r="AB49" s="181">
        <v>2.1999999999999999E-2</v>
      </c>
      <c r="AC49" s="181"/>
      <c r="AD49" s="60">
        <v>43957</v>
      </c>
      <c r="AE49" s="60">
        <v>45628</v>
      </c>
      <c r="AF49" s="60">
        <v>45628</v>
      </c>
      <c r="AG49" s="58">
        <f t="shared" si="3"/>
        <v>1672</v>
      </c>
      <c r="AH49" s="59" t="e">
        <f t="shared" si="8"/>
        <v>#REF!</v>
      </c>
      <c r="AI49" s="58" t="e">
        <f>AF49-#REF!</f>
        <v>#REF!</v>
      </c>
      <c r="AJ49" s="57" t="e">
        <f t="shared" si="5"/>
        <v>#REF!</v>
      </c>
      <c r="AK49" s="56" t="s">
        <v>436</v>
      </c>
      <c r="AL49" s="71" t="s">
        <v>1</v>
      </c>
      <c r="AM49" s="71" t="s">
        <v>1</v>
      </c>
      <c r="AN49" s="70" t="s">
        <v>0</v>
      </c>
      <c r="AO49" s="11" t="e">
        <f t="shared" si="1"/>
        <v>#REF!</v>
      </c>
      <c r="AP49" s="11" t="s">
        <v>271</v>
      </c>
      <c r="AQ49" s="13" t="s">
        <v>407</v>
      </c>
      <c r="AR49" s="11">
        <v>4500</v>
      </c>
      <c r="AT49" s="197" t="str">
        <f>Table12118[[#This Row],[Risk Location ]]</f>
        <v>Australia</v>
      </c>
      <c r="AU49" s="198" t="str">
        <f>Table12118[[#This Row],[Sector (GICS Industry Group)]]</f>
        <v>Real Estate Investment</v>
      </c>
      <c r="AX49" s="212">
        <f>Table12118[[#This Row],[Percentage Impact]]*Table12118[[#This Row],[Amortised Limit A$ Balance]]</f>
        <v>0</v>
      </c>
      <c r="AY49" s="212">
        <f>Table12118[[#This Row],[Amortised Limit A$ Balance]]*12%</f>
        <v>3000</v>
      </c>
      <c r="AZ49" s="212">
        <f>IF(Table12118[[#This Row],[Everest]]="Everest",Table12118[[#This Row],[Assetinsure Amount ]]*0.2)</f>
        <v>600</v>
      </c>
      <c r="BA49" s="212"/>
      <c r="BB49" s="212">
        <f>MIN(Table12118[[#This Row],[Assetinsure Amount ]]-Table12118[[#This Row],[Reinsurance Everest Re]],Table12118[[#This Row],[Total Amount]])</f>
        <v>0</v>
      </c>
      <c r="BC49" s="212">
        <f t="shared" si="2"/>
        <v>0</v>
      </c>
      <c r="BG49" s="18">
        <v>0</v>
      </c>
      <c r="BH49" s="212">
        <v>0</v>
      </c>
      <c r="BI49" s="212">
        <v>0</v>
      </c>
      <c r="BJ49" s="212">
        <v>0</v>
      </c>
      <c r="BK49" s="212">
        <v>0</v>
      </c>
      <c r="BL49" s="212">
        <v>0</v>
      </c>
      <c r="BM49" s="212">
        <v>0</v>
      </c>
      <c r="BN49" s="226">
        <v>0</v>
      </c>
      <c r="BO49" s="226"/>
      <c r="BQ49" s="58" t="s">
        <v>989</v>
      </c>
      <c r="BR49" s="112"/>
      <c r="BS49" s="58"/>
      <c r="BT49" s="288"/>
      <c r="BU49" s="288"/>
    </row>
    <row r="50" spans="1:73" s="229" customFormat="1" ht="39.950000000000003" customHeight="1" x14ac:dyDescent="0.2">
      <c r="A50" s="269" t="s">
        <v>412</v>
      </c>
      <c r="B50" s="337" t="s">
        <v>307</v>
      </c>
      <c r="C50" s="337" t="s">
        <v>1141</v>
      </c>
      <c r="D50" s="133" t="s">
        <v>87</v>
      </c>
      <c r="E50" s="131" t="s">
        <v>469</v>
      </c>
      <c r="F50" s="145" t="s">
        <v>413</v>
      </c>
      <c r="G50" s="131" t="s">
        <v>48</v>
      </c>
      <c r="H50" s="131" t="s">
        <v>95</v>
      </c>
      <c r="I50" s="145" t="s">
        <v>521</v>
      </c>
      <c r="J50" s="131" t="s">
        <v>181</v>
      </c>
      <c r="K50" s="131" t="s">
        <v>33</v>
      </c>
      <c r="L50" s="131" t="s">
        <v>140</v>
      </c>
      <c r="M50" s="270" t="s">
        <v>191</v>
      </c>
      <c r="N50" s="269" t="s">
        <v>59</v>
      </c>
      <c r="O50" s="269" t="s">
        <v>43</v>
      </c>
      <c r="P50" s="270">
        <v>4</v>
      </c>
      <c r="Q50" s="269" t="s">
        <v>538</v>
      </c>
      <c r="R50" s="270" t="s">
        <v>534</v>
      </c>
      <c r="S50" s="135" t="s">
        <v>9</v>
      </c>
      <c r="T50" s="62" t="e">
        <f>7500/USD</f>
        <v>#REF!</v>
      </c>
      <c r="U50" s="62">
        <v>7500</v>
      </c>
      <c r="V50" s="62" t="e">
        <f>7500/USD</f>
        <v>#REF!</v>
      </c>
      <c r="W50" s="62" t="e">
        <f>25000/USD</f>
        <v>#REF!</v>
      </c>
      <c r="X50" s="62" t="e">
        <f>756612.84/USD</f>
        <v>#REF!</v>
      </c>
      <c r="Y50" s="62"/>
      <c r="Z50" s="366"/>
      <c r="AA50" s="61" t="s">
        <v>11</v>
      </c>
      <c r="AB50" s="181">
        <v>3.7499999999999999E-2</v>
      </c>
      <c r="AC50" s="181"/>
      <c r="AD50" s="271">
        <v>43965</v>
      </c>
      <c r="AE50" s="271">
        <v>47238</v>
      </c>
      <c r="AF50" s="271">
        <v>47238</v>
      </c>
      <c r="AG50" s="272">
        <f t="shared" si="3"/>
        <v>3274</v>
      </c>
      <c r="AH50" s="139" t="e">
        <f t="shared" si="8"/>
        <v>#REF!</v>
      </c>
      <c r="AI50" s="272" t="e">
        <f>AF50-#REF!</f>
        <v>#REF!</v>
      </c>
      <c r="AJ50" s="273" t="e">
        <f t="shared" si="5"/>
        <v>#REF!</v>
      </c>
      <c r="AK50" s="274"/>
      <c r="AL50" s="275" t="s">
        <v>1</v>
      </c>
      <c r="AM50" s="275" t="s">
        <v>1</v>
      </c>
      <c r="AN50" s="163" t="s">
        <v>0</v>
      </c>
      <c r="AO50" s="229" t="e">
        <f t="shared" si="1"/>
        <v>#REF!</v>
      </c>
      <c r="AP50" s="229" t="s">
        <v>271</v>
      </c>
      <c r="AQ50" s="269" t="s">
        <v>416</v>
      </c>
      <c r="AR50" s="229">
        <v>10237</v>
      </c>
      <c r="AT50" s="323" t="str">
        <f>Table12118[[#This Row],[Risk Location ]]</f>
        <v>Nigeria</v>
      </c>
      <c r="AU50" s="324" t="str">
        <f>Table12118[[#This Row],[Sector (GICS Industry Group)]]</f>
        <v>Energy</v>
      </c>
      <c r="AX50" s="278" t="e">
        <f>Table12118[[#This Row],[Percentage Impact]]*Table12118[[#This Row],[Amortised Limit A$ Balance]]</f>
        <v>#REF!</v>
      </c>
      <c r="AY50" s="278" t="e">
        <f>Table12118[[#This Row],[Amortised Limit A$ Balance]]*12%</f>
        <v>#REF!</v>
      </c>
      <c r="AZ50" s="278" t="b">
        <f>IF(Table12118[[#This Row],[Everest]]="Everest",Table12118[[#This Row],[Assetinsure Amount ]]*0.2)</f>
        <v>0</v>
      </c>
      <c r="BA50" s="278"/>
      <c r="BB50" s="278" t="e">
        <f>MIN(Table12118[[#This Row],[Assetinsure Amount ]]-Table12118[[#This Row],[Reinsurance Everest Re]],Table12118[[#This Row],[Total Amount]])</f>
        <v>#REF!</v>
      </c>
      <c r="BC50" s="212">
        <f t="shared" si="2"/>
        <v>0</v>
      </c>
      <c r="BG50" s="18">
        <v>0</v>
      </c>
      <c r="BH50" s="278">
        <v>0</v>
      </c>
      <c r="BI50" s="278">
        <v>0</v>
      </c>
      <c r="BJ50" s="278">
        <v>0</v>
      </c>
      <c r="BK50" s="278">
        <v>0</v>
      </c>
      <c r="BL50" s="278">
        <v>0</v>
      </c>
      <c r="BM50" s="278">
        <v>0</v>
      </c>
      <c r="BN50" s="226">
        <v>0</v>
      </c>
      <c r="BO50" s="226"/>
      <c r="BQ50" s="272" t="s">
        <v>990</v>
      </c>
      <c r="BR50" s="276"/>
      <c r="BS50" s="272"/>
      <c r="BT50" s="299"/>
      <c r="BU50" s="299"/>
    </row>
    <row r="51" spans="1:73" ht="39.950000000000003" customHeight="1" x14ac:dyDescent="0.2">
      <c r="A51" s="269" t="s">
        <v>410</v>
      </c>
      <c r="B51" s="337" t="s">
        <v>23</v>
      </c>
      <c r="C51" s="337" t="s">
        <v>1144</v>
      </c>
      <c r="D51" s="66" t="s">
        <v>34</v>
      </c>
      <c r="E51" s="14" t="s">
        <v>34</v>
      </c>
      <c r="F51" s="130" t="s">
        <v>34</v>
      </c>
      <c r="G51" s="14" t="s">
        <v>543</v>
      </c>
      <c r="H51" s="131" t="s">
        <v>133</v>
      </c>
      <c r="I51" s="130" t="s">
        <v>133</v>
      </c>
      <c r="J51" s="66" t="s">
        <v>232</v>
      </c>
      <c r="K51" s="14" t="s">
        <v>21</v>
      </c>
      <c r="L51" s="14" t="s">
        <v>44</v>
      </c>
      <c r="M51" s="65" t="s">
        <v>191</v>
      </c>
      <c r="N51" s="13" t="s">
        <v>323</v>
      </c>
      <c r="O51" s="13" t="s">
        <v>43</v>
      </c>
      <c r="P51" s="65">
        <v>2</v>
      </c>
      <c r="Q51" s="13" t="s">
        <v>533</v>
      </c>
      <c r="R51" s="65" t="s">
        <v>534</v>
      </c>
      <c r="S51" s="64" t="s">
        <v>9</v>
      </c>
      <c r="T51" s="62" t="e">
        <f>20000/USD</f>
        <v>#REF!</v>
      </c>
      <c r="U51" s="62">
        <v>20000</v>
      </c>
      <c r="V51" s="62" t="e">
        <f>20000/USD</f>
        <v>#REF!</v>
      </c>
      <c r="W51" s="62" t="e">
        <f>46700/USD</f>
        <v>#REF!</v>
      </c>
      <c r="X51" s="62" t="e">
        <f>660880.66/USD</f>
        <v>#REF!</v>
      </c>
      <c r="Y51" s="62" t="s">
        <v>16</v>
      </c>
      <c r="Z51" s="366">
        <v>0</v>
      </c>
      <c r="AA51" s="61" t="s">
        <v>11</v>
      </c>
      <c r="AB51" s="181">
        <v>2.1000000000000001E-2</v>
      </c>
      <c r="AC51" s="181"/>
      <c r="AD51" s="60">
        <v>43966</v>
      </c>
      <c r="AE51" s="60">
        <v>45823</v>
      </c>
      <c r="AF51" s="60">
        <v>45823</v>
      </c>
      <c r="AG51" s="72">
        <f t="shared" si="3"/>
        <v>1858</v>
      </c>
      <c r="AH51" s="59" t="e">
        <f t="shared" si="8"/>
        <v>#REF!</v>
      </c>
      <c r="AI51" s="58" t="e">
        <f>AF51-#REF!</f>
        <v>#REF!</v>
      </c>
      <c r="AJ51" s="57" t="e">
        <f t="shared" si="5"/>
        <v>#REF!</v>
      </c>
      <c r="AK51" s="56" t="s">
        <v>436</v>
      </c>
      <c r="AL51" s="71" t="s">
        <v>1</v>
      </c>
      <c r="AM51" s="71" t="s">
        <v>1</v>
      </c>
      <c r="AN51" s="70" t="s">
        <v>0</v>
      </c>
      <c r="AO51" s="11" t="e">
        <f t="shared" si="1"/>
        <v>#REF!</v>
      </c>
      <c r="AP51" s="11" t="s">
        <v>271</v>
      </c>
      <c r="AQ51" s="13" t="s">
        <v>418</v>
      </c>
      <c r="AR51" s="11">
        <v>6000</v>
      </c>
      <c r="AT51" s="197" t="str">
        <f>Table12118[[#This Row],[Risk Location ]]</f>
        <v>Australia</v>
      </c>
      <c r="AU51" s="198" t="str">
        <f>Table12118[[#This Row],[Sector (GICS Industry Group)]]</f>
        <v>Industrials</v>
      </c>
      <c r="AX51" s="212" t="e">
        <f>Table12118[[#This Row],[Percentage Impact]]*Table12118[[#This Row],[Amortised Limit A$ Balance]]</f>
        <v>#REF!</v>
      </c>
      <c r="AY51" s="212" t="e">
        <f>Table12118[[#This Row],[Amortised Limit A$ Balance]]*12%</f>
        <v>#REF!</v>
      </c>
      <c r="AZ51" s="212" t="e">
        <f>IF(Table12118[[#This Row],[Everest]]="Everest",Table12118[[#This Row],[Assetinsure Amount ]]*0.2)</f>
        <v>#REF!</v>
      </c>
      <c r="BA51" s="212"/>
      <c r="BB51" s="212" t="e">
        <f>MIN(Table12118[[#This Row],[Assetinsure Amount ]]-Table12118[[#This Row],[Reinsurance Everest Re]],Table12118[[#This Row],[Total Amount]])</f>
        <v>#REF!</v>
      </c>
      <c r="BC51" s="212">
        <f t="shared" si="2"/>
        <v>0</v>
      </c>
      <c r="BG51" s="18">
        <v>0</v>
      </c>
      <c r="BH51" s="212">
        <v>0</v>
      </c>
      <c r="BI51" s="212">
        <v>0</v>
      </c>
      <c r="BJ51" s="212">
        <v>0</v>
      </c>
      <c r="BK51" s="212">
        <v>0</v>
      </c>
      <c r="BL51" s="212">
        <v>0</v>
      </c>
      <c r="BM51" s="212">
        <v>0</v>
      </c>
      <c r="BN51" s="226">
        <v>0</v>
      </c>
      <c r="BO51" s="226"/>
      <c r="BQ51" s="58" t="s">
        <v>992</v>
      </c>
      <c r="BR51" s="112"/>
      <c r="BS51" s="58"/>
      <c r="BT51" s="288"/>
      <c r="BU51" s="288"/>
    </row>
    <row r="52" spans="1:73" ht="39.950000000000003" customHeight="1" x14ac:dyDescent="0.2">
      <c r="A52" s="269" t="s">
        <v>414</v>
      </c>
      <c r="B52" s="337" t="s">
        <v>1248</v>
      </c>
      <c r="C52" s="337" t="s">
        <v>1142</v>
      </c>
      <c r="D52" s="66" t="s">
        <v>166</v>
      </c>
      <c r="E52" s="14" t="s">
        <v>542</v>
      </c>
      <c r="F52" s="130" t="s">
        <v>166</v>
      </c>
      <c r="G52" s="14" t="s">
        <v>102</v>
      </c>
      <c r="H52" s="14" t="s">
        <v>102</v>
      </c>
      <c r="I52" s="66" t="s">
        <v>122</v>
      </c>
      <c r="J52" s="66" t="s">
        <v>704</v>
      </c>
      <c r="K52" s="14" t="s">
        <v>220</v>
      </c>
      <c r="L52" s="14" t="s">
        <v>101</v>
      </c>
      <c r="M52" s="65" t="s">
        <v>191</v>
      </c>
      <c r="N52" s="13" t="s">
        <v>59</v>
      </c>
      <c r="O52" s="13" t="s">
        <v>43</v>
      </c>
      <c r="P52" s="65">
        <v>2</v>
      </c>
      <c r="Q52" s="13" t="s">
        <v>531</v>
      </c>
      <c r="R52" s="65" t="s">
        <v>534</v>
      </c>
      <c r="S52" s="64" t="s">
        <v>59</v>
      </c>
      <c r="T52" s="62" t="e">
        <f>15000/EUR</f>
        <v>#REF!</v>
      </c>
      <c r="U52" s="62">
        <v>15000</v>
      </c>
      <c r="V52" s="62" t="e">
        <f>15000/EUR</f>
        <v>#REF!</v>
      </c>
      <c r="W52" s="62" t="e">
        <f>53000/EUR</f>
        <v>#REF!</v>
      </c>
      <c r="X52" s="62" t="e">
        <f>577470/EUR</f>
        <v>#REF!</v>
      </c>
      <c r="Y52" s="62" t="s">
        <v>16</v>
      </c>
      <c r="Z52" s="366">
        <v>0</v>
      </c>
      <c r="AA52" s="61" t="s">
        <v>11</v>
      </c>
      <c r="AB52" s="181">
        <v>1.2E-2</v>
      </c>
      <c r="AC52" s="181"/>
      <c r="AD52" s="60">
        <v>43966</v>
      </c>
      <c r="AE52" s="60">
        <v>46523</v>
      </c>
      <c r="AF52" s="60">
        <v>46523</v>
      </c>
      <c r="AG52" s="58">
        <f t="shared" si="3"/>
        <v>2558</v>
      </c>
      <c r="AH52" s="59" t="e">
        <f t="shared" si="8"/>
        <v>#REF!</v>
      </c>
      <c r="AI52" s="58" t="e">
        <f>AF52-#REF!</f>
        <v>#REF!</v>
      </c>
      <c r="AJ52" s="57" t="e">
        <f t="shared" si="5"/>
        <v>#REF!</v>
      </c>
      <c r="AK52" s="56"/>
      <c r="AL52" s="71" t="s">
        <v>1</v>
      </c>
      <c r="AM52" s="71" t="s">
        <v>1</v>
      </c>
      <c r="AN52" s="70" t="s">
        <v>0</v>
      </c>
      <c r="AO52" s="11" t="e">
        <f t="shared" si="1"/>
        <v>#REF!</v>
      </c>
      <c r="AP52" s="11" t="s">
        <v>271</v>
      </c>
      <c r="AQ52" s="13" t="s">
        <v>415</v>
      </c>
      <c r="AR52" s="11">
        <v>8850</v>
      </c>
      <c r="AT52" s="197" t="str">
        <f>Table12118[[#This Row],[Risk Location ]]</f>
        <v>France</v>
      </c>
      <c r="AU52" s="198" t="str">
        <f>Table12118[[#This Row],[Sector (GICS Industry Group)]]</f>
        <v>Real Estate Investment</v>
      </c>
      <c r="AX52" s="212" t="e">
        <f>Table12118[[#This Row],[Percentage Impact]]*Table12118[[#This Row],[Amortised Limit A$ Balance]]</f>
        <v>#REF!</v>
      </c>
      <c r="AY52" s="212" t="e">
        <f>Table12118[[#This Row],[Amortised Limit A$ Balance]]*12%</f>
        <v>#REF!</v>
      </c>
      <c r="AZ52" s="212" t="b">
        <f>IF(Table12118[[#This Row],[Everest]]="Everest",Table12118[[#This Row],[Assetinsure Amount ]]*0.2)</f>
        <v>0</v>
      </c>
      <c r="BA52" s="212"/>
      <c r="BB52" s="212" t="e">
        <f>MIN(Table12118[[#This Row],[Assetinsure Amount ]]-Table12118[[#This Row],[Reinsurance Everest Re]],Table12118[[#This Row],[Total Amount]])</f>
        <v>#REF!</v>
      </c>
      <c r="BC52" s="212">
        <f t="shared" si="2"/>
        <v>0</v>
      </c>
      <c r="BG52" s="18">
        <v>0</v>
      </c>
      <c r="BH52" s="212">
        <v>0</v>
      </c>
      <c r="BI52" s="212">
        <v>0</v>
      </c>
      <c r="BJ52" s="212">
        <v>0</v>
      </c>
      <c r="BK52" s="212">
        <v>0</v>
      </c>
      <c r="BL52" s="212">
        <v>0</v>
      </c>
      <c r="BM52" s="212">
        <v>0</v>
      </c>
      <c r="BN52" s="226">
        <v>0</v>
      </c>
      <c r="BO52" s="226"/>
      <c r="BQ52" s="58" t="s">
        <v>993</v>
      </c>
      <c r="BR52" s="112"/>
      <c r="BS52" s="58"/>
      <c r="BT52" s="288"/>
      <c r="BU52" s="288"/>
    </row>
    <row r="53" spans="1:73" s="293" customFormat="1" ht="39.950000000000003" customHeight="1" x14ac:dyDescent="0.2">
      <c r="A53" s="269" t="s">
        <v>419</v>
      </c>
      <c r="B53" s="337" t="s">
        <v>51</v>
      </c>
      <c r="C53" s="337" t="s">
        <v>1144</v>
      </c>
      <c r="D53" s="133" t="s">
        <v>166</v>
      </c>
      <c r="E53" s="131" t="s">
        <v>542</v>
      </c>
      <c r="F53" s="145" t="s">
        <v>166</v>
      </c>
      <c r="G53" s="131" t="s">
        <v>102</v>
      </c>
      <c r="H53" s="131" t="s">
        <v>102</v>
      </c>
      <c r="I53" s="133" t="s">
        <v>110</v>
      </c>
      <c r="J53" s="133" t="s">
        <v>145</v>
      </c>
      <c r="K53" s="131" t="s">
        <v>221</v>
      </c>
      <c r="L53" s="131" t="s">
        <v>101</v>
      </c>
      <c r="M53" s="270" t="s">
        <v>191</v>
      </c>
      <c r="N53" s="269" t="s">
        <v>59</v>
      </c>
      <c r="O53" s="269" t="s">
        <v>43</v>
      </c>
      <c r="P53" s="65">
        <v>2</v>
      </c>
      <c r="Q53" s="269" t="s">
        <v>538</v>
      </c>
      <c r="R53" s="270" t="s">
        <v>534</v>
      </c>
      <c r="S53" s="135" t="s">
        <v>59</v>
      </c>
      <c r="T53" s="62" t="e">
        <f>20000/EUR</f>
        <v>#REF!</v>
      </c>
      <c r="U53" s="62">
        <v>20000</v>
      </c>
      <c r="V53" s="62" t="e">
        <f>Table12118[[#This Row],[Original Limit (A$)]]</f>
        <v>#REF!</v>
      </c>
      <c r="W53" s="62" t="e">
        <f>65000/EUR</f>
        <v>#REF!</v>
      </c>
      <c r="X53" s="62" t="e">
        <f>1644278.14/EUR</f>
        <v>#REF!</v>
      </c>
      <c r="Y53" s="62"/>
      <c r="Z53" s="366"/>
      <c r="AA53" s="61" t="s">
        <v>11</v>
      </c>
      <c r="AB53" s="181">
        <v>2.5000000000000001E-2</v>
      </c>
      <c r="AC53" s="181"/>
      <c r="AD53" s="271">
        <v>44966</v>
      </c>
      <c r="AE53" s="271">
        <v>47158</v>
      </c>
      <c r="AF53" s="271">
        <v>47169</v>
      </c>
      <c r="AG53" s="272">
        <f t="shared" si="3"/>
        <v>2204</v>
      </c>
      <c r="AH53" s="139" t="e">
        <f t="shared" si="8"/>
        <v>#REF!</v>
      </c>
      <c r="AI53" s="272" t="e">
        <f>AF53-#REF!</f>
        <v>#REF!</v>
      </c>
      <c r="AJ53" s="273" t="e">
        <f t="shared" si="5"/>
        <v>#REF!</v>
      </c>
      <c r="AK53" s="274" t="s">
        <v>436</v>
      </c>
      <c r="AL53" s="275" t="s">
        <v>1</v>
      </c>
      <c r="AM53" s="275" t="s">
        <v>1</v>
      </c>
      <c r="AN53" s="163" t="s">
        <v>0</v>
      </c>
      <c r="AO53" s="229" t="e">
        <f t="shared" si="1"/>
        <v>#REF!</v>
      </c>
      <c r="AP53" s="229" t="s">
        <v>271</v>
      </c>
      <c r="AQ53" s="269" t="s">
        <v>420</v>
      </c>
      <c r="AR53" s="293">
        <v>3367.5</v>
      </c>
      <c r="AT53" s="333" t="str">
        <f>Table12118[[#This Row],[Risk Location ]]</f>
        <v>France</v>
      </c>
      <c r="AU53" s="334" t="str">
        <f>Table12118[[#This Row],[Sector (GICS Industry Group)]]</f>
        <v>Real Estate Investment</v>
      </c>
      <c r="AX53" s="335" t="e">
        <f>Table12118[[#This Row],[Percentage Impact]]*Table12118[[#This Row],[Amortised Limit A$ Balance]]</f>
        <v>#REF!</v>
      </c>
      <c r="AY53" s="335" t="e">
        <f>Table12118[[#This Row],[Amortised Limit A$ Balance]]*12%</f>
        <v>#REF!</v>
      </c>
      <c r="AZ53" s="335" t="e">
        <f>IF(Table12118[[#This Row],[Everest]]="Everest",Table12118[[#This Row],[Assetinsure Amount ]]*0.2)</f>
        <v>#REF!</v>
      </c>
      <c r="BA53" s="335"/>
      <c r="BB53" s="335" t="e">
        <f>MIN(Table12118[[#This Row],[Assetinsure Amount ]]-Table12118[[#This Row],[Reinsurance Everest Re]],Table12118[[#This Row],[Total Amount]])</f>
        <v>#REF!</v>
      </c>
      <c r="BC53" s="212">
        <f t="shared" si="2"/>
        <v>0</v>
      </c>
      <c r="BG53" s="382">
        <v>0</v>
      </c>
      <c r="BH53" s="335">
        <v>0</v>
      </c>
      <c r="BI53" s="335">
        <v>0</v>
      </c>
      <c r="BJ53" s="335">
        <v>0</v>
      </c>
      <c r="BK53" s="335">
        <v>0</v>
      </c>
      <c r="BL53" s="335">
        <v>0</v>
      </c>
      <c r="BM53" s="335">
        <v>0</v>
      </c>
      <c r="BN53" s="336">
        <v>0</v>
      </c>
      <c r="BO53" s="336"/>
      <c r="BQ53" s="272" t="s">
        <v>1239</v>
      </c>
      <c r="BR53" s="294"/>
      <c r="BS53" s="295"/>
      <c r="BT53" s="288"/>
      <c r="BU53" s="288"/>
    </row>
    <row r="54" spans="1:73" ht="39.950000000000003" customHeight="1" x14ac:dyDescent="0.2">
      <c r="A54" s="269" t="s">
        <v>421</v>
      </c>
      <c r="B54" s="337" t="s">
        <v>51</v>
      </c>
      <c r="C54" s="337" t="s">
        <v>1142</v>
      </c>
      <c r="D54" s="66" t="s">
        <v>127</v>
      </c>
      <c r="E54" s="14" t="s">
        <v>499</v>
      </c>
      <c r="F54" s="130" t="s">
        <v>162</v>
      </c>
      <c r="G54" s="14" t="s">
        <v>475</v>
      </c>
      <c r="H54" s="131" t="s">
        <v>227</v>
      </c>
      <c r="I54" s="130" t="s">
        <v>422</v>
      </c>
      <c r="J54" s="14" t="s">
        <v>158</v>
      </c>
      <c r="K54" s="14" t="s">
        <v>220</v>
      </c>
      <c r="L54" s="14" t="s">
        <v>209</v>
      </c>
      <c r="M54" s="65" t="s">
        <v>191</v>
      </c>
      <c r="N54" s="13" t="s">
        <v>59</v>
      </c>
      <c r="O54" s="13" t="s">
        <v>43</v>
      </c>
      <c r="P54" s="65">
        <v>2</v>
      </c>
      <c r="Q54" s="13" t="s">
        <v>533</v>
      </c>
      <c r="R54" s="65" t="s">
        <v>534</v>
      </c>
      <c r="S54" s="64" t="s">
        <v>9</v>
      </c>
      <c r="T54" s="62" t="e">
        <f>20000/USD</f>
        <v>#REF!</v>
      </c>
      <c r="U54" s="62">
        <v>23054.400000000001</v>
      </c>
      <c r="V54" s="62" t="e">
        <f>Table12118[[#This Row],[Amortised Limit in Original Currency]]/USD</f>
        <v>#REF!</v>
      </c>
      <c r="W54" s="62" t="e">
        <f>350000/USD</f>
        <v>#REF!</v>
      </c>
      <c r="X54" s="62" t="e">
        <f>1064165.42/USD</f>
        <v>#REF!</v>
      </c>
      <c r="Y54" s="62" t="s">
        <v>16</v>
      </c>
      <c r="Z54" s="366">
        <v>0</v>
      </c>
      <c r="AA54" s="61" t="s">
        <v>11</v>
      </c>
      <c r="AB54" s="181">
        <v>1.7500000000000002E-2</v>
      </c>
      <c r="AC54" s="181"/>
      <c r="AD54" s="60">
        <v>44530</v>
      </c>
      <c r="AE54" s="60">
        <v>46386</v>
      </c>
      <c r="AF54" s="60">
        <v>46386</v>
      </c>
      <c r="AG54" s="72">
        <f t="shared" si="3"/>
        <v>1857</v>
      </c>
      <c r="AH54" s="59" t="e">
        <f t="shared" si="8"/>
        <v>#REF!</v>
      </c>
      <c r="AI54" s="58" t="e">
        <f>AF54-#REF!</f>
        <v>#REF!</v>
      </c>
      <c r="AJ54" s="57" t="e">
        <f t="shared" si="5"/>
        <v>#REF!</v>
      </c>
      <c r="AK54" s="56" t="s">
        <v>436</v>
      </c>
      <c r="AL54" s="71" t="s">
        <v>1</v>
      </c>
      <c r="AM54" s="71" t="s">
        <v>1</v>
      </c>
      <c r="AN54" s="70" t="s">
        <v>1204</v>
      </c>
      <c r="AO54" s="11" t="e">
        <f t="shared" si="1"/>
        <v>#REF!</v>
      </c>
      <c r="AP54" s="11" t="s">
        <v>271</v>
      </c>
      <c r="AQ54" s="13" t="s">
        <v>423</v>
      </c>
      <c r="AR54" s="11">
        <v>8500</v>
      </c>
      <c r="AT54" s="197" t="str">
        <f>Table12118[[#This Row],[Risk Location ]]</f>
        <v>United States</v>
      </c>
      <c r="AU54" s="198" t="str">
        <f>Table12118[[#This Row],[Sector (GICS Industry Group)]]</f>
        <v>Health Care</v>
      </c>
      <c r="AX54" s="212" t="e">
        <f>Table12118[[#This Row],[Percentage Impact]]*Table12118[[#This Row],[Amortised Limit A$ Balance]]</f>
        <v>#REF!</v>
      </c>
      <c r="AY54" s="212" t="e">
        <f>Table12118[[#This Row],[Amortised Limit A$ Balance]]*12%</f>
        <v>#REF!</v>
      </c>
      <c r="AZ54" s="212" t="e">
        <f>IF(Table12118[[#This Row],[Everest]]="Everest",Table12118[[#This Row],[Assetinsure Amount ]]*0.2)</f>
        <v>#REF!</v>
      </c>
      <c r="BA54" s="212"/>
      <c r="BB54" s="212" t="e">
        <f>MIN(Table12118[[#This Row],[Assetinsure Amount ]]-Table12118[[#This Row],[Reinsurance Everest Re]],Table12118[[#This Row],[Total Amount]])</f>
        <v>#REF!</v>
      </c>
      <c r="BC54" s="212">
        <f t="shared" si="2"/>
        <v>0</v>
      </c>
      <c r="BG54" s="18">
        <v>0</v>
      </c>
      <c r="BH54" s="212">
        <v>0</v>
      </c>
      <c r="BI54" s="212">
        <v>0</v>
      </c>
      <c r="BJ54" s="212">
        <v>0</v>
      </c>
      <c r="BK54" s="212">
        <v>0</v>
      </c>
      <c r="BL54" s="212">
        <v>0</v>
      </c>
      <c r="BM54" s="212">
        <v>0</v>
      </c>
      <c r="BN54" s="226">
        <v>0</v>
      </c>
      <c r="BO54" s="226"/>
      <c r="BQ54" s="58" t="s">
        <v>995</v>
      </c>
      <c r="BR54" s="112"/>
      <c r="BS54" s="58"/>
      <c r="BT54" s="288"/>
      <c r="BU54" s="288"/>
    </row>
    <row r="55" spans="1:73" s="21" customFormat="1" ht="39.950000000000003" customHeight="1" x14ac:dyDescent="0.2">
      <c r="A55" s="269" t="s">
        <v>424</v>
      </c>
      <c r="B55" s="337" t="s">
        <v>1335</v>
      </c>
      <c r="C55" s="337" t="s">
        <v>1142</v>
      </c>
      <c r="D55" s="66" t="s">
        <v>87</v>
      </c>
      <c r="E55" s="14" t="s">
        <v>541</v>
      </c>
      <c r="F55" s="130" t="s">
        <v>425</v>
      </c>
      <c r="G55" s="14" t="s">
        <v>439</v>
      </c>
      <c r="H55" s="131" t="s">
        <v>445</v>
      </c>
      <c r="I55" s="68" t="s">
        <v>463</v>
      </c>
      <c r="J55" s="66" t="s">
        <v>298</v>
      </c>
      <c r="K55" s="66" t="s">
        <v>218</v>
      </c>
      <c r="L55" s="65" t="s">
        <v>45</v>
      </c>
      <c r="M55" s="65" t="s">
        <v>191</v>
      </c>
      <c r="N55" s="65" t="s">
        <v>59</v>
      </c>
      <c r="O55" s="13" t="s">
        <v>43</v>
      </c>
      <c r="P55" s="65">
        <v>2</v>
      </c>
      <c r="Q55" s="65" t="s">
        <v>875</v>
      </c>
      <c r="R55" s="65" t="s">
        <v>534</v>
      </c>
      <c r="S55" s="64" t="s">
        <v>9</v>
      </c>
      <c r="T55" s="62" t="e">
        <f>10000/USD</f>
        <v>#REF!</v>
      </c>
      <c r="U55" s="62">
        <v>10000</v>
      </c>
      <c r="V55" s="62" t="e">
        <f>Table12118[[#This Row],[Original Limit (A$)]]</f>
        <v>#REF!</v>
      </c>
      <c r="W55" s="62" t="e">
        <f>58000/USD</f>
        <v>#REF!</v>
      </c>
      <c r="X55" s="62" t="e">
        <f>(441885.38+315216.55)/USD</f>
        <v>#REF!</v>
      </c>
      <c r="Y55" s="62" t="s">
        <v>16</v>
      </c>
      <c r="Z55" s="366">
        <v>0</v>
      </c>
      <c r="AA55" s="61" t="s">
        <v>551</v>
      </c>
      <c r="AB55" s="181">
        <v>2.2499999999999999E-2</v>
      </c>
      <c r="AC55" s="181"/>
      <c r="AD55" s="60">
        <v>44006</v>
      </c>
      <c r="AE55" s="60">
        <v>47634</v>
      </c>
      <c r="AF55" s="60">
        <v>47634</v>
      </c>
      <c r="AG55" s="72">
        <f t="shared" si="3"/>
        <v>3629</v>
      </c>
      <c r="AH55" s="59" t="e">
        <f t="shared" si="8"/>
        <v>#REF!</v>
      </c>
      <c r="AI55" s="58" t="e">
        <f>AF55-#REF!</f>
        <v>#REF!</v>
      </c>
      <c r="AJ55" s="57" t="e">
        <f t="shared" si="5"/>
        <v>#REF!</v>
      </c>
      <c r="AK55" s="56"/>
      <c r="AL55" s="71" t="s">
        <v>1</v>
      </c>
      <c r="AM55" s="71" t="s">
        <v>1</v>
      </c>
      <c r="AN55" s="187" t="s">
        <v>1123</v>
      </c>
      <c r="AO55" s="11" t="e">
        <f t="shared" si="1"/>
        <v>#REF!</v>
      </c>
      <c r="AP55" s="11" t="s">
        <v>271</v>
      </c>
      <c r="AQ55" s="13" t="s">
        <v>426</v>
      </c>
      <c r="AR55" s="11">
        <v>8075</v>
      </c>
      <c r="AS55" s="11"/>
      <c r="AT55" s="197" t="str">
        <f>Table12118[[#This Row],[Risk Location ]]</f>
        <v>Taiwan</v>
      </c>
      <c r="AU55" s="198" t="str">
        <f>Table12118[[#This Row],[Sector (GICS Industry Group)]]</f>
        <v>Utilities</v>
      </c>
      <c r="AV55" s="11">
        <v>1</v>
      </c>
      <c r="AW55" s="214">
        <v>0.15</v>
      </c>
      <c r="AX55" s="212" t="e">
        <f>Table12118[[#This Row],[Percentage Impact]]*Table12118[[#This Row],[Amortised Limit A$ Balance]]</f>
        <v>#REF!</v>
      </c>
      <c r="AY55" s="212" t="e">
        <f>Table12118[[#This Row],[Amortised Limit A$ Balance]]*12%</f>
        <v>#REF!</v>
      </c>
      <c r="AZ55" s="212" t="b">
        <f>IF(Table12118[[#This Row],[Everest]]="Everest",Table12118[[#This Row],[Assetinsure Amount ]]*0.2)</f>
        <v>0</v>
      </c>
      <c r="BA55" s="212"/>
      <c r="BB55" s="212" t="e">
        <f>MIN(Table12118[[#This Row],[Assetinsure Amount ]]-Table12118[[#This Row],[Reinsurance Everest Re]],Table12118[[#This Row],[Total Amount]])</f>
        <v>#REF!</v>
      </c>
      <c r="BC55" s="212">
        <f t="shared" si="2"/>
        <v>1800.0563417634974</v>
      </c>
      <c r="BD55" s="12" t="s">
        <v>1219</v>
      </c>
      <c r="BG55" s="383">
        <v>1797.4860539797642</v>
      </c>
      <c r="BH55" s="259">
        <v>1800.0563417634974</v>
      </c>
      <c r="BI55" s="259">
        <v>1089.7148585265334</v>
      </c>
      <c r="BJ55" s="259">
        <v>1180.3959835059336</v>
      </c>
      <c r="BK55" s="259">
        <v>1104.110234365799</v>
      </c>
      <c r="BL55" s="212">
        <v>1008.41691989136</v>
      </c>
      <c r="BM55" s="212">
        <v>1044.902963344804</v>
      </c>
      <c r="BN55" s="228">
        <v>1671.8447413516865</v>
      </c>
      <c r="BO55" s="228">
        <v>692.13732004429676</v>
      </c>
      <c r="BQ55" s="58" t="s">
        <v>996</v>
      </c>
      <c r="BR55" s="112"/>
      <c r="BS55" s="58"/>
      <c r="BT55" s="288"/>
      <c r="BU55" s="288"/>
    </row>
    <row r="56" spans="1:73" s="229" customFormat="1" ht="39.950000000000003" customHeight="1" x14ac:dyDescent="0.2">
      <c r="A56" s="269" t="s">
        <v>465</v>
      </c>
      <c r="B56" s="337" t="s">
        <v>1333</v>
      </c>
      <c r="C56" s="337" t="s">
        <v>243</v>
      </c>
      <c r="D56" s="133" t="s">
        <v>34</v>
      </c>
      <c r="E56" s="131" t="s">
        <v>34</v>
      </c>
      <c r="F56" s="145" t="s">
        <v>34</v>
      </c>
      <c r="G56" s="131" t="s">
        <v>233</v>
      </c>
      <c r="H56" s="131" t="s">
        <v>443</v>
      </c>
      <c r="I56" s="131" t="s">
        <v>234</v>
      </c>
      <c r="J56" s="133" t="s">
        <v>706</v>
      </c>
      <c r="K56" s="133" t="s">
        <v>220</v>
      </c>
      <c r="L56" s="270" t="s">
        <v>29</v>
      </c>
      <c r="M56" s="270" t="s">
        <v>191</v>
      </c>
      <c r="N56" s="270" t="s">
        <v>323</v>
      </c>
      <c r="O56" s="269" t="s">
        <v>43</v>
      </c>
      <c r="P56" s="65">
        <v>2</v>
      </c>
      <c r="Q56" s="269" t="s">
        <v>538</v>
      </c>
      <c r="R56" s="270" t="s">
        <v>534</v>
      </c>
      <c r="S56" s="135" t="s">
        <v>8</v>
      </c>
      <c r="T56" s="62">
        <f>15000-3985.507</f>
        <v>11014.493</v>
      </c>
      <c r="U56" s="62">
        <f>15000-3985.507</f>
        <v>11014.493</v>
      </c>
      <c r="V56" s="62">
        <f>15000-3985.507</f>
        <v>11014.493</v>
      </c>
      <c r="W56" s="62">
        <v>95000</v>
      </c>
      <c r="X56" s="62">
        <f>394028.14+32000+533.2-55033</f>
        <v>371528.34</v>
      </c>
      <c r="Y56" s="62" t="s">
        <v>16</v>
      </c>
      <c r="Z56" s="366">
        <v>0</v>
      </c>
      <c r="AA56" s="61" t="s">
        <v>11</v>
      </c>
      <c r="AB56" s="181">
        <v>1.2500000000000001E-2</v>
      </c>
      <c r="AC56" s="181"/>
      <c r="AD56" s="271">
        <v>44014</v>
      </c>
      <c r="AE56" s="271">
        <v>45478</v>
      </c>
      <c r="AF56" s="271">
        <v>45478</v>
      </c>
      <c r="AG56" s="325">
        <f t="shared" si="3"/>
        <v>1465</v>
      </c>
      <c r="AH56" s="139" t="s">
        <v>10</v>
      </c>
      <c r="AI56" s="272" t="e">
        <f>AF56-#REF!</f>
        <v>#REF!</v>
      </c>
      <c r="AJ56" s="273" t="e">
        <f t="shared" si="5"/>
        <v>#REF!</v>
      </c>
      <c r="AK56" s="274"/>
      <c r="AL56" s="326" t="s">
        <v>1</v>
      </c>
      <c r="AM56" s="326" t="s">
        <v>1</v>
      </c>
      <c r="AN56" s="142" t="s">
        <v>0</v>
      </c>
      <c r="AO56" s="229" t="e">
        <f t="shared" si="1"/>
        <v>#REF!</v>
      </c>
      <c r="AP56" s="277" t="s">
        <v>271</v>
      </c>
      <c r="AQ56" s="269" t="s">
        <v>466</v>
      </c>
      <c r="AR56" s="229">
        <v>8000</v>
      </c>
      <c r="AT56" s="323" t="str">
        <f>Table12118[[#This Row],[Risk Location ]]</f>
        <v>Australia</v>
      </c>
      <c r="AU56" s="324" t="str">
        <f>Table12118[[#This Row],[Sector (GICS Industry Group)]]</f>
        <v>Telecommunication Services</v>
      </c>
      <c r="AX56" s="278">
        <f>Table12118[[#This Row],[Percentage Impact]]*Table12118[[#This Row],[Amortised Limit A$ Balance]]</f>
        <v>0</v>
      </c>
      <c r="AY56" s="278">
        <f>Table12118[[#This Row],[Amortised Limit A$ Balance]]*12%</f>
        <v>1321.7391600000001</v>
      </c>
      <c r="AZ56" s="278" t="b">
        <f>IF(Table12118[[#This Row],[Everest]]="Everest",Table12118[[#This Row],[Assetinsure Amount ]]*0.2)</f>
        <v>0</v>
      </c>
      <c r="BA56" s="278"/>
      <c r="BB56" s="278">
        <f>MIN(Table12118[[#This Row],[Assetinsure Amount ]]-Table12118[[#This Row],[Reinsurance Everest Re]],Table12118[[#This Row],[Total Amount]])</f>
        <v>0</v>
      </c>
      <c r="BC56" s="212">
        <f t="shared" si="2"/>
        <v>0</v>
      </c>
      <c r="BG56" s="18">
        <v>0</v>
      </c>
      <c r="BH56" s="278">
        <v>0</v>
      </c>
      <c r="BI56" s="278">
        <v>0</v>
      </c>
      <c r="BJ56" s="278">
        <v>0</v>
      </c>
      <c r="BK56" s="278">
        <v>0</v>
      </c>
      <c r="BL56" s="278">
        <v>0</v>
      </c>
      <c r="BM56" s="278">
        <v>0</v>
      </c>
      <c r="BN56" s="226">
        <v>0</v>
      </c>
      <c r="BO56" s="226"/>
      <c r="BQ56" s="272" t="s">
        <v>997</v>
      </c>
      <c r="BR56" s="276"/>
      <c r="BS56" s="272"/>
      <c r="BT56" s="288"/>
      <c r="BU56" s="288"/>
    </row>
    <row r="57" spans="1:73" s="229" customFormat="1" ht="39.950000000000003" customHeight="1" x14ac:dyDescent="0.2">
      <c r="A57" s="132" t="s">
        <v>520</v>
      </c>
      <c r="B57" s="337" t="s">
        <v>307</v>
      </c>
      <c r="C57" s="337" t="s">
        <v>1141</v>
      </c>
      <c r="D57" s="133" t="s">
        <v>87</v>
      </c>
      <c r="E57" s="131" t="s">
        <v>469</v>
      </c>
      <c r="F57" s="145" t="s">
        <v>413</v>
      </c>
      <c r="G57" s="133" t="s">
        <v>48</v>
      </c>
      <c r="H57" s="131" t="s">
        <v>95</v>
      </c>
      <c r="I57" s="145" t="s">
        <v>521</v>
      </c>
      <c r="J57" s="131" t="s">
        <v>522</v>
      </c>
      <c r="K57" s="133" t="s">
        <v>219</v>
      </c>
      <c r="L57" s="133" t="s">
        <v>45</v>
      </c>
      <c r="M57" s="134" t="s">
        <v>191</v>
      </c>
      <c r="N57" s="134" t="s">
        <v>59</v>
      </c>
      <c r="O57" s="132" t="s">
        <v>43</v>
      </c>
      <c r="P57" s="65">
        <v>4</v>
      </c>
      <c r="Q57" s="132" t="s">
        <v>538</v>
      </c>
      <c r="R57" s="270" t="s">
        <v>534</v>
      </c>
      <c r="S57" s="135" t="s">
        <v>9</v>
      </c>
      <c r="T57" s="136" t="e">
        <f>Table12118[[#This Row],[Amortised Limit in Original Currency]]/USD</f>
        <v>#REF!</v>
      </c>
      <c r="U57" s="62">
        <v>10000</v>
      </c>
      <c r="V57" s="136" t="e">
        <f>10000/USD</f>
        <v>#REF!</v>
      </c>
      <c r="W57" s="136" t="e">
        <f>100000/USD</f>
        <v>#REF!</v>
      </c>
      <c r="X57" s="62" t="e">
        <f>(1394802-49500.98-83464.99-34228.12-6318.71)/USD</f>
        <v>#REF!</v>
      </c>
      <c r="Y57" s="62"/>
      <c r="Z57" s="366"/>
      <c r="AA57" s="147" t="s">
        <v>11</v>
      </c>
      <c r="AB57" s="181">
        <v>3.7499999999999999E-2</v>
      </c>
      <c r="AC57" s="181"/>
      <c r="AD57" s="137">
        <v>44039</v>
      </c>
      <c r="AE57" s="137">
        <v>47238</v>
      </c>
      <c r="AF57" s="137">
        <v>47238</v>
      </c>
      <c r="AG57" s="138">
        <f t="shared" si="3"/>
        <v>3200</v>
      </c>
      <c r="AH57" s="139" t="s">
        <v>10</v>
      </c>
      <c r="AI57" s="138" t="e">
        <f>AF57-#REF!</f>
        <v>#REF!</v>
      </c>
      <c r="AJ57" s="140" t="e">
        <f t="shared" si="5"/>
        <v>#REF!</v>
      </c>
      <c r="AK57" s="274"/>
      <c r="AL57" s="141" t="s">
        <v>1</v>
      </c>
      <c r="AM57" s="141" t="s">
        <v>1</v>
      </c>
      <c r="AN57" s="142" t="s">
        <v>523</v>
      </c>
      <c r="AO57" s="229" t="e">
        <f t="shared" si="1"/>
        <v>#REF!</v>
      </c>
      <c r="AP57" s="277" t="s">
        <v>271</v>
      </c>
      <c r="AQ57" s="132" t="s">
        <v>519</v>
      </c>
      <c r="AS57" s="304"/>
      <c r="AT57" s="197" t="str">
        <f>Table12118[[#This Row],[Risk Location ]]</f>
        <v>Nigeria</v>
      </c>
      <c r="AU57" s="198" t="str">
        <f>Table12118[[#This Row],[Sector (GICS Industry Group)]]</f>
        <v>Energy</v>
      </c>
      <c r="AV57" s="201"/>
      <c r="AX57" s="212" t="e">
        <f>Table12118[[#This Row],[Percentage Impact]]*Table12118[[#This Row],[Amortised Limit A$ Balance]]</f>
        <v>#REF!</v>
      </c>
      <c r="AY57" s="212" t="e">
        <f>Table12118[[#This Row],[Amortised Limit A$ Balance]]*12%</f>
        <v>#REF!</v>
      </c>
      <c r="AZ57" s="212" t="b">
        <f>IF(Table12118[[#This Row],[Everest]]="Everest",Table12118[[#This Row],[Assetinsure Amount ]]*0.2)</f>
        <v>0</v>
      </c>
      <c r="BA57" s="278"/>
      <c r="BB57" s="212" t="e">
        <f>MIN(Table12118[[#This Row],[Assetinsure Amount ]]-Table12118[[#This Row],[Reinsurance Everest Re]],Table12118[[#This Row],[Total Amount]])</f>
        <v>#REF!</v>
      </c>
      <c r="BC57" s="212">
        <f t="shared" si="2"/>
        <v>0</v>
      </c>
      <c r="BG57" s="18">
        <v>0</v>
      </c>
      <c r="BH57" s="278">
        <v>0</v>
      </c>
      <c r="BI57" s="278">
        <v>0</v>
      </c>
      <c r="BJ57" s="278">
        <v>0</v>
      </c>
      <c r="BK57" s="278">
        <v>0</v>
      </c>
      <c r="BL57" s="278">
        <v>0</v>
      </c>
      <c r="BM57" s="278">
        <v>0</v>
      </c>
      <c r="BN57" s="226">
        <v>0</v>
      </c>
      <c r="BO57" s="226"/>
      <c r="BQ57" s="138" t="s">
        <v>991</v>
      </c>
      <c r="BR57" s="276"/>
      <c r="BS57" s="272"/>
      <c r="BT57" s="288"/>
      <c r="BU57" s="288"/>
    </row>
    <row r="58" spans="1:73" ht="39.950000000000003" customHeight="1" x14ac:dyDescent="0.2">
      <c r="A58" s="269" t="s">
        <v>492</v>
      </c>
      <c r="B58" s="337" t="s">
        <v>1337</v>
      </c>
      <c r="C58" s="337" t="s">
        <v>1142</v>
      </c>
      <c r="D58" s="66" t="s">
        <v>34</v>
      </c>
      <c r="E58" s="14" t="s">
        <v>34</v>
      </c>
      <c r="F58" s="130" t="s">
        <v>34</v>
      </c>
      <c r="G58" s="14" t="s">
        <v>102</v>
      </c>
      <c r="H58" s="14" t="s">
        <v>102</v>
      </c>
      <c r="I58" s="66" t="s">
        <v>122</v>
      </c>
      <c r="J58" s="66" t="s">
        <v>70</v>
      </c>
      <c r="K58" s="66" t="s">
        <v>218</v>
      </c>
      <c r="L58" s="65" t="s">
        <v>101</v>
      </c>
      <c r="M58" s="65" t="s">
        <v>191</v>
      </c>
      <c r="N58" s="65" t="s">
        <v>323</v>
      </c>
      <c r="O58" s="13" t="s">
        <v>43</v>
      </c>
      <c r="P58" s="65">
        <v>2</v>
      </c>
      <c r="Q58" s="13" t="s">
        <v>531</v>
      </c>
      <c r="R58" s="65" t="s">
        <v>534</v>
      </c>
      <c r="S58" s="64" t="s">
        <v>8</v>
      </c>
      <c r="T58" s="62">
        <f>25000</f>
        <v>25000</v>
      </c>
      <c r="U58" s="62">
        <v>25000</v>
      </c>
      <c r="V58" s="62">
        <v>25000</v>
      </c>
      <c r="W58" s="62">
        <v>50000</v>
      </c>
      <c r="X58" s="62">
        <v>1166537.21</v>
      </c>
      <c r="Y58" s="62" t="s">
        <v>16</v>
      </c>
      <c r="Z58" s="366">
        <v>0</v>
      </c>
      <c r="AA58" s="61" t="s">
        <v>11</v>
      </c>
      <c r="AB58" s="181">
        <v>1.7999999999999999E-2</v>
      </c>
      <c r="AC58" s="181"/>
      <c r="AD58" s="60">
        <v>44064</v>
      </c>
      <c r="AE58" s="60">
        <v>45674</v>
      </c>
      <c r="AF58" s="60">
        <v>45674</v>
      </c>
      <c r="AG58" s="72">
        <f t="shared" si="3"/>
        <v>1611</v>
      </c>
      <c r="AH58" s="59" t="e">
        <f t="shared" ref="AH58:AH63" si="9">IF(AF58-$A$1&gt;60,"No","Yes")</f>
        <v>#REF!</v>
      </c>
      <c r="AI58" s="58" t="e">
        <f>AF58-#REF!</f>
        <v>#REF!</v>
      </c>
      <c r="AJ58" s="57" t="e">
        <f t="shared" si="5"/>
        <v>#REF!</v>
      </c>
      <c r="AK58" s="56" t="s">
        <v>436</v>
      </c>
      <c r="AL58" s="71" t="s">
        <v>1</v>
      </c>
      <c r="AM58" s="71" t="s">
        <v>1</v>
      </c>
      <c r="AN58" s="70" t="s">
        <v>0</v>
      </c>
      <c r="AO58" s="11" t="e">
        <f t="shared" si="1"/>
        <v>#REF!</v>
      </c>
      <c r="AP58" s="11" t="s">
        <v>271</v>
      </c>
      <c r="AQ58" s="13" t="s">
        <v>478</v>
      </c>
      <c r="AR58" s="11">
        <v>8815</v>
      </c>
      <c r="AS58" s="52">
        <v>125000</v>
      </c>
      <c r="AT58" s="197" t="str">
        <f>Table12118[[#This Row],[Risk Location ]]</f>
        <v>Australia</v>
      </c>
      <c r="AU58" s="198" t="str">
        <f>Table12118[[#This Row],[Sector (GICS Industry Group)]]</f>
        <v>Real Estate Investment</v>
      </c>
      <c r="AV58" s="201"/>
      <c r="AX58" s="212">
        <f>Table12118[[#This Row],[Percentage Impact]]*Table12118[[#This Row],[Amortised Limit A$ Balance]]</f>
        <v>0</v>
      </c>
      <c r="AY58" s="212">
        <f>Table12118[[#This Row],[Amortised Limit A$ Balance]]*12%</f>
        <v>3000</v>
      </c>
      <c r="AZ58" s="212">
        <f>IF(Table12118[[#This Row],[Everest]]="Everest",Table12118[[#This Row],[Assetinsure Amount ]]*0.2)</f>
        <v>600</v>
      </c>
      <c r="BA58" s="212"/>
      <c r="BB58" s="212">
        <f>MIN(Table12118[[#This Row],[Assetinsure Amount ]]-Table12118[[#This Row],[Reinsurance Everest Re]],Table12118[[#This Row],[Total Amount]])</f>
        <v>0</v>
      </c>
      <c r="BC58" s="212">
        <f t="shared" si="2"/>
        <v>0</v>
      </c>
      <c r="BG58" s="18">
        <v>0</v>
      </c>
      <c r="BH58" s="212">
        <v>0</v>
      </c>
      <c r="BI58" s="212">
        <v>0</v>
      </c>
      <c r="BJ58" s="212">
        <v>0</v>
      </c>
      <c r="BK58" s="212">
        <v>0</v>
      </c>
      <c r="BL58" s="212">
        <v>0</v>
      </c>
      <c r="BM58" s="212">
        <v>0</v>
      </c>
      <c r="BN58" s="226">
        <v>0</v>
      </c>
      <c r="BO58" s="226"/>
      <c r="BQ58" s="58" t="s">
        <v>998</v>
      </c>
      <c r="BR58" s="112"/>
      <c r="BS58" s="58"/>
      <c r="BT58" s="288"/>
      <c r="BU58" s="288"/>
    </row>
    <row r="59" spans="1:73" ht="39.950000000000003" customHeight="1" x14ac:dyDescent="0.2">
      <c r="A59" s="269" t="s">
        <v>493</v>
      </c>
      <c r="B59" s="337" t="s">
        <v>307</v>
      </c>
      <c r="C59" s="337" t="s">
        <v>1144</v>
      </c>
      <c r="D59" s="66" t="s">
        <v>87</v>
      </c>
      <c r="E59" s="14" t="s">
        <v>542</v>
      </c>
      <c r="F59" s="130" t="s">
        <v>308</v>
      </c>
      <c r="G59" s="14" t="s">
        <v>102</v>
      </c>
      <c r="H59" s="14" t="s">
        <v>102</v>
      </c>
      <c r="I59" s="130" t="s">
        <v>473</v>
      </c>
      <c r="J59" s="66" t="s">
        <v>298</v>
      </c>
      <c r="K59" s="66" t="s">
        <v>218</v>
      </c>
      <c r="L59" s="128" t="s">
        <v>101</v>
      </c>
      <c r="M59" s="65" t="s">
        <v>191</v>
      </c>
      <c r="N59" s="65" t="s">
        <v>59</v>
      </c>
      <c r="O59" s="13" t="s">
        <v>43</v>
      </c>
      <c r="P59" s="65">
        <v>2</v>
      </c>
      <c r="Q59" s="13" t="s">
        <v>533</v>
      </c>
      <c r="R59" s="65" t="s">
        <v>534</v>
      </c>
      <c r="S59" s="64" t="s">
        <v>487</v>
      </c>
      <c r="T59" s="62" t="e" cm="1">
        <f t="array" ref="T59">160500/NOK</f>
        <v>#REF!</v>
      </c>
      <c r="U59" s="62">
        <v>160500</v>
      </c>
      <c r="V59" s="62" t="e">
        <f>Table12118[[#This Row],[Original Limit (A$)]]</f>
        <v>#REF!</v>
      </c>
      <c r="W59" s="62" t="e">
        <f>990000/NOK</f>
        <v>#REF!</v>
      </c>
      <c r="X59" s="62" t="e">
        <f>9508234/NOK</f>
        <v>#REF!</v>
      </c>
      <c r="Y59" s="62" t="s">
        <v>16</v>
      </c>
      <c r="Z59" s="366">
        <v>0</v>
      </c>
      <c r="AA59" s="61" t="s">
        <v>11</v>
      </c>
      <c r="AB59" s="181">
        <v>2.5000000000000001E-2</v>
      </c>
      <c r="AC59" s="181"/>
      <c r="AD59" s="60">
        <v>44091</v>
      </c>
      <c r="AE59" s="60">
        <v>45595</v>
      </c>
      <c r="AF59" s="60">
        <v>45595</v>
      </c>
      <c r="AG59" s="58">
        <f t="shared" si="3"/>
        <v>1505</v>
      </c>
      <c r="AH59" s="59" t="e">
        <f t="shared" si="9"/>
        <v>#REF!</v>
      </c>
      <c r="AI59" s="58" t="e">
        <f>AF59-#REF!</f>
        <v>#REF!</v>
      </c>
      <c r="AJ59" s="57" t="e">
        <f t="shared" si="5"/>
        <v>#REF!</v>
      </c>
      <c r="AK59" s="56" t="s">
        <v>436</v>
      </c>
      <c r="AL59" s="55" t="s">
        <v>1</v>
      </c>
      <c r="AM59" s="55" t="s">
        <v>1</v>
      </c>
      <c r="AN59" s="54" t="s">
        <v>0</v>
      </c>
      <c r="AO59" s="11" t="e">
        <f t="shared" si="1"/>
        <v>#REF!</v>
      </c>
      <c r="AP59" s="53" t="s">
        <v>271</v>
      </c>
      <c r="AQ59" s="13" t="s">
        <v>483</v>
      </c>
      <c r="AR59" s="11">
        <v>900</v>
      </c>
      <c r="AS59" s="52"/>
      <c r="AT59" s="197" t="str">
        <f>Table12118[[#This Row],[Risk Location ]]</f>
        <v>Norway</v>
      </c>
      <c r="AU59" s="198" t="str">
        <f>Table12118[[#This Row],[Sector (GICS Industry Group)]]</f>
        <v>Real Estate Investment</v>
      </c>
      <c r="AV59" s="201"/>
      <c r="AX59" s="212" t="e">
        <f>Table12118[[#This Row],[Percentage Impact]]*Table12118[[#This Row],[Amortised Limit A$ Balance]]</f>
        <v>#REF!</v>
      </c>
      <c r="AY59" s="212" t="e">
        <f>Table12118[[#This Row],[Amortised Limit A$ Balance]]*12%</f>
        <v>#REF!</v>
      </c>
      <c r="AZ59" s="212" t="e">
        <f>IF(Table12118[[#This Row],[Everest]]="Everest",Table12118[[#This Row],[Assetinsure Amount ]]*0.2)</f>
        <v>#REF!</v>
      </c>
      <c r="BA59" s="212"/>
      <c r="BB59" s="212" t="e">
        <f>MIN(Table12118[[#This Row],[Assetinsure Amount ]]-Table12118[[#This Row],[Reinsurance Everest Re]],Table12118[[#This Row],[Total Amount]])</f>
        <v>#REF!</v>
      </c>
      <c r="BC59" s="212">
        <f t="shared" si="2"/>
        <v>0</v>
      </c>
      <c r="BG59" s="18">
        <v>0</v>
      </c>
      <c r="BH59" s="212">
        <v>0</v>
      </c>
      <c r="BI59" s="212">
        <v>0</v>
      </c>
      <c r="BJ59" s="212">
        <v>0</v>
      </c>
      <c r="BK59" s="212">
        <v>0</v>
      </c>
      <c r="BL59" s="212">
        <v>0</v>
      </c>
      <c r="BM59" s="212">
        <v>0</v>
      </c>
      <c r="BN59" s="226">
        <v>0</v>
      </c>
      <c r="BO59" s="226"/>
      <c r="BQ59" s="58" t="s">
        <v>999</v>
      </c>
      <c r="BR59" s="112"/>
      <c r="BS59" s="58"/>
      <c r="BT59" s="288"/>
      <c r="BU59" s="288"/>
    </row>
    <row r="60" spans="1:73" ht="39.950000000000003" customHeight="1" x14ac:dyDescent="0.2">
      <c r="A60" s="269" t="s">
        <v>497</v>
      </c>
      <c r="B60" s="337" t="s">
        <v>1333</v>
      </c>
      <c r="C60" s="337" t="s">
        <v>1142</v>
      </c>
      <c r="D60" s="66" t="s">
        <v>34</v>
      </c>
      <c r="E60" s="14" t="s">
        <v>34</v>
      </c>
      <c r="F60" s="14" t="s">
        <v>34</v>
      </c>
      <c r="G60" s="14" t="s">
        <v>92</v>
      </c>
      <c r="H60" s="131" t="s">
        <v>100</v>
      </c>
      <c r="I60" s="14" t="s">
        <v>100</v>
      </c>
      <c r="J60" s="66" t="s">
        <v>232</v>
      </c>
      <c r="K60" s="66" t="s">
        <v>21</v>
      </c>
      <c r="L60" s="65" t="s">
        <v>44</v>
      </c>
      <c r="M60" s="65" t="s">
        <v>191</v>
      </c>
      <c r="N60" s="65" t="s">
        <v>323</v>
      </c>
      <c r="O60" s="13" t="s">
        <v>43</v>
      </c>
      <c r="P60" s="65">
        <v>5</v>
      </c>
      <c r="Q60" s="13" t="s">
        <v>531</v>
      </c>
      <c r="R60" s="65" t="s">
        <v>534</v>
      </c>
      <c r="S60" s="64" t="s">
        <v>8</v>
      </c>
      <c r="T60" s="62">
        <f>25000-7420.739</f>
        <v>17579.260999999999</v>
      </c>
      <c r="U60" s="62">
        <f>25000-7420.739</f>
        <v>17579.260999999999</v>
      </c>
      <c r="V60" s="62">
        <f>25000-7420.739</f>
        <v>17579.260999999999</v>
      </c>
      <c r="W60" s="62">
        <v>93608.577000000005</v>
      </c>
      <c r="X60" s="296">
        <f>954545+185000-76262.16-10541.41</f>
        <v>1052741.4300000002</v>
      </c>
      <c r="Y60" s="62" t="s">
        <v>16</v>
      </c>
      <c r="Z60" s="366">
        <v>0</v>
      </c>
      <c r="AA60" s="61" t="s">
        <v>11</v>
      </c>
      <c r="AB60" s="181">
        <v>3.5000000000000003E-2</v>
      </c>
      <c r="AC60" s="181"/>
      <c r="AD60" s="60">
        <v>44097</v>
      </c>
      <c r="AE60" s="60">
        <v>45277</v>
      </c>
      <c r="AF60" s="60">
        <v>45277</v>
      </c>
      <c r="AG60" s="58">
        <f t="shared" si="3"/>
        <v>1181</v>
      </c>
      <c r="AH60" s="59" t="e">
        <f t="shared" si="9"/>
        <v>#REF!</v>
      </c>
      <c r="AI60" s="58" t="e">
        <f>AF60-#REF!</f>
        <v>#REF!</v>
      </c>
      <c r="AJ60" s="57" t="e">
        <f t="shared" si="5"/>
        <v>#REF!</v>
      </c>
      <c r="AK60" s="56"/>
      <c r="AL60" s="55" t="s">
        <v>1</v>
      </c>
      <c r="AM60" s="55" t="s">
        <v>1</v>
      </c>
      <c r="AN60" s="54" t="s">
        <v>0</v>
      </c>
      <c r="AO60" s="11" t="e">
        <f t="shared" si="1"/>
        <v>#REF!</v>
      </c>
      <c r="AP60" s="53" t="s">
        <v>271</v>
      </c>
      <c r="AQ60" s="13" t="s">
        <v>486</v>
      </c>
      <c r="AR60" s="11">
        <v>17910</v>
      </c>
      <c r="AS60" s="52">
        <v>35000</v>
      </c>
      <c r="AT60" s="197" t="str">
        <f>Table12118[[#This Row],[Risk Location ]]</f>
        <v>Australia</v>
      </c>
      <c r="AU60" s="198" t="str">
        <f>Table12118[[#This Row],[Sector (GICS Industry Group)]]</f>
        <v>Transportation</v>
      </c>
      <c r="AV60" s="199">
        <v>1</v>
      </c>
      <c r="AW60" s="214">
        <v>2.5000000000000001E-2</v>
      </c>
      <c r="AX60" s="212">
        <f>Table12118[[#This Row],[Percentage Impact]]*Table12118[[#This Row],[Amortised Limit A$ Balance]]</f>
        <v>439.48152499999998</v>
      </c>
      <c r="AY60" s="212">
        <f>Table12118[[#This Row],[Amortised Limit A$ Balance]]*12%</f>
        <v>2109.5113199999996</v>
      </c>
      <c r="AZ60" s="212" t="b">
        <f>IF(Table12118[[#This Row],[Everest]]="Everest",Table12118[[#This Row],[Assetinsure Amount ]]*0.2)</f>
        <v>0</v>
      </c>
      <c r="BA60" s="212"/>
      <c r="BB60" s="212">
        <f>MIN(Table12118[[#This Row],[Assetinsure Amount ]]-Table12118[[#This Row],[Reinsurance Everest Re]],Table12118[[#This Row],[Total Amount]])</f>
        <v>439.48152499999998</v>
      </c>
      <c r="BC60" s="212">
        <f t="shared" si="2"/>
        <v>439.48152499999998</v>
      </c>
      <c r="BD60" s="12"/>
      <c r="BG60" s="18">
        <v>439.48152499999998</v>
      </c>
      <c r="BH60" s="212">
        <v>439.48152499999998</v>
      </c>
      <c r="BI60" s="212">
        <v>439.48152499999998</v>
      </c>
      <c r="BJ60" s="212">
        <v>625</v>
      </c>
      <c r="BK60" s="212">
        <v>625</v>
      </c>
      <c r="BL60" s="212">
        <v>1250</v>
      </c>
      <c r="BM60" s="212">
        <v>1250</v>
      </c>
      <c r="BN60" s="226">
        <v>1250</v>
      </c>
      <c r="BO60" s="226">
        <v>1250</v>
      </c>
      <c r="BQ60" s="58" t="s">
        <v>1000</v>
      </c>
      <c r="BR60" s="112"/>
      <c r="BS60" s="58"/>
      <c r="BT60" s="288"/>
      <c r="BU60" s="288"/>
    </row>
    <row r="61" spans="1:73" ht="39.950000000000003" customHeight="1" x14ac:dyDescent="0.2">
      <c r="A61" s="131" t="s">
        <v>511</v>
      </c>
      <c r="B61" s="337" t="s">
        <v>1336</v>
      </c>
      <c r="C61" s="337" t="s">
        <v>1144</v>
      </c>
      <c r="D61" s="133" t="s">
        <v>127</v>
      </c>
      <c r="E61" s="14" t="s">
        <v>542</v>
      </c>
      <c r="F61" s="161" t="s">
        <v>127</v>
      </c>
      <c r="G61" s="14" t="s">
        <v>892</v>
      </c>
      <c r="H61" s="131" t="s">
        <v>259</v>
      </c>
      <c r="I61" s="14" t="s">
        <v>258</v>
      </c>
      <c r="J61" s="66" t="s">
        <v>158</v>
      </c>
      <c r="K61" s="66" t="s">
        <v>220</v>
      </c>
      <c r="L61" s="13" t="s">
        <v>45</v>
      </c>
      <c r="M61" s="65" t="s">
        <v>191</v>
      </c>
      <c r="N61" s="134" t="s">
        <v>59</v>
      </c>
      <c r="O61" s="132" t="s">
        <v>43</v>
      </c>
      <c r="P61" s="65">
        <v>4</v>
      </c>
      <c r="Q61" s="132" t="s">
        <v>533</v>
      </c>
      <c r="R61" s="13" t="s">
        <v>548</v>
      </c>
      <c r="S61" s="135" t="s">
        <v>59</v>
      </c>
      <c r="T61" s="136" t="e">
        <f>15000/EUR</f>
        <v>#REF!</v>
      </c>
      <c r="U61" s="62">
        <v>15000</v>
      </c>
      <c r="V61" s="136" t="e">
        <f>15000/EUR</f>
        <v>#REF!</v>
      </c>
      <c r="W61" s="136" t="e">
        <f>212000/EUR</f>
        <v>#REF!</v>
      </c>
      <c r="X61" s="136" t="e">
        <f>685134.98/EUR</f>
        <v>#REF!</v>
      </c>
      <c r="Y61" s="62" t="s">
        <v>16</v>
      </c>
      <c r="Z61" s="366">
        <v>0</v>
      </c>
      <c r="AA61" s="61" t="s">
        <v>11</v>
      </c>
      <c r="AB61" s="181">
        <v>1.17E-2</v>
      </c>
      <c r="AC61" s="181"/>
      <c r="AD61" s="137">
        <v>44146</v>
      </c>
      <c r="AE61" s="137">
        <v>46640</v>
      </c>
      <c r="AF61" s="137">
        <v>46640</v>
      </c>
      <c r="AG61" s="138">
        <f t="shared" si="3"/>
        <v>2495</v>
      </c>
      <c r="AH61" s="59" t="e">
        <f t="shared" si="9"/>
        <v>#REF!</v>
      </c>
      <c r="AI61" s="138" t="e">
        <f>AF61-#REF!</f>
        <v>#REF!</v>
      </c>
      <c r="AJ61" s="140" t="e">
        <f t="shared" si="5"/>
        <v>#REF!</v>
      </c>
      <c r="AK61" s="56"/>
      <c r="AL61" s="141" t="s">
        <v>1</v>
      </c>
      <c r="AM61" s="141" t="s">
        <v>1</v>
      </c>
      <c r="AN61" s="142" t="s">
        <v>0</v>
      </c>
      <c r="AO61" s="11" t="e">
        <f t="shared" si="1"/>
        <v>#REF!</v>
      </c>
      <c r="AP61" s="144" t="s">
        <v>271</v>
      </c>
      <c r="AQ61" s="132" t="s">
        <v>512</v>
      </c>
      <c r="AS61" s="52"/>
      <c r="AT61" s="197" t="str">
        <f>Table12118[[#This Row],[Risk Location ]]</f>
        <v>Germany</v>
      </c>
      <c r="AU61" s="198" t="str">
        <f>Table12118[[#This Row],[Sector (GICS Industry Group)]]</f>
        <v>Information Technology - Software &amp; Services</v>
      </c>
      <c r="AV61" s="201"/>
      <c r="AX61" s="212" t="e">
        <f>Table12118[[#This Row],[Percentage Impact]]*Table12118[[#This Row],[Amortised Limit A$ Balance]]</f>
        <v>#REF!</v>
      </c>
      <c r="AY61" s="212" t="e">
        <f>Table12118[[#This Row],[Amortised Limit A$ Balance]]*12%</f>
        <v>#REF!</v>
      </c>
      <c r="AZ61" s="212" t="b">
        <f>IF(Table12118[[#This Row],[Everest]]="Everest",Table12118[[#This Row],[Assetinsure Amount ]]*0.2)</f>
        <v>0</v>
      </c>
      <c r="BA61" s="212"/>
      <c r="BB61" s="212" t="e">
        <f>MIN(Table12118[[#This Row],[Assetinsure Amount ]]-Table12118[[#This Row],[Reinsurance Everest Re]],Table12118[[#This Row],[Total Amount]])</f>
        <v>#REF!</v>
      </c>
      <c r="BC61" s="212">
        <f t="shared" si="2"/>
        <v>0</v>
      </c>
      <c r="BG61" s="18">
        <v>0</v>
      </c>
      <c r="BH61" s="212">
        <v>0</v>
      </c>
      <c r="BI61" s="212">
        <v>0</v>
      </c>
      <c r="BJ61" s="212">
        <v>0</v>
      </c>
      <c r="BK61" s="212">
        <v>0</v>
      </c>
      <c r="BL61" s="212">
        <v>0</v>
      </c>
      <c r="BM61" s="212">
        <v>0</v>
      </c>
      <c r="BN61" s="226">
        <v>0</v>
      </c>
      <c r="BO61" s="226"/>
      <c r="BQ61" s="138" t="s">
        <v>935</v>
      </c>
      <c r="BR61" s="112"/>
      <c r="BS61" s="58"/>
      <c r="BT61" s="288"/>
      <c r="BU61" s="288"/>
    </row>
    <row r="62" spans="1:73" ht="39.950000000000003" customHeight="1" x14ac:dyDescent="0.2">
      <c r="A62" s="131" t="s">
        <v>508</v>
      </c>
      <c r="B62" s="337" t="s">
        <v>307</v>
      </c>
      <c r="C62" s="337" t="s">
        <v>1141</v>
      </c>
      <c r="D62" s="66" t="s">
        <v>162</v>
      </c>
      <c r="E62" s="14" t="s">
        <v>499</v>
      </c>
      <c r="F62" s="130" t="s">
        <v>162</v>
      </c>
      <c r="G62" s="14" t="s">
        <v>102</v>
      </c>
      <c r="H62" s="14" t="s">
        <v>102</v>
      </c>
      <c r="I62" s="130" t="s">
        <v>103</v>
      </c>
      <c r="J62" s="131" t="s">
        <v>509</v>
      </c>
      <c r="K62" s="133" t="s">
        <v>222</v>
      </c>
      <c r="L62" s="65" t="s">
        <v>101</v>
      </c>
      <c r="M62" s="134" t="s">
        <v>191</v>
      </c>
      <c r="N62" s="134" t="s">
        <v>59</v>
      </c>
      <c r="O62" s="132" t="s">
        <v>43</v>
      </c>
      <c r="P62" s="65">
        <v>2</v>
      </c>
      <c r="Q62" s="132" t="s">
        <v>531</v>
      </c>
      <c r="R62" s="65" t="s">
        <v>534</v>
      </c>
      <c r="S62" s="135" t="s">
        <v>9</v>
      </c>
      <c r="T62" s="136" t="e">
        <f>20000/USD</f>
        <v>#REF!</v>
      </c>
      <c r="U62" s="62">
        <v>20000</v>
      </c>
      <c r="V62" s="136" t="e">
        <f>20000/USD</f>
        <v>#REF!</v>
      </c>
      <c r="W62" s="136" t="e">
        <f>75000/USD</f>
        <v>#REF!</v>
      </c>
      <c r="X62" s="136">
        <v>764347</v>
      </c>
      <c r="Y62" s="136"/>
      <c r="Z62" s="365"/>
      <c r="AA62" s="61" t="s">
        <v>11</v>
      </c>
      <c r="AB62" s="181">
        <v>1.6E-2</v>
      </c>
      <c r="AC62" s="181"/>
      <c r="AD62" s="137">
        <v>44148</v>
      </c>
      <c r="AE62" s="137">
        <v>45734</v>
      </c>
      <c r="AF62" s="137">
        <v>45734</v>
      </c>
      <c r="AG62" s="58">
        <f t="shared" si="3"/>
        <v>1587</v>
      </c>
      <c r="AH62" s="59" t="e">
        <f t="shared" si="9"/>
        <v>#REF!</v>
      </c>
      <c r="AI62" s="138" t="e">
        <f>AF62-#REF!</f>
        <v>#REF!</v>
      </c>
      <c r="AJ62" s="140" t="e">
        <f t="shared" si="5"/>
        <v>#REF!</v>
      </c>
      <c r="AK62" s="56" t="s">
        <v>436</v>
      </c>
      <c r="AL62" s="141" t="s">
        <v>1</v>
      </c>
      <c r="AM62" s="141" t="s">
        <v>1</v>
      </c>
      <c r="AN62" s="142" t="s">
        <v>0</v>
      </c>
      <c r="AO62" s="11" t="e">
        <f t="shared" si="1"/>
        <v>#REF!</v>
      </c>
      <c r="AP62" s="144" t="s">
        <v>271</v>
      </c>
      <c r="AQ62" s="132" t="s">
        <v>510</v>
      </c>
      <c r="AS62" s="52"/>
      <c r="AT62" s="197" t="str">
        <f>Table12118[[#This Row],[Risk Location ]]</f>
        <v>United States</v>
      </c>
      <c r="AU62" s="198" t="str">
        <f>Table12118[[#This Row],[Sector (GICS Industry Group)]]</f>
        <v>Real Estate Investment</v>
      </c>
      <c r="AV62" s="201"/>
      <c r="AX62" s="212" t="e">
        <f>Table12118[[#This Row],[Percentage Impact]]*Table12118[[#This Row],[Amortised Limit A$ Balance]]</f>
        <v>#REF!</v>
      </c>
      <c r="AY62" s="212" t="e">
        <f>Table12118[[#This Row],[Amortised Limit A$ Balance]]*12%</f>
        <v>#REF!</v>
      </c>
      <c r="AZ62" s="212" t="e">
        <f>IF(Table12118[[#This Row],[Everest]]="Everest",Table12118[[#This Row],[Assetinsure Amount ]]*0.2)</f>
        <v>#REF!</v>
      </c>
      <c r="BA62" s="212"/>
      <c r="BB62" s="212" t="e">
        <f>MIN(Table12118[[#This Row],[Assetinsure Amount ]]-Table12118[[#This Row],[Reinsurance Everest Re]],Table12118[[#This Row],[Total Amount]])</f>
        <v>#REF!</v>
      </c>
      <c r="BC62" s="212">
        <f t="shared" si="2"/>
        <v>0</v>
      </c>
      <c r="BG62" s="18">
        <v>0</v>
      </c>
      <c r="BH62" s="212">
        <v>0</v>
      </c>
      <c r="BI62" s="212">
        <v>0</v>
      </c>
      <c r="BJ62" s="212">
        <v>0</v>
      </c>
      <c r="BK62" s="212">
        <v>0</v>
      </c>
      <c r="BL62" s="212">
        <v>0</v>
      </c>
      <c r="BM62" s="212">
        <v>0</v>
      </c>
      <c r="BN62" s="226">
        <v>0</v>
      </c>
      <c r="BO62" s="226"/>
      <c r="BQ62" s="138" t="s">
        <v>1001</v>
      </c>
      <c r="BR62" s="112"/>
      <c r="BS62" s="58"/>
      <c r="BT62" s="288"/>
      <c r="BU62" s="288"/>
    </row>
    <row r="63" spans="1:73" ht="39.950000000000003" customHeight="1" x14ac:dyDescent="0.2">
      <c r="A63" s="132" t="s">
        <v>513</v>
      </c>
      <c r="B63" s="337" t="s">
        <v>51</v>
      </c>
      <c r="C63" s="337" t="s">
        <v>1144</v>
      </c>
      <c r="D63" s="133" t="s">
        <v>88</v>
      </c>
      <c r="E63" s="14" t="s">
        <v>542</v>
      </c>
      <c r="F63" s="145" t="s">
        <v>88</v>
      </c>
      <c r="G63" s="66" t="s">
        <v>106</v>
      </c>
      <c r="H63" s="66" t="s">
        <v>106</v>
      </c>
      <c r="I63" s="66" t="s">
        <v>107</v>
      </c>
      <c r="J63" s="133" t="s">
        <v>61</v>
      </c>
      <c r="K63" s="133" t="s">
        <v>220</v>
      </c>
      <c r="L63" s="14" t="s">
        <v>101</v>
      </c>
      <c r="M63" s="134" t="s">
        <v>191</v>
      </c>
      <c r="N63" s="134" t="s">
        <v>59</v>
      </c>
      <c r="O63" s="132" t="s">
        <v>43</v>
      </c>
      <c r="P63" s="65">
        <v>2</v>
      </c>
      <c r="Q63" s="132" t="s">
        <v>533</v>
      </c>
      <c r="R63" s="13" t="s">
        <v>548</v>
      </c>
      <c r="S63" s="135" t="s">
        <v>59</v>
      </c>
      <c r="T63" s="136" t="e">
        <f>3000/EUR</f>
        <v>#REF!</v>
      </c>
      <c r="U63" s="62">
        <v>3000</v>
      </c>
      <c r="V63" s="136" t="e">
        <f>3000/EUR</f>
        <v>#REF!</v>
      </c>
      <c r="W63" s="136" t="e">
        <f>20000/EUR</f>
        <v>#REF!</v>
      </c>
      <c r="X63" s="136" t="e">
        <f>115993/EUR</f>
        <v>#REF!</v>
      </c>
      <c r="Y63" s="62" t="s">
        <v>16</v>
      </c>
      <c r="Z63" s="366">
        <v>0</v>
      </c>
      <c r="AA63" s="61" t="s">
        <v>11</v>
      </c>
      <c r="AB63" s="181">
        <v>0.01</v>
      </c>
      <c r="AC63" s="181"/>
      <c r="AD63" s="137">
        <v>44159</v>
      </c>
      <c r="AE63" s="137">
        <v>45792</v>
      </c>
      <c r="AF63" s="137">
        <v>45792</v>
      </c>
      <c r="AG63" s="138">
        <f t="shared" si="3"/>
        <v>1634</v>
      </c>
      <c r="AH63" s="139" t="e">
        <f t="shared" si="9"/>
        <v>#REF!</v>
      </c>
      <c r="AI63" s="138" t="e">
        <f>AF63-#REF!</f>
        <v>#REF!</v>
      </c>
      <c r="AJ63" s="140" t="e">
        <f t="shared" si="5"/>
        <v>#REF!</v>
      </c>
      <c r="AK63" s="56"/>
      <c r="AL63" s="141" t="s">
        <v>1</v>
      </c>
      <c r="AM63" s="141" t="s">
        <v>1</v>
      </c>
      <c r="AN63" s="187" t="s">
        <v>0</v>
      </c>
      <c r="AO63" s="11" t="e">
        <f t="shared" si="1"/>
        <v>#REF!</v>
      </c>
      <c r="AP63" s="144" t="s">
        <v>271</v>
      </c>
      <c r="AQ63" s="132" t="s">
        <v>514</v>
      </c>
      <c r="AS63" s="52"/>
      <c r="AT63" s="197" t="str">
        <f>Table12118[[#This Row],[Risk Location ]]</f>
        <v>Belgium</v>
      </c>
      <c r="AU63" s="198" t="str">
        <f>Table12118[[#This Row],[Sector (GICS Industry Group)]]</f>
        <v>Real Estate Management &amp; Development</v>
      </c>
      <c r="AV63" s="201"/>
      <c r="AX63" s="212" t="e">
        <f>Table12118[[#This Row],[Percentage Impact]]*Table12118[[#This Row],[Amortised Limit A$ Balance]]</f>
        <v>#REF!</v>
      </c>
      <c r="AY63" s="212" t="e">
        <f>Table12118[[#This Row],[Amortised Limit A$ Balance]]*12%</f>
        <v>#REF!</v>
      </c>
      <c r="AZ63" s="212" t="b">
        <f>IF(Table12118[[#This Row],[Everest]]="Everest",Table12118[[#This Row],[Assetinsure Amount ]]*0.2)</f>
        <v>0</v>
      </c>
      <c r="BA63" s="212"/>
      <c r="BB63" s="212" t="e">
        <f>MIN(Table12118[[#This Row],[Assetinsure Amount ]]-Table12118[[#This Row],[Reinsurance Everest Re]],Table12118[[#This Row],[Total Amount]])</f>
        <v>#REF!</v>
      </c>
      <c r="BC63" s="212">
        <f t="shared" si="2"/>
        <v>0</v>
      </c>
      <c r="BG63" s="18">
        <v>0</v>
      </c>
      <c r="BH63" s="212">
        <v>0</v>
      </c>
      <c r="BI63" s="212">
        <v>0</v>
      </c>
      <c r="BJ63" s="212">
        <v>0</v>
      </c>
      <c r="BK63" s="212">
        <v>0</v>
      </c>
      <c r="BL63" s="212">
        <v>0</v>
      </c>
      <c r="BM63" s="212">
        <v>0</v>
      </c>
      <c r="BN63" s="226">
        <v>0</v>
      </c>
      <c r="BO63" s="226"/>
      <c r="BQ63" s="138" t="s">
        <v>1002</v>
      </c>
      <c r="BR63" s="112"/>
      <c r="BS63" s="58" t="s">
        <v>103</v>
      </c>
      <c r="BT63" s="288"/>
      <c r="BU63" s="288"/>
    </row>
    <row r="64" spans="1:73" ht="39.950000000000003" customHeight="1" x14ac:dyDescent="0.2">
      <c r="A64" s="132" t="s">
        <v>524</v>
      </c>
      <c r="B64" s="337" t="s">
        <v>1333</v>
      </c>
      <c r="C64" s="337" t="s">
        <v>1141</v>
      </c>
      <c r="D64" s="133" t="s">
        <v>37</v>
      </c>
      <c r="E64" s="14" t="s">
        <v>541</v>
      </c>
      <c r="F64" s="145" t="s">
        <v>152</v>
      </c>
      <c r="G64" s="14" t="s">
        <v>102</v>
      </c>
      <c r="H64" s="14" t="s">
        <v>102</v>
      </c>
      <c r="I64" s="130" t="s">
        <v>473</v>
      </c>
      <c r="J64" s="146" t="s">
        <v>526</v>
      </c>
      <c r="K64" s="133" t="s">
        <v>221</v>
      </c>
      <c r="L64" s="14" t="s">
        <v>101</v>
      </c>
      <c r="M64" s="134" t="s">
        <v>191</v>
      </c>
      <c r="N64" s="134" t="s">
        <v>323</v>
      </c>
      <c r="O64" s="132" t="s">
        <v>43</v>
      </c>
      <c r="P64" s="65">
        <v>2</v>
      </c>
      <c r="Q64" s="132" t="s">
        <v>533</v>
      </c>
      <c r="R64" s="65" t="s">
        <v>534</v>
      </c>
      <c r="S64" s="135" t="s">
        <v>488</v>
      </c>
      <c r="T64" s="136" t="e">
        <f>Table12118[[#This Row],[Amortised Limit in Original Currency]]/JPY</f>
        <v>#REF!</v>
      </c>
      <c r="U64" s="62">
        <v>2600000</v>
      </c>
      <c r="V64" s="136" t="e">
        <f>2600000/JPY</f>
        <v>#REF!</v>
      </c>
      <c r="W64" s="136" t="e">
        <f>7000000/JPY</f>
        <v>#REF!</v>
      </c>
      <c r="X64" s="136" t="e">
        <f>55011388/JPY</f>
        <v>#REF!</v>
      </c>
      <c r="Y64" s="136"/>
      <c r="Z64" s="365"/>
      <c r="AA64" s="147" t="s">
        <v>11</v>
      </c>
      <c r="AB64" s="181">
        <v>0.01</v>
      </c>
      <c r="AC64" s="181"/>
      <c r="AD64" s="137">
        <v>44166</v>
      </c>
      <c r="AE64" s="137">
        <v>45504</v>
      </c>
      <c r="AF64" s="137">
        <v>45504</v>
      </c>
      <c r="AG64" s="138">
        <f t="shared" si="3"/>
        <v>1339</v>
      </c>
      <c r="AH64" s="139" t="s">
        <v>10</v>
      </c>
      <c r="AI64" s="138" t="e">
        <f>AF64-#REF!</f>
        <v>#REF!</v>
      </c>
      <c r="AJ64" s="140" t="e">
        <f t="shared" si="5"/>
        <v>#REF!</v>
      </c>
      <c r="AK64" s="56" t="s">
        <v>436</v>
      </c>
      <c r="AL64" s="141" t="s">
        <v>1</v>
      </c>
      <c r="AM64" s="141" t="s">
        <v>1</v>
      </c>
      <c r="AN64" s="187" t="s">
        <v>0</v>
      </c>
      <c r="AO64" s="11" t="e">
        <f t="shared" si="1"/>
        <v>#REF!</v>
      </c>
      <c r="AP64" s="164" t="s">
        <v>271</v>
      </c>
      <c r="AQ64" s="132" t="s">
        <v>525</v>
      </c>
      <c r="AS64" s="52"/>
      <c r="AT64" s="197" t="str">
        <f>Table12118[[#This Row],[Risk Location ]]</f>
        <v>Japan</v>
      </c>
      <c r="AU64" s="198" t="str">
        <f>Table12118[[#This Row],[Sector (GICS Industry Group)]]</f>
        <v>Real Estate Investment</v>
      </c>
      <c r="AV64" s="201"/>
      <c r="AX64" s="212" t="e">
        <f>Table12118[[#This Row],[Percentage Impact]]*Table12118[[#This Row],[Amortised Limit A$ Balance]]</f>
        <v>#REF!</v>
      </c>
      <c r="AY64" s="212" t="e">
        <f>Table12118[[#This Row],[Amortised Limit A$ Balance]]*12%</f>
        <v>#REF!</v>
      </c>
      <c r="AZ64" s="212" t="e">
        <f>IF(Table12118[[#This Row],[Everest]]="Everest",Table12118[[#This Row],[Assetinsure Amount ]]*0.2)</f>
        <v>#REF!</v>
      </c>
      <c r="BA64" s="212"/>
      <c r="BB64" s="212" t="e">
        <f>MIN(Table12118[[#This Row],[Assetinsure Amount ]]-Table12118[[#This Row],[Reinsurance Everest Re]],Table12118[[#This Row],[Total Amount]])</f>
        <v>#REF!</v>
      </c>
      <c r="BC64" s="212">
        <f t="shared" si="2"/>
        <v>0</v>
      </c>
      <c r="BG64" s="18">
        <v>0</v>
      </c>
      <c r="BH64" s="212">
        <v>0</v>
      </c>
      <c r="BI64" s="212">
        <v>0</v>
      </c>
      <c r="BJ64" s="212">
        <v>0</v>
      </c>
      <c r="BK64" s="212">
        <v>0</v>
      </c>
      <c r="BL64" s="212">
        <v>0</v>
      </c>
      <c r="BM64" s="212">
        <v>0</v>
      </c>
      <c r="BN64" s="226">
        <v>0</v>
      </c>
      <c r="BO64" s="226"/>
      <c r="BQ64" s="138" t="s">
        <v>1003</v>
      </c>
      <c r="BR64" s="112"/>
      <c r="BS64" s="58"/>
      <c r="BT64" s="288"/>
      <c r="BU64" s="288"/>
    </row>
    <row r="65" spans="1:73" ht="39.950000000000003" customHeight="1" x14ac:dyDescent="0.2">
      <c r="A65" s="131" t="s">
        <v>155</v>
      </c>
      <c r="B65" s="337" t="s">
        <v>51</v>
      </c>
      <c r="C65" s="337" t="s">
        <v>1141</v>
      </c>
      <c r="D65" s="133" t="s">
        <v>87</v>
      </c>
      <c r="E65" s="14" t="s">
        <v>542</v>
      </c>
      <c r="F65" s="145" t="s">
        <v>87</v>
      </c>
      <c r="G65" s="14" t="s">
        <v>102</v>
      </c>
      <c r="H65" s="14" t="s">
        <v>102</v>
      </c>
      <c r="I65" s="66" t="s">
        <v>122</v>
      </c>
      <c r="J65" s="133" t="s">
        <v>705</v>
      </c>
      <c r="K65" s="133" t="s">
        <v>220</v>
      </c>
      <c r="L65" s="66" t="s">
        <v>101</v>
      </c>
      <c r="M65" s="134" t="s">
        <v>191</v>
      </c>
      <c r="N65" s="134" t="s">
        <v>59</v>
      </c>
      <c r="O65" s="132" t="s">
        <v>43</v>
      </c>
      <c r="P65" s="65">
        <v>3</v>
      </c>
      <c r="Q65" s="132" t="s">
        <v>533</v>
      </c>
      <c r="R65" s="65" t="s">
        <v>534</v>
      </c>
      <c r="S65" s="135" t="s">
        <v>156</v>
      </c>
      <c r="T65" s="136" t="e">
        <f>5000/GBP</f>
        <v>#REF!</v>
      </c>
      <c r="U65" s="62">
        <v>5000</v>
      </c>
      <c r="V65" s="136" t="e">
        <f>U65/GBP</f>
        <v>#REF!</v>
      </c>
      <c r="W65" s="136" t="e">
        <f>36000/GBP</f>
        <v>#REF!</v>
      </c>
      <c r="X65" s="136" t="e">
        <f>196370/GBP+42000/GBP</f>
        <v>#REF!</v>
      </c>
      <c r="Y65" s="62" t="s">
        <v>16</v>
      </c>
      <c r="Z65" s="366">
        <v>0</v>
      </c>
      <c r="AA65" s="147" t="s">
        <v>11</v>
      </c>
      <c r="AB65" s="181">
        <v>1.7999999999999999E-2</v>
      </c>
      <c r="AC65" s="181"/>
      <c r="AD65" s="137">
        <v>44211</v>
      </c>
      <c r="AE65" s="137">
        <v>46029</v>
      </c>
      <c r="AF65" s="137">
        <v>46029</v>
      </c>
      <c r="AG65" s="138">
        <f t="shared" si="3"/>
        <v>1819</v>
      </c>
      <c r="AH65" s="172" t="e">
        <f>IF(AF65-$A$1&gt;60,"No","Yes")</f>
        <v>#REF!</v>
      </c>
      <c r="AI65" s="138" t="e">
        <f>AF65-#REF!</f>
        <v>#REF!</v>
      </c>
      <c r="AJ65" s="140" t="e">
        <f t="shared" si="5"/>
        <v>#REF!</v>
      </c>
      <c r="AK65" s="56"/>
      <c r="AL65" s="162" t="s">
        <v>1</v>
      </c>
      <c r="AM65" s="162" t="s">
        <v>1</v>
      </c>
      <c r="AN65" s="187" t="s">
        <v>0</v>
      </c>
      <c r="AO65" s="11" t="e">
        <f t="shared" si="1"/>
        <v>#REF!</v>
      </c>
      <c r="AP65" s="164" t="s">
        <v>271</v>
      </c>
      <c r="AQ65" s="131" t="s">
        <v>348</v>
      </c>
      <c r="AR65" s="11">
        <v>6807.5</v>
      </c>
      <c r="AT65" s="197" t="str">
        <f>Table12118[[#This Row],[Risk Location ]]</f>
        <v>United Kingdom</v>
      </c>
      <c r="AU65" s="198" t="str">
        <f>Table12118[[#This Row],[Sector (GICS Industry Group)]]</f>
        <v>Real Estate Investment</v>
      </c>
      <c r="AX65" s="212" t="e">
        <f>Table12118[[#This Row],[Percentage Impact]]*Table12118[[#This Row],[Amortised Limit A$ Balance]]</f>
        <v>#REF!</v>
      </c>
      <c r="AY65" s="212" t="e">
        <f>Table12118[[#This Row],[Amortised Limit A$ Balance]]*12%</f>
        <v>#REF!</v>
      </c>
      <c r="AZ65" s="212" t="b">
        <f>IF(Table12118[[#This Row],[Everest]]="Everest",Table12118[[#This Row],[Assetinsure Amount ]]*0.2)</f>
        <v>0</v>
      </c>
      <c r="BA65" s="212"/>
      <c r="BB65" s="212" t="e">
        <f>MIN(Table12118[[#This Row],[Assetinsure Amount ]]-Table12118[[#This Row],[Reinsurance Everest Re]],Table12118[[#This Row],[Total Amount]])</f>
        <v>#REF!</v>
      </c>
      <c r="BC65" s="212">
        <f t="shared" si="2"/>
        <v>0</v>
      </c>
      <c r="BG65" s="18">
        <v>0</v>
      </c>
      <c r="BH65" s="212">
        <v>0</v>
      </c>
      <c r="BI65" s="212">
        <v>0</v>
      </c>
      <c r="BJ65" s="212">
        <v>0</v>
      </c>
      <c r="BK65" s="212">
        <v>0</v>
      </c>
      <c r="BL65" s="212">
        <v>0</v>
      </c>
      <c r="BM65" s="212">
        <v>0</v>
      </c>
      <c r="BN65" s="226">
        <v>0</v>
      </c>
      <c r="BO65" s="226"/>
      <c r="BQ65" s="138" t="s">
        <v>1004</v>
      </c>
      <c r="BR65" s="112"/>
      <c r="BS65" s="58"/>
      <c r="BT65" s="288"/>
      <c r="BU65" s="288"/>
    </row>
    <row r="66" spans="1:73" ht="39.950000000000003" customHeight="1" x14ac:dyDescent="0.2">
      <c r="A66" s="132" t="s">
        <v>528</v>
      </c>
      <c r="B66" s="337" t="s">
        <v>1247</v>
      </c>
      <c r="C66" s="337" t="s">
        <v>243</v>
      </c>
      <c r="D66" s="133" t="s">
        <v>34</v>
      </c>
      <c r="E66" s="14" t="s">
        <v>34</v>
      </c>
      <c r="F66" s="161" t="s">
        <v>34</v>
      </c>
      <c r="G66" s="14" t="s">
        <v>102</v>
      </c>
      <c r="H66" s="14" t="s">
        <v>102</v>
      </c>
      <c r="I66" s="130" t="s">
        <v>103</v>
      </c>
      <c r="J66" s="66" t="s">
        <v>70</v>
      </c>
      <c r="K66" s="66" t="s">
        <v>218</v>
      </c>
      <c r="L66" s="13" t="s">
        <v>101</v>
      </c>
      <c r="M66" s="65" t="s">
        <v>191</v>
      </c>
      <c r="N66" s="65" t="s">
        <v>323</v>
      </c>
      <c r="O66" s="13" t="s">
        <v>43</v>
      </c>
      <c r="P66" s="65">
        <v>2</v>
      </c>
      <c r="Q66" s="13" t="s">
        <v>533</v>
      </c>
      <c r="R66" s="65" t="s">
        <v>534</v>
      </c>
      <c r="S66" s="64" t="s">
        <v>8</v>
      </c>
      <c r="T66" s="136">
        <v>30000</v>
      </c>
      <c r="U66" s="62">
        <v>29059.561000000002</v>
      </c>
      <c r="V66" s="136">
        <f>+Table12118[[#This Row],[Amortised Limit in Original Currency]]</f>
        <v>29059.561000000002</v>
      </c>
      <c r="W66" s="136">
        <v>319000</v>
      </c>
      <c r="X66" s="136">
        <f>1021098+1077911.86</f>
        <v>2099009.8600000003</v>
      </c>
      <c r="Y66" s="62" t="s">
        <v>16</v>
      </c>
      <c r="Z66" s="366">
        <v>0</v>
      </c>
      <c r="AA66" s="61" t="s">
        <v>11</v>
      </c>
      <c r="AB66" s="181">
        <v>3.15E-2</v>
      </c>
      <c r="AC66" s="181"/>
      <c r="AD66" s="137">
        <v>44218</v>
      </c>
      <c r="AE66" s="137">
        <v>45693</v>
      </c>
      <c r="AF66" s="137">
        <v>45693</v>
      </c>
      <c r="AG66" s="58">
        <f t="shared" si="3"/>
        <v>1476</v>
      </c>
      <c r="AH66" s="59" t="e">
        <f>IF(AF66-$A$1&gt;60,"No","Yes")</f>
        <v>#REF!</v>
      </c>
      <c r="AI66" s="138" t="e">
        <f>AF66-#REF!</f>
        <v>#REF!</v>
      </c>
      <c r="AJ66" s="140" t="e">
        <f t="shared" si="5"/>
        <v>#REF!</v>
      </c>
      <c r="AK66" s="56" t="s">
        <v>436</v>
      </c>
      <c r="AL66" s="141" t="s">
        <v>1</v>
      </c>
      <c r="AM66" s="141" t="s">
        <v>1</v>
      </c>
      <c r="AN66" s="142" t="s">
        <v>764</v>
      </c>
      <c r="AO66" s="11" t="e">
        <f t="shared" si="1"/>
        <v>#REF!</v>
      </c>
      <c r="AP66" s="164" t="s">
        <v>271</v>
      </c>
      <c r="AQ66" s="132" t="s">
        <v>529</v>
      </c>
      <c r="AS66" s="52"/>
      <c r="AT66" s="197" t="str">
        <f>Table12118[[#This Row],[Risk Location ]]</f>
        <v>Australia</v>
      </c>
      <c r="AU66" s="198" t="str">
        <f>Table12118[[#This Row],[Sector (GICS Industry Group)]]</f>
        <v>Real Estate Investment</v>
      </c>
      <c r="AV66" s="201"/>
      <c r="AX66" s="212">
        <f>Table12118[[#This Row],[Percentage Impact]]*Table12118[[#This Row],[Amortised Limit A$ Balance]]</f>
        <v>0</v>
      </c>
      <c r="AY66" s="212">
        <f>Table12118[[#This Row],[Amortised Limit A$ Balance]]*12%</f>
        <v>3487.14732</v>
      </c>
      <c r="AZ66" s="212">
        <f>IF(Table12118[[#This Row],[Everest]]="Everest",Table12118[[#This Row],[Assetinsure Amount ]]*0.2)</f>
        <v>697.42946400000005</v>
      </c>
      <c r="BA66" s="212"/>
      <c r="BB66" s="212">
        <f>MIN(Table12118[[#This Row],[Assetinsure Amount ]]-Table12118[[#This Row],[Reinsurance Everest Re]],Table12118[[#This Row],[Total Amount]])</f>
        <v>0</v>
      </c>
      <c r="BC66" s="212">
        <f t="shared" si="2"/>
        <v>0</v>
      </c>
      <c r="BG66" s="18">
        <v>0</v>
      </c>
      <c r="BH66" s="212">
        <v>0</v>
      </c>
      <c r="BI66" s="212">
        <v>0</v>
      </c>
      <c r="BJ66" s="212">
        <v>0</v>
      </c>
      <c r="BK66" s="212">
        <v>0</v>
      </c>
      <c r="BL66" s="212">
        <v>0</v>
      </c>
      <c r="BM66" s="212">
        <v>0</v>
      </c>
      <c r="BN66" s="226">
        <v>0</v>
      </c>
      <c r="BO66" s="226"/>
      <c r="BQ66" s="138" t="s">
        <v>911</v>
      </c>
      <c r="BR66" s="112"/>
      <c r="BS66" s="58"/>
      <c r="BT66" s="288"/>
      <c r="BU66" s="288"/>
    </row>
    <row r="67" spans="1:73" ht="39.950000000000003" customHeight="1" x14ac:dyDescent="0.2">
      <c r="A67" s="131" t="s">
        <v>554</v>
      </c>
      <c r="B67" s="337" t="s">
        <v>51</v>
      </c>
      <c r="C67" s="337" t="s">
        <v>1143</v>
      </c>
      <c r="D67" s="133" t="s">
        <v>88</v>
      </c>
      <c r="E67" s="14" t="s">
        <v>542</v>
      </c>
      <c r="F67" s="133" t="s">
        <v>88</v>
      </c>
      <c r="G67" s="14" t="s">
        <v>102</v>
      </c>
      <c r="H67" s="14" t="s">
        <v>102</v>
      </c>
      <c r="I67" s="14" t="s">
        <v>474</v>
      </c>
      <c r="J67" s="133" t="s">
        <v>555</v>
      </c>
      <c r="K67" s="133" t="s">
        <v>220</v>
      </c>
      <c r="L67" s="14" t="s">
        <v>101</v>
      </c>
      <c r="M67" s="134" t="s">
        <v>191</v>
      </c>
      <c r="N67" s="134" t="s">
        <v>59</v>
      </c>
      <c r="O67" s="132" t="s">
        <v>43</v>
      </c>
      <c r="P67" s="65">
        <v>2</v>
      </c>
      <c r="Q67" s="132" t="s">
        <v>533</v>
      </c>
      <c r="R67" s="13" t="s">
        <v>548</v>
      </c>
      <c r="S67" s="135" t="s">
        <v>59</v>
      </c>
      <c r="T67" s="136" t="e">
        <f>10000/EUR</f>
        <v>#REF!</v>
      </c>
      <c r="U67" s="62">
        <f>10000</f>
        <v>10000</v>
      </c>
      <c r="V67" s="136" t="e">
        <f>Table12118[[#This Row],[Original Limit (A$)]]</f>
        <v>#REF!</v>
      </c>
      <c r="W67" s="136">
        <f>25000</f>
        <v>25000</v>
      </c>
      <c r="X67" s="136" t="e">
        <f>264662.5/EUR</f>
        <v>#REF!</v>
      </c>
      <c r="Y67" s="62" t="s">
        <v>16</v>
      </c>
      <c r="Z67" s="366">
        <v>0</v>
      </c>
      <c r="AA67" s="147" t="s">
        <v>11</v>
      </c>
      <c r="AB67" s="181">
        <v>1.35E-2</v>
      </c>
      <c r="AC67" s="181"/>
      <c r="AD67" s="137">
        <v>44225</v>
      </c>
      <c r="AE67" s="137">
        <v>45337</v>
      </c>
      <c r="AF67" s="137">
        <f>Table12118[[#This Row],[Expiry Date]]</f>
        <v>45337</v>
      </c>
      <c r="AG67" s="138">
        <f t="shared" si="3"/>
        <v>1113</v>
      </c>
      <c r="AH67" s="139" t="e">
        <f>IF(AF67-$A$1&gt;60,"No","Yes")</f>
        <v>#REF!</v>
      </c>
      <c r="AI67" s="138" t="e">
        <f>AF67-#REF!</f>
        <v>#REF!</v>
      </c>
      <c r="AJ67" s="140" t="e">
        <f t="shared" si="5"/>
        <v>#REF!</v>
      </c>
      <c r="AK67" s="56"/>
      <c r="AL67" s="162" t="s">
        <v>1</v>
      </c>
      <c r="AM67" s="162" t="s">
        <v>1</v>
      </c>
      <c r="AN67" s="187" t="s">
        <v>0</v>
      </c>
      <c r="AO67" s="11" t="e">
        <f t="shared" si="1"/>
        <v>#REF!</v>
      </c>
      <c r="AP67" s="164" t="s">
        <v>271</v>
      </c>
      <c r="AQ67" s="131" t="s">
        <v>556</v>
      </c>
      <c r="AT67" s="197" t="str">
        <f>Table12118[[#This Row],[Risk Location ]]</f>
        <v>Belgium</v>
      </c>
      <c r="AU67" s="198" t="str">
        <f>Table12118[[#This Row],[Sector (GICS Industry Group)]]</f>
        <v>Real Estate Investment</v>
      </c>
      <c r="AX67" s="212" t="e">
        <f>Table12118[[#This Row],[Percentage Impact]]*Table12118[[#This Row],[Amortised Limit A$ Balance]]</f>
        <v>#REF!</v>
      </c>
      <c r="AY67" s="212" t="e">
        <f>Table12118[[#This Row],[Amortised Limit A$ Balance]]*12%</f>
        <v>#REF!</v>
      </c>
      <c r="AZ67" s="212" t="b">
        <f>IF(Table12118[[#This Row],[Everest]]="Everest",Table12118[[#This Row],[Assetinsure Amount ]]*0.2)</f>
        <v>0</v>
      </c>
      <c r="BA67" s="212"/>
      <c r="BB67" s="212" t="e">
        <f>MIN(Table12118[[#This Row],[Assetinsure Amount ]]-Table12118[[#This Row],[Reinsurance Everest Re]],Table12118[[#This Row],[Total Amount]])</f>
        <v>#REF!</v>
      </c>
      <c r="BC67" s="212">
        <f t="shared" si="2"/>
        <v>0</v>
      </c>
      <c r="BG67" s="18">
        <v>0</v>
      </c>
      <c r="BH67" s="212">
        <v>0</v>
      </c>
      <c r="BI67" s="212">
        <v>0</v>
      </c>
      <c r="BJ67" s="212">
        <v>0</v>
      </c>
      <c r="BK67" s="212">
        <v>0</v>
      </c>
      <c r="BL67" s="212">
        <v>0</v>
      </c>
      <c r="BM67" s="212">
        <v>0</v>
      </c>
      <c r="BN67" s="226">
        <v>0</v>
      </c>
      <c r="BO67" s="226"/>
      <c r="BQ67" s="138" t="s">
        <v>1005</v>
      </c>
      <c r="BR67" s="112"/>
      <c r="BS67" s="58"/>
      <c r="BT67" s="288"/>
      <c r="BU67" s="288"/>
    </row>
    <row r="68" spans="1:73" s="229" customFormat="1" ht="39.950000000000003" customHeight="1" x14ac:dyDescent="0.2">
      <c r="A68" s="131" t="s">
        <v>557</v>
      </c>
      <c r="B68" s="337" t="s">
        <v>51</v>
      </c>
      <c r="C68" s="337" t="s">
        <v>1144</v>
      </c>
      <c r="D68" s="133" t="s">
        <v>89</v>
      </c>
      <c r="E68" s="131" t="s">
        <v>542</v>
      </c>
      <c r="F68" s="161" t="s">
        <v>89</v>
      </c>
      <c r="G68" s="131" t="s">
        <v>547</v>
      </c>
      <c r="H68" s="131" t="s">
        <v>124</v>
      </c>
      <c r="I68" s="145" t="s">
        <v>123</v>
      </c>
      <c r="J68" s="133" t="s">
        <v>220</v>
      </c>
      <c r="K68" s="133" t="s">
        <v>220</v>
      </c>
      <c r="L68" s="131" t="s">
        <v>29</v>
      </c>
      <c r="M68" s="134" t="s">
        <v>191</v>
      </c>
      <c r="N68" s="134" t="s">
        <v>59</v>
      </c>
      <c r="O68" s="132" t="s">
        <v>43</v>
      </c>
      <c r="P68" s="65">
        <v>2</v>
      </c>
      <c r="Q68" s="167" t="s">
        <v>538</v>
      </c>
      <c r="R68" s="270" t="s">
        <v>534</v>
      </c>
      <c r="S68" s="135" t="s">
        <v>59</v>
      </c>
      <c r="T68" s="136" t="e">
        <f>10000/EUR</f>
        <v>#REF!</v>
      </c>
      <c r="U68" s="62">
        <v>6464.65</v>
      </c>
      <c r="V68" s="136" t="e">
        <f>Table12118[[#This Row],[Amortised Limit in Original Currency]]/EUR</f>
        <v>#REF!</v>
      </c>
      <c r="W68" s="136" t="e">
        <f>55700/EUR</f>
        <v>#REF!</v>
      </c>
      <c r="X68" s="136" t="e">
        <f>234266.96/EUR</f>
        <v>#REF!</v>
      </c>
      <c r="Y68" s="62" t="s">
        <v>16</v>
      </c>
      <c r="Z68" s="366">
        <v>0</v>
      </c>
      <c r="AA68" s="147" t="s">
        <v>11</v>
      </c>
      <c r="AB68" s="181">
        <v>1.2999999999999999E-2</v>
      </c>
      <c r="AC68" s="181"/>
      <c r="AD68" s="137">
        <v>44236</v>
      </c>
      <c r="AE68" s="137">
        <v>46021</v>
      </c>
      <c r="AF68" s="137">
        <v>46053</v>
      </c>
      <c r="AG68" s="138">
        <f t="shared" si="3"/>
        <v>1818</v>
      </c>
      <c r="AH68" s="139" t="e">
        <f>IF(AF68-$A$1&gt;60,"No","Yes")</f>
        <v>#REF!</v>
      </c>
      <c r="AI68" s="138" t="e">
        <f>AF68-#REF!</f>
        <v>#REF!</v>
      </c>
      <c r="AJ68" s="140" t="e">
        <f t="shared" si="5"/>
        <v>#REF!</v>
      </c>
      <c r="AK68" s="274"/>
      <c r="AL68" s="162" t="s">
        <v>1</v>
      </c>
      <c r="AM68" s="162" t="s">
        <v>1</v>
      </c>
      <c r="AN68" s="187" t="s">
        <v>1118</v>
      </c>
      <c r="AO68" s="229" t="e">
        <f t="shared" ref="AO68:AO113" si="10">+IF(AF68-60&lt;$A$1, "SEND NOTICE", "N/A")</f>
        <v>#REF!</v>
      </c>
      <c r="AP68" s="164" t="s">
        <v>271</v>
      </c>
      <c r="AQ68" s="131" t="s">
        <v>558</v>
      </c>
      <c r="AT68" s="197" t="str">
        <f>Table12118[[#This Row],[Risk Location ]]</f>
        <v>Netherlands</v>
      </c>
      <c r="AU68" s="198" t="str">
        <f>Table12118[[#This Row],[Sector (GICS Industry Group)]]</f>
        <v>Consumer Staples</v>
      </c>
      <c r="AX68" s="212" t="e">
        <f>Table12118[[#This Row],[Percentage Impact]]*Table12118[[#This Row],[Amortised Limit A$ Balance]]</f>
        <v>#REF!</v>
      </c>
      <c r="AY68" s="212" t="e">
        <f>Table12118[[#This Row],[Amortised Limit A$ Balance]]*12%</f>
        <v>#REF!</v>
      </c>
      <c r="AZ68" s="212" t="b">
        <f>IF(Table12118[[#This Row],[Everest]]="Everest",Table12118[[#This Row],[Assetinsure Amount ]]*0.2)</f>
        <v>0</v>
      </c>
      <c r="BA68" s="278"/>
      <c r="BB68" s="212" t="e">
        <f>MIN(Table12118[[#This Row],[Assetinsure Amount ]]-Table12118[[#This Row],[Reinsurance Everest Re]],Table12118[[#This Row],[Total Amount]])</f>
        <v>#REF!</v>
      </c>
      <c r="BC68" s="212">
        <f t="shared" si="2"/>
        <v>0</v>
      </c>
      <c r="BG68" s="18">
        <v>0</v>
      </c>
      <c r="BH68" s="278">
        <v>0</v>
      </c>
      <c r="BI68" s="278">
        <v>0</v>
      </c>
      <c r="BJ68" s="278">
        <v>0</v>
      </c>
      <c r="BK68" s="278">
        <v>0</v>
      </c>
      <c r="BL68" s="278">
        <v>0</v>
      </c>
      <c r="BM68" s="278">
        <v>0</v>
      </c>
      <c r="BN68" s="226">
        <v>0</v>
      </c>
      <c r="BO68" s="226"/>
      <c r="BQ68" s="138" t="s">
        <v>1006</v>
      </c>
      <c r="BR68" s="276"/>
      <c r="BS68" s="272"/>
      <c r="BT68" s="288"/>
      <c r="BU68" s="288"/>
    </row>
    <row r="69" spans="1:73" ht="39.950000000000003" customHeight="1" x14ac:dyDescent="0.2">
      <c r="A69" s="131" t="s">
        <v>559</v>
      </c>
      <c r="B69" s="337" t="s">
        <v>307</v>
      </c>
      <c r="C69" s="337" t="s">
        <v>1142</v>
      </c>
      <c r="D69" s="133" t="s">
        <v>560</v>
      </c>
      <c r="E69" s="131" t="s">
        <v>499</v>
      </c>
      <c r="F69" s="161" t="s">
        <v>162</v>
      </c>
      <c r="G69" s="131" t="s">
        <v>48</v>
      </c>
      <c r="H69" s="131" t="s">
        <v>120</v>
      </c>
      <c r="I69" s="66" t="s">
        <v>121</v>
      </c>
      <c r="J69" s="133" t="s">
        <v>561</v>
      </c>
      <c r="K69" s="133" t="s">
        <v>220</v>
      </c>
      <c r="L69" s="14" t="s">
        <v>29</v>
      </c>
      <c r="M69" s="134" t="s">
        <v>191</v>
      </c>
      <c r="N69" s="134" t="s">
        <v>59</v>
      </c>
      <c r="O69" s="132" t="s">
        <v>43</v>
      </c>
      <c r="P69" s="65">
        <v>2</v>
      </c>
      <c r="Q69" s="167" t="s">
        <v>533</v>
      </c>
      <c r="R69" s="65" t="s">
        <v>534</v>
      </c>
      <c r="S69" s="135" t="s">
        <v>9</v>
      </c>
      <c r="T69" s="136" t="e">
        <f>10000/USD</f>
        <v>#REF!</v>
      </c>
      <c r="U69" s="62">
        <v>13064.975</v>
      </c>
      <c r="V69" s="136" t="e">
        <f>Table12118[[#This Row],[Amortised Limit in Original Currency]]/USD</f>
        <v>#REF!</v>
      </c>
      <c r="W69" s="136" t="e">
        <f>(61000+20257)/USD</f>
        <v>#REF!</v>
      </c>
      <c r="X69" s="136" t="e">
        <f>1241766.56/USD</f>
        <v>#REF!</v>
      </c>
      <c r="Y69" s="62" t="s">
        <v>16</v>
      </c>
      <c r="Z69" s="366">
        <v>0</v>
      </c>
      <c r="AA69" s="147" t="s">
        <v>11</v>
      </c>
      <c r="AB69" s="181">
        <v>3.5000000000000003E-2</v>
      </c>
      <c r="AC69" s="181"/>
      <c r="AD69" s="137">
        <v>44246</v>
      </c>
      <c r="AE69" s="137">
        <v>46079</v>
      </c>
      <c r="AF69" s="137">
        <v>46079</v>
      </c>
      <c r="AG69" s="138">
        <f>AF69-AD69+1</f>
        <v>1834</v>
      </c>
      <c r="AH69" s="139" t="e">
        <f>IF(AF69-$A$1&gt;60,"No","Yes")</f>
        <v>#REF!</v>
      </c>
      <c r="AI69" s="138" t="e">
        <f>AF69-#REF!</f>
        <v>#REF!</v>
      </c>
      <c r="AJ69" s="140" t="e">
        <f>AI69/365</f>
        <v>#REF!</v>
      </c>
      <c r="AK69" s="56"/>
      <c r="AL69" s="162" t="s">
        <v>1</v>
      </c>
      <c r="AM69" s="162" t="s">
        <v>1</v>
      </c>
      <c r="AN69" s="187" t="s">
        <v>784</v>
      </c>
      <c r="AO69" s="11" t="e">
        <f t="shared" si="10"/>
        <v>#REF!</v>
      </c>
      <c r="AP69" s="164" t="s">
        <v>271</v>
      </c>
      <c r="AQ69" s="131" t="s">
        <v>562</v>
      </c>
      <c r="AT69" s="197" t="str">
        <f>Table12118[[#This Row],[Risk Location ]]</f>
        <v>United States</v>
      </c>
      <c r="AU69" s="198" t="str">
        <f>Table12118[[#This Row],[Sector (GICS Industry Group)]]</f>
        <v>Energy</v>
      </c>
      <c r="AX69" s="212" t="e">
        <f>Table12118[[#This Row],[Percentage Impact]]*Table12118[[#This Row],[Amortised Limit A$ Balance]]</f>
        <v>#REF!</v>
      </c>
      <c r="AY69" s="212" t="e">
        <f>Table12118[[#This Row],[Amortised Limit A$ Balance]]*12%</f>
        <v>#REF!</v>
      </c>
      <c r="AZ69" s="212" t="b">
        <f>IF(Table12118[[#This Row],[Everest]]="Everest",Table12118[[#This Row],[Assetinsure Amount ]]*0.2)</f>
        <v>0</v>
      </c>
      <c r="BA69" s="212"/>
      <c r="BB69" s="212" t="e">
        <f>MIN(Table12118[[#This Row],[Assetinsure Amount ]]-Table12118[[#This Row],[Reinsurance Everest Re]],Table12118[[#This Row],[Total Amount]])</f>
        <v>#REF!</v>
      </c>
      <c r="BC69" s="212">
        <f t="shared" ref="BC69:BC132" si="11">+BH69</f>
        <v>0</v>
      </c>
      <c r="BG69" s="18">
        <v>0</v>
      </c>
      <c r="BH69" s="212">
        <v>0</v>
      </c>
      <c r="BI69" s="212">
        <v>0</v>
      </c>
      <c r="BJ69" s="212">
        <v>0</v>
      </c>
      <c r="BK69" s="212">
        <v>0</v>
      </c>
      <c r="BL69" s="212">
        <v>0</v>
      </c>
      <c r="BM69" s="212">
        <v>0</v>
      </c>
      <c r="BN69" s="226">
        <v>0</v>
      </c>
      <c r="BO69" s="226"/>
      <c r="BQ69" s="138" t="s">
        <v>1007</v>
      </c>
      <c r="BR69" s="112"/>
      <c r="BS69" s="58"/>
      <c r="BT69" s="288"/>
      <c r="BU69" s="288"/>
    </row>
    <row r="70" spans="1:73" ht="39.950000000000003" customHeight="1" x14ac:dyDescent="0.2">
      <c r="A70" s="131" t="s">
        <v>566</v>
      </c>
      <c r="B70" s="337" t="s">
        <v>23</v>
      </c>
      <c r="C70" s="337" t="s">
        <v>243</v>
      </c>
      <c r="D70" s="133" t="s">
        <v>88</v>
      </c>
      <c r="E70" s="131" t="s">
        <v>542</v>
      </c>
      <c r="F70" s="161" t="s">
        <v>166</v>
      </c>
      <c r="G70" s="131" t="s">
        <v>92</v>
      </c>
      <c r="H70" s="131" t="s">
        <v>134</v>
      </c>
      <c r="I70" s="66" t="s">
        <v>134</v>
      </c>
      <c r="J70" s="133" t="s">
        <v>61</v>
      </c>
      <c r="K70" s="133" t="s">
        <v>220</v>
      </c>
      <c r="L70" s="14" t="s">
        <v>68</v>
      </c>
      <c r="M70" s="134" t="s">
        <v>191</v>
      </c>
      <c r="N70" s="134" t="s">
        <v>59</v>
      </c>
      <c r="O70" s="132" t="s">
        <v>43</v>
      </c>
      <c r="P70" s="65">
        <v>3</v>
      </c>
      <c r="Q70" s="167" t="s">
        <v>538</v>
      </c>
      <c r="R70" s="167" t="s">
        <v>548</v>
      </c>
      <c r="S70" s="135" t="s">
        <v>9</v>
      </c>
      <c r="T70" s="136" t="e">
        <f>5000/USD</f>
        <v>#REF!</v>
      </c>
      <c r="U70" s="62">
        <f>5000</f>
        <v>5000</v>
      </c>
      <c r="V70" s="136" t="e">
        <f>Table12118[[#This Row],[Original Limit (A$)]]</f>
        <v>#REF!</v>
      </c>
      <c r="W70" s="136" t="e">
        <f>95000/USD</f>
        <v>#REF!</v>
      </c>
      <c r="X70" s="136" t="e">
        <f>116302.02/USD+50000/USD</f>
        <v>#REF!</v>
      </c>
      <c r="Y70" s="62" t="s">
        <v>16</v>
      </c>
      <c r="Z70" s="366">
        <v>0</v>
      </c>
      <c r="AA70" s="147" t="s">
        <v>11</v>
      </c>
      <c r="AB70" s="181">
        <v>3.4000000000000002E-2</v>
      </c>
      <c r="AC70" s="181"/>
      <c r="AD70" s="137">
        <v>44274</v>
      </c>
      <c r="AE70" s="137">
        <v>45545</v>
      </c>
      <c r="AF70" s="137">
        <v>45545</v>
      </c>
      <c r="AG70" s="175">
        <f>AF70-AD70+1</f>
        <v>1272</v>
      </c>
      <c r="AH70" s="176" t="e">
        <f t="shared" ref="AH70:AH78" si="12">IF(AF70-$A$1&gt;60,"No","Yes")</f>
        <v>#REF!</v>
      </c>
      <c r="AI70" s="175" t="e">
        <f>AF70-#REF!</f>
        <v>#REF!</v>
      </c>
      <c r="AJ70" s="177" t="e">
        <f>AI70/365</f>
        <v>#REF!</v>
      </c>
      <c r="AK70" s="173"/>
      <c r="AL70" s="178" t="s">
        <v>1</v>
      </c>
      <c r="AM70" s="178" t="s">
        <v>1</v>
      </c>
      <c r="AN70" s="187" t="s">
        <v>0</v>
      </c>
      <c r="AO70" s="11" t="e">
        <f t="shared" si="10"/>
        <v>#REF!</v>
      </c>
      <c r="AP70" s="164" t="s">
        <v>271</v>
      </c>
      <c r="AQ70" s="168" t="s">
        <v>567</v>
      </c>
      <c r="AR70" s="11">
        <v>6000</v>
      </c>
      <c r="AT70" s="197" t="str">
        <f>Table12118[[#This Row],[Risk Location ]]</f>
        <v>France</v>
      </c>
      <c r="AU70" s="198" t="str">
        <f>Table12118[[#This Row],[Sector (GICS Industry Group)]]</f>
        <v>Transportation</v>
      </c>
      <c r="AX70" s="212" t="e">
        <f>Table12118[[#This Row],[Percentage Impact]]*Table12118[[#This Row],[Amortised Limit A$ Balance]]</f>
        <v>#REF!</v>
      </c>
      <c r="AY70" s="212" t="e">
        <f>Table12118[[#This Row],[Amortised Limit A$ Balance]]*12%</f>
        <v>#REF!</v>
      </c>
      <c r="AZ70" s="212" t="b">
        <f>IF(Table12118[[#This Row],[Everest]]="Everest",Table12118[[#This Row],[Assetinsure Amount ]]*0.2)</f>
        <v>0</v>
      </c>
      <c r="BA70" s="212"/>
      <c r="BB70" s="212" t="e">
        <f>MIN(Table12118[[#This Row],[Assetinsure Amount ]]-Table12118[[#This Row],[Reinsurance Everest Re]],Table12118[[#This Row],[Total Amount]])</f>
        <v>#REF!</v>
      </c>
      <c r="BC70" s="212">
        <f t="shared" si="11"/>
        <v>0</v>
      </c>
      <c r="BG70" s="18">
        <v>0</v>
      </c>
      <c r="BH70" s="212">
        <v>0</v>
      </c>
      <c r="BI70" s="212">
        <v>0</v>
      </c>
      <c r="BJ70" s="212">
        <v>0</v>
      </c>
      <c r="BK70" s="212">
        <v>0</v>
      </c>
      <c r="BL70" s="212">
        <v>0</v>
      </c>
      <c r="BM70" s="212">
        <v>0</v>
      </c>
      <c r="BN70" s="226">
        <v>0</v>
      </c>
      <c r="BO70" s="226"/>
      <c r="BQ70" s="175" t="s">
        <v>936</v>
      </c>
      <c r="BR70" s="112"/>
      <c r="BS70" s="58"/>
      <c r="BT70" s="288"/>
      <c r="BU70" s="288"/>
    </row>
    <row r="71" spans="1:73" ht="39.950000000000003" customHeight="1" x14ac:dyDescent="0.2">
      <c r="A71" s="131" t="s">
        <v>575</v>
      </c>
      <c r="B71" s="337" t="s">
        <v>23</v>
      </c>
      <c r="C71" s="337" t="s">
        <v>1141</v>
      </c>
      <c r="D71" s="133" t="s">
        <v>37</v>
      </c>
      <c r="E71" s="14" t="s">
        <v>540</v>
      </c>
      <c r="F71" s="161" t="s">
        <v>36</v>
      </c>
      <c r="G71" s="131" t="s">
        <v>104</v>
      </c>
      <c r="H71" s="14" t="s">
        <v>111</v>
      </c>
      <c r="I71" s="66" t="s">
        <v>135</v>
      </c>
      <c r="J71" s="133" t="s">
        <v>77</v>
      </c>
      <c r="K71" s="133" t="s">
        <v>220</v>
      </c>
      <c r="L71" s="14" t="s">
        <v>29</v>
      </c>
      <c r="M71" s="134" t="s">
        <v>191</v>
      </c>
      <c r="N71" s="134" t="s">
        <v>323</v>
      </c>
      <c r="O71" s="132" t="s">
        <v>43</v>
      </c>
      <c r="P71" s="65">
        <v>4</v>
      </c>
      <c r="Q71" s="167" t="s">
        <v>531</v>
      </c>
      <c r="R71" s="167" t="s">
        <v>548</v>
      </c>
      <c r="S71" s="135" t="s">
        <v>9</v>
      </c>
      <c r="T71" s="136" t="e">
        <f>11000/USD</f>
        <v>#REF!</v>
      </c>
      <c r="U71" s="62">
        <v>5637.5</v>
      </c>
      <c r="V71" s="136" t="e">
        <f>Table12118[[#This Row],[Amortised Limit in Original Currency]]/USD</f>
        <v>#REF!</v>
      </c>
      <c r="W71" s="136" t="e">
        <f>50000/USD</f>
        <v>#REF!</v>
      </c>
      <c r="X71" s="136" t="e">
        <f>663522.69/USD</f>
        <v>#REF!</v>
      </c>
      <c r="Y71" s="62" t="s">
        <v>16</v>
      </c>
      <c r="Z71" s="366">
        <v>0</v>
      </c>
      <c r="AA71" s="147" t="s">
        <v>11</v>
      </c>
      <c r="AB71" s="181">
        <v>3.7999999999999999E-2</v>
      </c>
      <c r="AC71" s="181"/>
      <c r="AD71" s="137">
        <v>44285</v>
      </c>
      <c r="AE71" s="137">
        <v>45413</v>
      </c>
      <c r="AF71" s="174">
        <v>45413</v>
      </c>
      <c r="AG71" s="175">
        <f t="shared" ref="AG71:AG78" si="13">AF71-AD71+1</f>
        <v>1129</v>
      </c>
      <c r="AH71" s="176" t="e">
        <f t="shared" si="12"/>
        <v>#REF!</v>
      </c>
      <c r="AI71" s="175" t="e">
        <f>AF71-#REF!</f>
        <v>#REF!</v>
      </c>
      <c r="AJ71" s="177" t="e">
        <f>AI71/365</f>
        <v>#REF!</v>
      </c>
      <c r="AK71" s="173"/>
      <c r="AL71" s="178" t="s">
        <v>1</v>
      </c>
      <c r="AM71" s="178" t="s">
        <v>1</v>
      </c>
      <c r="AN71" s="179" t="s">
        <v>817</v>
      </c>
      <c r="AO71" s="11" t="e">
        <f t="shared" si="10"/>
        <v>#REF!</v>
      </c>
      <c r="AP71" s="164" t="s">
        <v>1326</v>
      </c>
      <c r="AQ71" s="168" t="s">
        <v>576</v>
      </c>
      <c r="AR71" s="11">
        <f>11000+1225</f>
        <v>12225</v>
      </c>
      <c r="AT71" s="197" t="str">
        <f>Table12118[[#This Row],[Risk Location ]]</f>
        <v>China</v>
      </c>
      <c r="AU71" s="198" t="str">
        <f>Table12118[[#This Row],[Sector (GICS Industry Group)]]</f>
        <v>Materials</v>
      </c>
      <c r="AX71" s="212" t="e">
        <f>Table12118[[#This Row],[Percentage Impact]]*Table12118[[#This Row],[Amortised Limit A$ Balance]]</f>
        <v>#REF!</v>
      </c>
      <c r="AY71" s="212" t="e">
        <f>Table12118[[#This Row],[Amortised Limit A$ Balance]]*12%</f>
        <v>#REF!</v>
      </c>
      <c r="AZ71" s="212" t="b">
        <f>IF(Table12118[[#This Row],[Everest]]="Everest",Table12118[[#This Row],[Assetinsure Amount ]]*0.2)</f>
        <v>0</v>
      </c>
      <c r="BA71" s="212"/>
      <c r="BB71" s="212" t="e">
        <f>MIN(Table12118[[#This Row],[Assetinsure Amount ]]-Table12118[[#This Row],[Reinsurance Everest Re]],Table12118[[#This Row],[Total Amount]])</f>
        <v>#REF!</v>
      </c>
      <c r="BC71" s="212">
        <f t="shared" si="11"/>
        <v>0</v>
      </c>
      <c r="BG71" s="18">
        <v>0</v>
      </c>
      <c r="BH71" s="212">
        <v>0</v>
      </c>
      <c r="BI71" s="212">
        <v>0</v>
      </c>
      <c r="BJ71" s="212">
        <v>0</v>
      </c>
      <c r="BK71" s="212">
        <v>0</v>
      </c>
      <c r="BL71" s="212">
        <v>0</v>
      </c>
      <c r="BM71" s="212">
        <v>0</v>
      </c>
      <c r="BN71" s="226">
        <v>0</v>
      </c>
      <c r="BO71" s="226"/>
      <c r="BQ71" s="138" t="s">
        <v>981</v>
      </c>
      <c r="BR71" s="112"/>
      <c r="BS71" s="58"/>
      <c r="BT71" s="288"/>
      <c r="BU71" s="288"/>
    </row>
    <row r="72" spans="1:73" ht="39.950000000000003" customHeight="1" x14ac:dyDescent="0.2">
      <c r="A72" s="131" t="s">
        <v>578</v>
      </c>
      <c r="B72" s="337" t="s">
        <v>23</v>
      </c>
      <c r="C72" s="337" t="s">
        <v>1144</v>
      </c>
      <c r="D72" s="133" t="s">
        <v>149</v>
      </c>
      <c r="E72" s="131" t="s">
        <v>496</v>
      </c>
      <c r="F72" s="161" t="s">
        <v>125</v>
      </c>
      <c r="G72" s="131" t="s">
        <v>104</v>
      </c>
      <c r="H72" s="14" t="s">
        <v>111</v>
      </c>
      <c r="I72" s="66" t="s">
        <v>450</v>
      </c>
      <c r="J72" s="133" t="s">
        <v>283</v>
      </c>
      <c r="K72" s="133" t="s">
        <v>148</v>
      </c>
      <c r="L72" s="14" t="s">
        <v>209</v>
      </c>
      <c r="M72" s="134" t="s">
        <v>191</v>
      </c>
      <c r="N72" s="134" t="s">
        <v>59</v>
      </c>
      <c r="O72" s="132" t="s">
        <v>43</v>
      </c>
      <c r="P72" s="65">
        <v>4</v>
      </c>
      <c r="Q72" s="167" t="s">
        <v>531</v>
      </c>
      <c r="R72" s="167" t="s">
        <v>548</v>
      </c>
      <c r="S72" s="135" t="s">
        <v>9</v>
      </c>
      <c r="T72" s="136" t="e">
        <f>15000/USD</f>
        <v>#REF!</v>
      </c>
      <c r="U72" s="62">
        <v>15000</v>
      </c>
      <c r="V72" s="136" t="e">
        <f>Table12118[[#This Row],[Original Limit (A$)]]</f>
        <v>#REF!</v>
      </c>
      <c r="W72" s="136" t="e">
        <f>80000/USD</f>
        <v>#REF!</v>
      </c>
      <c r="X72" s="136" t="e">
        <f>787739.16/USD</f>
        <v>#REF!</v>
      </c>
      <c r="Y72" s="136"/>
      <c r="Z72" s="365"/>
      <c r="AA72" s="147" t="s">
        <v>11</v>
      </c>
      <c r="AB72" s="185">
        <v>0.03</v>
      </c>
      <c r="AC72" s="185"/>
      <c r="AD72" s="137">
        <v>44328</v>
      </c>
      <c r="AE72" s="137">
        <v>46505</v>
      </c>
      <c r="AF72" s="137">
        <v>46505</v>
      </c>
      <c r="AG72" s="175">
        <f t="shared" si="13"/>
        <v>2178</v>
      </c>
      <c r="AH72" s="176" t="e">
        <f t="shared" si="12"/>
        <v>#REF!</v>
      </c>
      <c r="AI72" s="138" t="e">
        <f>AF72-#REF!</f>
        <v>#REF!</v>
      </c>
      <c r="AJ72" s="140" t="e">
        <f t="shared" ref="AJ72:AJ78" si="14">AI72/365</f>
        <v>#REF!</v>
      </c>
      <c r="AK72" s="184"/>
      <c r="AL72" s="186" t="s">
        <v>1</v>
      </c>
      <c r="AM72" s="186" t="s">
        <v>1</v>
      </c>
      <c r="AN72" s="187" t="s">
        <v>0</v>
      </c>
      <c r="AO72" s="11" t="e">
        <f t="shared" si="10"/>
        <v>#REF!</v>
      </c>
      <c r="AP72" s="164" t="s">
        <v>271</v>
      </c>
      <c r="AQ72" s="188" t="s">
        <v>579</v>
      </c>
      <c r="AT72" s="197" t="str">
        <f>Table12118[[#This Row],[Risk Location ]]</f>
        <v>Turkey</v>
      </c>
      <c r="AU72" s="198" t="str">
        <f>Table12118[[#This Row],[Sector (GICS Industry Group)]]</f>
        <v>Materials</v>
      </c>
      <c r="AX72" s="212" t="e">
        <f>Table12118[[#This Row],[Percentage Impact]]*Table12118[[#This Row],[Amortised Limit A$ Balance]]</f>
        <v>#REF!</v>
      </c>
      <c r="AY72" s="212" t="e">
        <f>Table12118[[#This Row],[Amortised Limit A$ Balance]]*12%</f>
        <v>#REF!</v>
      </c>
      <c r="AZ72" s="212" t="b">
        <f>IF(Table12118[[#This Row],[Everest]]="Everest",Table12118[[#This Row],[Assetinsure Amount ]]*0.2)</f>
        <v>0</v>
      </c>
      <c r="BA72" s="212"/>
      <c r="BB72" s="212" t="e">
        <f>MIN(Table12118[[#This Row],[Assetinsure Amount ]]-Table12118[[#This Row],[Reinsurance Everest Re]],Table12118[[#This Row],[Total Amount]])</f>
        <v>#REF!</v>
      </c>
      <c r="BC72" s="212">
        <f t="shared" si="11"/>
        <v>0</v>
      </c>
      <c r="BG72" s="18">
        <v>0</v>
      </c>
      <c r="BH72" s="212">
        <v>0</v>
      </c>
      <c r="BI72" s="212">
        <v>0</v>
      </c>
      <c r="BJ72" s="212">
        <v>0</v>
      </c>
      <c r="BK72" s="212">
        <v>0</v>
      </c>
      <c r="BL72" s="212">
        <v>0</v>
      </c>
      <c r="BM72" s="212">
        <v>0</v>
      </c>
      <c r="BN72" s="226">
        <v>0</v>
      </c>
      <c r="BO72" s="226"/>
      <c r="BQ72" s="138" t="s">
        <v>983</v>
      </c>
      <c r="BR72" s="112"/>
      <c r="BS72" s="58"/>
      <c r="BT72" s="288"/>
      <c r="BU72" s="288"/>
    </row>
    <row r="73" spans="1:73" ht="39.950000000000003" customHeight="1" x14ac:dyDescent="0.2">
      <c r="A73" s="131" t="s">
        <v>586</v>
      </c>
      <c r="B73" s="337" t="s">
        <v>1335</v>
      </c>
      <c r="C73" s="337" t="s">
        <v>1141</v>
      </c>
      <c r="D73" s="133" t="s">
        <v>38</v>
      </c>
      <c r="E73" s="14" t="s">
        <v>540</v>
      </c>
      <c r="F73" s="161" t="s">
        <v>229</v>
      </c>
      <c r="G73" s="14" t="s">
        <v>102</v>
      </c>
      <c r="H73" s="14" t="s">
        <v>102</v>
      </c>
      <c r="I73" s="14" t="s">
        <v>474</v>
      </c>
      <c r="J73" s="133" t="s">
        <v>142</v>
      </c>
      <c r="K73" s="66" t="s">
        <v>218</v>
      </c>
      <c r="L73" s="14" t="s">
        <v>209</v>
      </c>
      <c r="M73" s="134" t="s">
        <v>191</v>
      </c>
      <c r="N73" s="134" t="s">
        <v>323</v>
      </c>
      <c r="O73" s="132" t="s">
        <v>43</v>
      </c>
      <c r="P73" s="65">
        <v>3</v>
      </c>
      <c r="Q73" s="167" t="s">
        <v>531</v>
      </c>
      <c r="R73" s="65" t="s">
        <v>534</v>
      </c>
      <c r="S73" s="135" t="s">
        <v>9</v>
      </c>
      <c r="T73" s="136" t="e">
        <f>7500/USD</f>
        <v>#REF!</v>
      </c>
      <c r="U73" s="62">
        <v>7500</v>
      </c>
      <c r="V73" s="136" t="e">
        <f>Table12118[[#This Row],[Original Limit (A$)]]</f>
        <v>#REF!</v>
      </c>
      <c r="W73" s="136" t="e">
        <f>9375/USD</f>
        <v>#REF!</v>
      </c>
      <c r="X73" s="136" t="e">
        <f>693656.25/USD</f>
        <v>#REF!</v>
      </c>
      <c r="Y73" s="62" t="s">
        <v>16</v>
      </c>
      <c r="Z73" s="366">
        <v>0</v>
      </c>
      <c r="AA73" s="147" t="s">
        <v>11</v>
      </c>
      <c r="AB73" s="185">
        <v>0.06</v>
      </c>
      <c r="AC73" s="185"/>
      <c r="AD73" s="137">
        <v>44349</v>
      </c>
      <c r="AE73" s="137">
        <v>45419</v>
      </c>
      <c r="AF73" s="137">
        <v>45419</v>
      </c>
      <c r="AG73" s="175">
        <f>AF73-AD73+1</f>
        <v>1071</v>
      </c>
      <c r="AH73" s="176" t="e">
        <f t="shared" si="12"/>
        <v>#REF!</v>
      </c>
      <c r="AI73" s="138" t="e">
        <f>AF73-#REF!</f>
        <v>#REF!</v>
      </c>
      <c r="AJ73" s="140" t="e">
        <f t="shared" si="14"/>
        <v>#REF!</v>
      </c>
      <c r="AK73" s="184"/>
      <c r="AL73" s="186" t="s">
        <v>1</v>
      </c>
      <c r="AM73" s="186" t="s">
        <v>1</v>
      </c>
      <c r="AN73" s="187" t="s">
        <v>0</v>
      </c>
      <c r="AO73" s="11" t="e">
        <f t="shared" si="10"/>
        <v>#REF!</v>
      </c>
      <c r="AP73" s="164" t="s">
        <v>271</v>
      </c>
      <c r="AQ73" s="188" t="s">
        <v>580</v>
      </c>
      <c r="AT73" s="197" t="str">
        <f>Table12118[[#This Row],[Risk Location ]]</f>
        <v>Vietnam</v>
      </c>
      <c r="AU73" s="198" t="str">
        <f>Table12118[[#This Row],[Sector (GICS Industry Group)]]</f>
        <v>Real Estate Investment</v>
      </c>
      <c r="AX73" s="212" t="e">
        <f>Table12118[[#This Row],[Percentage Impact]]*Table12118[[#This Row],[Amortised Limit A$ Balance]]</f>
        <v>#REF!</v>
      </c>
      <c r="AY73" s="212" t="e">
        <f>Table12118[[#This Row],[Amortised Limit A$ Balance]]*12%</f>
        <v>#REF!</v>
      </c>
      <c r="AZ73" s="212" t="b">
        <f>IF(Table12118[[#This Row],[Everest]]="Everest",Table12118[[#This Row],[Assetinsure Amount ]]*0.2)</f>
        <v>0</v>
      </c>
      <c r="BA73" s="212"/>
      <c r="BB73" s="212" t="e">
        <f>MIN(Table12118[[#This Row],[Assetinsure Amount ]]-Table12118[[#This Row],[Reinsurance Everest Re]],Table12118[[#This Row],[Total Amount]])</f>
        <v>#REF!</v>
      </c>
      <c r="BC73" s="212">
        <f t="shared" si="11"/>
        <v>0</v>
      </c>
      <c r="BG73" s="18">
        <v>0</v>
      </c>
      <c r="BH73" s="212">
        <v>0</v>
      </c>
      <c r="BI73" s="212">
        <v>0</v>
      </c>
      <c r="BJ73" s="212">
        <v>0</v>
      </c>
      <c r="BK73" s="212">
        <v>0</v>
      </c>
      <c r="BL73" s="212">
        <v>0</v>
      </c>
      <c r="BM73" s="212">
        <v>0</v>
      </c>
      <c r="BN73" s="226">
        <v>0</v>
      </c>
      <c r="BO73" s="226"/>
      <c r="BQ73" s="58" t="s">
        <v>984</v>
      </c>
      <c r="BR73" s="112"/>
      <c r="BS73" s="58"/>
      <c r="BT73" s="288"/>
      <c r="BU73" s="288"/>
    </row>
    <row r="74" spans="1:73" ht="39.950000000000003" customHeight="1" x14ac:dyDescent="0.2">
      <c r="A74" s="131" t="s">
        <v>587</v>
      </c>
      <c r="B74" s="337" t="s">
        <v>1336</v>
      </c>
      <c r="C74" s="337" t="s">
        <v>1142</v>
      </c>
      <c r="D74" s="133" t="s">
        <v>588</v>
      </c>
      <c r="E74" s="131" t="s">
        <v>499</v>
      </c>
      <c r="F74" s="161" t="s">
        <v>162</v>
      </c>
      <c r="G74" s="131" t="s">
        <v>233</v>
      </c>
      <c r="H74" s="131" t="s">
        <v>443</v>
      </c>
      <c r="I74" s="131" t="s">
        <v>234</v>
      </c>
      <c r="J74" s="133" t="s">
        <v>589</v>
      </c>
      <c r="K74" s="66" t="s">
        <v>218</v>
      </c>
      <c r="L74" s="14" t="s">
        <v>209</v>
      </c>
      <c r="M74" s="134" t="s">
        <v>191</v>
      </c>
      <c r="N74" s="134" t="s">
        <v>59</v>
      </c>
      <c r="O74" s="132" t="s">
        <v>43</v>
      </c>
      <c r="P74" s="65">
        <v>2</v>
      </c>
      <c r="Q74" s="167" t="s">
        <v>531</v>
      </c>
      <c r="R74" s="65" t="s">
        <v>534</v>
      </c>
      <c r="S74" s="135" t="s">
        <v>9</v>
      </c>
      <c r="T74" s="136" t="e">
        <f>15000/USD</f>
        <v>#REF!</v>
      </c>
      <c r="U74" s="62">
        <f>15000+2500</f>
        <v>17500</v>
      </c>
      <c r="V74" s="136" t="e">
        <f>Table12118[[#This Row],[Amortised Limit in Original Currency]]/USD</f>
        <v>#REF!</v>
      </c>
      <c r="W74" s="136" t="e">
        <f>30000/USD</f>
        <v>#REF!</v>
      </c>
      <c r="X74" s="136" t="e">
        <f>1963963.71/USD</f>
        <v>#REF!</v>
      </c>
      <c r="Y74" s="62" t="s">
        <v>16</v>
      </c>
      <c r="Z74" s="366">
        <v>0</v>
      </c>
      <c r="AA74" s="147" t="s">
        <v>11</v>
      </c>
      <c r="AB74" s="185">
        <v>5.7500000000000002E-2</v>
      </c>
      <c r="AC74" s="185"/>
      <c r="AD74" s="137">
        <v>44365</v>
      </c>
      <c r="AE74" s="137">
        <v>46107</v>
      </c>
      <c r="AF74" s="137">
        <v>46107</v>
      </c>
      <c r="AG74" s="175">
        <f t="shared" si="13"/>
        <v>1743</v>
      </c>
      <c r="AH74" s="176" t="e">
        <f t="shared" si="12"/>
        <v>#REF!</v>
      </c>
      <c r="AI74" s="138" t="e">
        <f>AF74-#REF!</f>
        <v>#REF!</v>
      </c>
      <c r="AJ74" s="140" t="e">
        <f t="shared" si="14"/>
        <v>#REF!</v>
      </c>
      <c r="AK74" s="184" t="s">
        <v>436</v>
      </c>
      <c r="AL74" s="186" t="s">
        <v>1</v>
      </c>
      <c r="AM74" s="186" t="s">
        <v>1</v>
      </c>
      <c r="AN74" s="187" t="s">
        <v>0</v>
      </c>
      <c r="AO74" s="11" t="e">
        <f t="shared" si="10"/>
        <v>#REF!</v>
      </c>
      <c r="AP74" s="164" t="s">
        <v>271</v>
      </c>
      <c r="AQ74" s="188" t="s">
        <v>581</v>
      </c>
      <c r="AT74" s="197" t="str">
        <f>Table12118[[#This Row],[Risk Location ]]</f>
        <v>United States</v>
      </c>
      <c r="AU74" s="198" t="str">
        <f>Table12118[[#This Row],[Sector (GICS Industry Group)]]</f>
        <v>Telecommunication Services</v>
      </c>
      <c r="AX74" s="212" t="e">
        <f>Table12118[[#This Row],[Percentage Impact]]*Table12118[[#This Row],[Amortised Limit A$ Balance]]</f>
        <v>#REF!</v>
      </c>
      <c r="AY74" s="212" t="e">
        <f>Table12118[[#This Row],[Amortised Limit A$ Balance]]*12%</f>
        <v>#REF!</v>
      </c>
      <c r="AZ74" s="212" t="e">
        <f>IF(Table12118[[#This Row],[Everest]]="Everest",Table12118[[#This Row],[Assetinsure Amount ]]*0.2)</f>
        <v>#REF!</v>
      </c>
      <c r="BA74" s="212"/>
      <c r="BB74" s="212" t="e">
        <f>MIN(Table12118[[#This Row],[Assetinsure Amount ]]-Table12118[[#This Row],[Reinsurance Everest Re]],Table12118[[#This Row],[Total Amount]])</f>
        <v>#REF!</v>
      </c>
      <c r="BC74" s="212">
        <f t="shared" si="11"/>
        <v>0</v>
      </c>
      <c r="BG74" s="18">
        <v>0</v>
      </c>
      <c r="BH74" s="212">
        <v>0</v>
      </c>
      <c r="BI74" s="212">
        <v>0</v>
      </c>
      <c r="BJ74" s="212">
        <v>0</v>
      </c>
      <c r="BK74" s="212">
        <v>0</v>
      </c>
      <c r="BL74" s="212">
        <v>0</v>
      </c>
      <c r="BM74" s="212">
        <v>0</v>
      </c>
      <c r="BN74" s="226">
        <v>0</v>
      </c>
      <c r="BO74" s="226"/>
      <c r="BQ74" s="58" t="s">
        <v>985</v>
      </c>
      <c r="BR74" s="112"/>
      <c r="BS74" s="58"/>
      <c r="BT74" s="288"/>
      <c r="BU74" s="288"/>
    </row>
    <row r="75" spans="1:73" ht="39.950000000000003" customHeight="1" x14ac:dyDescent="0.2">
      <c r="A75" s="131" t="s">
        <v>593</v>
      </c>
      <c r="B75" s="337" t="s">
        <v>67</v>
      </c>
      <c r="C75" s="337" t="s">
        <v>243</v>
      </c>
      <c r="D75" s="133" t="s">
        <v>588</v>
      </c>
      <c r="E75" s="188" t="s">
        <v>542</v>
      </c>
      <c r="F75" s="161" t="s">
        <v>127</v>
      </c>
      <c r="G75" s="14" t="s">
        <v>891</v>
      </c>
      <c r="H75" s="66" t="s">
        <v>167</v>
      </c>
      <c r="I75" s="131" t="s">
        <v>167</v>
      </c>
      <c r="J75" s="133" t="s">
        <v>589</v>
      </c>
      <c r="K75" s="133" t="s">
        <v>218</v>
      </c>
      <c r="L75" s="14" t="s">
        <v>140</v>
      </c>
      <c r="M75" s="194" t="s">
        <v>191</v>
      </c>
      <c r="N75" s="134" t="s">
        <v>59</v>
      </c>
      <c r="O75" s="167" t="s">
        <v>43</v>
      </c>
      <c r="P75" s="65">
        <v>2</v>
      </c>
      <c r="Q75" s="167" t="s">
        <v>538</v>
      </c>
      <c r="R75" s="65" t="s">
        <v>534</v>
      </c>
      <c r="S75" s="135" t="s">
        <v>59</v>
      </c>
      <c r="T75" s="136" t="e">
        <f>15000/EUR</f>
        <v>#REF!</v>
      </c>
      <c r="U75" s="62">
        <v>15000</v>
      </c>
      <c r="V75" s="136" t="e">
        <f>Table12118[[#This Row],[Original Limit (A$)]]</f>
        <v>#REF!</v>
      </c>
      <c r="W75" s="136" t="e">
        <f>100000/EUR</f>
        <v>#REF!</v>
      </c>
      <c r="X75" s="136" t="e">
        <f>1014049.83/EUR</f>
        <v>#REF!</v>
      </c>
      <c r="Y75" s="62" t="s">
        <v>16</v>
      </c>
      <c r="Z75" s="366">
        <v>0</v>
      </c>
      <c r="AA75" s="147" t="s">
        <v>11</v>
      </c>
      <c r="AB75" s="185">
        <v>2.8500000000000001E-2</v>
      </c>
      <c r="AC75" s="185"/>
      <c r="AD75" s="137">
        <v>44372</v>
      </c>
      <c r="AE75" s="137">
        <v>46475</v>
      </c>
      <c r="AF75" s="137">
        <v>46475</v>
      </c>
      <c r="AG75" s="138">
        <f t="shared" si="13"/>
        <v>2104</v>
      </c>
      <c r="AH75" s="139" t="e">
        <f t="shared" si="12"/>
        <v>#REF!</v>
      </c>
      <c r="AI75" s="138" t="e">
        <f>AF75-#REF!</f>
        <v>#REF!</v>
      </c>
      <c r="AJ75" s="140" t="e">
        <f t="shared" si="14"/>
        <v>#REF!</v>
      </c>
      <c r="AK75" s="184"/>
      <c r="AL75" s="186" t="s">
        <v>1</v>
      </c>
      <c r="AM75" s="186" t="s">
        <v>1</v>
      </c>
      <c r="AN75" s="187" t="s">
        <v>0</v>
      </c>
      <c r="AO75" s="11" t="e">
        <f t="shared" si="10"/>
        <v>#REF!</v>
      </c>
      <c r="AP75" s="164" t="s">
        <v>271</v>
      </c>
      <c r="AQ75" s="188" t="s">
        <v>582</v>
      </c>
      <c r="AT75" s="197" t="str">
        <f>Table12118[[#This Row],[Risk Location ]]</f>
        <v>Germany</v>
      </c>
      <c r="AU75" s="198" t="str">
        <f>Table12118[[#This Row],[Sector (GICS Industry Group)]]</f>
        <v>Information Technology - Hardware &amp; Equipment</v>
      </c>
      <c r="AX75" s="212" t="e">
        <f>Table12118[[#This Row],[Percentage Impact]]*Table12118[[#This Row],[Amortised Limit A$ Balance]]</f>
        <v>#REF!</v>
      </c>
      <c r="AY75" s="212" t="e">
        <f>Table12118[[#This Row],[Amortised Limit A$ Balance]]*12%</f>
        <v>#REF!</v>
      </c>
      <c r="AZ75" s="212" t="b">
        <f>IF(Table12118[[#This Row],[Everest]]="Everest",Table12118[[#This Row],[Assetinsure Amount ]]*0.2)</f>
        <v>0</v>
      </c>
      <c r="BA75" s="212"/>
      <c r="BB75" s="212" t="e">
        <f>MIN(Table12118[[#This Row],[Assetinsure Amount ]]-Table12118[[#This Row],[Reinsurance Everest Re]],Table12118[[#This Row],[Total Amount]])</f>
        <v>#REF!</v>
      </c>
      <c r="BC75" s="212">
        <f t="shared" si="11"/>
        <v>0</v>
      </c>
      <c r="BG75" s="18">
        <v>0</v>
      </c>
      <c r="BH75" s="212">
        <v>0</v>
      </c>
      <c r="BI75" s="212">
        <v>0</v>
      </c>
      <c r="BJ75" s="212">
        <v>0</v>
      </c>
      <c r="BK75" s="212">
        <v>0</v>
      </c>
      <c r="BL75" s="212">
        <v>0</v>
      </c>
      <c r="BM75" s="212">
        <v>0</v>
      </c>
      <c r="BN75" s="226">
        <v>0</v>
      </c>
      <c r="BO75" s="226"/>
      <c r="BQ75" s="58" t="s">
        <v>1008</v>
      </c>
      <c r="BR75" s="112"/>
      <c r="BS75" s="58"/>
      <c r="BT75" s="288"/>
      <c r="BU75" s="288"/>
    </row>
    <row r="76" spans="1:73" ht="39.950000000000003" customHeight="1" x14ac:dyDescent="0.2">
      <c r="A76" s="131" t="s">
        <v>594</v>
      </c>
      <c r="B76" s="337" t="s">
        <v>1336</v>
      </c>
      <c r="C76" s="337" t="s">
        <v>1144</v>
      </c>
      <c r="D76" s="133" t="s">
        <v>588</v>
      </c>
      <c r="E76" s="188" t="s">
        <v>499</v>
      </c>
      <c r="F76" s="193" t="s">
        <v>162</v>
      </c>
      <c r="G76" s="188" t="s">
        <v>233</v>
      </c>
      <c r="H76" s="131" t="s">
        <v>443</v>
      </c>
      <c r="I76" s="131" t="s">
        <v>234</v>
      </c>
      <c r="J76" s="133" t="s">
        <v>589</v>
      </c>
      <c r="K76" s="133" t="s">
        <v>218</v>
      </c>
      <c r="L76" s="168" t="s">
        <v>209</v>
      </c>
      <c r="M76" s="194" t="s">
        <v>191</v>
      </c>
      <c r="N76" s="134" t="s">
        <v>59</v>
      </c>
      <c r="O76" s="167" t="s">
        <v>43</v>
      </c>
      <c r="P76" s="65">
        <v>2</v>
      </c>
      <c r="Q76" s="167" t="s">
        <v>538</v>
      </c>
      <c r="R76" s="65" t="s">
        <v>534</v>
      </c>
      <c r="S76" s="135" t="s">
        <v>9</v>
      </c>
      <c r="T76" s="136" t="e">
        <f>15000/USD</f>
        <v>#REF!</v>
      </c>
      <c r="U76" s="62">
        <v>15000</v>
      </c>
      <c r="V76" s="136" t="e">
        <f>Table12118[[#This Row],[Original Limit (A$)]]</f>
        <v>#REF!</v>
      </c>
      <c r="W76" s="136" t="e">
        <f>69800/USD</f>
        <v>#REF!</v>
      </c>
      <c r="X76" s="136" t="e">
        <f>1271367.15/USD</f>
        <v>#REF!</v>
      </c>
      <c r="Y76" s="62" t="s">
        <v>16</v>
      </c>
      <c r="Z76" s="366">
        <v>0</v>
      </c>
      <c r="AA76" s="147" t="s">
        <v>11</v>
      </c>
      <c r="AB76" s="185">
        <v>4.4999999999999998E-2</v>
      </c>
      <c r="AC76" s="185"/>
      <c r="AD76" s="137">
        <v>44372</v>
      </c>
      <c r="AE76" s="137">
        <v>46112</v>
      </c>
      <c r="AF76" s="137">
        <v>46112</v>
      </c>
      <c r="AG76" s="138">
        <f t="shared" si="13"/>
        <v>1741</v>
      </c>
      <c r="AH76" s="139" t="e">
        <f t="shared" si="12"/>
        <v>#REF!</v>
      </c>
      <c r="AI76" s="138" t="e">
        <f>AF76-#REF!</f>
        <v>#REF!</v>
      </c>
      <c r="AJ76" s="140" t="e">
        <f t="shared" si="14"/>
        <v>#REF!</v>
      </c>
      <c r="AK76" s="184"/>
      <c r="AL76" s="186" t="s">
        <v>1</v>
      </c>
      <c r="AM76" s="186" t="s">
        <v>1</v>
      </c>
      <c r="AN76" s="187" t="s">
        <v>0</v>
      </c>
      <c r="AO76" s="11" t="e">
        <f t="shared" si="10"/>
        <v>#REF!</v>
      </c>
      <c r="AP76" s="164" t="s">
        <v>271</v>
      </c>
      <c r="AQ76" s="188" t="s">
        <v>583</v>
      </c>
      <c r="AT76" s="197" t="str">
        <f>Table12118[[#This Row],[Risk Location ]]</f>
        <v>United States</v>
      </c>
      <c r="AU76" s="198" t="str">
        <f>Table12118[[#This Row],[Sector (GICS Industry Group)]]</f>
        <v>Telecommunication Services</v>
      </c>
      <c r="AX76" s="212" t="e">
        <f>Table12118[[#This Row],[Percentage Impact]]*Table12118[[#This Row],[Amortised Limit A$ Balance]]</f>
        <v>#REF!</v>
      </c>
      <c r="AY76" s="212" t="e">
        <f>Table12118[[#This Row],[Amortised Limit A$ Balance]]*12%</f>
        <v>#REF!</v>
      </c>
      <c r="AZ76" s="212" t="b">
        <f>IF(Table12118[[#This Row],[Everest]]="Everest",Table12118[[#This Row],[Assetinsure Amount ]]*0.2)</f>
        <v>0</v>
      </c>
      <c r="BA76" s="212"/>
      <c r="BB76" s="212" t="e">
        <f>MIN(Table12118[[#This Row],[Assetinsure Amount ]]-Table12118[[#This Row],[Reinsurance Everest Re]],Table12118[[#This Row],[Total Amount]])</f>
        <v>#REF!</v>
      </c>
      <c r="BC76" s="212">
        <f t="shared" si="11"/>
        <v>0</v>
      </c>
      <c r="BG76" s="18">
        <v>0</v>
      </c>
      <c r="BH76" s="212">
        <v>0</v>
      </c>
      <c r="BI76" s="212">
        <v>0</v>
      </c>
      <c r="BJ76" s="212">
        <v>0</v>
      </c>
      <c r="BK76" s="212">
        <v>0</v>
      </c>
      <c r="BL76" s="212">
        <v>0</v>
      </c>
      <c r="BM76" s="212">
        <v>0</v>
      </c>
      <c r="BN76" s="226">
        <v>0</v>
      </c>
      <c r="BO76" s="226"/>
      <c r="BQ76" s="58" t="s">
        <v>1009</v>
      </c>
      <c r="BR76" s="112"/>
      <c r="BS76" s="58"/>
      <c r="BT76" s="288"/>
      <c r="BU76" s="288"/>
    </row>
    <row r="77" spans="1:73" ht="39.950000000000003" customHeight="1" x14ac:dyDescent="0.2">
      <c r="A77" s="131" t="s">
        <v>595</v>
      </c>
      <c r="B77" s="337" t="s">
        <v>51</v>
      </c>
      <c r="C77" s="337" t="s">
        <v>243</v>
      </c>
      <c r="D77" s="192" t="s">
        <v>38</v>
      </c>
      <c r="E77" s="14" t="s">
        <v>540</v>
      </c>
      <c r="F77" s="161" t="s">
        <v>36</v>
      </c>
      <c r="G77" s="14" t="s">
        <v>102</v>
      </c>
      <c r="H77" s="14" t="s">
        <v>102</v>
      </c>
      <c r="I77" s="14" t="s">
        <v>474</v>
      </c>
      <c r="J77" s="133" t="s">
        <v>142</v>
      </c>
      <c r="K77" s="133" t="s">
        <v>218</v>
      </c>
      <c r="L77" s="168" t="s">
        <v>209</v>
      </c>
      <c r="M77" s="194" t="s">
        <v>191</v>
      </c>
      <c r="N77" s="134" t="s">
        <v>323</v>
      </c>
      <c r="O77" s="167" t="s">
        <v>43</v>
      </c>
      <c r="P77" s="65">
        <v>2</v>
      </c>
      <c r="Q77" s="167" t="s">
        <v>538</v>
      </c>
      <c r="R77" s="65" t="s">
        <v>534</v>
      </c>
      <c r="S77" s="135" t="s">
        <v>9</v>
      </c>
      <c r="T77" s="136" t="e">
        <f>15000/USD</f>
        <v>#REF!</v>
      </c>
      <c r="U77" s="62">
        <v>15000</v>
      </c>
      <c r="V77" s="136" t="e">
        <f>Table12118[[#This Row],[Original Limit (A$)]]</f>
        <v>#REF!</v>
      </c>
      <c r="W77" s="136" t="e">
        <f>30000/USD</f>
        <v>#REF!</v>
      </c>
      <c r="X77" s="136" t="e">
        <f>2187208.36/USD</f>
        <v>#REF!</v>
      </c>
      <c r="Y77" s="62" t="s">
        <v>16</v>
      </c>
      <c r="Z77" s="366">
        <v>0</v>
      </c>
      <c r="AA77" s="147" t="s">
        <v>11</v>
      </c>
      <c r="AB77" s="185">
        <v>7.85E-2</v>
      </c>
      <c r="AC77" s="185"/>
      <c r="AD77" s="137">
        <v>44377</v>
      </c>
      <c r="AE77" s="137">
        <v>45825</v>
      </c>
      <c r="AF77" s="137">
        <v>45831</v>
      </c>
      <c r="AG77" s="138">
        <f t="shared" si="13"/>
        <v>1455</v>
      </c>
      <c r="AH77" s="139" t="e">
        <f t="shared" si="12"/>
        <v>#REF!</v>
      </c>
      <c r="AI77" s="138" t="e">
        <f>AF77-#REF!</f>
        <v>#REF!</v>
      </c>
      <c r="AJ77" s="140" t="e">
        <f t="shared" si="14"/>
        <v>#REF!</v>
      </c>
      <c r="AK77" s="184"/>
      <c r="AL77" s="186" t="s">
        <v>1</v>
      </c>
      <c r="AM77" s="186" t="s">
        <v>1</v>
      </c>
      <c r="AN77" s="187" t="s">
        <v>0</v>
      </c>
      <c r="AO77" s="11" t="e">
        <f t="shared" si="10"/>
        <v>#REF!</v>
      </c>
      <c r="AP77" s="164" t="s">
        <v>271</v>
      </c>
      <c r="AQ77" s="188" t="s">
        <v>584</v>
      </c>
      <c r="AT77" s="197" t="str">
        <f>Table12118[[#This Row],[Risk Location ]]</f>
        <v>China</v>
      </c>
      <c r="AU77" s="198" t="str">
        <f>Table12118[[#This Row],[Sector (GICS Industry Group)]]</f>
        <v>Real Estate Investment</v>
      </c>
      <c r="AX77" s="212" t="e">
        <f>Table12118[[#This Row],[Percentage Impact]]*Table12118[[#This Row],[Amortised Limit A$ Balance]]</f>
        <v>#REF!</v>
      </c>
      <c r="AY77" s="212" t="e">
        <f>Table12118[[#This Row],[Amortised Limit A$ Balance]]*12%</f>
        <v>#REF!</v>
      </c>
      <c r="AZ77" s="212" t="b">
        <f>IF(Table12118[[#This Row],[Everest]]="Everest",Table12118[[#This Row],[Assetinsure Amount ]]*0.2)</f>
        <v>0</v>
      </c>
      <c r="BA77" s="212"/>
      <c r="BB77" s="212" t="e">
        <f>MIN(Table12118[[#This Row],[Assetinsure Amount ]]-Table12118[[#This Row],[Reinsurance Everest Re]],Table12118[[#This Row],[Total Amount]])</f>
        <v>#REF!</v>
      </c>
      <c r="BC77" s="212">
        <f t="shared" si="11"/>
        <v>0</v>
      </c>
      <c r="BG77" s="18">
        <v>0</v>
      </c>
      <c r="BH77" s="212">
        <v>0</v>
      </c>
      <c r="BI77" s="212">
        <v>0</v>
      </c>
      <c r="BJ77" s="212">
        <v>0</v>
      </c>
      <c r="BK77" s="212">
        <v>0</v>
      </c>
      <c r="BL77" s="212">
        <v>0</v>
      </c>
      <c r="BM77" s="212">
        <v>0</v>
      </c>
      <c r="BN77" s="226">
        <v>0</v>
      </c>
      <c r="BO77" s="226"/>
      <c r="BQ77" s="58" t="s">
        <v>1010</v>
      </c>
      <c r="BR77" s="112"/>
      <c r="BS77" s="58"/>
      <c r="BT77" s="288"/>
      <c r="BU77" s="288"/>
    </row>
    <row r="78" spans="1:73" ht="39.950000000000003" customHeight="1" x14ac:dyDescent="0.2">
      <c r="A78" s="131" t="s">
        <v>596</v>
      </c>
      <c r="B78" s="337" t="s">
        <v>1248</v>
      </c>
      <c r="C78" s="337" t="s">
        <v>1142</v>
      </c>
      <c r="D78" s="133" t="s">
        <v>166</v>
      </c>
      <c r="E78" s="14" t="s">
        <v>542</v>
      </c>
      <c r="F78" s="161" t="s">
        <v>166</v>
      </c>
      <c r="G78" s="14" t="s">
        <v>102</v>
      </c>
      <c r="H78" s="14" t="s">
        <v>102</v>
      </c>
      <c r="I78" s="130" t="s">
        <v>103</v>
      </c>
      <c r="J78" s="133" t="s">
        <v>597</v>
      </c>
      <c r="K78" s="192" t="s">
        <v>220</v>
      </c>
      <c r="L78" s="168" t="s">
        <v>101</v>
      </c>
      <c r="M78" s="194" t="s">
        <v>191</v>
      </c>
      <c r="N78" s="134" t="s">
        <v>59</v>
      </c>
      <c r="O78" s="167" t="s">
        <v>43</v>
      </c>
      <c r="P78" s="65">
        <v>1</v>
      </c>
      <c r="Q78" s="167" t="s">
        <v>538</v>
      </c>
      <c r="R78" s="65" t="s">
        <v>534</v>
      </c>
      <c r="S78" s="135" t="s">
        <v>59</v>
      </c>
      <c r="T78" s="136" t="e">
        <f>22000/EUR</f>
        <v>#REF!</v>
      </c>
      <c r="U78" s="62">
        <v>22000</v>
      </c>
      <c r="V78" s="136" t="e">
        <f>Table12118[[#This Row],[Original Limit (A$)]]</f>
        <v>#REF!</v>
      </c>
      <c r="W78" s="136" t="e">
        <f>185600/EUR</f>
        <v>#REF!</v>
      </c>
      <c r="X78" s="136" t="e">
        <f>1193121.11/EUR-105402.92/EUR</f>
        <v>#REF!</v>
      </c>
      <c r="Y78" s="62" t="s">
        <v>16</v>
      </c>
      <c r="Z78" s="366">
        <v>0</v>
      </c>
      <c r="AA78" s="147" t="s">
        <v>11</v>
      </c>
      <c r="AB78" s="185">
        <v>1.4500000000000001E-2</v>
      </c>
      <c r="AC78" s="185"/>
      <c r="AD78" s="137">
        <v>44376</v>
      </c>
      <c r="AE78" s="137">
        <v>46565</v>
      </c>
      <c r="AF78" s="137">
        <v>46565</v>
      </c>
      <c r="AG78" s="138">
        <f t="shared" si="13"/>
        <v>2190</v>
      </c>
      <c r="AH78" s="139" t="e">
        <f t="shared" si="12"/>
        <v>#REF!</v>
      </c>
      <c r="AI78" s="138" t="e">
        <f>AF78-#REF!</f>
        <v>#REF!</v>
      </c>
      <c r="AJ78" s="140" t="e">
        <f t="shared" si="14"/>
        <v>#REF!</v>
      </c>
      <c r="AK78" s="184" t="s">
        <v>436</v>
      </c>
      <c r="AL78" s="186" t="s">
        <v>1</v>
      </c>
      <c r="AM78" s="186" t="s">
        <v>1</v>
      </c>
      <c r="AN78" s="187" t="s">
        <v>0</v>
      </c>
      <c r="AO78" s="11" t="e">
        <f t="shared" si="10"/>
        <v>#REF!</v>
      </c>
      <c r="AP78" s="164" t="s">
        <v>271</v>
      </c>
      <c r="AQ78" s="188" t="s">
        <v>585</v>
      </c>
      <c r="AT78" s="197" t="str">
        <f>Table12118[[#This Row],[Risk Location ]]</f>
        <v>France</v>
      </c>
      <c r="AU78" s="198" t="str">
        <f>Table12118[[#This Row],[Sector (GICS Industry Group)]]</f>
        <v>Real Estate Investment</v>
      </c>
      <c r="AX78" s="212" t="e">
        <f>Table12118[[#This Row],[Percentage Impact]]*Table12118[[#This Row],[Amortised Limit A$ Balance]]</f>
        <v>#REF!</v>
      </c>
      <c r="AY78" s="212" t="e">
        <f>Table12118[[#This Row],[Amortised Limit A$ Balance]]*12%</f>
        <v>#REF!</v>
      </c>
      <c r="AZ78" s="212" t="e">
        <f>IF(Table12118[[#This Row],[Everest]]="Everest",Table12118[[#This Row],[Assetinsure Amount ]]*0.2)</f>
        <v>#REF!</v>
      </c>
      <c r="BA78" s="212"/>
      <c r="BB78" s="212" t="e">
        <f>MIN(Table12118[[#This Row],[Assetinsure Amount ]]-Table12118[[#This Row],[Reinsurance Everest Re]],Table12118[[#This Row],[Total Amount]])</f>
        <v>#REF!</v>
      </c>
      <c r="BC78" s="212">
        <f t="shared" si="11"/>
        <v>0</v>
      </c>
      <c r="BG78" s="18">
        <v>0</v>
      </c>
      <c r="BH78" s="212">
        <v>0</v>
      </c>
      <c r="BI78" s="212">
        <v>0</v>
      </c>
      <c r="BJ78" s="212">
        <v>0</v>
      </c>
      <c r="BK78" s="212">
        <v>0</v>
      </c>
      <c r="BL78" s="212">
        <v>0</v>
      </c>
      <c r="BM78" s="212">
        <v>0</v>
      </c>
      <c r="BN78" s="226">
        <v>0</v>
      </c>
      <c r="BO78" s="226"/>
      <c r="BQ78" s="58" t="s">
        <v>1011</v>
      </c>
      <c r="BR78" s="112"/>
      <c r="BS78" s="58"/>
      <c r="BT78" s="288"/>
      <c r="BU78" s="288"/>
    </row>
    <row r="79" spans="1:73" ht="39.950000000000003" customHeight="1" x14ac:dyDescent="0.2">
      <c r="A79" s="131" t="s">
        <v>625</v>
      </c>
      <c r="B79" s="337" t="s">
        <v>1336</v>
      </c>
      <c r="C79" s="337" t="s">
        <v>1144</v>
      </c>
      <c r="D79" s="133" t="s">
        <v>127</v>
      </c>
      <c r="E79" s="188" t="s">
        <v>542</v>
      </c>
      <c r="F79" s="161" t="s">
        <v>88</v>
      </c>
      <c r="G79" s="131" t="s">
        <v>233</v>
      </c>
      <c r="H79" s="131" t="s">
        <v>443</v>
      </c>
      <c r="I79" s="131" t="s">
        <v>234</v>
      </c>
      <c r="J79" s="133" t="s">
        <v>165</v>
      </c>
      <c r="K79" s="192" t="s">
        <v>220</v>
      </c>
      <c r="L79" s="168" t="s">
        <v>140</v>
      </c>
      <c r="M79" s="194" t="s">
        <v>191</v>
      </c>
      <c r="N79" s="134" t="s">
        <v>59</v>
      </c>
      <c r="O79" s="167" t="s">
        <v>43</v>
      </c>
      <c r="P79" s="65">
        <v>3</v>
      </c>
      <c r="Q79" s="167" t="s">
        <v>538</v>
      </c>
      <c r="R79" s="65" t="s">
        <v>534</v>
      </c>
      <c r="S79" s="135" t="s">
        <v>59</v>
      </c>
      <c r="T79" s="136" t="e">
        <f>10000/EUR</f>
        <v>#REF!</v>
      </c>
      <c r="U79" s="62">
        <v>10000</v>
      </c>
      <c r="V79" s="136" t="e">
        <f>Table12118[[#This Row],[Original Limit (A$)]]</f>
        <v>#REF!</v>
      </c>
      <c r="W79" s="136" t="e">
        <f>50000/EUR</f>
        <v>#REF!</v>
      </c>
      <c r="X79" s="136" t="e">
        <f>949357.63/EUR</f>
        <v>#REF!</v>
      </c>
      <c r="Y79" s="62" t="s">
        <v>16</v>
      </c>
      <c r="Z79" s="366">
        <v>0</v>
      </c>
      <c r="AA79" s="147" t="s">
        <v>11</v>
      </c>
      <c r="AB79" s="185">
        <v>2.5000000000000001E-2</v>
      </c>
      <c r="AC79" s="185"/>
      <c r="AD79" s="137">
        <v>44341</v>
      </c>
      <c r="AE79" s="137">
        <v>46837</v>
      </c>
      <c r="AF79" s="137">
        <v>46853</v>
      </c>
      <c r="AG79" s="138">
        <f>AF79-AD79+1</f>
        <v>2513</v>
      </c>
      <c r="AH79" s="139" t="e">
        <f>IF(AF79-$A$1&gt;60,"No","Yes")</f>
        <v>#REF!</v>
      </c>
      <c r="AI79" s="138" t="e">
        <f>AF79-#REF!</f>
        <v>#REF!</v>
      </c>
      <c r="AJ79" s="140" t="e">
        <f>AI79/365</f>
        <v>#REF!</v>
      </c>
      <c r="AK79" s="184"/>
      <c r="AL79" s="186" t="s">
        <v>1</v>
      </c>
      <c r="AM79" s="186" t="s">
        <v>1</v>
      </c>
      <c r="AN79" s="187" t="s">
        <v>0</v>
      </c>
      <c r="AO79" s="11" t="e">
        <f t="shared" si="10"/>
        <v>#REF!</v>
      </c>
      <c r="AP79" s="164" t="s">
        <v>271</v>
      </c>
      <c r="AQ79" s="188" t="s">
        <v>626</v>
      </c>
      <c r="AT79" s="197" t="str">
        <f>Table12118[[#This Row],[Risk Location ]]</f>
        <v>Belgium</v>
      </c>
      <c r="AU79" s="198" t="str">
        <f>Table12118[[#This Row],[Sector (GICS Industry Group)]]</f>
        <v>Telecommunication Services</v>
      </c>
      <c r="AX79" s="212" t="e">
        <f>Table12118[[#This Row],[Percentage Impact]]*Table12118[[#This Row],[Amortised Limit A$ Balance]]</f>
        <v>#REF!</v>
      </c>
      <c r="AY79" s="212" t="e">
        <f>Table12118[[#This Row],[Amortised Limit A$ Balance]]*12%</f>
        <v>#REF!</v>
      </c>
      <c r="AZ79" s="212" t="b">
        <f>IF(Table12118[[#This Row],[Everest]]="Everest",Table12118[[#This Row],[Assetinsure Amount ]]*0.2)</f>
        <v>0</v>
      </c>
      <c r="BA79" s="212"/>
      <c r="BB79" s="212" t="e">
        <f>MIN(Table12118[[#This Row],[Assetinsure Amount ]]-Table12118[[#This Row],[Reinsurance Everest Re]],Table12118[[#This Row],[Total Amount]])</f>
        <v>#REF!</v>
      </c>
      <c r="BC79" s="212">
        <f t="shared" si="11"/>
        <v>0</v>
      </c>
      <c r="BG79" s="18">
        <v>0</v>
      </c>
      <c r="BH79" s="212">
        <v>0</v>
      </c>
      <c r="BI79" s="212">
        <v>0</v>
      </c>
      <c r="BJ79" s="212">
        <v>0</v>
      </c>
      <c r="BK79" s="212">
        <v>0</v>
      </c>
      <c r="BL79" s="212">
        <v>0</v>
      </c>
      <c r="BM79" s="212">
        <v>0</v>
      </c>
      <c r="BN79" s="226">
        <v>0</v>
      </c>
      <c r="BO79" s="226"/>
      <c r="BQ79" s="58" t="s">
        <v>937</v>
      </c>
      <c r="BR79" s="112"/>
      <c r="BS79" s="58"/>
      <c r="BT79" s="288"/>
      <c r="BU79" s="288"/>
    </row>
    <row r="80" spans="1:73" ht="39.950000000000003" customHeight="1" x14ac:dyDescent="0.2">
      <c r="A80" s="131" t="s">
        <v>630</v>
      </c>
      <c r="B80" s="337" t="s">
        <v>23</v>
      </c>
      <c r="C80" s="337" t="s">
        <v>1144</v>
      </c>
      <c r="D80" s="133" t="s">
        <v>89</v>
      </c>
      <c r="E80" s="188" t="s">
        <v>542</v>
      </c>
      <c r="F80" s="161" t="s">
        <v>87</v>
      </c>
      <c r="G80" s="188" t="s">
        <v>92</v>
      </c>
      <c r="H80" s="131" t="s">
        <v>134</v>
      </c>
      <c r="I80" s="66" t="s">
        <v>134</v>
      </c>
      <c r="J80" s="133" t="s">
        <v>631</v>
      </c>
      <c r="K80" s="192" t="s">
        <v>256</v>
      </c>
      <c r="L80" s="168" t="s">
        <v>140</v>
      </c>
      <c r="M80" s="194" t="s">
        <v>191</v>
      </c>
      <c r="N80" s="134" t="s">
        <v>59</v>
      </c>
      <c r="O80" s="167" t="s">
        <v>43</v>
      </c>
      <c r="P80" s="65">
        <v>4</v>
      </c>
      <c r="Q80" s="167" t="s">
        <v>533</v>
      </c>
      <c r="R80" s="65" t="s">
        <v>534</v>
      </c>
      <c r="S80" s="135" t="s">
        <v>9</v>
      </c>
      <c r="T80" s="136" t="e">
        <f>15000/USD</f>
        <v>#REF!</v>
      </c>
      <c r="U80" s="62">
        <v>15000</v>
      </c>
      <c r="V80" s="136" t="e">
        <f>Table12118[[#This Row],[Original Limit (A$)]]</f>
        <v>#REF!</v>
      </c>
      <c r="W80" s="136" t="e">
        <f>125000/USD</f>
        <v>#REF!</v>
      </c>
      <c r="X80" s="136" t="e">
        <f>584064.98/USD-40060.16/USD</f>
        <v>#REF!</v>
      </c>
      <c r="Y80" s="136"/>
      <c r="Z80" s="365"/>
      <c r="AA80" s="147" t="s">
        <v>11</v>
      </c>
      <c r="AB80" s="185">
        <v>1.9E-2</v>
      </c>
      <c r="AC80" s="185"/>
      <c r="AD80" s="137">
        <v>44385</v>
      </c>
      <c r="AE80" s="137">
        <v>46386</v>
      </c>
      <c r="AF80" s="137">
        <v>46386</v>
      </c>
      <c r="AG80" s="138">
        <f t="shared" ref="AG80:AG143" si="15">AF80-AD80+1</f>
        <v>2002</v>
      </c>
      <c r="AH80" s="139" t="e">
        <f t="shared" ref="AH80:AH143" si="16">IF(AF80-$A$1&gt;60,"No","Yes")</f>
        <v>#REF!</v>
      </c>
      <c r="AI80" s="138" t="e">
        <f>AF80-#REF!</f>
        <v>#REF!</v>
      </c>
      <c r="AJ80" s="140" t="e">
        <f>AI80/365</f>
        <v>#REF!</v>
      </c>
      <c r="AK80" s="184"/>
      <c r="AL80" s="186" t="s">
        <v>1</v>
      </c>
      <c r="AM80" s="186" t="s">
        <v>1</v>
      </c>
      <c r="AN80" s="187" t="s">
        <v>0</v>
      </c>
      <c r="AO80" s="11" t="e">
        <f t="shared" si="10"/>
        <v>#REF!</v>
      </c>
      <c r="AP80" s="164" t="s">
        <v>271</v>
      </c>
      <c r="AQ80" s="188" t="s">
        <v>628</v>
      </c>
      <c r="AT80" s="197" t="str">
        <f>Table12118[[#This Row],[Risk Location ]]</f>
        <v>United Kingdom</v>
      </c>
      <c r="AU80" s="198" t="str">
        <f>Table12118[[#This Row],[Sector (GICS Industry Group)]]</f>
        <v>Transportation</v>
      </c>
      <c r="AX80" s="212" t="e">
        <f>Table12118[[#This Row],[Percentage Impact]]*Table12118[[#This Row],[Amortised Limit A$ Balance]]</f>
        <v>#REF!</v>
      </c>
      <c r="AY80" s="212" t="e">
        <f>Table12118[[#This Row],[Amortised Limit A$ Balance]]*12%</f>
        <v>#REF!</v>
      </c>
      <c r="AZ80" s="212" t="b">
        <f>IF(Table12118[[#This Row],[Everest]]="Everest",Table12118[[#This Row],[Assetinsure Amount ]]*0.2)</f>
        <v>0</v>
      </c>
      <c r="BA80" s="212"/>
      <c r="BB80" s="212" t="e">
        <f>MIN(Table12118[[#This Row],[Assetinsure Amount ]]-Table12118[[#This Row],[Reinsurance Everest Re]],Table12118[[#This Row],[Total Amount]])</f>
        <v>#REF!</v>
      </c>
      <c r="BC80" s="212">
        <f t="shared" si="11"/>
        <v>0</v>
      </c>
      <c r="BG80" s="18">
        <v>0</v>
      </c>
      <c r="BH80" s="212">
        <v>0</v>
      </c>
      <c r="BI80" s="212">
        <v>0</v>
      </c>
      <c r="BJ80" s="212">
        <v>0</v>
      </c>
      <c r="BK80" s="212">
        <v>0</v>
      </c>
      <c r="BL80" s="212">
        <v>0</v>
      </c>
      <c r="BM80" s="212">
        <v>0</v>
      </c>
      <c r="BN80" s="226">
        <v>0</v>
      </c>
      <c r="BO80" s="226"/>
      <c r="BQ80" s="58" t="s">
        <v>1012</v>
      </c>
      <c r="BR80" s="112"/>
      <c r="BS80" s="58"/>
    </row>
    <row r="81" spans="1:72" s="229" customFormat="1" ht="39.950000000000003" customHeight="1" x14ac:dyDescent="0.2">
      <c r="A81" s="131" t="s">
        <v>636</v>
      </c>
      <c r="B81" s="337" t="s">
        <v>307</v>
      </c>
      <c r="C81" s="337" t="s">
        <v>1144</v>
      </c>
      <c r="D81" s="133" t="s">
        <v>37</v>
      </c>
      <c r="E81" s="188" t="s">
        <v>541</v>
      </c>
      <c r="F81" s="161" t="s">
        <v>152</v>
      </c>
      <c r="G81" s="188" t="s">
        <v>439</v>
      </c>
      <c r="H81" s="131" t="s">
        <v>445</v>
      </c>
      <c r="I81" s="66" t="s">
        <v>463</v>
      </c>
      <c r="J81" s="133" t="s">
        <v>526</v>
      </c>
      <c r="K81" s="192" t="s">
        <v>221</v>
      </c>
      <c r="L81" s="168" t="s">
        <v>140</v>
      </c>
      <c r="M81" s="194" t="s">
        <v>191</v>
      </c>
      <c r="N81" s="134" t="s">
        <v>323</v>
      </c>
      <c r="O81" s="167" t="s">
        <v>43</v>
      </c>
      <c r="P81" s="65">
        <v>3</v>
      </c>
      <c r="Q81" s="167" t="s">
        <v>538</v>
      </c>
      <c r="R81" s="65" t="s">
        <v>534</v>
      </c>
      <c r="S81" s="135" t="s">
        <v>488</v>
      </c>
      <c r="T81" s="136" t="e">
        <f>986842.10526/JPY</f>
        <v>#REF!</v>
      </c>
      <c r="U81" s="62">
        <v>986842.10525999998</v>
      </c>
      <c r="V81" s="136" t="e">
        <f>Table12118[[#This Row],[Amortised Limit in Original Currency]]/JPY</f>
        <v>#REF!</v>
      </c>
      <c r="W81" s="136" t="e">
        <f>221170032/JPY</f>
        <v>#REF!</v>
      </c>
      <c r="X81" s="136" t="e">
        <f>21030136.48/JPY</f>
        <v>#REF!</v>
      </c>
      <c r="Y81" s="136"/>
      <c r="Z81" s="365"/>
      <c r="AA81" s="147" t="s">
        <v>11</v>
      </c>
      <c r="AB81" s="185">
        <v>2.2499999999999999E-2</v>
      </c>
      <c r="AC81" s="185"/>
      <c r="AD81" s="137">
        <v>44418</v>
      </c>
      <c r="AE81" s="137">
        <v>45290</v>
      </c>
      <c r="AF81" s="137">
        <v>45290</v>
      </c>
      <c r="AG81" s="138">
        <f t="shared" si="15"/>
        <v>873</v>
      </c>
      <c r="AH81" s="139" t="e">
        <f>IF(AF81-$A$1&gt;60,"No","Yes")</f>
        <v>#REF!</v>
      </c>
      <c r="AI81" s="138" t="e">
        <f>AF81-#REF!</f>
        <v>#REF!</v>
      </c>
      <c r="AJ81" s="140" t="e">
        <f t="shared" ref="AJ81:AJ113" si="17">AI81/365</f>
        <v>#REF!</v>
      </c>
      <c r="AK81" s="184"/>
      <c r="AL81" s="186" t="s">
        <v>1</v>
      </c>
      <c r="AM81" s="186" t="s">
        <v>1</v>
      </c>
      <c r="AN81" s="187" t="s">
        <v>0</v>
      </c>
      <c r="AO81" s="11" t="e">
        <f t="shared" si="10"/>
        <v>#REF!</v>
      </c>
      <c r="AP81" s="164" t="s">
        <v>271</v>
      </c>
      <c r="AQ81" s="188" t="s">
        <v>632</v>
      </c>
      <c r="AR81" s="11"/>
      <c r="AS81" s="11"/>
      <c r="AT81" s="197" t="str">
        <f>Table12118[[#This Row],[Risk Location ]]</f>
        <v>Japan</v>
      </c>
      <c r="AU81" s="198" t="str">
        <f>Table12118[[#This Row],[Sector (GICS Industry Group)]]</f>
        <v>Utilities</v>
      </c>
      <c r="AV81" s="11"/>
      <c r="AW81" s="11"/>
      <c r="AX81" s="212" t="e">
        <f>Table12118[[#This Row],[Percentage Impact]]*Table12118[[#This Row],[Amortised Limit A$ Balance]]</f>
        <v>#REF!</v>
      </c>
      <c r="AY81" s="212" t="e">
        <f>Table12118[[#This Row],[Amortised Limit A$ Balance]]*12%</f>
        <v>#REF!</v>
      </c>
      <c r="AZ81" s="212" t="b">
        <f>IF(Table12118[[#This Row],[Everest]]="Everest",Table12118[[#This Row],[Assetinsure Amount ]]*0.2)</f>
        <v>0</v>
      </c>
      <c r="BA81" s="212"/>
      <c r="BB81" s="212" t="e">
        <f>MIN(Table12118[[#This Row],[Assetinsure Amount ]]-Table12118[[#This Row],[Reinsurance Everest Re]],Table12118[[#This Row],[Total Amount]])</f>
        <v>#REF!</v>
      </c>
      <c r="BC81" s="212">
        <f t="shared" si="11"/>
        <v>0</v>
      </c>
      <c r="BD81" s="11"/>
      <c r="BG81" s="18">
        <v>0</v>
      </c>
      <c r="BH81" s="278">
        <v>0</v>
      </c>
      <c r="BI81" s="278">
        <v>0</v>
      </c>
      <c r="BJ81" s="278">
        <v>0</v>
      </c>
      <c r="BK81" s="278">
        <v>0</v>
      </c>
      <c r="BL81" s="278">
        <v>0</v>
      </c>
      <c r="BM81" s="278">
        <v>0</v>
      </c>
      <c r="BN81" s="226">
        <v>0</v>
      </c>
      <c r="BO81" s="226"/>
      <c r="BQ81" s="58" t="s">
        <v>1013</v>
      </c>
      <c r="BR81" s="276"/>
      <c r="BS81" s="58"/>
      <c r="BT81" s="11"/>
    </row>
    <row r="82" spans="1:72" ht="39.950000000000003" customHeight="1" x14ac:dyDescent="0.2">
      <c r="A82" s="131" t="s">
        <v>637</v>
      </c>
      <c r="B82" s="337" t="s">
        <v>243</v>
      </c>
      <c r="C82" s="337" t="s">
        <v>243</v>
      </c>
      <c r="D82" s="133" t="s">
        <v>38</v>
      </c>
      <c r="E82" s="131" t="s">
        <v>540</v>
      </c>
      <c r="F82" s="161" t="s">
        <v>35</v>
      </c>
      <c r="G82" s="131" t="s">
        <v>892</v>
      </c>
      <c r="H82" s="188" t="s">
        <v>259</v>
      </c>
      <c r="I82" s="188" t="s">
        <v>258</v>
      </c>
      <c r="J82" s="133" t="s">
        <v>638</v>
      </c>
      <c r="K82" s="192" t="s">
        <v>687</v>
      </c>
      <c r="L82" s="168" t="s">
        <v>209</v>
      </c>
      <c r="M82" s="194" t="s">
        <v>191</v>
      </c>
      <c r="N82" s="134" t="s">
        <v>323</v>
      </c>
      <c r="O82" s="167" t="s">
        <v>43</v>
      </c>
      <c r="P82" s="65">
        <v>3</v>
      </c>
      <c r="Q82" s="167" t="s">
        <v>538</v>
      </c>
      <c r="R82" s="270" t="s">
        <v>534</v>
      </c>
      <c r="S82" s="135" t="s">
        <v>9</v>
      </c>
      <c r="T82" s="136" t="e">
        <f>(10000-6851.94)/USD</f>
        <v>#REF!</v>
      </c>
      <c r="U82" s="62">
        <f>(10000-6851.94)</f>
        <v>3148.0600000000004</v>
      </c>
      <c r="V82" s="136" t="e">
        <f>Table12118[[#This Row],[Amortised Limit in Original Currency]]/USD</f>
        <v>#REF!</v>
      </c>
      <c r="W82" s="136" t="e">
        <f>20000/USD</f>
        <v>#REF!</v>
      </c>
      <c r="X82" s="136" t="e">
        <f>(565401.86-125283.29-37335.49)/USD</f>
        <v>#REF!</v>
      </c>
      <c r="Y82" s="136"/>
      <c r="Z82" s="365"/>
      <c r="AA82" s="147" t="s">
        <v>11</v>
      </c>
      <c r="AB82" s="185">
        <v>0.04</v>
      </c>
      <c r="AC82" s="185"/>
      <c r="AD82" s="137">
        <v>44425</v>
      </c>
      <c r="AE82" s="137">
        <v>46233</v>
      </c>
      <c r="AF82" s="137">
        <v>46233</v>
      </c>
      <c r="AG82" s="138">
        <f>AF82-AD82+1</f>
        <v>1809</v>
      </c>
      <c r="AH82" s="139" t="e">
        <f t="shared" si="16"/>
        <v>#REF!</v>
      </c>
      <c r="AI82" s="138" t="e">
        <f>AF82-#REF!</f>
        <v>#REF!</v>
      </c>
      <c r="AJ82" s="140" t="e">
        <f t="shared" si="17"/>
        <v>#REF!</v>
      </c>
      <c r="AK82" s="184"/>
      <c r="AL82" s="186" t="s">
        <v>1</v>
      </c>
      <c r="AM82" s="186" t="s">
        <v>1</v>
      </c>
      <c r="AN82" s="187" t="s">
        <v>0</v>
      </c>
      <c r="AO82" s="229" t="e">
        <f t="shared" si="10"/>
        <v>#REF!</v>
      </c>
      <c r="AP82" s="164" t="s">
        <v>271</v>
      </c>
      <c r="AQ82" s="188" t="s">
        <v>633</v>
      </c>
      <c r="AR82" s="229"/>
      <c r="AS82" s="229"/>
      <c r="AT82" s="323" t="str">
        <f>Table12118[[#This Row],[Risk Location ]]</f>
        <v>India</v>
      </c>
      <c r="AU82" s="324" t="str">
        <f>Table12118[[#This Row],[Sector (GICS Industry Group)]]</f>
        <v>Information Technology - Software &amp; Services</v>
      </c>
      <c r="AV82" s="229"/>
      <c r="AW82" s="229"/>
      <c r="AX82" s="278" t="e">
        <f>Table12118[[#This Row],[Percentage Impact]]*Table12118[[#This Row],[Amortised Limit A$ Balance]]</f>
        <v>#REF!</v>
      </c>
      <c r="AY82" s="278" t="e">
        <f>Table12118[[#This Row],[Amortised Limit A$ Balance]]*12%</f>
        <v>#REF!</v>
      </c>
      <c r="AZ82" s="278" t="b">
        <f>IF(Table12118[[#This Row],[Everest]]="Everest",Table12118[[#This Row],[Assetinsure Amount ]]*0.2)</f>
        <v>0</v>
      </c>
      <c r="BA82" s="278"/>
      <c r="BB82" s="278" t="e">
        <f>MIN(Table12118[[#This Row],[Assetinsure Amount ]]-Table12118[[#This Row],[Reinsurance Everest Re]],Table12118[[#This Row],[Total Amount]])</f>
        <v>#REF!</v>
      </c>
      <c r="BC82" s="212">
        <f t="shared" si="11"/>
        <v>0</v>
      </c>
      <c r="BD82" s="229"/>
      <c r="BG82" s="18">
        <v>0</v>
      </c>
      <c r="BH82" s="212">
        <v>0</v>
      </c>
      <c r="BI82" s="212">
        <v>0</v>
      </c>
      <c r="BJ82" s="212">
        <v>0</v>
      </c>
      <c r="BK82" s="212">
        <v>0</v>
      </c>
      <c r="BL82" s="212">
        <v>0</v>
      </c>
      <c r="BM82" s="212">
        <v>0</v>
      </c>
      <c r="BN82" s="226">
        <v>0</v>
      </c>
      <c r="BO82" s="226"/>
      <c r="BQ82" s="58" t="s">
        <v>1014</v>
      </c>
      <c r="BR82" s="112"/>
      <c r="BS82" s="58"/>
    </row>
    <row r="83" spans="1:72" ht="39.950000000000003" customHeight="1" x14ac:dyDescent="0.2">
      <c r="A83" s="131" t="s">
        <v>639</v>
      </c>
      <c r="B83" s="337" t="s">
        <v>1247</v>
      </c>
      <c r="C83" s="337" t="s">
        <v>243</v>
      </c>
      <c r="D83" s="133" t="s">
        <v>38</v>
      </c>
      <c r="E83" s="14" t="s">
        <v>540</v>
      </c>
      <c r="F83" s="161" t="s">
        <v>35</v>
      </c>
      <c r="G83" s="14" t="s">
        <v>892</v>
      </c>
      <c r="H83" s="188" t="s">
        <v>259</v>
      </c>
      <c r="I83" s="188" t="s">
        <v>258</v>
      </c>
      <c r="J83" s="133" t="s">
        <v>638</v>
      </c>
      <c r="K83" s="192" t="s">
        <v>687</v>
      </c>
      <c r="L83" s="168" t="s">
        <v>139</v>
      </c>
      <c r="M83" s="194" t="s">
        <v>191</v>
      </c>
      <c r="N83" s="134" t="s">
        <v>323</v>
      </c>
      <c r="O83" s="167" t="s">
        <v>43</v>
      </c>
      <c r="P83" s="65">
        <v>2</v>
      </c>
      <c r="Q83" s="167" t="s">
        <v>538</v>
      </c>
      <c r="R83" s="65" t="s">
        <v>534</v>
      </c>
      <c r="S83" s="135" t="s">
        <v>9</v>
      </c>
      <c r="T83" s="136" t="e">
        <f>20000/USD</f>
        <v>#REF!</v>
      </c>
      <c r="U83" s="62" t="e">
        <f>Table12118[[#This Row],[Amortised Limit A$ Balance]]*USD</f>
        <v>#REF!</v>
      </c>
      <c r="V83" s="136" t="e">
        <f>15000/USD</f>
        <v>#REF!</v>
      </c>
      <c r="W83" s="136" t="e">
        <f>40000/USD</f>
        <v>#REF!</v>
      </c>
      <c r="X83" s="136" t="e">
        <f>1806917.2/USD-407722/USD</f>
        <v>#REF!</v>
      </c>
      <c r="Y83" s="136"/>
      <c r="Z83" s="365"/>
      <c r="AA83" s="147" t="s">
        <v>11</v>
      </c>
      <c r="AB83" s="185">
        <v>3.3300000000000003E-2</v>
      </c>
      <c r="AC83" s="185"/>
      <c r="AD83" s="137">
        <v>44425</v>
      </c>
      <c r="AE83" s="137">
        <v>46240</v>
      </c>
      <c r="AF83" s="137">
        <v>46270</v>
      </c>
      <c r="AG83" s="138">
        <f t="shared" si="15"/>
        <v>1846</v>
      </c>
      <c r="AH83" s="139" t="e">
        <f>IF(AF83-$A$1&gt;60,"No","Yes")</f>
        <v>#REF!</v>
      </c>
      <c r="AI83" s="138" t="e">
        <f>AF83-#REF!</f>
        <v>#REF!</v>
      </c>
      <c r="AJ83" s="140" t="e">
        <f t="shared" si="17"/>
        <v>#REF!</v>
      </c>
      <c r="AK83" s="184" t="s">
        <v>436</v>
      </c>
      <c r="AL83" s="186" t="s">
        <v>1</v>
      </c>
      <c r="AM83" s="186" t="s">
        <v>1</v>
      </c>
      <c r="AN83" s="187" t="s">
        <v>0</v>
      </c>
      <c r="AO83" s="11" t="e">
        <f t="shared" si="10"/>
        <v>#REF!</v>
      </c>
      <c r="AP83" s="164" t="s">
        <v>271</v>
      </c>
      <c r="AQ83" s="188" t="s">
        <v>640</v>
      </c>
      <c r="AT83" s="197" t="str">
        <f>Table12118[[#This Row],[Risk Location ]]</f>
        <v>India</v>
      </c>
      <c r="AU83" s="198" t="str">
        <f>Table12118[[#This Row],[Sector (GICS Industry Group)]]</f>
        <v>Information Technology - Software &amp; Services</v>
      </c>
      <c r="AX83" s="212" t="e">
        <f>Table12118[[#This Row],[Percentage Impact]]*Table12118[[#This Row],[Amortised Limit A$ Balance]]</f>
        <v>#REF!</v>
      </c>
      <c r="AY83" s="212" t="e">
        <f>Table12118[[#This Row],[Amortised Limit A$ Balance]]*12%</f>
        <v>#REF!</v>
      </c>
      <c r="AZ83" s="212" t="e">
        <f>IF(Table12118[[#This Row],[Everest]]="Everest",Table12118[[#This Row],[Assetinsure Amount ]]*0.2)</f>
        <v>#REF!</v>
      </c>
      <c r="BA83" s="212"/>
      <c r="BB83" s="212" t="e">
        <f>MIN(Table12118[[#This Row],[Assetinsure Amount ]]-Table12118[[#This Row],[Reinsurance Everest Re]],Table12118[[#This Row],[Total Amount]])</f>
        <v>#REF!</v>
      </c>
      <c r="BC83" s="212">
        <f t="shared" si="11"/>
        <v>0</v>
      </c>
      <c r="BG83" s="18">
        <v>0</v>
      </c>
      <c r="BH83" s="212">
        <v>0</v>
      </c>
      <c r="BI83" s="212">
        <v>0</v>
      </c>
      <c r="BJ83" s="212">
        <v>0</v>
      </c>
      <c r="BK83" s="212">
        <v>0</v>
      </c>
      <c r="BL83" s="212">
        <v>0</v>
      </c>
      <c r="BM83" s="212">
        <v>0</v>
      </c>
      <c r="BN83" s="226">
        <v>0</v>
      </c>
      <c r="BO83" s="226"/>
      <c r="BQ83" s="58" t="s">
        <v>1015</v>
      </c>
      <c r="BR83" s="112"/>
      <c r="BS83" s="58"/>
    </row>
    <row r="84" spans="1:72" s="229" customFormat="1" ht="39.950000000000003" customHeight="1" x14ac:dyDescent="0.2">
      <c r="A84" s="131" t="s">
        <v>641</v>
      </c>
      <c r="B84" s="337" t="s">
        <v>51</v>
      </c>
      <c r="C84" s="337" t="s">
        <v>1144</v>
      </c>
      <c r="D84" s="133" t="s">
        <v>38</v>
      </c>
      <c r="E84" s="14" t="s">
        <v>540</v>
      </c>
      <c r="F84" s="161" t="s">
        <v>35</v>
      </c>
      <c r="G84" s="188" t="s">
        <v>475</v>
      </c>
      <c r="H84" s="131" t="s">
        <v>138</v>
      </c>
      <c r="I84" s="66" t="s">
        <v>138</v>
      </c>
      <c r="J84" s="133" t="s">
        <v>638</v>
      </c>
      <c r="K84" s="192" t="s">
        <v>687</v>
      </c>
      <c r="L84" s="168" t="s">
        <v>209</v>
      </c>
      <c r="M84" s="194" t="s">
        <v>191</v>
      </c>
      <c r="N84" s="134" t="s">
        <v>323</v>
      </c>
      <c r="O84" s="167" t="s">
        <v>43</v>
      </c>
      <c r="P84" s="65">
        <v>2</v>
      </c>
      <c r="Q84" s="167" t="s">
        <v>538</v>
      </c>
      <c r="R84" s="65" t="s">
        <v>534</v>
      </c>
      <c r="S84" s="135" t="s">
        <v>9</v>
      </c>
      <c r="T84" s="136" t="e">
        <f>7500/USD</f>
        <v>#REF!</v>
      </c>
      <c r="U84" s="62">
        <v>7500</v>
      </c>
      <c r="V84" s="136" t="e">
        <f>Table12118[[#This Row],[Original Limit (A$)]]</f>
        <v>#REF!</v>
      </c>
      <c r="W84" s="136" t="e">
        <f>15000/USD</f>
        <v>#REF!</v>
      </c>
      <c r="X84" s="136" t="e">
        <f>1083687/USD</f>
        <v>#REF!</v>
      </c>
      <c r="Y84" s="136"/>
      <c r="Z84" s="365"/>
      <c r="AA84" s="147" t="s">
        <v>11</v>
      </c>
      <c r="AB84" s="185">
        <v>6.7500000000000004E-2</v>
      </c>
      <c r="AC84" s="185"/>
      <c r="AD84" s="137">
        <v>44434</v>
      </c>
      <c r="AE84" s="137">
        <v>45791</v>
      </c>
      <c r="AF84" s="137">
        <v>45821</v>
      </c>
      <c r="AG84" s="138">
        <f t="shared" si="15"/>
        <v>1388</v>
      </c>
      <c r="AH84" s="139" t="e">
        <f t="shared" si="16"/>
        <v>#REF!</v>
      </c>
      <c r="AI84" s="138" t="e">
        <f>AF84-#REF!</f>
        <v>#REF!</v>
      </c>
      <c r="AJ84" s="140" t="e">
        <f t="shared" si="17"/>
        <v>#REF!</v>
      </c>
      <c r="AK84" s="184"/>
      <c r="AL84" s="186" t="s">
        <v>1</v>
      </c>
      <c r="AM84" s="186" t="s">
        <v>1</v>
      </c>
      <c r="AN84" s="187" t="s">
        <v>0</v>
      </c>
      <c r="AO84" s="11" t="e">
        <f t="shared" si="10"/>
        <v>#REF!</v>
      </c>
      <c r="AP84" s="164" t="s">
        <v>271</v>
      </c>
      <c r="AQ84" s="188" t="s">
        <v>634</v>
      </c>
      <c r="AR84" s="11"/>
      <c r="AS84" s="11"/>
      <c r="AT84" s="197" t="str">
        <f>Table12118[[#This Row],[Risk Location ]]</f>
        <v>India</v>
      </c>
      <c r="AU84" s="198" t="str">
        <f>Table12118[[#This Row],[Sector (GICS Industry Group)]]</f>
        <v>Health Care</v>
      </c>
      <c r="AV84" s="11"/>
      <c r="AW84" s="11"/>
      <c r="AX84" s="212" t="e">
        <f>Table12118[[#This Row],[Percentage Impact]]*Table12118[[#This Row],[Amortised Limit A$ Balance]]</f>
        <v>#REF!</v>
      </c>
      <c r="AY84" s="212" t="e">
        <f>Table12118[[#This Row],[Amortised Limit A$ Balance]]*12%</f>
        <v>#REF!</v>
      </c>
      <c r="AZ84" s="212" t="b">
        <f>IF(Table12118[[#This Row],[Everest]]="Everest",Table12118[[#This Row],[Assetinsure Amount ]]*0.2)</f>
        <v>0</v>
      </c>
      <c r="BA84" s="212"/>
      <c r="BB84" s="212" t="e">
        <f>MIN(Table12118[[#This Row],[Assetinsure Amount ]]-Table12118[[#This Row],[Reinsurance Everest Re]],Table12118[[#This Row],[Total Amount]])</f>
        <v>#REF!</v>
      </c>
      <c r="BC84" s="212">
        <f t="shared" si="11"/>
        <v>0</v>
      </c>
      <c r="BD84" s="11"/>
      <c r="BG84" s="18">
        <v>0</v>
      </c>
      <c r="BH84" s="278">
        <v>0</v>
      </c>
      <c r="BI84" s="278">
        <v>0</v>
      </c>
      <c r="BJ84" s="278">
        <v>0</v>
      </c>
      <c r="BK84" s="278">
        <v>0</v>
      </c>
      <c r="BL84" s="278">
        <v>0</v>
      </c>
      <c r="BM84" s="278">
        <v>0</v>
      </c>
      <c r="BN84" s="226">
        <v>0</v>
      </c>
      <c r="BO84" s="226"/>
      <c r="BQ84" s="58" t="s">
        <v>1220</v>
      </c>
      <c r="BR84" s="276"/>
      <c r="BS84" s="58"/>
      <c r="BT84" s="11"/>
    </row>
    <row r="85" spans="1:72" ht="39.950000000000003" customHeight="1" x14ac:dyDescent="0.2">
      <c r="A85" s="131" t="s">
        <v>642</v>
      </c>
      <c r="B85" s="337" t="s">
        <v>1335</v>
      </c>
      <c r="C85" s="337" t="s">
        <v>1142</v>
      </c>
      <c r="D85" s="133" t="s">
        <v>588</v>
      </c>
      <c r="E85" s="188" t="s">
        <v>499</v>
      </c>
      <c r="F85" s="161" t="s">
        <v>643</v>
      </c>
      <c r="G85" s="131" t="s">
        <v>891</v>
      </c>
      <c r="H85" s="133" t="s">
        <v>167</v>
      </c>
      <c r="I85" s="131" t="s">
        <v>167</v>
      </c>
      <c r="J85" s="133" t="s">
        <v>589</v>
      </c>
      <c r="K85" s="192" t="s">
        <v>218</v>
      </c>
      <c r="L85" s="168" t="s">
        <v>209</v>
      </c>
      <c r="M85" s="194" t="s">
        <v>191</v>
      </c>
      <c r="N85" s="134" t="s">
        <v>59</v>
      </c>
      <c r="O85" s="167" t="s">
        <v>43</v>
      </c>
      <c r="P85" s="65">
        <v>2</v>
      </c>
      <c r="Q85" s="167" t="s">
        <v>538</v>
      </c>
      <c r="R85" s="270" t="s">
        <v>534</v>
      </c>
      <c r="S85" s="135" t="s">
        <v>644</v>
      </c>
      <c r="T85" s="136" t="e">
        <f>(15000+12000)/CAD</f>
        <v>#REF!</v>
      </c>
      <c r="U85" s="62">
        <f>15000+12000</f>
        <v>27000</v>
      </c>
      <c r="V85" s="136" t="e">
        <f>Table12118[[#This Row],[Original Limit (A$)]]</f>
        <v>#REF!</v>
      </c>
      <c r="W85" s="136" t="e">
        <f>(30000+22000)/CAD</f>
        <v>#REF!</v>
      </c>
      <c r="X85" s="136" t="e">
        <f>(2011126.25+875540.98)/CAD</f>
        <v>#REF!</v>
      </c>
      <c r="Y85" s="62" t="s">
        <v>16</v>
      </c>
      <c r="Z85" s="366">
        <v>0</v>
      </c>
      <c r="AA85" s="147" t="s">
        <v>11</v>
      </c>
      <c r="AB85" s="185">
        <v>5.7500000000000002E-2</v>
      </c>
      <c r="AC85" s="185"/>
      <c r="AD85" s="137">
        <v>44433</v>
      </c>
      <c r="AE85" s="137">
        <v>46142</v>
      </c>
      <c r="AF85" s="137">
        <v>46142</v>
      </c>
      <c r="AG85" s="138">
        <f t="shared" si="15"/>
        <v>1710</v>
      </c>
      <c r="AH85" s="139" t="e">
        <f t="shared" si="16"/>
        <v>#REF!</v>
      </c>
      <c r="AI85" s="138" t="e">
        <f>AF85-#REF!</f>
        <v>#REF!</v>
      </c>
      <c r="AJ85" s="140" t="e">
        <f t="shared" si="17"/>
        <v>#REF!</v>
      </c>
      <c r="AK85" s="184" t="s">
        <v>436</v>
      </c>
      <c r="AL85" s="186" t="s">
        <v>1</v>
      </c>
      <c r="AM85" s="186" t="s">
        <v>1</v>
      </c>
      <c r="AN85" s="187" t="s">
        <v>1170</v>
      </c>
      <c r="AO85" s="229" t="e">
        <f t="shared" si="10"/>
        <v>#REF!</v>
      </c>
      <c r="AP85" s="164" t="s">
        <v>271</v>
      </c>
      <c r="AQ85" s="188" t="s">
        <v>635</v>
      </c>
      <c r="AR85" s="229"/>
      <c r="AS85" s="229"/>
      <c r="AT85" s="323" t="str">
        <f>Table12118[[#This Row],[Risk Location ]]</f>
        <v>Canada</v>
      </c>
      <c r="AU85" s="324" t="str">
        <f>Table12118[[#This Row],[Sector (GICS Industry Group)]]</f>
        <v>Information Technology - Hardware &amp; Equipment</v>
      </c>
      <c r="AV85" s="229"/>
      <c r="AW85" s="229"/>
      <c r="AX85" s="212" t="e">
        <f>Table12118[[#This Row],[Percentage Impact]]*Table12118[[#This Row],[Amortised Limit A$ Balance]]</f>
        <v>#REF!</v>
      </c>
      <c r="AY85" s="212" t="e">
        <f>Table12118[[#This Row],[Amortised Limit A$ Balance]]*12%</f>
        <v>#REF!</v>
      </c>
      <c r="AZ85" s="212" t="e">
        <f>IF(Table12118[[#This Row],[Everest]]="Everest",Table12118[[#This Row],[Assetinsure Amount ]]*0.2)</f>
        <v>#REF!</v>
      </c>
      <c r="BA85" s="278"/>
      <c r="BB85" s="212" t="e">
        <f>MIN(Table12118[[#This Row],[Assetinsure Amount ]]-Table12118[[#This Row],[Reinsurance Everest Re]],Table12118[[#This Row],[Total Amount]])</f>
        <v>#REF!</v>
      </c>
      <c r="BC85" s="212">
        <f t="shared" si="11"/>
        <v>0</v>
      </c>
      <c r="BD85" s="229"/>
      <c r="BG85" s="18">
        <v>0</v>
      </c>
      <c r="BH85" s="212">
        <v>0</v>
      </c>
      <c r="BI85" s="212">
        <v>0</v>
      </c>
      <c r="BJ85" s="212">
        <v>0</v>
      </c>
      <c r="BK85" s="212">
        <v>0</v>
      </c>
      <c r="BL85" s="212">
        <v>0</v>
      </c>
      <c r="BM85" s="212">
        <v>0</v>
      </c>
      <c r="BN85" s="226">
        <v>0</v>
      </c>
      <c r="BO85" s="226"/>
      <c r="BQ85" s="58" t="s">
        <v>1019</v>
      </c>
      <c r="BR85" s="112"/>
      <c r="BS85" s="58"/>
    </row>
    <row r="86" spans="1:72" ht="39.950000000000003" customHeight="1" x14ac:dyDescent="0.2">
      <c r="A86" s="131" t="s">
        <v>646</v>
      </c>
      <c r="B86" s="337" t="s">
        <v>243</v>
      </c>
      <c r="C86" s="337" t="s">
        <v>243</v>
      </c>
      <c r="D86" s="133" t="s">
        <v>38</v>
      </c>
      <c r="E86" s="14" t="s">
        <v>540</v>
      </c>
      <c r="F86" s="161" t="s">
        <v>35</v>
      </c>
      <c r="G86" s="14" t="s">
        <v>892</v>
      </c>
      <c r="H86" s="188" t="s">
        <v>259</v>
      </c>
      <c r="I86" s="188" t="s">
        <v>258</v>
      </c>
      <c r="J86" s="133" t="s">
        <v>142</v>
      </c>
      <c r="K86" s="192" t="s">
        <v>218</v>
      </c>
      <c r="L86" s="168" t="s">
        <v>209</v>
      </c>
      <c r="M86" s="194" t="s">
        <v>191</v>
      </c>
      <c r="N86" s="134" t="s">
        <v>323</v>
      </c>
      <c r="O86" s="167" t="s">
        <v>43</v>
      </c>
      <c r="P86" s="65">
        <v>3</v>
      </c>
      <c r="Q86" s="167" t="s">
        <v>538</v>
      </c>
      <c r="R86" s="65" t="s">
        <v>534</v>
      </c>
      <c r="S86" s="135" t="s">
        <v>9</v>
      </c>
      <c r="T86" s="136" t="e">
        <f>6900/USD</f>
        <v>#REF!</v>
      </c>
      <c r="U86" s="62">
        <v>6146.2755399999996</v>
      </c>
      <c r="V86" s="136" t="e">
        <f>Table12118[[#This Row],[Amortised Limit in Original Currency]]/USD</f>
        <v>#REF!</v>
      </c>
      <c r="W86" s="136" t="e">
        <f>13800/USD</f>
        <v>#REF!</v>
      </c>
      <c r="X86" s="136" t="e">
        <f>579263.43/USD</f>
        <v>#REF!</v>
      </c>
      <c r="Y86" s="62" t="s">
        <v>16</v>
      </c>
      <c r="Z86" s="366">
        <v>0</v>
      </c>
      <c r="AA86" s="147" t="s">
        <v>11</v>
      </c>
      <c r="AB86" s="185">
        <v>0.04</v>
      </c>
      <c r="AC86" s="185"/>
      <c r="AD86" s="137">
        <v>44441</v>
      </c>
      <c r="AE86" s="137">
        <v>46217</v>
      </c>
      <c r="AF86" s="137">
        <v>46217</v>
      </c>
      <c r="AG86" s="138">
        <f t="shared" si="15"/>
        <v>1777</v>
      </c>
      <c r="AH86" s="139" t="e">
        <f t="shared" si="16"/>
        <v>#REF!</v>
      </c>
      <c r="AI86" s="138" t="e">
        <f>AF86-#REF!</f>
        <v>#REF!</v>
      </c>
      <c r="AJ86" s="140" t="e">
        <f t="shared" si="17"/>
        <v>#REF!</v>
      </c>
      <c r="AK86" s="184"/>
      <c r="AL86" s="186" t="s">
        <v>1</v>
      </c>
      <c r="AM86" s="186" t="s">
        <v>1</v>
      </c>
      <c r="AN86" s="187" t="s">
        <v>0</v>
      </c>
      <c r="AO86" s="11" t="e">
        <f t="shared" si="10"/>
        <v>#REF!</v>
      </c>
      <c r="AP86" s="164" t="s">
        <v>271</v>
      </c>
      <c r="AQ86" s="188" t="s">
        <v>645</v>
      </c>
      <c r="AT86" s="197" t="str">
        <f>Table12118[[#This Row],[Risk Location ]]</f>
        <v>India</v>
      </c>
      <c r="AU86" s="198" t="str">
        <f>Table12118[[#This Row],[Sector (GICS Industry Group)]]</f>
        <v>Information Technology - Software &amp; Services</v>
      </c>
      <c r="AX86" s="212" t="e">
        <f>Table12118[[#This Row],[Percentage Impact]]*Table12118[[#This Row],[Amortised Limit A$ Balance]]</f>
        <v>#REF!</v>
      </c>
      <c r="AY86" s="212" t="e">
        <f>Table12118[[#This Row],[Amortised Limit A$ Balance]]*12%</f>
        <v>#REF!</v>
      </c>
      <c r="AZ86" s="212" t="b">
        <f>IF(Table12118[[#This Row],[Everest]]="Everest",Table12118[[#This Row],[Assetinsure Amount ]]*0.2)</f>
        <v>0</v>
      </c>
      <c r="BA86" s="212"/>
      <c r="BB86" s="212" t="e">
        <f>MIN(Table12118[[#This Row],[Assetinsure Amount ]]-Table12118[[#This Row],[Reinsurance Everest Re]],Table12118[[#This Row],[Total Amount]])</f>
        <v>#REF!</v>
      </c>
      <c r="BC86" s="212">
        <f t="shared" si="11"/>
        <v>0</v>
      </c>
      <c r="BG86" s="18">
        <v>0</v>
      </c>
      <c r="BH86" s="212">
        <v>0</v>
      </c>
      <c r="BI86" s="212">
        <v>0</v>
      </c>
      <c r="BJ86" s="212">
        <v>0</v>
      </c>
      <c r="BK86" s="212">
        <v>0</v>
      </c>
      <c r="BL86" s="212">
        <v>0</v>
      </c>
      <c r="BM86" s="212">
        <v>0</v>
      </c>
      <c r="BN86" s="226">
        <v>0</v>
      </c>
      <c r="BO86" s="226"/>
      <c r="BQ86" s="58" t="s">
        <v>1020</v>
      </c>
      <c r="BR86" s="112"/>
      <c r="BS86" s="58"/>
    </row>
    <row r="87" spans="1:72" ht="39.950000000000003" customHeight="1" x14ac:dyDescent="0.2">
      <c r="A87" s="131" t="s">
        <v>647</v>
      </c>
      <c r="B87" s="337" t="s">
        <v>307</v>
      </c>
      <c r="C87" s="337" t="s">
        <v>1141</v>
      </c>
      <c r="D87" s="133" t="s">
        <v>38</v>
      </c>
      <c r="E87" s="14" t="s">
        <v>540</v>
      </c>
      <c r="F87" s="161" t="s">
        <v>36</v>
      </c>
      <c r="G87" s="14" t="s">
        <v>102</v>
      </c>
      <c r="H87" s="14" t="s">
        <v>102</v>
      </c>
      <c r="I87" s="130" t="s">
        <v>473</v>
      </c>
      <c r="J87" s="133" t="s">
        <v>142</v>
      </c>
      <c r="K87" s="192" t="s">
        <v>218</v>
      </c>
      <c r="L87" s="168" t="s">
        <v>101</v>
      </c>
      <c r="M87" s="194" t="s">
        <v>191</v>
      </c>
      <c r="N87" s="134" t="s">
        <v>323</v>
      </c>
      <c r="O87" s="167" t="s">
        <v>43</v>
      </c>
      <c r="P87" s="65">
        <v>2</v>
      </c>
      <c r="Q87" s="167" t="s">
        <v>538</v>
      </c>
      <c r="R87" s="65" t="s">
        <v>534</v>
      </c>
      <c r="S87" s="135" t="s">
        <v>9</v>
      </c>
      <c r="T87" s="136" t="e">
        <f>15000/USD</f>
        <v>#REF!</v>
      </c>
      <c r="U87" s="62">
        <v>15000</v>
      </c>
      <c r="V87" s="136" t="e">
        <f>Table12118[[#This Row],[Original Limit (A$)]]</f>
        <v>#REF!</v>
      </c>
      <c r="W87" s="136" t="e">
        <f>103000/USD</f>
        <v>#REF!</v>
      </c>
      <c r="X87" s="136" t="e">
        <f>552604.16/USD</f>
        <v>#REF!</v>
      </c>
      <c r="Y87" s="62" t="s">
        <v>16</v>
      </c>
      <c r="Z87" s="366">
        <v>0</v>
      </c>
      <c r="AA87" s="147" t="s">
        <v>11</v>
      </c>
      <c r="AB87" s="185">
        <v>2.5000000000000001E-2</v>
      </c>
      <c r="AC87" s="185"/>
      <c r="AD87" s="137">
        <v>44441</v>
      </c>
      <c r="AE87" s="137">
        <v>45516</v>
      </c>
      <c r="AF87" s="137">
        <v>45516</v>
      </c>
      <c r="AG87" s="138">
        <f t="shared" si="15"/>
        <v>1076</v>
      </c>
      <c r="AH87" s="139" t="e">
        <f t="shared" si="16"/>
        <v>#REF!</v>
      </c>
      <c r="AI87" s="138" t="e">
        <f>AF87-#REF!</f>
        <v>#REF!</v>
      </c>
      <c r="AJ87" s="140" t="e">
        <f t="shared" si="17"/>
        <v>#REF!</v>
      </c>
      <c r="AK87" s="184"/>
      <c r="AL87" s="186" t="s">
        <v>1</v>
      </c>
      <c r="AM87" s="186" t="s">
        <v>1</v>
      </c>
      <c r="AN87" s="187" t="s">
        <v>0</v>
      </c>
      <c r="AO87" s="11" t="e">
        <f t="shared" si="10"/>
        <v>#REF!</v>
      </c>
      <c r="AP87" s="164" t="s">
        <v>271</v>
      </c>
      <c r="AQ87" s="188" t="s">
        <v>648</v>
      </c>
      <c r="AT87" s="197" t="str">
        <f>Table12118[[#This Row],[Risk Location ]]</f>
        <v>China</v>
      </c>
      <c r="AU87" s="198" t="str">
        <f>Table12118[[#This Row],[Sector (GICS Industry Group)]]</f>
        <v>Real Estate Investment</v>
      </c>
      <c r="AX87" s="212" t="e">
        <f>Table12118[[#This Row],[Percentage Impact]]*Table12118[[#This Row],[Amortised Limit A$ Balance]]</f>
        <v>#REF!</v>
      </c>
      <c r="AY87" s="212" t="e">
        <f>Table12118[[#This Row],[Amortised Limit A$ Balance]]*12%</f>
        <v>#REF!</v>
      </c>
      <c r="AZ87" s="212" t="b">
        <f>IF(Table12118[[#This Row],[Everest]]="Everest",Table12118[[#This Row],[Assetinsure Amount ]]*0.2)</f>
        <v>0</v>
      </c>
      <c r="BA87" s="212"/>
      <c r="BB87" s="212" t="e">
        <f>MIN(Table12118[[#This Row],[Assetinsure Amount ]]-Table12118[[#This Row],[Reinsurance Everest Re]],Table12118[[#This Row],[Total Amount]])</f>
        <v>#REF!</v>
      </c>
      <c r="BC87" s="212">
        <f t="shared" si="11"/>
        <v>0</v>
      </c>
      <c r="BG87" s="18">
        <v>0</v>
      </c>
      <c r="BH87" s="212">
        <v>0</v>
      </c>
      <c r="BI87" s="212">
        <v>0</v>
      </c>
      <c r="BJ87" s="212">
        <v>0</v>
      </c>
      <c r="BK87" s="212">
        <v>0</v>
      </c>
      <c r="BL87" s="212">
        <v>0</v>
      </c>
      <c r="BM87" s="212">
        <v>0</v>
      </c>
      <c r="BN87" s="226">
        <v>0</v>
      </c>
      <c r="BO87" s="226"/>
      <c r="BQ87" s="58" t="s">
        <v>1021</v>
      </c>
      <c r="BR87" s="112"/>
      <c r="BS87" s="58"/>
    </row>
    <row r="88" spans="1:72" s="229" customFormat="1" ht="39.950000000000003" customHeight="1" x14ac:dyDescent="0.2">
      <c r="A88" s="131" t="s">
        <v>655</v>
      </c>
      <c r="B88" s="337" t="s">
        <v>23</v>
      </c>
      <c r="C88" s="337" t="s">
        <v>1142</v>
      </c>
      <c r="D88" s="133" t="s">
        <v>34</v>
      </c>
      <c r="E88" s="188" t="s">
        <v>34</v>
      </c>
      <c r="F88" s="161" t="s">
        <v>34</v>
      </c>
      <c r="G88" s="188" t="s">
        <v>475</v>
      </c>
      <c r="H88" s="131" t="s">
        <v>227</v>
      </c>
      <c r="I88" s="14" t="s">
        <v>228</v>
      </c>
      <c r="J88" s="133" t="s">
        <v>656</v>
      </c>
      <c r="K88" s="192" t="s">
        <v>656</v>
      </c>
      <c r="L88" s="168" t="s">
        <v>209</v>
      </c>
      <c r="M88" s="194" t="s">
        <v>191</v>
      </c>
      <c r="N88" s="134" t="s">
        <v>323</v>
      </c>
      <c r="O88" s="167" t="s">
        <v>43</v>
      </c>
      <c r="P88" s="65">
        <v>4</v>
      </c>
      <c r="Q88" s="167" t="s">
        <v>531</v>
      </c>
      <c r="R88" s="65" t="s">
        <v>534</v>
      </c>
      <c r="S88" s="135" t="s">
        <v>8</v>
      </c>
      <c r="T88" s="136">
        <v>15000</v>
      </c>
      <c r="U88" s="62">
        <f>15000+10000</f>
        <v>25000</v>
      </c>
      <c r="V88" s="136">
        <f>Table12118[[#This Row],[Amortised Limit in Original Currency]]</f>
        <v>25000</v>
      </c>
      <c r="W88" s="136">
        <v>72688</v>
      </c>
      <c r="X88" s="136">
        <v>1465806.08</v>
      </c>
      <c r="Y88" s="136"/>
      <c r="Z88" s="365"/>
      <c r="AA88" s="147" t="s">
        <v>11</v>
      </c>
      <c r="AB88" s="185">
        <v>3.5000000000000003E-2</v>
      </c>
      <c r="AC88" s="185"/>
      <c r="AD88" s="137">
        <v>44466</v>
      </c>
      <c r="AE88" s="137">
        <v>45473</v>
      </c>
      <c r="AF88" s="137">
        <v>45473</v>
      </c>
      <c r="AG88" s="138">
        <f t="shared" si="15"/>
        <v>1008</v>
      </c>
      <c r="AH88" s="139" t="e">
        <f t="shared" si="16"/>
        <v>#REF!</v>
      </c>
      <c r="AI88" s="138" t="e">
        <f>AF88-#REF!</f>
        <v>#REF!</v>
      </c>
      <c r="AJ88" s="140" t="e">
        <f t="shared" si="17"/>
        <v>#REF!</v>
      </c>
      <c r="AK88" s="184" t="s">
        <v>436</v>
      </c>
      <c r="AL88" s="186" t="s">
        <v>1</v>
      </c>
      <c r="AM88" s="186" t="s">
        <v>1</v>
      </c>
      <c r="AN88" s="187" t="s">
        <v>0</v>
      </c>
      <c r="AO88" s="143" t="e">
        <f t="shared" si="10"/>
        <v>#REF!</v>
      </c>
      <c r="AP88" s="164" t="s">
        <v>271</v>
      </c>
      <c r="AQ88" s="188" t="s">
        <v>650</v>
      </c>
      <c r="AR88" s="11"/>
      <c r="AS88" s="11"/>
      <c r="AT88" s="197" t="str">
        <f>Table12118[[#This Row],[Risk Location ]]</f>
        <v>Australia</v>
      </c>
      <c r="AU88" s="198" t="str">
        <f>Table12118[[#This Row],[Sector (GICS Industry Group)]]</f>
        <v>Health Care</v>
      </c>
      <c r="AV88" s="11"/>
      <c r="AW88" s="11"/>
      <c r="AX88" s="212">
        <f>Table12118[[#This Row],[Percentage Impact]]*Table12118[[#This Row],[Amortised Limit A$ Balance]]</f>
        <v>0</v>
      </c>
      <c r="AY88" s="212">
        <f>Table12118[[#This Row],[Amortised Limit A$ Balance]]*12%</f>
        <v>3000</v>
      </c>
      <c r="AZ88" s="212">
        <f>IF(Table12118[[#This Row],[Everest]]="Everest",Table12118[[#This Row],[Assetinsure Amount ]]*0.2)</f>
        <v>600</v>
      </c>
      <c r="BA88" s="212"/>
      <c r="BB88" s="212">
        <f>MIN(Table12118[[#This Row],[Assetinsure Amount ]]-Table12118[[#This Row],[Reinsurance Everest Re]],Table12118[[#This Row],[Total Amount]])</f>
        <v>0</v>
      </c>
      <c r="BC88" s="212">
        <f t="shared" si="11"/>
        <v>0</v>
      </c>
      <c r="BD88" s="11"/>
      <c r="BG88" s="18">
        <v>0</v>
      </c>
      <c r="BH88" s="278">
        <v>0</v>
      </c>
      <c r="BI88" s="278">
        <v>0</v>
      </c>
      <c r="BJ88" s="278">
        <v>0</v>
      </c>
      <c r="BK88" s="278">
        <v>0</v>
      </c>
      <c r="BL88" s="278">
        <v>0</v>
      </c>
      <c r="BM88" s="278">
        <v>0</v>
      </c>
      <c r="BN88" s="226">
        <v>0</v>
      </c>
      <c r="BO88" s="226"/>
      <c r="BQ88" s="58" t="s">
        <v>1022</v>
      </c>
      <c r="BR88" s="276"/>
      <c r="BS88" s="58"/>
      <c r="BT88" s="11"/>
    </row>
    <row r="89" spans="1:72" ht="39.950000000000003" customHeight="1" x14ac:dyDescent="0.2">
      <c r="A89" s="131" t="s">
        <v>76</v>
      </c>
      <c r="B89" s="337" t="s">
        <v>51</v>
      </c>
      <c r="C89" s="337" t="s">
        <v>1142</v>
      </c>
      <c r="D89" s="133" t="s">
        <v>34</v>
      </c>
      <c r="E89" s="131" t="s">
        <v>34</v>
      </c>
      <c r="F89" s="161" t="s">
        <v>34</v>
      </c>
      <c r="G89" s="131" t="s">
        <v>104</v>
      </c>
      <c r="H89" s="131" t="s">
        <v>111</v>
      </c>
      <c r="I89" s="133" t="s">
        <v>112</v>
      </c>
      <c r="J89" s="133" t="s">
        <v>232</v>
      </c>
      <c r="K89" s="131" t="s">
        <v>21</v>
      </c>
      <c r="L89" s="269" t="s">
        <v>29</v>
      </c>
      <c r="M89" s="270" t="s">
        <v>191</v>
      </c>
      <c r="N89" s="269" t="s">
        <v>323</v>
      </c>
      <c r="O89" s="269" t="s">
        <v>43</v>
      </c>
      <c r="P89" s="65">
        <v>2</v>
      </c>
      <c r="Q89" s="167" t="s">
        <v>533</v>
      </c>
      <c r="R89" s="167" t="s">
        <v>548</v>
      </c>
      <c r="S89" s="135" t="s">
        <v>9</v>
      </c>
      <c r="T89" s="136" t="e">
        <f>(20000+10000)/USD</f>
        <v>#REF!</v>
      </c>
      <c r="U89" s="62">
        <f>20000+10000</f>
        <v>30000</v>
      </c>
      <c r="V89" s="136" t="e">
        <f>Table12118[[#This Row],[Original Limit (A$)]]</f>
        <v>#REF!</v>
      </c>
      <c r="W89" s="136" t="e">
        <f>(74300+70000)/USD</f>
        <v>#REF!</v>
      </c>
      <c r="X89" s="136" t="e">
        <f>(818102.59+421269.37)/USD</f>
        <v>#REF!</v>
      </c>
      <c r="Y89" s="62" t="s">
        <v>16</v>
      </c>
      <c r="Z89" s="366">
        <v>0</v>
      </c>
      <c r="AA89" s="147" t="s">
        <v>11</v>
      </c>
      <c r="AB89" s="185">
        <v>1.9E-2</v>
      </c>
      <c r="AC89" s="185"/>
      <c r="AD89" s="137">
        <v>44470</v>
      </c>
      <c r="AE89" s="137">
        <v>46568</v>
      </c>
      <c r="AF89" s="137">
        <v>46598</v>
      </c>
      <c r="AG89" s="138">
        <f t="shared" si="15"/>
        <v>2129</v>
      </c>
      <c r="AH89" s="139" t="e">
        <f t="shared" si="16"/>
        <v>#REF!</v>
      </c>
      <c r="AI89" s="138" t="e">
        <f>AF89-#REF!</f>
        <v>#REF!</v>
      </c>
      <c r="AJ89" s="140" t="e">
        <f t="shared" si="17"/>
        <v>#REF!</v>
      </c>
      <c r="AK89" s="184" t="s">
        <v>436</v>
      </c>
      <c r="AL89" s="186" t="s">
        <v>1</v>
      </c>
      <c r="AM89" s="186" t="s">
        <v>1</v>
      </c>
      <c r="AN89" s="187" t="s">
        <v>0</v>
      </c>
      <c r="AO89" s="164" t="e">
        <f t="shared" si="10"/>
        <v>#REF!</v>
      </c>
      <c r="AP89" s="164" t="s">
        <v>271</v>
      </c>
      <c r="AQ89" s="188" t="s">
        <v>651</v>
      </c>
      <c r="AR89" s="229"/>
      <c r="AS89" s="229"/>
      <c r="AT89" s="197" t="str">
        <f>Table12118[[#This Row],[Risk Location ]]</f>
        <v>Australia</v>
      </c>
      <c r="AU89" s="198" t="str">
        <f>Table12118[[#This Row],[Sector (GICS Industry Group)]]</f>
        <v>Materials</v>
      </c>
      <c r="AV89" s="229"/>
      <c r="AW89" s="229"/>
      <c r="AX89" s="212" t="e">
        <f>Table12118[[#This Row],[Percentage Impact]]*Table12118[[#This Row],[Amortised Limit A$ Balance]]</f>
        <v>#REF!</v>
      </c>
      <c r="AY89" s="212" t="e">
        <f>Table12118[[#This Row],[Amortised Limit A$ Balance]]*12%</f>
        <v>#REF!</v>
      </c>
      <c r="AZ89" s="212" t="e">
        <f>IF(Table12118[[#This Row],[Everest]]="Everest",Table12118[[#This Row],[Assetinsure Amount ]]*0.2)</f>
        <v>#REF!</v>
      </c>
      <c r="BA89" s="278"/>
      <c r="BB89" s="212" t="e">
        <f>MIN(Table12118[[#This Row],[Assetinsure Amount ]]-Table12118[[#This Row],[Reinsurance Everest Re]],Table12118[[#This Row],[Total Amount]])</f>
        <v>#REF!</v>
      </c>
      <c r="BC89" s="212">
        <f t="shared" si="11"/>
        <v>0</v>
      </c>
      <c r="BD89" s="229"/>
      <c r="BG89" s="18">
        <v>0</v>
      </c>
      <c r="BH89" s="212">
        <v>0</v>
      </c>
      <c r="BI89" s="212">
        <v>0</v>
      </c>
      <c r="BJ89" s="212">
        <v>0</v>
      </c>
      <c r="BK89" s="212">
        <v>0</v>
      </c>
      <c r="BL89" s="212">
        <v>0</v>
      </c>
      <c r="BM89" s="212">
        <v>0</v>
      </c>
      <c r="BN89" s="226"/>
      <c r="BO89" s="226"/>
      <c r="BQ89" s="58" t="s">
        <v>1138</v>
      </c>
      <c r="BR89" s="112"/>
      <c r="BS89" s="58"/>
    </row>
    <row r="90" spans="1:72" ht="39.950000000000003" customHeight="1" x14ac:dyDescent="0.2">
      <c r="A90" s="131" t="s">
        <v>678</v>
      </c>
      <c r="B90" s="337" t="s">
        <v>1335</v>
      </c>
      <c r="C90" s="337" t="s">
        <v>1141</v>
      </c>
      <c r="D90" s="133" t="s">
        <v>127</v>
      </c>
      <c r="E90" s="131" t="s">
        <v>542</v>
      </c>
      <c r="F90" s="161" t="s">
        <v>308</v>
      </c>
      <c r="G90" s="14" t="s">
        <v>891</v>
      </c>
      <c r="H90" s="66" t="s">
        <v>167</v>
      </c>
      <c r="I90" s="131" t="s">
        <v>167</v>
      </c>
      <c r="J90" s="133" t="s">
        <v>677</v>
      </c>
      <c r="K90" s="192" t="s">
        <v>218</v>
      </c>
      <c r="L90" s="168" t="s">
        <v>209</v>
      </c>
      <c r="M90" s="65" t="s">
        <v>191</v>
      </c>
      <c r="N90" s="134" t="s">
        <v>59</v>
      </c>
      <c r="O90" s="13" t="s">
        <v>43</v>
      </c>
      <c r="P90" s="65">
        <v>3</v>
      </c>
      <c r="Q90" s="167" t="s">
        <v>538</v>
      </c>
      <c r="R90" s="65" t="s">
        <v>534</v>
      </c>
      <c r="S90" s="135" t="s">
        <v>487</v>
      </c>
      <c r="T90" s="136" t="e">
        <f>(141285.69235+28257.15382)/NOK + 28914.29694/SEK</f>
        <v>#REF!</v>
      </c>
      <c r="U90" s="62">
        <f>(141285.69235+28257.15382) + 28914.29694</f>
        <v>198457.14311</v>
      </c>
      <c r="V90" s="136" t="e">
        <f>Table12118[[#This Row],[Original Limit (A$)]]</f>
        <v>#REF!</v>
      </c>
      <c r="W90" s="136" t="e">
        <f>(282571.38471+56514.30765)/NOK+57828.59387/SEK</f>
        <v>#REF!</v>
      </c>
      <c r="X90" s="136" t="e">
        <f>12175517.3625891/NOK+728511.61/SEK</f>
        <v>#REF!</v>
      </c>
      <c r="Y90" s="62" t="s">
        <v>16</v>
      </c>
      <c r="Z90" s="366">
        <v>0</v>
      </c>
      <c r="AA90" s="147" t="s">
        <v>11</v>
      </c>
      <c r="AB90" s="185">
        <v>0.03</v>
      </c>
      <c r="AC90" s="185"/>
      <c r="AD90" s="137">
        <v>44476</v>
      </c>
      <c r="AE90" s="137">
        <v>46251</v>
      </c>
      <c r="AF90" s="137">
        <f>Table12118[[#This Row],[Expiry Date]]+5</f>
        <v>46256</v>
      </c>
      <c r="AG90" s="138">
        <f t="shared" si="15"/>
        <v>1781</v>
      </c>
      <c r="AH90" s="139" t="e">
        <f t="shared" si="16"/>
        <v>#REF!</v>
      </c>
      <c r="AI90" s="138" t="e">
        <f>AF90-#REF!</f>
        <v>#REF!</v>
      </c>
      <c r="AJ90" s="140" t="e">
        <f t="shared" si="17"/>
        <v>#REF!</v>
      </c>
      <c r="AK90" s="184" t="s">
        <v>436</v>
      </c>
      <c r="AL90" s="186" t="s">
        <v>1</v>
      </c>
      <c r="AM90" s="186" t="s">
        <v>1</v>
      </c>
      <c r="AN90" s="187" t="s">
        <v>0</v>
      </c>
      <c r="AO90" s="143" t="e">
        <f t="shared" si="10"/>
        <v>#REF!</v>
      </c>
      <c r="AP90" s="164" t="s">
        <v>271</v>
      </c>
      <c r="AQ90" s="188" t="s">
        <v>673</v>
      </c>
      <c r="AT90" s="197" t="str">
        <f>Table12118[[#This Row],[Risk Location ]]</f>
        <v>Norway</v>
      </c>
      <c r="AU90" s="198" t="str">
        <f>Table12118[[#This Row],[Sector (GICS Industry Group)]]</f>
        <v>Information Technology - Hardware &amp; Equipment</v>
      </c>
      <c r="AX90" s="212" t="e">
        <f>Table12118[[#This Row],[Percentage Impact]]*Table12118[[#This Row],[Amortised Limit A$ Balance]]</f>
        <v>#REF!</v>
      </c>
      <c r="AY90" s="212" t="e">
        <f>Table12118[[#This Row],[Amortised Limit A$ Balance]]*12%</f>
        <v>#REF!</v>
      </c>
      <c r="AZ90" s="212" t="e">
        <f>IF(Table12118[[#This Row],[Everest]]="Everest",Table12118[[#This Row],[Assetinsure Amount ]]*0.2)</f>
        <v>#REF!</v>
      </c>
      <c r="BA90" s="212"/>
      <c r="BB90" s="212" t="e">
        <f>MIN(Table12118[[#This Row],[Assetinsure Amount ]]-Table12118[[#This Row],[Reinsurance Everest Re]],Table12118[[#This Row],[Total Amount]])</f>
        <v>#REF!</v>
      </c>
      <c r="BC90" s="212">
        <f t="shared" si="11"/>
        <v>0</v>
      </c>
      <c r="BG90" s="18">
        <v>0</v>
      </c>
      <c r="BH90" s="212">
        <v>0</v>
      </c>
      <c r="BI90" s="212">
        <v>0</v>
      </c>
      <c r="BJ90" s="212">
        <v>0</v>
      </c>
      <c r="BK90" s="212">
        <v>0</v>
      </c>
      <c r="BL90" s="212">
        <v>0</v>
      </c>
      <c r="BM90" s="212">
        <v>0</v>
      </c>
      <c r="BN90" s="226"/>
      <c r="BO90" s="226"/>
      <c r="BQ90" s="58" t="s">
        <v>1024</v>
      </c>
      <c r="BR90" s="112"/>
      <c r="BS90" s="58"/>
    </row>
    <row r="91" spans="1:72" ht="39.950000000000003" customHeight="1" x14ac:dyDescent="0.2">
      <c r="A91" s="131" t="s">
        <v>679</v>
      </c>
      <c r="B91" s="337" t="s">
        <v>307</v>
      </c>
      <c r="C91" s="337" t="s">
        <v>243</v>
      </c>
      <c r="D91" s="133" t="s">
        <v>588</v>
      </c>
      <c r="E91" s="131" t="s">
        <v>542</v>
      </c>
      <c r="F91" s="161" t="s">
        <v>87</v>
      </c>
      <c r="G91" s="131" t="s">
        <v>48</v>
      </c>
      <c r="H91" s="131" t="s">
        <v>95</v>
      </c>
      <c r="I91" s="130" t="s">
        <v>447</v>
      </c>
      <c r="J91" s="133" t="s">
        <v>681</v>
      </c>
      <c r="K91" s="133" t="s">
        <v>680</v>
      </c>
      <c r="L91" s="168" t="s">
        <v>209</v>
      </c>
      <c r="M91" s="65" t="s">
        <v>191</v>
      </c>
      <c r="N91" s="134" t="s">
        <v>59</v>
      </c>
      <c r="O91" s="13" t="s">
        <v>43</v>
      </c>
      <c r="P91" s="65">
        <v>2</v>
      </c>
      <c r="Q91" s="167" t="s">
        <v>538</v>
      </c>
      <c r="R91" s="65" t="s">
        <v>534</v>
      </c>
      <c r="S91" s="135" t="s">
        <v>9</v>
      </c>
      <c r="T91" s="136" t="e">
        <f>10000/USD</f>
        <v>#REF!</v>
      </c>
      <c r="U91" s="136">
        <v>12272.727000000001</v>
      </c>
      <c r="V91" s="136" t="e">
        <f>Table12118[[#This Row],[Amortised Limit in Original Currency]]/USD</f>
        <v>#REF!</v>
      </c>
      <c r="W91" s="136" t="e">
        <f>285000/USD</f>
        <v>#REF!</v>
      </c>
      <c r="X91" s="136" t="e">
        <f>659367.81/USD</f>
        <v>#REF!</v>
      </c>
      <c r="Y91" s="136"/>
      <c r="Z91" s="365"/>
      <c r="AA91" s="147" t="s">
        <v>11</v>
      </c>
      <c r="AB91" s="185">
        <v>3.2500000000000001E-2</v>
      </c>
      <c r="AC91" s="185"/>
      <c r="AD91" s="137">
        <v>44491</v>
      </c>
      <c r="AE91" s="137">
        <v>46714</v>
      </c>
      <c r="AF91" s="137">
        <v>46714</v>
      </c>
      <c r="AG91" s="138">
        <f t="shared" si="15"/>
        <v>2224</v>
      </c>
      <c r="AH91" s="139" t="e">
        <f t="shared" si="16"/>
        <v>#REF!</v>
      </c>
      <c r="AI91" s="138" t="e">
        <f>AF91-#REF!</f>
        <v>#REF!</v>
      </c>
      <c r="AJ91" s="140" t="e">
        <f t="shared" si="17"/>
        <v>#REF!</v>
      </c>
      <c r="AK91" s="184"/>
      <c r="AL91" s="186" t="s">
        <v>1</v>
      </c>
      <c r="AM91" s="186" t="s">
        <v>1</v>
      </c>
      <c r="AN91" s="187" t="s">
        <v>818</v>
      </c>
      <c r="AO91" s="143" t="e">
        <f t="shared" si="10"/>
        <v>#REF!</v>
      </c>
      <c r="AP91" s="164" t="s">
        <v>1207</v>
      </c>
      <c r="AQ91" s="188" t="s">
        <v>674</v>
      </c>
      <c r="AT91" s="197" t="str">
        <f>Table12118[[#This Row],[Risk Location ]]</f>
        <v>United Kingdom</v>
      </c>
      <c r="AU91" s="198" t="str">
        <f>Table12118[[#This Row],[Sector (GICS Industry Group)]]</f>
        <v>Energy</v>
      </c>
      <c r="AX91" s="212" t="e">
        <f>Table12118[[#This Row],[Percentage Impact]]*Table12118[[#This Row],[Amortised Limit A$ Balance]]</f>
        <v>#REF!</v>
      </c>
      <c r="AY91" s="212" t="e">
        <f>Table12118[[#This Row],[Amortised Limit A$ Balance]]*12%</f>
        <v>#REF!</v>
      </c>
      <c r="AZ91" s="212" t="b">
        <f>IF(Table12118[[#This Row],[Everest]]="Everest",Table12118[[#This Row],[Assetinsure Amount ]]*0.2)</f>
        <v>0</v>
      </c>
      <c r="BA91" s="212"/>
      <c r="BB91" s="212" t="e">
        <f>MIN(Table12118[[#This Row],[Assetinsure Amount ]]-Table12118[[#This Row],[Reinsurance Everest Re]],Table12118[[#This Row],[Total Amount]])</f>
        <v>#REF!</v>
      </c>
      <c r="BC91" s="212">
        <f t="shared" si="11"/>
        <v>0</v>
      </c>
      <c r="BG91" s="18">
        <v>0</v>
      </c>
      <c r="BH91" s="212">
        <v>0</v>
      </c>
      <c r="BI91" s="212">
        <v>0</v>
      </c>
      <c r="BJ91" s="212">
        <v>0</v>
      </c>
      <c r="BK91" s="212">
        <v>0</v>
      </c>
      <c r="BL91" s="212">
        <v>0</v>
      </c>
      <c r="BM91" s="212">
        <v>0</v>
      </c>
      <c r="BN91" s="226"/>
      <c r="BO91" s="226"/>
      <c r="BQ91" s="58" t="s">
        <v>1025</v>
      </c>
      <c r="BR91" s="112"/>
      <c r="BS91" s="58"/>
    </row>
    <row r="92" spans="1:72" s="229" customFormat="1" ht="39.950000000000003" customHeight="1" x14ac:dyDescent="0.2">
      <c r="A92" s="131" t="s">
        <v>693</v>
      </c>
      <c r="B92" s="337" t="s">
        <v>1247</v>
      </c>
      <c r="C92" s="337" t="s">
        <v>243</v>
      </c>
      <c r="D92" s="133" t="s">
        <v>34</v>
      </c>
      <c r="E92" s="131" t="s">
        <v>34</v>
      </c>
      <c r="F92" s="161" t="s">
        <v>34</v>
      </c>
      <c r="G92" s="131" t="s">
        <v>475</v>
      </c>
      <c r="H92" s="131" t="s">
        <v>227</v>
      </c>
      <c r="I92" s="14" t="s">
        <v>228</v>
      </c>
      <c r="J92" s="133" t="s">
        <v>70</v>
      </c>
      <c r="K92" s="192" t="s">
        <v>218</v>
      </c>
      <c r="L92" s="168" t="s">
        <v>209</v>
      </c>
      <c r="M92" s="65" t="s">
        <v>191</v>
      </c>
      <c r="N92" s="134" t="s">
        <v>323</v>
      </c>
      <c r="O92" s="13" t="s">
        <v>43</v>
      </c>
      <c r="P92" s="65">
        <v>2</v>
      </c>
      <c r="Q92" s="167" t="s">
        <v>538</v>
      </c>
      <c r="R92" s="65" t="s">
        <v>534</v>
      </c>
      <c r="S92" s="135" t="s">
        <v>8</v>
      </c>
      <c r="T92" s="136">
        <v>15000</v>
      </c>
      <c r="U92" s="62">
        <v>15000</v>
      </c>
      <c r="V92" s="136">
        <f>Table12118[[#This Row],[Original Limit (A$)]]</f>
        <v>15000</v>
      </c>
      <c r="W92" s="136">
        <v>41500</v>
      </c>
      <c r="X92" s="136">
        <v>1397273.98</v>
      </c>
      <c r="Y92" s="62" t="s">
        <v>16</v>
      </c>
      <c r="Z92" s="366">
        <v>0</v>
      </c>
      <c r="AA92" s="147" t="s">
        <v>11</v>
      </c>
      <c r="AB92" s="185">
        <v>0.04</v>
      </c>
      <c r="AC92" s="185"/>
      <c r="AD92" s="137">
        <v>44515</v>
      </c>
      <c r="AE92" s="137">
        <v>46309</v>
      </c>
      <c r="AF92" s="137">
        <v>46320</v>
      </c>
      <c r="AG92" s="138">
        <f t="shared" si="15"/>
        <v>1806</v>
      </c>
      <c r="AH92" s="139" t="e">
        <f t="shared" si="16"/>
        <v>#REF!</v>
      </c>
      <c r="AI92" s="138" t="e">
        <f>AF92-#REF!</f>
        <v>#REF!</v>
      </c>
      <c r="AJ92" s="140" t="e">
        <f t="shared" si="17"/>
        <v>#REF!</v>
      </c>
      <c r="AK92" s="184"/>
      <c r="AL92" s="186" t="s">
        <v>1</v>
      </c>
      <c r="AM92" s="186" t="s">
        <v>1</v>
      </c>
      <c r="AN92" s="187" t="s">
        <v>0</v>
      </c>
      <c r="AO92" s="143" t="e">
        <f t="shared" si="10"/>
        <v>#REF!</v>
      </c>
      <c r="AP92" s="164" t="s">
        <v>271</v>
      </c>
      <c r="AQ92" s="188" t="s">
        <v>689</v>
      </c>
      <c r="AR92" s="11"/>
      <c r="AS92" s="11"/>
      <c r="AT92" s="197" t="str">
        <f>Table12118[[#This Row],[Risk Location ]]</f>
        <v>Australia</v>
      </c>
      <c r="AU92" s="198" t="str">
        <f>Table12118[[#This Row],[Sector (GICS Industry Group)]]</f>
        <v>Health Care</v>
      </c>
      <c r="AV92" s="11"/>
      <c r="AW92" s="11"/>
      <c r="AX92" s="212">
        <f>Table12118[[#This Row],[Percentage Impact]]*Table12118[[#This Row],[Amortised Limit A$ Balance]]</f>
        <v>0</v>
      </c>
      <c r="AY92" s="212">
        <f>Table12118[[#This Row],[Amortised Limit A$ Balance]]*12%</f>
        <v>1800</v>
      </c>
      <c r="AZ92" s="212" t="b">
        <f>IF(Table12118[[#This Row],[Everest]]="Everest",Table12118[[#This Row],[Assetinsure Amount ]]*0.2)</f>
        <v>0</v>
      </c>
      <c r="BA92" s="212"/>
      <c r="BB92" s="212">
        <f>MIN(Table12118[[#This Row],[Assetinsure Amount ]]-Table12118[[#This Row],[Reinsurance Everest Re]],Table12118[[#This Row],[Total Amount]])</f>
        <v>0</v>
      </c>
      <c r="BC92" s="212">
        <f t="shared" si="11"/>
        <v>0</v>
      </c>
      <c r="BD92" s="11"/>
      <c r="BG92" s="18">
        <v>0</v>
      </c>
      <c r="BH92" s="278">
        <v>0</v>
      </c>
      <c r="BI92" s="278">
        <v>0</v>
      </c>
      <c r="BJ92" s="278">
        <v>0</v>
      </c>
      <c r="BK92" s="278">
        <v>0</v>
      </c>
      <c r="BL92" s="278">
        <v>0</v>
      </c>
      <c r="BM92" s="278">
        <v>0</v>
      </c>
      <c r="BN92" s="226"/>
      <c r="BO92" s="226"/>
      <c r="BQ92" s="58" t="s">
        <v>1026</v>
      </c>
      <c r="BR92" s="276"/>
      <c r="BS92" s="58"/>
      <c r="BT92" s="11"/>
    </row>
    <row r="93" spans="1:72" ht="39.950000000000003" customHeight="1" x14ac:dyDescent="0.2">
      <c r="A93" s="131" t="s">
        <v>694</v>
      </c>
      <c r="B93" s="337" t="s">
        <v>51</v>
      </c>
      <c r="C93" s="337" t="s">
        <v>243</v>
      </c>
      <c r="D93" s="133" t="s">
        <v>38</v>
      </c>
      <c r="E93" s="131" t="s">
        <v>541</v>
      </c>
      <c r="F93" s="161" t="s">
        <v>38</v>
      </c>
      <c r="G93" s="131" t="s">
        <v>173</v>
      </c>
      <c r="H93" s="133" t="s">
        <v>316</v>
      </c>
      <c r="I93" s="133" t="s">
        <v>197</v>
      </c>
      <c r="J93" s="131" t="s">
        <v>50</v>
      </c>
      <c r="K93" s="161" t="s">
        <v>21</v>
      </c>
      <c r="L93" s="168" t="s">
        <v>209</v>
      </c>
      <c r="M93" s="270" t="s">
        <v>191</v>
      </c>
      <c r="N93" s="134" t="s">
        <v>323</v>
      </c>
      <c r="O93" s="269" t="s">
        <v>43</v>
      </c>
      <c r="P93" s="65">
        <v>2</v>
      </c>
      <c r="Q93" s="167" t="s">
        <v>531</v>
      </c>
      <c r="R93" s="270" t="s">
        <v>534</v>
      </c>
      <c r="S93" s="135" t="s">
        <v>9</v>
      </c>
      <c r="T93" s="136" t="e">
        <f>(4750-610.71428)/USD</f>
        <v>#REF!</v>
      </c>
      <c r="U93" s="62">
        <f>4750-610.71428</f>
        <v>4139.2857199999999</v>
      </c>
      <c r="V93" s="136" t="e">
        <f>+Table12118[[#This Row],[Amortised Limit in Original Currency]]/USD</f>
        <v>#REF!</v>
      </c>
      <c r="W93" s="136" t="e">
        <f>(9500)/USD</f>
        <v>#REF!</v>
      </c>
      <c r="X93" s="136" t="e">
        <f>(394680.75-32365.39-127714.13-155.62)/USD</f>
        <v>#REF!</v>
      </c>
      <c r="Y93" s="62" t="s">
        <v>16</v>
      </c>
      <c r="Z93" s="366">
        <v>0</v>
      </c>
      <c r="AA93" s="147" t="s">
        <v>11</v>
      </c>
      <c r="AB93" s="185">
        <v>3.2500000000000001E-2</v>
      </c>
      <c r="AC93" s="185"/>
      <c r="AD93" s="137">
        <v>44511</v>
      </c>
      <c r="AE93" s="137">
        <f>+Table12118[[#This Row],[Policy Expiry Date ]]</f>
        <v>46277</v>
      </c>
      <c r="AF93" s="137">
        <v>46277</v>
      </c>
      <c r="AG93" s="138">
        <f t="shared" si="15"/>
        <v>1767</v>
      </c>
      <c r="AH93" s="139" t="e">
        <f t="shared" si="16"/>
        <v>#REF!</v>
      </c>
      <c r="AI93" s="138" t="e">
        <f>AF93-#REF!</f>
        <v>#REF!</v>
      </c>
      <c r="AJ93" s="140" t="e">
        <f t="shared" si="17"/>
        <v>#REF!</v>
      </c>
      <c r="AK93" s="184"/>
      <c r="AL93" s="186" t="s">
        <v>1</v>
      </c>
      <c r="AM93" s="186" t="s">
        <v>1</v>
      </c>
      <c r="AN93" s="187" t="s">
        <v>0</v>
      </c>
      <c r="AO93" s="164" t="e">
        <f t="shared" si="10"/>
        <v>#REF!</v>
      </c>
      <c r="AP93" s="164" t="s">
        <v>271</v>
      </c>
      <c r="AQ93" s="188" t="s">
        <v>690</v>
      </c>
      <c r="AR93" s="229"/>
      <c r="AS93" s="229"/>
      <c r="AT93" s="323" t="str">
        <f>Table12118[[#This Row],[Risk Location ]]</f>
        <v>Singapore</v>
      </c>
      <c r="AU93" s="324" t="str">
        <f>Table12118[[#This Row],[Sector (GICS Industry Group)]]</f>
        <v>Automobiles &amp; Components</v>
      </c>
      <c r="AV93" s="229"/>
      <c r="AW93" s="229"/>
      <c r="AX93" s="212" t="e">
        <f>Table12118[[#This Row],[Percentage Impact]]*Table12118[[#This Row],[Amortised Limit A$ Balance]]</f>
        <v>#REF!</v>
      </c>
      <c r="AY93" s="212" t="e">
        <f>Table12118[[#This Row],[Amortised Limit A$ Balance]]*12%</f>
        <v>#REF!</v>
      </c>
      <c r="AZ93" s="212" t="b">
        <f>IF(Table12118[[#This Row],[Everest]]="Everest",Table12118[[#This Row],[Assetinsure Amount ]]*0.2)</f>
        <v>0</v>
      </c>
      <c r="BA93" s="278"/>
      <c r="BB93" s="212" t="e">
        <f>MIN(Table12118[[#This Row],[Assetinsure Amount ]]-Table12118[[#This Row],[Reinsurance Everest Re]],Table12118[[#This Row],[Total Amount]])</f>
        <v>#REF!</v>
      </c>
      <c r="BC93" s="212">
        <f t="shared" si="11"/>
        <v>0</v>
      </c>
      <c r="BD93" s="229"/>
      <c r="BG93" s="18">
        <v>0</v>
      </c>
      <c r="BH93" s="212">
        <v>0</v>
      </c>
      <c r="BI93" s="212">
        <v>0</v>
      </c>
      <c r="BJ93" s="212">
        <v>0</v>
      </c>
      <c r="BK93" s="212">
        <v>0</v>
      </c>
      <c r="BL93" s="212">
        <v>0</v>
      </c>
      <c r="BM93" s="212">
        <v>0</v>
      </c>
      <c r="BN93" s="226"/>
      <c r="BO93" s="226"/>
      <c r="BQ93" s="58" t="s">
        <v>1027</v>
      </c>
      <c r="BR93" s="112"/>
      <c r="BS93" s="58"/>
    </row>
    <row r="94" spans="1:72" ht="39.950000000000003" customHeight="1" x14ac:dyDescent="0.2">
      <c r="A94" s="131" t="s">
        <v>695</v>
      </c>
      <c r="B94" s="337" t="s">
        <v>23</v>
      </c>
      <c r="C94" s="337" t="s">
        <v>1144</v>
      </c>
      <c r="D94" s="133" t="s">
        <v>149</v>
      </c>
      <c r="E94" s="14" t="s">
        <v>542</v>
      </c>
      <c r="F94" s="161" t="s">
        <v>166</v>
      </c>
      <c r="G94" s="14" t="s">
        <v>102</v>
      </c>
      <c r="H94" s="14" t="s">
        <v>102</v>
      </c>
      <c r="I94" s="130" t="s">
        <v>103</v>
      </c>
      <c r="J94" s="133" t="s">
        <v>148</v>
      </c>
      <c r="K94" s="133" t="s">
        <v>148</v>
      </c>
      <c r="L94" s="168" t="s">
        <v>101</v>
      </c>
      <c r="M94" s="65" t="s">
        <v>191</v>
      </c>
      <c r="N94" s="134" t="s">
        <v>59</v>
      </c>
      <c r="O94" s="13" t="s">
        <v>43</v>
      </c>
      <c r="P94" s="65">
        <v>2</v>
      </c>
      <c r="Q94" s="167" t="s">
        <v>538</v>
      </c>
      <c r="R94" s="65" t="s">
        <v>534</v>
      </c>
      <c r="S94" s="135" t="s">
        <v>59</v>
      </c>
      <c r="T94" s="136" t="e">
        <f>6250/EUR</f>
        <v>#REF!</v>
      </c>
      <c r="U94" s="62">
        <v>6250</v>
      </c>
      <c r="V94" s="136" t="e">
        <f>Table12118[[#This Row],[Original Limit (A$)]]</f>
        <v>#REF!</v>
      </c>
      <c r="W94" s="136" t="e">
        <f>70000/EUR</f>
        <v>#REF!</v>
      </c>
      <c r="X94" s="136" t="e">
        <f>451171.84/EUR</f>
        <v>#REF!</v>
      </c>
      <c r="Y94" s="136"/>
      <c r="Z94" s="365"/>
      <c r="AA94" s="147" t="s">
        <v>11</v>
      </c>
      <c r="AB94" s="185">
        <v>1.6500000000000001E-2</v>
      </c>
      <c r="AC94" s="185"/>
      <c r="AD94" s="137">
        <v>44498</v>
      </c>
      <c r="AE94" s="137">
        <v>46920</v>
      </c>
      <c r="AF94" s="137">
        <v>46920</v>
      </c>
      <c r="AG94" s="138">
        <f t="shared" si="15"/>
        <v>2423</v>
      </c>
      <c r="AH94" s="139" t="e">
        <f t="shared" si="16"/>
        <v>#REF!</v>
      </c>
      <c r="AI94" s="138" t="e">
        <f>AF94-#REF!</f>
        <v>#REF!</v>
      </c>
      <c r="AJ94" s="140" t="e">
        <f t="shared" si="17"/>
        <v>#REF!</v>
      </c>
      <c r="AK94" s="184"/>
      <c r="AL94" s="186" t="s">
        <v>1</v>
      </c>
      <c r="AM94" s="186" t="s">
        <v>188</v>
      </c>
      <c r="AN94" s="187" t="s">
        <v>0</v>
      </c>
      <c r="AO94" s="143" t="e">
        <f t="shared" si="10"/>
        <v>#REF!</v>
      </c>
      <c r="AP94" s="164" t="s">
        <v>271</v>
      </c>
      <c r="AQ94" s="188" t="s">
        <v>691</v>
      </c>
      <c r="AT94" s="197" t="str">
        <f>Table12118[[#This Row],[Risk Location ]]</f>
        <v>France</v>
      </c>
      <c r="AU94" s="198" t="str">
        <f>Table12118[[#This Row],[Sector (GICS Industry Group)]]</f>
        <v>Real Estate Investment</v>
      </c>
      <c r="AX94" s="212" t="e">
        <f>Table12118[[#This Row],[Percentage Impact]]*Table12118[[#This Row],[Amortised Limit A$ Balance]]</f>
        <v>#REF!</v>
      </c>
      <c r="AY94" s="212" t="e">
        <f>Table12118[[#This Row],[Amortised Limit A$ Balance]]*12%</f>
        <v>#REF!</v>
      </c>
      <c r="AZ94" s="212" t="b">
        <f>IF(Table12118[[#This Row],[Everest]]="Everest",Table12118[[#This Row],[Assetinsure Amount ]]*0.2)</f>
        <v>0</v>
      </c>
      <c r="BA94" s="212"/>
      <c r="BB94" s="212" t="e">
        <f>MIN(Table12118[[#This Row],[Assetinsure Amount ]]-Table12118[[#This Row],[Reinsurance Everest Re]],Table12118[[#This Row],[Total Amount]])</f>
        <v>#REF!</v>
      </c>
      <c r="BC94" s="212">
        <f t="shared" si="11"/>
        <v>0</v>
      </c>
      <c r="BG94" s="18">
        <v>0</v>
      </c>
      <c r="BH94" s="212">
        <v>0</v>
      </c>
      <c r="BI94" s="212">
        <v>0</v>
      </c>
      <c r="BJ94" s="212">
        <v>0</v>
      </c>
      <c r="BK94" s="212">
        <v>0</v>
      </c>
      <c r="BL94" s="212">
        <v>0</v>
      </c>
      <c r="BM94" s="212">
        <v>0</v>
      </c>
      <c r="BN94" s="226"/>
      <c r="BO94" s="226"/>
      <c r="BQ94" s="58" t="s">
        <v>1028</v>
      </c>
      <c r="BR94" s="112"/>
      <c r="BS94" s="58"/>
    </row>
    <row r="95" spans="1:72" ht="39.950000000000003" customHeight="1" x14ac:dyDescent="0.2">
      <c r="A95" s="131" t="s">
        <v>696</v>
      </c>
      <c r="B95" s="337" t="s">
        <v>1337</v>
      </c>
      <c r="C95" s="337" t="s">
        <v>1144</v>
      </c>
      <c r="D95" s="133" t="s">
        <v>38</v>
      </c>
      <c r="E95" s="14" t="s">
        <v>540</v>
      </c>
      <c r="F95" s="161" t="s">
        <v>49</v>
      </c>
      <c r="G95" s="131" t="s">
        <v>48</v>
      </c>
      <c r="H95" s="131" t="s">
        <v>95</v>
      </c>
      <c r="I95" s="130" t="s">
        <v>447</v>
      </c>
      <c r="J95" s="133" t="s">
        <v>142</v>
      </c>
      <c r="K95" s="192" t="s">
        <v>218</v>
      </c>
      <c r="L95" s="13" t="s">
        <v>29</v>
      </c>
      <c r="M95" s="65" t="s">
        <v>191</v>
      </c>
      <c r="N95" s="134" t="s">
        <v>323</v>
      </c>
      <c r="O95" s="13" t="s">
        <v>43</v>
      </c>
      <c r="P95" s="65">
        <v>2</v>
      </c>
      <c r="Q95" s="167" t="s">
        <v>531</v>
      </c>
      <c r="R95" s="65" t="s">
        <v>534</v>
      </c>
      <c r="S95" s="135" t="s">
        <v>9</v>
      </c>
      <c r="T95" s="136" t="e">
        <f>10000/USD</f>
        <v>#REF!</v>
      </c>
      <c r="U95" s="136">
        <v>8200</v>
      </c>
      <c r="V95" s="136" t="e">
        <f>Table12118[[#This Row],[Amortised Limit in Original Currency]]/USD</f>
        <v>#REF!</v>
      </c>
      <c r="W95" s="136" t="e">
        <f>15714.28571/USD</f>
        <v>#REF!</v>
      </c>
      <c r="X95" s="136" t="e">
        <f>(597507.6+335418.55)/USD</f>
        <v>#REF!</v>
      </c>
      <c r="Y95" s="62" t="s">
        <v>16</v>
      </c>
      <c r="Z95" s="366">
        <v>0</v>
      </c>
      <c r="AA95" s="147" t="s">
        <v>11</v>
      </c>
      <c r="AB95" s="185">
        <v>0.06</v>
      </c>
      <c r="AC95" s="185"/>
      <c r="AD95" s="137">
        <v>44519</v>
      </c>
      <c r="AE95" s="137">
        <v>46125</v>
      </c>
      <c r="AF95" s="137">
        <v>46125</v>
      </c>
      <c r="AG95" s="138">
        <f t="shared" si="15"/>
        <v>1607</v>
      </c>
      <c r="AH95" s="139" t="e">
        <f t="shared" si="16"/>
        <v>#REF!</v>
      </c>
      <c r="AI95" s="138" t="e">
        <f>AF95-#REF!</f>
        <v>#REF!</v>
      </c>
      <c r="AJ95" s="140" t="e">
        <f t="shared" si="17"/>
        <v>#REF!</v>
      </c>
      <c r="AK95" s="184"/>
      <c r="AL95" s="186" t="s">
        <v>1</v>
      </c>
      <c r="AM95" s="186" t="s">
        <v>1</v>
      </c>
      <c r="AN95" s="187" t="s">
        <v>697</v>
      </c>
      <c r="AO95" s="143" t="e">
        <f t="shared" si="10"/>
        <v>#REF!</v>
      </c>
      <c r="AP95" s="164" t="s">
        <v>271</v>
      </c>
      <c r="AQ95" s="188" t="s">
        <v>748</v>
      </c>
      <c r="AT95" s="197" t="str">
        <f>Table12118[[#This Row],[Risk Location ]]</f>
        <v>Indonesia</v>
      </c>
      <c r="AU95" s="198" t="str">
        <f>Table12118[[#This Row],[Sector (GICS Industry Group)]]</f>
        <v>Energy</v>
      </c>
      <c r="AX95" s="212" t="e">
        <f>Table12118[[#This Row],[Percentage Impact]]*Table12118[[#This Row],[Amortised Limit A$ Balance]]</f>
        <v>#REF!</v>
      </c>
      <c r="AY95" s="212" t="e">
        <f>Table12118[[#This Row],[Amortised Limit A$ Balance]]*12%</f>
        <v>#REF!</v>
      </c>
      <c r="AZ95" s="212" t="b">
        <f>IF(Table12118[[#This Row],[Everest]]="Everest",Table12118[[#This Row],[Assetinsure Amount ]]*0.2)</f>
        <v>0</v>
      </c>
      <c r="BA95" s="212"/>
      <c r="BB95" s="212" t="e">
        <f>MIN(Table12118[[#This Row],[Assetinsure Amount ]]-Table12118[[#This Row],[Reinsurance Everest Re]],Table12118[[#This Row],[Total Amount]])</f>
        <v>#REF!</v>
      </c>
      <c r="BC95" s="212">
        <f t="shared" si="11"/>
        <v>0</v>
      </c>
      <c r="BG95" s="18">
        <v>0</v>
      </c>
      <c r="BH95" s="212">
        <v>0</v>
      </c>
      <c r="BI95" s="212">
        <v>0</v>
      </c>
      <c r="BJ95" s="212">
        <v>0</v>
      </c>
      <c r="BK95" s="212">
        <v>0</v>
      </c>
      <c r="BL95" s="212">
        <v>0</v>
      </c>
      <c r="BM95" s="212">
        <v>0</v>
      </c>
      <c r="BN95" s="226"/>
      <c r="BO95" s="226"/>
      <c r="BQ95" s="58" t="s">
        <v>1029</v>
      </c>
      <c r="BR95" s="112"/>
      <c r="BS95" s="58"/>
    </row>
    <row r="96" spans="1:72" ht="39.950000000000003" customHeight="1" x14ac:dyDescent="0.2">
      <c r="A96" s="131" t="s">
        <v>698</v>
      </c>
      <c r="B96" s="337" t="s">
        <v>23</v>
      </c>
      <c r="C96" s="337" t="s">
        <v>1143</v>
      </c>
      <c r="D96" s="133" t="s">
        <v>37</v>
      </c>
      <c r="E96" s="14" t="s">
        <v>540</v>
      </c>
      <c r="F96" s="161" t="s">
        <v>36</v>
      </c>
      <c r="G96" s="131" t="s">
        <v>543</v>
      </c>
      <c r="H96" s="131" t="s">
        <v>133</v>
      </c>
      <c r="I96" s="131" t="s">
        <v>133</v>
      </c>
      <c r="J96" s="133" t="s">
        <v>236</v>
      </c>
      <c r="K96" s="192" t="s">
        <v>21</v>
      </c>
      <c r="L96" s="13" t="s">
        <v>29</v>
      </c>
      <c r="M96" s="65" t="s">
        <v>191</v>
      </c>
      <c r="N96" s="134" t="s">
        <v>323</v>
      </c>
      <c r="O96" s="13" t="s">
        <v>43</v>
      </c>
      <c r="P96" s="65">
        <v>2</v>
      </c>
      <c r="Q96" s="167" t="s">
        <v>538</v>
      </c>
      <c r="R96" s="167" t="s">
        <v>548</v>
      </c>
      <c r="S96" s="135" t="s">
        <v>9</v>
      </c>
      <c r="T96" s="136" t="e">
        <f>15000/USD</f>
        <v>#REF!</v>
      </c>
      <c r="U96" s="62">
        <v>15000</v>
      </c>
      <c r="V96" s="136" t="e">
        <f>Table12118[[#This Row],[Amortised Limit in Original Currency]]/USD</f>
        <v>#REF!</v>
      </c>
      <c r="W96" s="136" t="e">
        <f>45000/USD</f>
        <v>#REF!</v>
      </c>
      <c r="X96" s="136" t="e">
        <f>516090/USD</f>
        <v>#REF!</v>
      </c>
      <c r="Y96" s="62" t="s">
        <v>16</v>
      </c>
      <c r="Z96" s="366">
        <v>0</v>
      </c>
      <c r="AA96" s="147" t="s">
        <v>11</v>
      </c>
      <c r="AB96" s="185">
        <v>1.4E-2</v>
      </c>
      <c r="AC96" s="185"/>
      <c r="AD96" s="137">
        <v>44524</v>
      </c>
      <c r="AE96" s="137">
        <v>46493</v>
      </c>
      <c r="AF96" s="137">
        <v>46493</v>
      </c>
      <c r="AG96" s="138">
        <f t="shared" si="15"/>
        <v>1970</v>
      </c>
      <c r="AH96" s="139" t="e">
        <f t="shared" si="16"/>
        <v>#REF!</v>
      </c>
      <c r="AI96" s="138" t="e">
        <f>AF96-#REF!</f>
        <v>#REF!</v>
      </c>
      <c r="AJ96" s="140" t="e">
        <f t="shared" si="17"/>
        <v>#REF!</v>
      </c>
      <c r="AK96" s="184"/>
      <c r="AL96" s="186" t="s">
        <v>1</v>
      </c>
      <c r="AM96" s="186" t="s">
        <v>1</v>
      </c>
      <c r="AN96" s="187" t="s">
        <v>0</v>
      </c>
      <c r="AO96" s="143" t="e">
        <f t="shared" si="10"/>
        <v>#REF!</v>
      </c>
      <c r="AP96" s="164" t="s">
        <v>271</v>
      </c>
      <c r="AQ96" s="188" t="s">
        <v>699</v>
      </c>
      <c r="AT96" s="197" t="str">
        <f>Table12118[[#This Row],[Risk Location ]]</f>
        <v>China</v>
      </c>
      <c r="AU96" s="198" t="str">
        <f>Table12118[[#This Row],[Sector (GICS Industry Group)]]</f>
        <v>Industrials</v>
      </c>
      <c r="AX96" s="212" t="e">
        <f>Table12118[[#This Row],[Percentage Impact]]*Table12118[[#This Row],[Amortised Limit A$ Balance]]</f>
        <v>#REF!</v>
      </c>
      <c r="AY96" s="212" t="e">
        <f>Table12118[[#This Row],[Amortised Limit A$ Balance]]*12%</f>
        <v>#REF!</v>
      </c>
      <c r="AZ96" s="212" t="b">
        <f>IF(Table12118[[#This Row],[Everest]]="Everest",Table12118[[#This Row],[Assetinsure Amount ]]*0.2)</f>
        <v>0</v>
      </c>
      <c r="BA96" s="212"/>
      <c r="BB96" s="212" t="e">
        <f>MIN(Table12118[[#This Row],[Assetinsure Amount ]]-Table12118[[#This Row],[Reinsurance Everest Re]],Table12118[[#This Row],[Total Amount]])</f>
        <v>#REF!</v>
      </c>
      <c r="BC96" s="212">
        <f t="shared" si="11"/>
        <v>0</v>
      </c>
      <c r="BG96" s="18">
        <v>0</v>
      </c>
      <c r="BH96" s="212">
        <v>0</v>
      </c>
      <c r="BI96" s="212">
        <v>0</v>
      </c>
      <c r="BJ96" s="212">
        <v>0</v>
      </c>
      <c r="BK96" s="212">
        <v>0</v>
      </c>
      <c r="BL96" s="212">
        <v>0</v>
      </c>
      <c r="BM96" s="212">
        <v>0</v>
      </c>
      <c r="BN96" s="226"/>
      <c r="BO96" s="226"/>
      <c r="BQ96" s="58" t="s">
        <v>1030</v>
      </c>
      <c r="BR96" s="112"/>
      <c r="BS96" s="58"/>
    </row>
    <row r="97" spans="1:72" s="229" customFormat="1" ht="39.950000000000003" customHeight="1" x14ac:dyDescent="0.2">
      <c r="A97" s="131" t="s">
        <v>701</v>
      </c>
      <c r="B97" s="337" t="s">
        <v>1247</v>
      </c>
      <c r="C97" s="337" t="s">
        <v>243</v>
      </c>
      <c r="D97" s="133" t="s">
        <v>38</v>
      </c>
      <c r="E97" s="14" t="s">
        <v>540</v>
      </c>
      <c r="F97" s="161" t="s">
        <v>35</v>
      </c>
      <c r="G97" s="14" t="s">
        <v>892</v>
      </c>
      <c r="H97" s="188" t="s">
        <v>259</v>
      </c>
      <c r="I97" s="188" t="s">
        <v>258</v>
      </c>
      <c r="J97" s="133" t="s">
        <v>50</v>
      </c>
      <c r="K97" s="192" t="s">
        <v>21</v>
      </c>
      <c r="L97" s="168" t="s">
        <v>139</v>
      </c>
      <c r="M97" s="194" t="s">
        <v>191</v>
      </c>
      <c r="N97" s="134" t="s">
        <v>323</v>
      </c>
      <c r="O97" s="167" t="s">
        <v>43</v>
      </c>
      <c r="P97" s="65">
        <v>2</v>
      </c>
      <c r="Q97" s="167" t="s">
        <v>538</v>
      </c>
      <c r="R97" s="65" t="s">
        <v>534</v>
      </c>
      <c r="S97" s="135" t="s">
        <v>9</v>
      </c>
      <c r="T97" s="136" t="e">
        <f>5000/USD</f>
        <v>#REF!</v>
      </c>
      <c r="U97" s="62">
        <f>5000-245</f>
        <v>4755</v>
      </c>
      <c r="V97" s="136" t="e">
        <f>Table12118[[#This Row],[Amortised Limit in Original Currency]]/USD</f>
        <v>#REF!</v>
      </c>
      <c r="W97" s="136" t="e">
        <f>35000/USD</f>
        <v>#REF!</v>
      </c>
      <c r="X97" s="136" t="e">
        <f>(464793.08-157771.82)/USD</f>
        <v>#REF!</v>
      </c>
      <c r="Y97" s="62" t="s">
        <v>16</v>
      </c>
      <c r="Z97" s="366">
        <v>0</v>
      </c>
      <c r="AA97" s="147" t="s">
        <v>11</v>
      </c>
      <c r="AB97" s="185">
        <v>3.3300000000000003E-2</v>
      </c>
      <c r="AC97" s="185"/>
      <c r="AD97" s="137">
        <v>44526</v>
      </c>
      <c r="AE97" s="137">
        <v>46271</v>
      </c>
      <c r="AF97" s="137">
        <v>46271</v>
      </c>
      <c r="AG97" s="138">
        <f t="shared" si="15"/>
        <v>1746</v>
      </c>
      <c r="AH97" s="139" t="e">
        <f t="shared" si="16"/>
        <v>#REF!</v>
      </c>
      <c r="AI97" s="138" t="e">
        <f>AF97-#REF!</f>
        <v>#REF!</v>
      </c>
      <c r="AJ97" s="140" t="e">
        <f t="shared" si="17"/>
        <v>#REF!</v>
      </c>
      <c r="AK97" s="184"/>
      <c r="AL97" s="186" t="s">
        <v>1</v>
      </c>
      <c r="AM97" s="186" t="s">
        <v>1</v>
      </c>
      <c r="AN97" s="187" t="s">
        <v>0</v>
      </c>
      <c r="AO97" s="11" t="e">
        <f t="shared" si="10"/>
        <v>#REF!</v>
      </c>
      <c r="AP97" s="164" t="s">
        <v>271</v>
      </c>
      <c r="AQ97" s="188" t="s">
        <v>700</v>
      </c>
      <c r="AR97" s="11"/>
      <c r="AS97" s="11"/>
      <c r="AT97" s="197" t="str">
        <f>Table12118[[#This Row],[Risk Location ]]</f>
        <v>India</v>
      </c>
      <c r="AU97" s="198" t="str">
        <f>Table12118[[#This Row],[Sector (GICS Industry Group)]]</f>
        <v>Information Technology - Software &amp; Services</v>
      </c>
      <c r="AV97" s="11"/>
      <c r="AW97" s="11"/>
      <c r="AX97" s="212" t="e">
        <f>Table12118[[#This Row],[Percentage Impact]]*Table12118[[#This Row],[Amortised Limit A$ Balance]]</f>
        <v>#REF!</v>
      </c>
      <c r="AY97" s="212" t="e">
        <f>Table12118[[#This Row],[Amortised Limit A$ Balance]]*12%</f>
        <v>#REF!</v>
      </c>
      <c r="AZ97" s="212" t="b">
        <f>IF(Table12118[[#This Row],[Everest]]="Everest",Table12118[[#This Row],[Assetinsure Amount ]]*0.2)</f>
        <v>0</v>
      </c>
      <c r="BA97" s="212"/>
      <c r="BB97" s="212" t="e">
        <f>MIN(Table12118[[#This Row],[Assetinsure Amount ]]-Table12118[[#This Row],[Reinsurance Everest Re]],Table12118[[#This Row],[Total Amount]])</f>
        <v>#REF!</v>
      </c>
      <c r="BC97" s="212">
        <f t="shared" si="11"/>
        <v>0</v>
      </c>
      <c r="BD97" s="11"/>
      <c r="BG97" s="18">
        <v>0</v>
      </c>
      <c r="BH97" s="278">
        <v>0</v>
      </c>
      <c r="BI97" s="278">
        <v>0</v>
      </c>
      <c r="BJ97" s="278">
        <v>0</v>
      </c>
      <c r="BK97" s="278">
        <v>0</v>
      </c>
      <c r="BL97" s="278">
        <v>0</v>
      </c>
      <c r="BM97" s="278">
        <v>0</v>
      </c>
      <c r="BN97" s="226"/>
      <c r="BO97" s="226"/>
      <c r="BQ97" s="58" t="s">
        <v>1016</v>
      </c>
      <c r="BR97" s="276"/>
      <c r="BS97" s="58"/>
      <c r="BT97" s="11"/>
    </row>
    <row r="98" spans="1:72" ht="39.950000000000003" customHeight="1" x14ac:dyDescent="0.2">
      <c r="A98" s="131" t="s">
        <v>702</v>
      </c>
      <c r="B98" s="337" t="s">
        <v>243</v>
      </c>
      <c r="C98" s="337" t="s">
        <v>243</v>
      </c>
      <c r="D98" s="133" t="s">
        <v>38</v>
      </c>
      <c r="E98" s="131" t="s">
        <v>34</v>
      </c>
      <c r="F98" s="161" t="s">
        <v>34</v>
      </c>
      <c r="G98" s="131" t="s">
        <v>891</v>
      </c>
      <c r="H98" s="133" t="s">
        <v>167</v>
      </c>
      <c r="I98" s="131" t="s">
        <v>167</v>
      </c>
      <c r="J98" s="133" t="s">
        <v>706</v>
      </c>
      <c r="K98" s="192" t="s">
        <v>220</v>
      </c>
      <c r="L98" s="168" t="s">
        <v>209</v>
      </c>
      <c r="M98" s="194" t="s">
        <v>191</v>
      </c>
      <c r="N98" s="134" t="s">
        <v>323</v>
      </c>
      <c r="O98" s="167" t="s">
        <v>43</v>
      </c>
      <c r="P98" s="65">
        <v>2</v>
      </c>
      <c r="Q98" s="167" t="s">
        <v>538</v>
      </c>
      <c r="R98" s="270" t="s">
        <v>534</v>
      </c>
      <c r="S98" s="135" t="s">
        <v>8</v>
      </c>
      <c r="T98" s="136">
        <f>20000+10000</f>
        <v>30000</v>
      </c>
      <c r="U98" s="136">
        <f>20000+10000</f>
        <v>30000</v>
      </c>
      <c r="V98" s="136">
        <f>Table12118[[#This Row],[Original Limit (A$)]]</f>
        <v>30000</v>
      </c>
      <c r="W98" s="136">
        <f>155000+50000</f>
        <v>205000</v>
      </c>
      <c r="X98" s="136">
        <f>1137586.84+247516.07</f>
        <v>1385102.9100000001</v>
      </c>
      <c r="Y98" s="62" t="s">
        <v>16</v>
      </c>
      <c r="Z98" s="366">
        <v>0</v>
      </c>
      <c r="AA98" s="147" t="s">
        <v>11</v>
      </c>
      <c r="AB98" s="185">
        <v>1.9E-2</v>
      </c>
      <c r="AC98" s="185"/>
      <c r="AD98" s="137">
        <v>44533</v>
      </c>
      <c r="AE98" s="137">
        <v>46390</v>
      </c>
      <c r="AF98" s="137">
        <v>46390</v>
      </c>
      <c r="AG98" s="138">
        <f t="shared" si="15"/>
        <v>1858</v>
      </c>
      <c r="AH98" s="139" t="e">
        <f t="shared" si="16"/>
        <v>#REF!</v>
      </c>
      <c r="AI98" s="138" t="e">
        <f>AF98-#REF!</f>
        <v>#REF!</v>
      </c>
      <c r="AJ98" s="140" t="e">
        <f t="shared" si="17"/>
        <v>#REF!</v>
      </c>
      <c r="AK98" s="184" t="s">
        <v>436</v>
      </c>
      <c r="AL98" s="186" t="s">
        <v>1</v>
      </c>
      <c r="AM98" s="186" t="s">
        <v>1</v>
      </c>
      <c r="AN98" s="187" t="s">
        <v>0</v>
      </c>
      <c r="AO98" s="164" t="e">
        <f t="shared" si="10"/>
        <v>#REF!</v>
      </c>
      <c r="AP98" s="164" t="s">
        <v>271</v>
      </c>
      <c r="AQ98" s="188" t="s">
        <v>703</v>
      </c>
      <c r="AR98" s="229"/>
      <c r="AS98" s="229"/>
      <c r="AT98" s="323" t="str">
        <f>Table12118[[#This Row],[Risk Location ]]</f>
        <v>Australia</v>
      </c>
      <c r="AU98" s="324" t="str">
        <f>Table12118[[#This Row],[Sector (GICS Industry Group)]]</f>
        <v>Information Technology - Hardware &amp; Equipment</v>
      </c>
      <c r="AV98" s="229"/>
      <c r="AW98" s="229"/>
      <c r="AX98" s="278">
        <f>Table12118[[#This Row],[Percentage Impact]]*Table12118[[#This Row],[Amortised Limit A$ Balance]]</f>
        <v>0</v>
      </c>
      <c r="AY98" s="278">
        <f>Table12118[[#This Row],[Amortised Limit A$ Balance]]*12%</f>
        <v>3600</v>
      </c>
      <c r="AZ98" s="278">
        <f>IF(Table12118[[#This Row],[Everest]]="Everest",Table12118[[#This Row],[Assetinsure Amount ]]*0.2)</f>
        <v>720</v>
      </c>
      <c r="BA98" s="278"/>
      <c r="BB98" s="278">
        <f>MIN(Table12118[[#This Row],[Assetinsure Amount ]]-Table12118[[#This Row],[Reinsurance Everest Re]],Table12118[[#This Row],[Total Amount]])</f>
        <v>0</v>
      </c>
      <c r="BC98" s="212">
        <f t="shared" si="11"/>
        <v>0</v>
      </c>
      <c r="BD98" s="229"/>
      <c r="BG98" s="18">
        <v>0</v>
      </c>
      <c r="BH98" s="212">
        <v>0</v>
      </c>
      <c r="BI98" s="212">
        <v>0</v>
      </c>
      <c r="BJ98" s="212">
        <v>0</v>
      </c>
      <c r="BK98" s="212">
        <v>0</v>
      </c>
      <c r="BL98" s="212">
        <v>0</v>
      </c>
      <c r="BM98" s="212">
        <v>0</v>
      </c>
      <c r="BN98" s="226"/>
      <c r="BO98" s="226"/>
      <c r="BQ98" s="58" t="s">
        <v>1221</v>
      </c>
      <c r="BR98" s="112"/>
      <c r="BS98" s="58"/>
    </row>
    <row r="99" spans="1:72" s="229" customFormat="1" ht="39.950000000000003" customHeight="1" x14ac:dyDescent="0.2">
      <c r="A99" s="131" t="s">
        <v>713</v>
      </c>
      <c r="B99" s="337" t="s">
        <v>1247</v>
      </c>
      <c r="C99" s="337" t="s">
        <v>243</v>
      </c>
      <c r="D99" s="133" t="s">
        <v>38</v>
      </c>
      <c r="E99" s="131" t="s">
        <v>34</v>
      </c>
      <c r="F99" s="161" t="s">
        <v>295</v>
      </c>
      <c r="G99" s="131" t="s">
        <v>544</v>
      </c>
      <c r="H99" s="131" t="s">
        <v>201</v>
      </c>
      <c r="I99" s="145" t="s">
        <v>200</v>
      </c>
      <c r="J99" s="133" t="s">
        <v>1088</v>
      </c>
      <c r="K99" s="192" t="s">
        <v>687</v>
      </c>
      <c r="L99" s="168" t="s">
        <v>209</v>
      </c>
      <c r="M99" s="194" t="s">
        <v>191</v>
      </c>
      <c r="N99" s="134" t="s">
        <v>323</v>
      </c>
      <c r="O99" s="167" t="s">
        <v>43</v>
      </c>
      <c r="P99" s="270">
        <v>2</v>
      </c>
      <c r="Q99" s="167" t="s">
        <v>538</v>
      </c>
      <c r="R99" s="270" t="s">
        <v>534</v>
      </c>
      <c r="S99" s="135" t="s">
        <v>297</v>
      </c>
      <c r="T99" s="136">
        <f>12083.1486</f>
        <v>12083.1486</v>
      </c>
      <c r="U99" s="62">
        <f>Table12118[[#This Row],[Original Limit (A$)]]</f>
        <v>12083.1486</v>
      </c>
      <c r="V99" s="136">
        <f>Table12118[[#This Row],[Amortised Limit in Original Currency]]</f>
        <v>12083.1486</v>
      </c>
      <c r="W99" s="136">
        <v>24166.296999999999</v>
      </c>
      <c r="X99" s="136">
        <f>1652428.53+36348.76+1947.87-62543.82</f>
        <v>1628181.34</v>
      </c>
      <c r="Y99" s="136"/>
      <c r="Z99" s="365"/>
      <c r="AA99" s="147" t="s">
        <v>11</v>
      </c>
      <c r="AB99" s="185">
        <v>4.2500000000000003E-2</v>
      </c>
      <c r="AC99" s="185"/>
      <c r="AD99" s="137">
        <v>44540</v>
      </c>
      <c r="AE99" s="137">
        <v>46691</v>
      </c>
      <c r="AF99" s="137">
        <v>46691</v>
      </c>
      <c r="AG99" s="138">
        <f t="shared" si="15"/>
        <v>2152</v>
      </c>
      <c r="AH99" s="139" t="e">
        <f t="shared" si="16"/>
        <v>#REF!</v>
      </c>
      <c r="AI99" s="138" t="e">
        <f>AF99-#REF!</f>
        <v>#REF!</v>
      </c>
      <c r="AJ99" s="140" t="e">
        <f t="shared" si="17"/>
        <v>#REF!</v>
      </c>
      <c r="AK99" s="184"/>
      <c r="AL99" s="186" t="s">
        <v>1</v>
      </c>
      <c r="AM99" s="186" t="s">
        <v>1</v>
      </c>
      <c r="AN99" s="187" t="s">
        <v>0</v>
      </c>
      <c r="AO99" s="164" t="e">
        <f t="shared" si="10"/>
        <v>#REF!</v>
      </c>
      <c r="AP99" s="164" t="s">
        <v>563</v>
      </c>
      <c r="AQ99" s="188" t="s">
        <v>707</v>
      </c>
      <c r="AT99" s="323" t="str">
        <f>Table12118[[#This Row],[Risk Location ]]</f>
        <v>New Zealand</v>
      </c>
      <c r="AU99" s="324" t="str">
        <f>Table12118[[#This Row],[Sector (GICS Industry Group)]]</f>
        <v>Consumer Discretionary</v>
      </c>
      <c r="AX99" s="278">
        <f>Table12118[[#This Row],[Percentage Impact]]*Table12118[[#This Row],[Amortised Limit A$ Balance]]</f>
        <v>0</v>
      </c>
      <c r="AY99" s="278">
        <f>Table12118[[#This Row],[Amortised Limit A$ Balance]]*12%</f>
        <v>1449.977832</v>
      </c>
      <c r="AZ99" s="278" t="b">
        <f>IF(Table12118[[#This Row],[Everest]]="Everest",Table12118[[#This Row],[Assetinsure Amount ]]*0.2)</f>
        <v>0</v>
      </c>
      <c r="BA99" s="278"/>
      <c r="BB99" s="278">
        <f>MIN(Table12118[[#This Row],[Assetinsure Amount ]]-Table12118[[#This Row],[Reinsurance Everest Re]],Table12118[[#This Row],[Total Amount]])</f>
        <v>0</v>
      </c>
      <c r="BC99" s="212">
        <f t="shared" si="11"/>
        <v>0</v>
      </c>
      <c r="BG99" s="18">
        <v>0</v>
      </c>
      <c r="BH99" s="278">
        <v>0</v>
      </c>
      <c r="BI99" s="278">
        <v>0</v>
      </c>
      <c r="BJ99" s="278">
        <v>0</v>
      </c>
      <c r="BK99" s="278">
        <v>0</v>
      </c>
      <c r="BL99" s="278">
        <v>0</v>
      </c>
      <c r="BM99" s="278">
        <v>0</v>
      </c>
      <c r="BN99" s="226"/>
      <c r="BO99" s="226"/>
      <c r="BQ99" s="272" t="s">
        <v>1031</v>
      </c>
      <c r="BR99" s="276"/>
      <c r="BS99" s="272"/>
    </row>
    <row r="100" spans="1:72" ht="39.950000000000003" customHeight="1" x14ac:dyDescent="0.2">
      <c r="A100" s="131" t="s">
        <v>718</v>
      </c>
      <c r="B100" s="337" t="s">
        <v>23</v>
      </c>
      <c r="C100" s="337" t="s">
        <v>1144</v>
      </c>
      <c r="D100" s="133" t="s">
        <v>88</v>
      </c>
      <c r="E100" s="131" t="s">
        <v>499</v>
      </c>
      <c r="F100" s="161" t="s">
        <v>162</v>
      </c>
      <c r="G100" s="131" t="s">
        <v>92</v>
      </c>
      <c r="H100" s="131" t="s">
        <v>134</v>
      </c>
      <c r="I100" s="130" t="s">
        <v>134</v>
      </c>
      <c r="J100" s="133" t="s">
        <v>61</v>
      </c>
      <c r="K100" s="192" t="s">
        <v>220</v>
      </c>
      <c r="L100" s="13" t="s">
        <v>68</v>
      </c>
      <c r="M100" s="194" t="s">
        <v>191</v>
      </c>
      <c r="N100" s="134" t="s">
        <v>59</v>
      </c>
      <c r="O100" s="167" t="s">
        <v>43</v>
      </c>
      <c r="P100" s="65">
        <v>3</v>
      </c>
      <c r="Q100" s="167" t="s">
        <v>533</v>
      </c>
      <c r="R100" s="167" t="s">
        <v>548</v>
      </c>
      <c r="S100" s="135" t="s">
        <v>9</v>
      </c>
      <c r="T100" s="136" t="e">
        <f>7500/USD</f>
        <v>#REF!</v>
      </c>
      <c r="U100" s="62">
        <v>6450</v>
      </c>
      <c r="V100" s="136" t="e">
        <f>Table12118[[#This Row],[Amortised Limit in Original Currency]]/USD</f>
        <v>#REF!</v>
      </c>
      <c r="W100" s="136" t="e">
        <f>150000/USD</f>
        <v>#REF!</v>
      </c>
      <c r="X100" s="136" t="e">
        <f>230671.02/USD</f>
        <v>#REF!</v>
      </c>
      <c r="Y100" s="62" t="s">
        <v>16</v>
      </c>
      <c r="Z100" s="366">
        <v>0</v>
      </c>
      <c r="AA100" s="147" t="s">
        <v>11</v>
      </c>
      <c r="AB100" s="185">
        <v>1.375E-2</v>
      </c>
      <c r="AC100" s="185"/>
      <c r="AD100" s="137">
        <v>44550</v>
      </c>
      <c r="AE100" s="137">
        <v>46200</v>
      </c>
      <c r="AF100" s="137">
        <v>46200</v>
      </c>
      <c r="AG100" s="138">
        <f t="shared" si="15"/>
        <v>1651</v>
      </c>
      <c r="AH100" s="139" t="e">
        <f t="shared" si="16"/>
        <v>#REF!</v>
      </c>
      <c r="AI100" s="138" t="e">
        <f>AF100-#REF!</f>
        <v>#REF!</v>
      </c>
      <c r="AJ100" s="140" t="e">
        <f t="shared" si="17"/>
        <v>#REF!</v>
      </c>
      <c r="AK100" s="184"/>
      <c r="AL100" s="186" t="s">
        <v>1</v>
      </c>
      <c r="AM100" s="186" t="s">
        <v>1</v>
      </c>
      <c r="AN100" s="187" t="s">
        <v>784</v>
      </c>
      <c r="AO100" s="143" t="e">
        <f t="shared" si="10"/>
        <v>#REF!</v>
      </c>
      <c r="AP100" s="164" t="s">
        <v>563</v>
      </c>
      <c r="AQ100" s="188" t="s">
        <v>708</v>
      </c>
      <c r="AT100" s="197" t="str">
        <f>Table12118[[#This Row],[Risk Location ]]</f>
        <v>United States</v>
      </c>
      <c r="AU100" s="198" t="str">
        <f>Table12118[[#This Row],[Sector (GICS Industry Group)]]</f>
        <v>Transportation</v>
      </c>
      <c r="AX100" s="212" t="e">
        <f>Table12118[[#This Row],[Percentage Impact]]*Table12118[[#This Row],[Amortised Limit A$ Balance]]</f>
        <v>#REF!</v>
      </c>
      <c r="AY100" s="212" t="e">
        <f>Table12118[[#This Row],[Amortised Limit A$ Balance]]*12%</f>
        <v>#REF!</v>
      </c>
      <c r="AZ100" s="212" t="b">
        <f>IF(Table12118[[#This Row],[Everest]]="Everest",Table12118[[#This Row],[Assetinsure Amount ]]*0.2)</f>
        <v>0</v>
      </c>
      <c r="BA100" s="212"/>
      <c r="BB100" s="212" t="e">
        <f>MIN(Table12118[[#This Row],[Assetinsure Amount ]]-Table12118[[#This Row],[Reinsurance Everest Re]],Table12118[[#This Row],[Total Amount]])</f>
        <v>#REF!</v>
      </c>
      <c r="BC100" s="212">
        <f t="shared" si="11"/>
        <v>0</v>
      </c>
      <c r="BG100" s="18">
        <v>0</v>
      </c>
      <c r="BH100" s="212">
        <v>0</v>
      </c>
      <c r="BI100" s="212">
        <v>0</v>
      </c>
      <c r="BJ100" s="212">
        <v>0</v>
      </c>
      <c r="BK100" s="212">
        <v>0</v>
      </c>
      <c r="BL100" s="212">
        <v>0</v>
      </c>
      <c r="BM100" s="212">
        <v>0</v>
      </c>
      <c r="BN100" s="226"/>
      <c r="BO100" s="226"/>
      <c r="BQ100" s="58" t="s">
        <v>1032</v>
      </c>
      <c r="BR100" s="112"/>
      <c r="BS100" s="58"/>
    </row>
    <row r="101" spans="1:72" ht="39.950000000000003" customHeight="1" x14ac:dyDescent="0.2">
      <c r="A101" s="131" t="s">
        <v>720</v>
      </c>
      <c r="B101" s="337" t="s">
        <v>1336</v>
      </c>
      <c r="C101" s="337" t="s">
        <v>1144</v>
      </c>
      <c r="D101" s="133" t="s">
        <v>127</v>
      </c>
      <c r="E101" s="131" t="s">
        <v>499</v>
      </c>
      <c r="F101" s="161" t="s">
        <v>162</v>
      </c>
      <c r="G101" s="131" t="s">
        <v>233</v>
      </c>
      <c r="H101" s="131" t="s">
        <v>443</v>
      </c>
      <c r="I101" s="131" t="s">
        <v>234</v>
      </c>
      <c r="J101" s="133" t="s">
        <v>218</v>
      </c>
      <c r="K101" s="192" t="s">
        <v>218</v>
      </c>
      <c r="L101" s="168" t="s">
        <v>209</v>
      </c>
      <c r="M101" s="194" t="s">
        <v>191</v>
      </c>
      <c r="N101" s="134" t="s">
        <v>59</v>
      </c>
      <c r="O101" s="167" t="s">
        <v>43</v>
      </c>
      <c r="P101" s="65">
        <v>2</v>
      </c>
      <c r="Q101" s="167" t="s">
        <v>538</v>
      </c>
      <c r="R101" s="65" t="s">
        <v>534</v>
      </c>
      <c r="S101" s="135" t="s">
        <v>59</v>
      </c>
      <c r="T101" s="136" t="e">
        <f>20000/EUR</f>
        <v>#REF!</v>
      </c>
      <c r="U101" s="62">
        <v>20000</v>
      </c>
      <c r="V101" s="136" t="e">
        <f>Table12118[[#This Row],[Amortised Limit in Original Currency]]/EUR</f>
        <v>#REF!</v>
      </c>
      <c r="W101" s="136" t="e">
        <f>15551.613/USD+9109.078/EUR+12416.215/EUR</f>
        <v>#REF!</v>
      </c>
      <c r="X101" s="136" t="e">
        <f>917159.78/EUR</f>
        <v>#REF!</v>
      </c>
      <c r="Y101" s="62" t="s">
        <v>16</v>
      </c>
      <c r="Z101" s="366">
        <v>0</v>
      </c>
      <c r="AA101" s="147" t="s">
        <v>11</v>
      </c>
      <c r="AB101" s="185">
        <v>0.03</v>
      </c>
      <c r="AC101" s="185"/>
      <c r="AD101" s="137">
        <v>44547</v>
      </c>
      <c r="AE101" s="137">
        <v>46280</v>
      </c>
      <c r="AF101" s="137">
        <f>Table12118[[#This Row],[Expiry Date]]+5</f>
        <v>46285</v>
      </c>
      <c r="AG101" s="138">
        <f t="shared" si="15"/>
        <v>1739</v>
      </c>
      <c r="AH101" s="139" t="e">
        <f t="shared" si="16"/>
        <v>#REF!</v>
      </c>
      <c r="AI101" s="138" t="e">
        <f>AF101-#REF!</f>
        <v>#REF!</v>
      </c>
      <c r="AJ101" s="140" t="e">
        <f t="shared" si="17"/>
        <v>#REF!</v>
      </c>
      <c r="AK101" s="184"/>
      <c r="AL101" s="186" t="s">
        <v>1</v>
      </c>
      <c r="AM101" s="186" t="s">
        <v>1</v>
      </c>
      <c r="AN101" s="187" t="s">
        <v>0</v>
      </c>
      <c r="AO101" s="143" t="e">
        <f t="shared" si="10"/>
        <v>#REF!</v>
      </c>
      <c r="AP101" s="164" t="s">
        <v>271</v>
      </c>
      <c r="AQ101" s="188" t="s">
        <v>709</v>
      </c>
      <c r="AT101" s="197" t="str">
        <f>Table12118[[#This Row],[Risk Location ]]</f>
        <v>United States</v>
      </c>
      <c r="AU101" s="198" t="str">
        <f>Table12118[[#This Row],[Sector (GICS Industry Group)]]</f>
        <v>Telecommunication Services</v>
      </c>
      <c r="AX101" s="212" t="e">
        <f>Table12118[[#This Row],[Percentage Impact]]*Table12118[[#This Row],[Amortised Limit A$ Balance]]</f>
        <v>#REF!</v>
      </c>
      <c r="AY101" s="212" t="e">
        <f>Table12118[[#This Row],[Amortised Limit A$ Balance]]*12%</f>
        <v>#REF!</v>
      </c>
      <c r="AZ101" s="212" t="b">
        <f>IF(Table12118[[#This Row],[Everest]]="Everest",Table12118[[#This Row],[Assetinsure Amount ]]*0.2)</f>
        <v>0</v>
      </c>
      <c r="BA101" s="212"/>
      <c r="BB101" s="212" t="e">
        <f>MIN(Table12118[[#This Row],[Assetinsure Amount ]]-Table12118[[#This Row],[Reinsurance Everest Re]],Table12118[[#This Row],[Total Amount]])</f>
        <v>#REF!</v>
      </c>
      <c r="BC101" s="212">
        <f t="shared" si="11"/>
        <v>0</v>
      </c>
      <c r="BG101" s="18">
        <v>0</v>
      </c>
      <c r="BH101" s="212">
        <v>0</v>
      </c>
      <c r="BI101" s="212">
        <v>0</v>
      </c>
      <c r="BJ101" s="212">
        <v>0</v>
      </c>
      <c r="BK101" s="212">
        <v>0</v>
      </c>
      <c r="BL101" s="212">
        <v>0</v>
      </c>
      <c r="BM101" s="212">
        <v>0</v>
      </c>
      <c r="BN101" s="226"/>
      <c r="BO101" s="226"/>
      <c r="BQ101" s="58" t="s">
        <v>1033</v>
      </c>
      <c r="BR101" s="112"/>
      <c r="BS101" s="58"/>
    </row>
    <row r="102" spans="1:72" ht="39.950000000000003" customHeight="1" x14ac:dyDescent="0.2">
      <c r="A102" s="131" t="s">
        <v>721</v>
      </c>
      <c r="B102" s="337" t="s">
        <v>1248</v>
      </c>
      <c r="C102" s="337" t="s">
        <v>1144</v>
      </c>
      <c r="D102" s="133" t="s">
        <v>38</v>
      </c>
      <c r="E102" s="14" t="s">
        <v>541</v>
      </c>
      <c r="F102" s="161" t="s">
        <v>37</v>
      </c>
      <c r="G102" s="131" t="s">
        <v>233</v>
      </c>
      <c r="H102" s="131" t="s">
        <v>443</v>
      </c>
      <c r="I102" s="131" t="s">
        <v>234</v>
      </c>
      <c r="J102" s="133" t="s">
        <v>142</v>
      </c>
      <c r="K102" s="192" t="s">
        <v>218</v>
      </c>
      <c r="L102" s="168" t="s">
        <v>209</v>
      </c>
      <c r="M102" s="194" t="s">
        <v>191</v>
      </c>
      <c r="N102" s="134" t="s">
        <v>323</v>
      </c>
      <c r="O102" s="167" t="s">
        <v>43</v>
      </c>
      <c r="P102" s="65">
        <v>3</v>
      </c>
      <c r="Q102" s="167" t="s">
        <v>538</v>
      </c>
      <c r="R102" s="65" t="s">
        <v>534</v>
      </c>
      <c r="S102" s="135" t="s">
        <v>54</v>
      </c>
      <c r="T102" s="136" t="e">
        <f>120000/HKD</f>
        <v>#REF!</v>
      </c>
      <c r="U102" s="62">
        <v>120000</v>
      </c>
      <c r="V102" s="136" t="e">
        <f>Table12118[[#This Row],[Amortised Limit in Original Currency]]/HKD</f>
        <v>#REF!</v>
      </c>
      <c r="W102" s="136" t="e">
        <f>171428.571/HKD</f>
        <v>#REF!</v>
      </c>
      <c r="X102" s="136" t="e">
        <f>6427666.69/HKD</f>
        <v>#REF!</v>
      </c>
      <c r="Y102" s="62" t="s">
        <v>16</v>
      </c>
      <c r="Z102" s="366">
        <v>0</v>
      </c>
      <c r="AA102" s="147" t="s">
        <v>11</v>
      </c>
      <c r="AB102" s="185">
        <v>2.1999999999999999E-2</v>
      </c>
      <c r="AC102" s="185"/>
      <c r="AD102" s="137">
        <v>44550</v>
      </c>
      <c r="AE102" s="137">
        <v>46316</v>
      </c>
      <c r="AF102" s="137">
        <v>46316</v>
      </c>
      <c r="AG102" s="138">
        <f t="shared" si="15"/>
        <v>1767</v>
      </c>
      <c r="AH102" s="139" t="e">
        <f t="shared" si="16"/>
        <v>#REF!</v>
      </c>
      <c r="AI102" s="138" t="e">
        <f>AF102-#REF!</f>
        <v>#REF!</v>
      </c>
      <c r="AJ102" s="140" t="e">
        <f t="shared" si="17"/>
        <v>#REF!</v>
      </c>
      <c r="AK102" s="184"/>
      <c r="AL102" s="186" t="s">
        <v>1</v>
      </c>
      <c r="AM102" s="186" t="s">
        <v>1</v>
      </c>
      <c r="AN102" s="187" t="s">
        <v>0</v>
      </c>
      <c r="AO102" s="143" t="e">
        <f t="shared" si="10"/>
        <v>#REF!</v>
      </c>
      <c r="AP102" s="164" t="s">
        <v>563</v>
      </c>
      <c r="AQ102" s="188" t="s">
        <v>722</v>
      </c>
      <c r="AT102" s="197" t="str">
        <f>Table12118[[#This Row],[Risk Location ]]</f>
        <v>Hong Kong</v>
      </c>
      <c r="AU102" s="198" t="str">
        <f>Table12118[[#This Row],[Sector (GICS Industry Group)]]</f>
        <v>Telecommunication Services</v>
      </c>
      <c r="AX102" s="212" t="e">
        <f>Table12118[[#This Row],[Percentage Impact]]*Table12118[[#This Row],[Amortised Limit A$ Balance]]</f>
        <v>#REF!</v>
      </c>
      <c r="AY102" s="212" t="e">
        <f>Table12118[[#This Row],[Amortised Limit A$ Balance]]*12%</f>
        <v>#REF!</v>
      </c>
      <c r="AZ102" s="212" t="b">
        <f>IF(Table12118[[#This Row],[Everest]]="Everest",Table12118[[#This Row],[Assetinsure Amount ]]*0.2)</f>
        <v>0</v>
      </c>
      <c r="BA102" s="212"/>
      <c r="BB102" s="212" t="e">
        <f>MIN(Table12118[[#This Row],[Assetinsure Amount ]]-Table12118[[#This Row],[Reinsurance Everest Re]],Table12118[[#This Row],[Total Amount]])</f>
        <v>#REF!</v>
      </c>
      <c r="BC102" s="212">
        <f t="shared" si="11"/>
        <v>0</v>
      </c>
      <c r="BG102" s="18">
        <v>0</v>
      </c>
      <c r="BH102" s="212">
        <v>0</v>
      </c>
      <c r="BI102" s="212">
        <v>0</v>
      </c>
      <c r="BJ102" s="212">
        <v>0</v>
      </c>
      <c r="BK102" s="212">
        <v>0</v>
      </c>
      <c r="BL102" s="212">
        <v>0</v>
      </c>
      <c r="BM102" s="212">
        <v>0</v>
      </c>
      <c r="BN102" s="226"/>
      <c r="BO102" s="226"/>
      <c r="BQ102" s="58" t="s">
        <v>938</v>
      </c>
      <c r="BR102" s="112"/>
      <c r="BS102" s="58"/>
    </row>
    <row r="103" spans="1:72" ht="39.950000000000003" customHeight="1" x14ac:dyDescent="0.2">
      <c r="A103" s="131" t="s">
        <v>723</v>
      </c>
      <c r="B103" s="337" t="s">
        <v>23</v>
      </c>
      <c r="C103" s="337" t="s">
        <v>1143</v>
      </c>
      <c r="D103" s="133" t="s">
        <v>127</v>
      </c>
      <c r="E103" s="131" t="s">
        <v>542</v>
      </c>
      <c r="F103" s="161" t="s">
        <v>91</v>
      </c>
      <c r="G103" s="131" t="s">
        <v>233</v>
      </c>
      <c r="H103" s="131" t="s">
        <v>443</v>
      </c>
      <c r="I103" s="131" t="s">
        <v>234</v>
      </c>
      <c r="J103" s="133" t="s">
        <v>165</v>
      </c>
      <c r="K103" s="192" t="s">
        <v>220</v>
      </c>
      <c r="L103" s="223" t="s">
        <v>140</v>
      </c>
      <c r="M103" s="194" t="s">
        <v>191</v>
      </c>
      <c r="N103" s="134" t="s">
        <v>59</v>
      </c>
      <c r="O103" s="167" t="s">
        <v>43</v>
      </c>
      <c r="P103" s="65">
        <v>2</v>
      </c>
      <c r="Q103" s="167" t="s">
        <v>538</v>
      </c>
      <c r="R103" s="65" t="s">
        <v>534</v>
      </c>
      <c r="S103" s="135" t="s">
        <v>59</v>
      </c>
      <c r="T103" s="136" t="e">
        <f>(7500+12500)/EUR</f>
        <v>#REF!</v>
      </c>
      <c r="U103" s="62">
        <f>7500+12500</f>
        <v>20000</v>
      </c>
      <c r="V103" s="136" t="e">
        <f>Table12118[[#This Row],[Amortised Limit in Original Currency]]/EUR</f>
        <v>#REF!</v>
      </c>
      <c r="W103" s="136" t="e">
        <f>(86000+254700)/EUR</f>
        <v>#REF!</v>
      </c>
      <c r="X103" s="136" t="e">
        <f>3301108.34650667/6.48+2710423.81865933/6.4414+1553668.73129233/4.7056+928791.99/EUR</f>
        <v>#REF!</v>
      </c>
      <c r="Y103" s="62" t="s">
        <v>16</v>
      </c>
      <c r="Z103" s="366">
        <v>0</v>
      </c>
      <c r="AA103" s="147" t="s">
        <v>11</v>
      </c>
      <c r="AB103" s="185">
        <v>2.5000000000000001E-2</v>
      </c>
      <c r="AC103" s="185"/>
      <c r="AD103" s="137">
        <v>44545</v>
      </c>
      <c r="AE103" s="137">
        <v>46951</v>
      </c>
      <c r="AF103" s="137">
        <v>46951</v>
      </c>
      <c r="AG103" s="138">
        <f t="shared" si="15"/>
        <v>2407</v>
      </c>
      <c r="AH103" s="139" t="e">
        <f t="shared" si="16"/>
        <v>#REF!</v>
      </c>
      <c r="AI103" s="138" t="e">
        <f>AF103-#REF!</f>
        <v>#REF!</v>
      </c>
      <c r="AJ103" s="140" t="e">
        <f t="shared" si="17"/>
        <v>#REF!</v>
      </c>
      <c r="AK103" s="56" t="s">
        <v>436</v>
      </c>
      <c r="AL103" s="186" t="s">
        <v>1</v>
      </c>
      <c r="AM103" s="186" t="s">
        <v>1</v>
      </c>
      <c r="AN103" s="187" t="s">
        <v>0</v>
      </c>
      <c r="AO103" s="143" t="e">
        <f t="shared" si="10"/>
        <v>#REF!</v>
      </c>
      <c r="AP103" s="164" t="s">
        <v>563</v>
      </c>
      <c r="AQ103" s="188" t="s">
        <v>710</v>
      </c>
      <c r="AT103" s="197" t="str">
        <f>Table12118[[#This Row],[Risk Location ]]</f>
        <v>Sweden</v>
      </c>
      <c r="AU103" s="198" t="str">
        <f>Table12118[[#This Row],[Sector (GICS Industry Group)]]</f>
        <v>Telecommunication Services</v>
      </c>
      <c r="AX103" s="212" t="e">
        <f>Table12118[[#This Row],[Percentage Impact]]*Table12118[[#This Row],[Amortised Limit A$ Balance]]</f>
        <v>#REF!</v>
      </c>
      <c r="AY103" s="212" t="e">
        <f>Table12118[[#This Row],[Amortised Limit A$ Balance]]*12%</f>
        <v>#REF!</v>
      </c>
      <c r="AZ103" s="212" t="e">
        <f>IF(Table12118[[#This Row],[Everest]]="Everest",Table12118[[#This Row],[Assetinsure Amount ]]*0.2)</f>
        <v>#REF!</v>
      </c>
      <c r="BA103" s="212"/>
      <c r="BB103" s="212" t="e">
        <f>MIN(Table12118[[#This Row],[Assetinsure Amount ]]-Table12118[[#This Row],[Reinsurance Everest Re]],Table12118[[#This Row],[Total Amount]])</f>
        <v>#REF!</v>
      </c>
      <c r="BC103" s="212">
        <f t="shared" si="11"/>
        <v>0</v>
      </c>
      <c r="BG103" s="18">
        <v>0</v>
      </c>
      <c r="BH103" s="212">
        <v>0</v>
      </c>
      <c r="BI103" s="212">
        <v>0</v>
      </c>
      <c r="BJ103" s="212">
        <v>0</v>
      </c>
      <c r="BK103" s="212">
        <v>0</v>
      </c>
      <c r="BL103" s="212">
        <v>0</v>
      </c>
      <c r="BM103" s="212">
        <v>0</v>
      </c>
      <c r="BN103" s="226">
        <v>0</v>
      </c>
      <c r="BO103" s="226"/>
      <c r="BQ103" s="58" t="s">
        <v>1283</v>
      </c>
      <c r="BR103" s="112"/>
      <c r="BS103" s="58"/>
    </row>
    <row r="104" spans="1:72" s="229" customFormat="1" ht="39.950000000000003" customHeight="1" x14ac:dyDescent="0.2">
      <c r="A104" s="131" t="s">
        <v>725</v>
      </c>
      <c r="B104" s="337" t="s">
        <v>23</v>
      </c>
      <c r="C104" s="337" t="s">
        <v>243</v>
      </c>
      <c r="D104" s="66" t="s">
        <v>37</v>
      </c>
      <c r="E104" s="14" t="s">
        <v>542</v>
      </c>
      <c r="F104" s="77" t="s">
        <v>87</v>
      </c>
      <c r="G104" s="14" t="s">
        <v>102</v>
      </c>
      <c r="H104" s="14" t="s">
        <v>102</v>
      </c>
      <c r="I104" s="14" t="s">
        <v>474</v>
      </c>
      <c r="J104" s="14" t="s">
        <v>79</v>
      </c>
      <c r="K104" s="14" t="s">
        <v>222</v>
      </c>
      <c r="L104" s="168" t="s">
        <v>209</v>
      </c>
      <c r="M104" s="65" t="s">
        <v>191</v>
      </c>
      <c r="N104" s="13" t="s">
        <v>323</v>
      </c>
      <c r="O104" s="13" t="s">
        <v>43</v>
      </c>
      <c r="P104" s="65">
        <v>2</v>
      </c>
      <c r="Q104" s="13" t="s">
        <v>531</v>
      </c>
      <c r="R104" s="13" t="s">
        <v>548</v>
      </c>
      <c r="S104" s="64" t="s">
        <v>9</v>
      </c>
      <c r="T104" s="62" t="e">
        <f>20000/USD</f>
        <v>#REF!</v>
      </c>
      <c r="U104" s="62">
        <v>20000</v>
      </c>
      <c r="V104" s="62" t="e">
        <f>Table12118[[#This Row],[Amortised Limit in Original Currency]]/USD</f>
        <v>#REF!</v>
      </c>
      <c r="W104" s="62" t="e">
        <f>150000/USD</f>
        <v>#REF!</v>
      </c>
      <c r="X104" s="62" t="e">
        <f>1168088.89/USD</f>
        <v>#REF!</v>
      </c>
      <c r="Y104" s="62"/>
      <c r="Z104" s="366"/>
      <c r="AA104" s="61" t="s">
        <v>11</v>
      </c>
      <c r="AB104" s="181">
        <v>2.0799999999999999E-2</v>
      </c>
      <c r="AC104" s="181"/>
      <c r="AD104" s="60">
        <v>44560</v>
      </c>
      <c r="AE104" s="60">
        <v>46350</v>
      </c>
      <c r="AF104" s="60">
        <v>46350</v>
      </c>
      <c r="AG104" s="58">
        <f>AF104-AD104+1</f>
        <v>1791</v>
      </c>
      <c r="AH104" s="59" t="e">
        <f>IF(AF104-$A$1&gt;60,"No","Yes")</f>
        <v>#REF!</v>
      </c>
      <c r="AI104" s="58" t="e">
        <f>AF104-#REF!</f>
        <v>#REF!</v>
      </c>
      <c r="AJ104" s="57" t="e">
        <f>AI104/365</f>
        <v>#REF!</v>
      </c>
      <c r="AK104" s="56" t="s">
        <v>436</v>
      </c>
      <c r="AL104" s="71" t="s">
        <v>1</v>
      </c>
      <c r="AM104" s="71" t="s">
        <v>1</v>
      </c>
      <c r="AN104" s="70" t="s">
        <v>0</v>
      </c>
      <c r="AO104" s="11" t="e">
        <f>+IF(AF104-60&lt;$A$1, "SEND NOTICE", "N/A")</f>
        <v>#REF!</v>
      </c>
      <c r="AP104" s="164" t="s">
        <v>271</v>
      </c>
      <c r="AQ104" s="14" t="s">
        <v>724</v>
      </c>
      <c r="AR104" s="11">
        <v>5000</v>
      </c>
      <c r="AS104" s="11">
        <v>75000</v>
      </c>
      <c r="AT104" s="197" t="str">
        <f>Table12118[[#This Row],[Risk Location ]]</f>
        <v>United Kingdom</v>
      </c>
      <c r="AU104" s="198" t="str">
        <f>Table12118[[#This Row],[Sector (GICS Industry Group)]]</f>
        <v>Real Estate Investment</v>
      </c>
      <c r="AV104" s="11"/>
      <c r="AW104" s="11"/>
      <c r="AX104" s="212" t="e">
        <f>Table12118[[#This Row],[Percentage Impact]]*Table12118[[#This Row],[Amortised Limit A$ Balance]]</f>
        <v>#REF!</v>
      </c>
      <c r="AY104" s="212" t="e">
        <f>Table12118[[#This Row],[Amortised Limit A$ Balance]]*12%</f>
        <v>#REF!</v>
      </c>
      <c r="AZ104" s="212" t="e">
        <f>IF(Table12118[[#This Row],[Everest]]="Everest",Table12118[[#This Row],[Assetinsure Amount ]]*0.2)</f>
        <v>#REF!</v>
      </c>
      <c r="BA104" s="212"/>
      <c r="BB104" s="212" t="e">
        <f>MIN(Table12118[[#This Row],[Assetinsure Amount ]]-Table12118[[#This Row],[Reinsurance Everest Re]],Table12118[[#This Row],[Total Amount]])</f>
        <v>#REF!</v>
      </c>
      <c r="BC104" s="212">
        <f t="shared" si="11"/>
        <v>0</v>
      </c>
      <c r="BD104" s="11"/>
      <c r="BG104" s="18">
        <v>0</v>
      </c>
      <c r="BH104" s="278">
        <v>0</v>
      </c>
      <c r="BI104" s="278">
        <v>0</v>
      </c>
      <c r="BJ104" s="278">
        <v>0</v>
      </c>
      <c r="BK104" s="278">
        <v>0</v>
      </c>
      <c r="BL104" s="278">
        <v>0</v>
      </c>
      <c r="BM104" s="278">
        <v>0</v>
      </c>
      <c r="BN104" s="226"/>
      <c r="BO104" s="226"/>
      <c r="BQ104" s="58" t="s">
        <v>1034</v>
      </c>
      <c r="BR104" s="276"/>
      <c r="BS104" s="58"/>
      <c r="BT104" s="11"/>
    </row>
    <row r="105" spans="1:72" ht="39.950000000000003" customHeight="1" x14ac:dyDescent="0.2">
      <c r="A105" s="131" t="s">
        <v>726</v>
      </c>
      <c r="B105" s="337" t="s">
        <v>307</v>
      </c>
      <c r="C105" s="337" t="s">
        <v>1142</v>
      </c>
      <c r="D105" s="133" t="s">
        <v>38</v>
      </c>
      <c r="E105" s="131" t="s">
        <v>540</v>
      </c>
      <c r="F105" s="161" t="s">
        <v>35</v>
      </c>
      <c r="G105" s="131" t="s">
        <v>892</v>
      </c>
      <c r="H105" s="188" t="s">
        <v>259</v>
      </c>
      <c r="I105" s="188" t="s">
        <v>459</v>
      </c>
      <c r="J105" s="133" t="s">
        <v>142</v>
      </c>
      <c r="K105" s="192" t="s">
        <v>218</v>
      </c>
      <c r="L105" s="168" t="s">
        <v>209</v>
      </c>
      <c r="M105" s="194" t="s">
        <v>191</v>
      </c>
      <c r="N105" s="134" t="s">
        <v>323</v>
      </c>
      <c r="O105" s="167" t="s">
        <v>43</v>
      </c>
      <c r="P105" s="65">
        <v>2</v>
      </c>
      <c r="Q105" s="167" t="s">
        <v>538</v>
      </c>
      <c r="R105" s="270" t="s">
        <v>534</v>
      </c>
      <c r="S105" s="135" t="s">
        <v>9</v>
      </c>
      <c r="T105" s="136" t="e">
        <f>(10000+5000)/USD</f>
        <v>#REF!</v>
      </c>
      <c r="U105" s="62">
        <f>10000+5000</f>
        <v>15000</v>
      </c>
      <c r="V105" s="62" t="e">
        <f>Table12118[[#This Row],[Amortised Limit in Original Currency]]/USD</f>
        <v>#REF!</v>
      </c>
      <c r="W105" s="62" t="e">
        <f>20000/USD</f>
        <v>#REF!</v>
      </c>
      <c r="X105" s="62" t="e">
        <f>(1137761.11+449373.61)/USD</f>
        <v>#REF!</v>
      </c>
      <c r="Y105" s="62" t="s">
        <v>16</v>
      </c>
      <c r="Z105" s="366">
        <v>0</v>
      </c>
      <c r="AA105" s="61" t="s">
        <v>11</v>
      </c>
      <c r="AB105" s="181">
        <v>0.04</v>
      </c>
      <c r="AC105" s="181"/>
      <c r="AD105" s="271">
        <v>44559</v>
      </c>
      <c r="AE105" s="271">
        <v>46705</v>
      </c>
      <c r="AF105" s="271">
        <v>46705</v>
      </c>
      <c r="AG105" s="138">
        <f t="shared" si="15"/>
        <v>2147</v>
      </c>
      <c r="AH105" s="139" t="e">
        <f t="shared" si="16"/>
        <v>#REF!</v>
      </c>
      <c r="AI105" s="138" t="e">
        <f>AF105-#REF!</f>
        <v>#REF!</v>
      </c>
      <c r="AJ105" s="140" t="e">
        <f t="shared" si="17"/>
        <v>#REF!</v>
      </c>
      <c r="AK105" s="184"/>
      <c r="AL105" s="186" t="s">
        <v>1</v>
      </c>
      <c r="AM105" s="186" t="s">
        <v>1</v>
      </c>
      <c r="AN105" s="187" t="s">
        <v>1180</v>
      </c>
      <c r="AO105" s="164" t="e">
        <f t="shared" si="10"/>
        <v>#REF!</v>
      </c>
      <c r="AP105" s="164" t="s">
        <v>271</v>
      </c>
      <c r="AQ105" s="188" t="s">
        <v>711</v>
      </c>
      <c r="AR105" s="229"/>
      <c r="AS105" s="229"/>
      <c r="AT105" s="323" t="str">
        <f>Table12118[[#This Row],[Risk Location ]]</f>
        <v>India</v>
      </c>
      <c r="AU105" s="324" t="str">
        <f>Table12118[[#This Row],[Sector (GICS Industry Group)]]</f>
        <v>Information Technology - Software &amp; Services</v>
      </c>
      <c r="AV105" s="229"/>
      <c r="AW105" s="229"/>
      <c r="AX105" s="212" t="e">
        <f>Table12118[[#This Row],[Percentage Impact]]*Table12118[[#This Row],[Amortised Limit A$ Balance]]</f>
        <v>#REF!</v>
      </c>
      <c r="AY105" s="212" t="e">
        <f>Table12118[[#This Row],[Amortised Limit A$ Balance]]*12%</f>
        <v>#REF!</v>
      </c>
      <c r="AZ105" s="212" t="b">
        <f>IF(Table12118[[#This Row],[Everest]]="Everest",Table12118[[#This Row],[Assetinsure Amount ]]*0.2)</f>
        <v>0</v>
      </c>
      <c r="BA105" s="278"/>
      <c r="BB105" s="212" t="e">
        <f>MIN(Table12118[[#This Row],[Assetinsure Amount ]]-Table12118[[#This Row],[Reinsurance Everest Re]],Table12118[[#This Row],[Total Amount]])</f>
        <v>#REF!</v>
      </c>
      <c r="BC105" s="212">
        <f t="shared" si="11"/>
        <v>0</v>
      </c>
      <c r="BD105" s="229"/>
      <c r="BG105" s="18">
        <v>0</v>
      </c>
      <c r="BH105" s="278">
        <v>0</v>
      </c>
      <c r="BI105" s="278">
        <v>0</v>
      </c>
      <c r="BJ105" s="278">
        <v>0</v>
      </c>
      <c r="BK105" s="278">
        <v>0</v>
      </c>
      <c r="BL105" s="278">
        <v>0</v>
      </c>
      <c r="BM105" s="278">
        <v>0</v>
      </c>
      <c r="BN105" s="226"/>
      <c r="BO105" s="226">
        <v>0</v>
      </c>
      <c r="BQ105" s="58" t="s">
        <v>1035</v>
      </c>
      <c r="BR105" s="112"/>
      <c r="BS105" s="58"/>
    </row>
    <row r="106" spans="1:72" ht="39.950000000000003" customHeight="1" x14ac:dyDescent="0.2">
      <c r="A106" s="269" t="s">
        <v>729</v>
      </c>
      <c r="B106" s="337" t="s">
        <v>23</v>
      </c>
      <c r="C106" s="337" t="s">
        <v>1141</v>
      </c>
      <c r="D106" s="66" t="s">
        <v>37</v>
      </c>
      <c r="E106" s="14" t="s">
        <v>540</v>
      </c>
      <c r="F106" s="161" t="s">
        <v>36</v>
      </c>
      <c r="G106" s="66" t="s">
        <v>106</v>
      </c>
      <c r="H106" s="66" t="s">
        <v>106</v>
      </c>
      <c r="I106" s="66" t="s">
        <v>107</v>
      </c>
      <c r="J106" s="14" t="s">
        <v>72</v>
      </c>
      <c r="K106" s="66" t="s">
        <v>219</v>
      </c>
      <c r="L106" s="13" t="s">
        <v>29</v>
      </c>
      <c r="M106" s="65" t="s">
        <v>191</v>
      </c>
      <c r="N106" s="13" t="s">
        <v>323</v>
      </c>
      <c r="O106" s="13" t="s">
        <v>43</v>
      </c>
      <c r="P106" s="65">
        <v>2</v>
      </c>
      <c r="Q106" s="65" t="s">
        <v>875</v>
      </c>
      <c r="R106" s="13" t="s">
        <v>548</v>
      </c>
      <c r="S106" s="64" t="s">
        <v>9</v>
      </c>
      <c r="T106" s="62" t="e">
        <f>15000/USD</f>
        <v>#REF!</v>
      </c>
      <c r="U106" s="62">
        <v>14250</v>
      </c>
      <c r="V106" s="150" t="e">
        <f>Table12118[[#This Row],[Amortised Limit in Original Currency]]/USD</f>
        <v>#REF!</v>
      </c>
      <c r="W106" s="62" t="e">
        <f>120000/USD</f>
        <v>#REF!</v>
      </c>
      <c r="X106" s="76" t="e">
        <f>748489.58/USD</f>
        <v>#REF!</v>
      </c>
      <c r="Y106" s="62"/>
      <c r="Z106" s="367"/>
      <c r="AA106" s="61" t="s">
        <v>551</v>
      </c>
      <c r="AB106" s="181">
        <v>2.5000000000000001E-2</v>
      </c>
      <c r="AC106" s="181"/>
      <c r="AD106" s="60">
        <v>44554</v>
      </c>
      <c r="AE106" s="60">
        <v>45799</v>
      </c>
      <c r="AF106" s="60">
        <v>45799</v>
      </c>
      <c r="AG106" s="58">
        <f>AF106-AD106+1</f>
        <v>1246</v>
      </c>
      <c r="AH106" s="59" t="e">
        <f>IF(AF106-$A$1&gt;60,"No","Yes")</f>
        <v>#REF!</v>
      </c>
      <c r="AI106" s="58" t="e">
        <f>AF106-#REF!</f>
        <v>#REF!</v>
      </c>
      <c r="AJ106" s="57" t="e">
        <f>AI106/365</f>
        <v>#REF!</v>
      </c>
      <c r="AK106" s="56"/>
      <c r="AL106" s="71" t="s">
        <v>1</v>
      </c>
      <c r="AM106" s="71" t="s">
        <v>1</v>
      </c>
      <c r="AN106" s="70" t="s">
        <v>1327</v>
      </c>
      <c r="AO106" s="11" t="e">
        <f>+IF(AF106-60&lt;$A$1, "SEND NOTICE", "N/A")</f>
        <v>#REF!</v>
      </c>
      <c r="AP106" s="164" t="s">
        <v>271</v>
      </c>
      <c r="AQ106" s="13" t="s">
        <v>728</v>
      </c>
      <c r="AR106" s="11">
        <v>8921</v>
      </c>
      <c r="AT106" s="197" t="str">
        <f>Table12118[[#This Row],[Risk Location ]]</f>
        <v>China</v>
      </c>
      <c r="AU106" s="198" t="str">
        <f>Table12118[[#This Row],[Sector (GICS Industry Group)]]</f>
        <v>Real Estate Management &amp; Development</v>
      </c>
      <c r="AV106" s="11">
        <v>1</v>
      </c>
      <c r="AW106" s="214">
        <v>0.25</v>
      </c>
      <c r="AX106" s="212" t="e">
        <f>Table12118[[#This Row],[Percentage Impact]]*Table12118[[#This Row],[Amortised Limit A$ Balance]]</f>
        <v>#REF!</v>
      </c>
      <c r="AY106" s="212" t="e">
        <f>Table12118[[#This Row],[Amortised Limit A$ Balance]]*12%</f>
        <v>#REF!</v>
      </c>
      <c r="AZ106" s="212" t="b">
        <f>IF(Table12118[[#This Row],[Everest]]="Everest",Table12118[[#This Row],[Assetinsure Amount ]]*0.2)</f>
        <v>0</v>
      </c>
      <c r="BA106" s="212"/>
      <c r="BB106" s="212" t="e">
        <f>MIN(Table12118[[#This Row],[Assetinsure Amount ]]-Table12118[[#This Row],[Reinsurance Everest Re]],Table12118[[#This Row],[Total Amount]])</f>
        <v>#REF!</v>
      </c>
      <c r="BC106" s="212">
        <f t="shared" si="11"/>
        <v>2700.0845126452459</v>
      </c>
      <c r="BD106" s="12"/>
      <c r="BG106" s="18">
        <v>2561.4176269211644</v>
      </c>
      <c r="BH106" s="212">
        <v>2700.0845126452459</v>
      </c>
      <c r="BI106" s="212">
        <v>2615.3156604636802</v>
      </c>
      <c r="BJ106" s="212">
        <v>2832.9503604142401</v>
      </c>
      <c r="BK106" s="212">
        <v>2649.8645624779178</v>
      </c>
      <c r="BL106" s="212">
        <v>2420.2006077392639</v>
      </c>
      <c r="BM106" s="212">
        <v>1567.354445017206</v>
      </c>
      <c r="BN106" s="226">
        <v>1044.9029633448042</v>
      </c>
      <c r="BQ106" s="58" t="s">
        <v>939</v>
      </c>
      <c r="BR106" s="112"/>
      <c r="BS106" s="377" t="s">
        <v>476</v>
      </c>
    </row>
    <row r="107" spans="1:72" ht="39.950000000000003" customHeight="1" x14ac:dyDescent="0.2">
      <c r="A107" s="131" t="s">
        <v>732</v>
      </c>
      <c r="B107" s="337" t="s">
        <v>1335</v>
      </c>
      <c r="C107" s="337" t="s">
        <v>1142</v>
      </c>
      <c r="D107" s="133" t="s">
        <v>89</v>
      </c>
      <c r="E107" s="131" t="s">
        <v>542</v>
      </c>
      <c r="F107" s="161" t="s">
        <v>211</v>
      </c>
      <c r="G107" s="131" t="s">
        <v>233</v>
      </c>
      <c r="H107" s="131" t="s">
        <v>443</v>
      </c>
      <c r="I107" s="131" t="s">
        <v>234</v>
      </c>
      <c r="J107" s="133" t="s">
        <v>60</v>
      </c>
      <c r="K107" s="192" t="s">
        <v>220</v>
      </c>
      <c r="L107" s="168" t="s">
        <v>209</v>
      </c>
      <c r="M107" s="194" t="s">
        <v>191</v>
      </c>
      <c r="N107" s="134" t="s">
        <v>59</v>
      </c>
      <c r="O107" s="167" t="s">
        <v>43</v>
      </c>
      <c r="P107" s="65">
        <v>3</v>
      </c>
      <c r="Q107" s="167" t="s">
        <v>538</v>
      </c>
      <c r="R107" s="65" t="s">
        <v>534</v>
      </c>
      <c r="S107" s="135" t="s">
        <v>59</v>
      </c>
      <c r="T107" s="136" t="e">
        <f>10000/EUR</f>
        <v>#REF!</v>
      </c>
      <c r="U107" s="62">
        <v>10000</v>
      </c>
      <c r="V107" s="136" t="e">
        <f>Table12118[[#This Row],[Amortised Limit in Original Currency]]/EUR</f>
        <v>#REF!</v>
      </c>
      <c r="W107" s="136" t="e">
        <f>40000/EUR</f>
        <v>#REF!</v>
      </c>
      <c r="X107" s="136" t="e">
        <f>1148504.44/EUR</f>
        <v>#REF!</v>
      </c>
      <c r="Y107" s="62" t="s">
        <v>16</v>
      </c>
      <c r="Z107" s="366">
        <v>0</v>
      </c>
      <c r="AA107" s="147" t="s">
        <v>11</v>
      </c>
      <c r="AB107" s="185">
        <v>3.2500000000000001E-2</v>
      </c>
      <c r="AC107" s="185"/>
      <c r="AD107" s="137">
        <v>44487</v>
      </c>
      <c r="AE107" s="137">
        <v>46929</v>
      </c>
      <c r="AF107" s="137">
        <v>46929</v>
      </c>
      <c r="AG107" s="138">
        <f t="shared" si="15"/>
        <v>2443</v>
      </c>
      <c r="AH107" s="139" t="e">
        <f t="shared" si="16"/>
        <v>#REF!</v>
      </c>
      <c r="AI107" s="138" t="e">
        <f>AF107-#REF!</f>
        <v>#REF!</v>
      </c>
      <c r="AJ107" s="140" t="e">
        <f t="shared" si="17"/>
        <v>#REF!</v>
      </c>
      <c r="AK107" s="184"/>
      <c r="AL107" s="186" t="s">
        <v>1</v>
      </c>
      <c r="AM107" s="186" t="s">
        <v>1</v>
      </c>
      <c r="AN107" s="187" t="s">
        <v>0</v>
      </c>
      <c r="AO107" s="143" t="e">
        <f t="shared" si="10"/>
        <v>#REF!</v>
      </c>
      <c r="AP107" s="164" t="s">
        <v>271</v>
      </c>
      <c r="AQ107" s="188" t="s">
        <v>712</v>
      </c>
      <c r="AT107" s="197" t="str">
        <f>Table12118[[#This Row],[Risk Location ]]</f>
        <v>Spain</v>
      </c>
      <c r="AU107" s="198" t="str">
        <f>Table12118[[#This Row],[Sector (GICS Industry Group)]]</f>
        <v>Telecommunication Services</v>
      </c>
      <c r="AX107" s="212" t="e">
        <f>Table12118[[#This Row],[Percentage Impact]]*Table12118[[#This Row],[Amortised Limit A$ Balance]]</f>
        <v>#REF!</v>
      </c>
      <c r="AY107" s="212" t="e">
        <f>Table12118[[#This Row],[Amortised Limit A$ Balance]]*12%</f>
        <v>#REF!</v>
      </c>
      <c r="AZ107" s="212" t="b">
        <f>IF(Table12118[[#This Row],[Everest]]="Everest",Table12118[[#This Row],[Assetinsure Amount ]]*0.2)</f>
        <v>0</v>
      </c>
      <c r="BA107" s="212"/>
      <c r="BB107" s="212" t="e">
        <f>MIN(Table12118[[#This Row],[Assetinsure Amount ]]-Table12118[[#This Row],[Reinsurance Everest Re]],Table12118[[#This Row],[Total Amount]])</f>
        <v>#REF!</v>
      </c>
      <c r="BC107" s="212">
        <f t="shared" si="11"/>
        <v>0</v>
      </c>
      <c r="BG107" s="18">
        <v>0</v>
      </c>
      <c r="BH107" s="212">
        <v>0</v>
      </c>
      <c r="BI107" s="212">
        <v>0</v>
      </c>
      <c r="BJ107" s="212">
        <v>0</v>
      </c>
      <c r="BK107" s="212">
        <v>0</v>
      </c>
      <c r="BL107" s="212">
        <v>0</v>
      </c>
      <c r="BM107" s="212">
        <v>0</v>
      </c>
      <c r="BN107" s="226"/>
      <c r="BQ107" s="58" t="s">
        <v>940</v>
      </c>
      <c r="BR107" s="112"/>
      <c r="BS107" s="372"/>
    </row>
    <row r="108" spans="1:72" ht="39.950000000000003" customHeight="1" x14ac:dyDescent="0.2">
      <c r="A108" s="131" t="s">
        <v>744</v>
      </c>
      <c r="B108" s="337" t="s">
        <v>51</v>
      </c>
      <c r="C108" s="337" t="s">
        <v>1141</v>
      </c>
      <c r="D108" s="133" t="s">
        <v>119</v>
      </c>
      <c r="E108" s="14" t="s">
        <v>542</v>
      </c>
      <c r="F108" s="161" t="s">
        <v>119</v>
      </c>
      <c r="G108" s="14" t="s">
        <v>102</v>
      </c>
      <c r="H108" s="14" t="s">
        <v>102</v>
      </c>
      <c r="I108" s="66" t="s">
        <v>122</v>
      </c>
      <c r="J108" s="133" t="s">
        <v>745</v>
      </c>
      <c r="K108" s="192" t="s">
        <v>220</v>
      </c>
      <c r="L108" s="168" t="s">
        <v>101</v>
      </c>
      <c r="M108" s="194" t="s">
        <v>191</v>
      </c>
      <c r="N108" s="134" t="s">
        <v>59</v>
      </c>
      <c r="O108" s="167" t="s">
        <v>43</v>
      </c>
      <c r="P108" s="65">
        <v>2</v>
      </c>
      <c r="Q108" s="167" t="s">
        <v>538</v>
      </c>
      <c r="R108" s="65" t="s">
        <v>534</v>
      </c>
      <c r="S108" s="135" t="s">
        <v>59</v>
      </c>
      <c r="T108" s="136" t="e">
        <f>(10000-1989.74)/EUR</f>
        <v>#REF!</v>
      </c>
      <c r="U108" s="62">
        <f>10000-1989.74</f>
        <v>8010.26</v>
      </c>
      <c r="V108" s="136" t="e">
        <f>Table12118[[#This Row],[Amortised Limit in Original Currency]]/EUR</f>
        <v>#REF!</v>
      </c>
      <c r="W108" s="136" t="e">
        <f>30000/EUR</f>
        <v>#REF!</v>
      </c>
      <c r="X108" s="136" t="e">
        <f>(502800-94433.18)/EUR</f>
        <v>#REF!</v>
      </c>
      <c r="Y108" s="62" t="s">
        <v>16</v>
      </c>
      <c r="Z108" s="366">
        <v>0</v>
      </c>
      <c r="AA108" s="147" t="s">
        <v>11</v>
      </c>
      <c r="AB108" s="185">
        <v>1.7999999999999999E-2</v>
      </c>
      <c r="AC108" s="185"/>
      <c r="AD108" s="137">
        <v>44591</v>
      </c>
      <c r="AE108" s="137">
        <v>46416</v>
      </c>
      <c r="AF108" s="137">
        <v>46416</v>
      </c>
      <c r="AG108" s="138">
        <f t="shared" si="15"/>
        <v>1826</v>
      </c>
      <c r="AH108" s="139" t="e">
        <f t="shared" si="16"/>
        <v>#REF!</v>
      </c>
      <c r="AI108" s="138" t="e">
        <f>AF108-#REF!</f>
        <v>#REF!</v>
      </c>
      <c r="AJ108" s="140" t="e">
        <f t="shared" si="17"/>
        <v>#REF!</v>
      </c>
      <c r="AK108" s="184"/>
      <c r="AL108" s="186" t="s">
        <v>1</v>
      </c>
      <c r="AM108" s="186" t="s">
        <v>1</v>
      </c>
      <c r="AN108" s="187" t="s">
        <v>0</v>
      </c>
      <c r="AO108" s="143" t="e">
        <f t="shared" si="10"/>
        <v>#REF!</v>
      </c>
      <c r="AP108" s="164" t="s">
        <v>271</v>
      </c>
      <c r="AQ108" s="188" t="s">
        <v>742</v>
      </c>
      <c r="AT108" s="197" t="str">
        <f>Table12118[[#This Row],[Risk Location ]]</f>
        <v>Italy</v>
      </c>
      <c r="AU108" s="198" t="str">
        <f>Table12118[[#This Row],[Sector (GICS Industry Group)]]</f>
        <v>Real Estate Investment</v>
      </c>
      <c r="AX108" s="212" t="e">
        <f>Table12118[[#This Row],[Percentage Impact]]*Table12118[[#This Row],[Amortised Limit A$ Balance]]</f>
        <v>#REF!</v>
      </c>
      <c r="AY108" s="212" t="e">
        <f>Table12118[[#This Row],[Amortised Limit A$ Balance]]*12%</f>
        <v>#REF!</v>
      </c>
      <c r="AZ108" s="212" t="b">
        <f>IF(Table12118[[#This Row],[Everest]]="Everest",Table12118[[#This Row],[Assetinsure Amount ]]*0.2)</f>
        <v>0</v>
      </c>
      <c r="BA108" s="212"/>
      <c r="BB108" s="212" t="e">
        <f>MIN(Table12118[[#This Row],[Assetinsure Amount ]]-Table12118[[#This Row],[Reinsurance Everest Re]],Table12118[[#This Row],[Total Amount]])</f>
        <v>#REF!</v>
      </c>
      <c r="BC108" s="212">
        <f t="shared" si="11"/>
        <v>0</v>
      </c>
      <c r="BG108" s="18">
        <v>0</v>
      </c>
      <c r="BH108" s="212">
        <v>0</v>
      </c>
      <c r="BI108" s="212">
        <v>0</v>
      </c>
      <c r="BJ108" s="212">
        <v>0</v>
      </c>
      <c r="BK108" s="212">
        <v>0</v>
      </c>
      <c r="BL108" s="212">
        <v>0</v>
      </c>
      <c r="BM108" s="212">
        <v>0</v>
      </c>
      <c r="BN108" s="226"/>
      <c r="BQ108" s="58" t="s">
        <v>1036</v>
      </c>
      <c r="BR108" s="112"/>
      <c r="BS108" s="372"/>
    </row>
    <row r="109" spans="1:72" ht="39.950000000000003" customHeight="1" x14ac:dyDescent="0.2">
      <c r="A109" s="131" t="s">
        <v>751</v>
      </c>
      <c r="B109" s="337" t="s">
        <v>51</v>
      </c>
      <c r="C109" s="337" t="s">
        <v>243</v>
      </c>
      <c r="D109" s="133" t="s">
        <v>746</v>
      </c>
      <c r="E109" s="131" t="s">
        <v>806</v>
      </c>
      <c r="F109" s="133" t="s">
        <v>749</v>
      </c>
      <c r="G109" s="66" t="s">
        <v>106</v>
      </c>
      <c r="H109" s="66" t="s">
        <v>106</v>
      </c>
      <c r="I109" s="14" t="s">
        <v>263</v>
      </c>
      <c r="J109" s="133" t="s">
        <v>747</v>
      </c>
      <c r="K109" s="192" t="s">
        <v>221</v>
      </c>
      <c r="L109" s="168" t="s">
        <v>101</v>
      </c>
      <c r="M109" s="194" t="s">
        <v>191</v>
      </c>
      <c r="N109" s="134" t="s">
        <v>59</v>
      </c>
      <c r="O109" s="167" t="s">
        <v>43</v>
      </c>
      <c r="P109" s="65">
        <v>2</v>
      </c>
      <c r="Q109" s="167" t="s">
        <v>538</v>
      </c>
      <c r="R109" s="65" t="s">
        <v>534</v>
      </c>
      <c r="S109" s="135" t="s">
        <v>59</v>
      </c>
      <c r="T109" s="136" t="e">
        <f>7800/EUR</f>
        <v>#REF!</v>
      </c>
      <c r="U109" s="62">
        <v>7800</v>
      </c>
      <c r="V109" s="230" t="e">
        <f>Table12118[[#This Row],[Amortised Limit in Original Currency]]/EUR</f>
        <v>#REF!</v>
      </c>
      <c r="W109" s="136" t="e">
        <f>65000/EUR</f>
        <v>#REF!</v>
      </c>
      <c r="X109" s="136" t="e">
        <f>386294.5/EUR</f>
        <v>#REF!</v>
      </c>
      <c r="Y109" s="136"/>
      <c r="Z109" s="365"/>
      <c r="AA109" s="147" t="s">
        <v>11</v>
      </c>
      <c r="AB109" s="185">
        <v>1.8499999999999999E-2</v>
      </c>
      <c r="AC109" s="185"/>
      <c r="AD109" s="137">
        <v>44592</v>
      </c>
      <c r="AE109" s="137">
        <v>46472</v>
      </c>
      <c r="AF109" s="137">
        <v>46472</v>
      </c>
      <c r="AG109" s="138">
        <f t="shared" si="15"/>
        <v>1881</v>
      </c>
      <c r="AH109" s="139" t="e">
        <f t="shared" si="16"/>
        <v>#REF!</v>
      </c>
      <c r="AI109" s="138" t="e">
        <f>AF109-#REF!</f>
        <v>#REF!</v>
      </c>
      <c r="AJ109" s="140" t="e">
        <f t="shared" si="17"/>
        <v>#REF!</v>
      </c>
      <c r="AK109" s="184"/>
      <c r="AL109" s="186" t="s">
        <v>1</v>
      </c>
      <c r="AM109" s="186" t="s">
        <v>1</v>
      </c>
      <c r="AN109" s="187" t="s">
        <v>0</v>
      </c>
      <c r="AO109" s="180" t="e">
        <f t="shared" si="10"/>
        <v>#REF!</v>
      </c>
      <c r="AP109" s="164" t="s">
        <v>271</v>
      </c>
      <c r="AQ109" s="188" t="s">
        <v>743</v>
      </c>
      <c r="AT109" s="197" t="str">
        <f>Table12118[[#This Row],[Risk Location ]]</f>
        <v>Slovak Republic</v>
      </c>
      <c r="AU109" s="198" t="str">
        <f>Table12118[[#This Row],[Sector (GICS Industry Group)]]</f>
        <v>Real Estate Management &amp; Development</v>
      </c>
      <c r="AX109" s="212" t="e">
        <f>Table12118[[#This Row],[Percentage Impact]]*Table12118[[#This Row],[Amortised Limit A$ Balance]]</f>
        <v>#REF!</v>
      </c>
      <c r="AY109" s="212" t="e">
        <f>Table12118[[#This Row],[Amortised Limit A$ Balance]]*12%</f>
        <v>#REF!</v>
      </c>
      <c r="AZ109" s="212" t="b">
        <f>IF(Table12118[[#This Row],[Everest]]="Everest",Table12118[[#This Row],[Assetinsure Amount ]]*0.2)</f>
        <v>0</v>
      </c>
      <c r="BA109" s="212"/>
      <c r="BB109" s="212" t="e">
        <f>MIN(Table12118[[#This Row],[Assetinsure Amount ]]-Table12118[[#This Row],[Reinsurance Everest Re]],Table12118[[#This Row],[Total Amount]])</f>
        <v>#REF!</v>
      </c>
      <c r="BC109" s="212">
        <f t="shared" si="11"/>
        <v>0</v>
      </c>
      <c r="BG109" s="18">
        <v>0</v>
      </c>
      <c r="BH109" s="212">
        <v>0</v>
      </c>
      <c r="BI109" s="212">
        <v>0</v>
      </c>
      <c r="BJ109" s="212">
        <v>0</v>
      </c>
      <c r="BK109" s="212">
        <v>0</v>
      </c>
      <c r="BL109" s="212">
        <v>0</v>
      </c>
      <c r="BM109" s="212">
        <v>0</v>
      </c>
      <c r="BN109" s="226"/>
      <c r="BQ109" s="58" t="s">
        <v>1037</v>
      </c>
      <c r="BR109" s="112"/>
      <c r="BS109" s="372"/>
    </row>
    <row r="110" spans="1:72" ht="39.950000000000003" customHeight="1" x14ac:dyDescent="0.2">
      <c r="A110" s="131" t="s">
        <v>750</v>
      </c>
      <c r="B110" s="337" t="s">
        <v>51</v>
      </c>
      <c r="C110" s="337" t="s">
        <v>243</v>
      </c>
      <c r="D110" s="133" t="s">
        <v>746</v>
      </c>
      <c r="E110" s="14" t="s">
        <v>542</v>
      </c>
      <c r="F110" s="133" t="s">
        <v>746</v>
      </c>
      <c r="G110" s="66" t="s">
        <v>106</v>
      </c>
      <c r="H110" s="66" t="s">
        <v>106</v>
      </c>
      <c r="I110" s="14" t="s">
        <v>263</v>
      </c>
      <c r="J110" s="133" t="s">
        <v>747</v>
      </c>
      <c r="K110" s="192" t="s">
        <v>221</v>
      </c>
      <c r="L110" s="168" t="s">
        <v>101</v>
      </c>
      <c r="M110" s="194" t="s">
        <v>191</v>
      </c>
      <c r="N110" s="134" t="s">
        <v>59</v>
      </c>
      <c r="O110" s="167" t="s">
        <v>43</v>
      </c>
      <c r="P110" s="65">
        <v>2</v>
      </c>
      <c r="Q110" s="167" t="s">
        <v>538</v>
      </c>
      <c r="R110" s="65" t="s">
        <v>534</v>
      </c>
      <c r="S110" s="135" t="s">
        <v>59</v>
      </c>
      <c r="T110" s="136" t="e">
        <f>7200/EUR</f>
        <v>#REF!</v>
      </c>
      <c r="U110" s="62">
        <v>7200</v>
      </c>
      <c r="V110" s="136" t="e">
        <f>Table12118[[#This Row],[Amortised Limit in Original Currency]]/EUR</f>
        <v>#REF!</v>
      </c>
      <c r="W110" s="136" t="e">
        <f>60000/EUR</f>
        <v>#REF!</v>
      </c>
      <c r="X110" s="136" t="e">
        <f>378486.28/EUR</f>
        <v>#REF!</v>
      </c>
      <c r="Y110" s="136"/>
      <c r="Z110" s="365"/>
      <c r="AA110" s="147" t="s">
        <v>11</v>
      </c>
      <c r="AB110" s="185">
        <v>1.8499999999999999E-2</v>
      </c>
      <c r="AC110" s="185"/>
      <c r="AD110" s="137">
        <v>44592</v>
      </c>
      <c r="AE110" s="137">
        <v>46472</v>
      </c>
      <c r="AF110" s="137">
        <v>46472</v>
      </c>
      <c r="AG110" s="138">
        <f t="shared" si="15"/>
        <v>1881</v>
      </c>
      <c r="AH110" s="139" t="e">
        <f t="shared" si="16"/>
        <v>#REF!</v>
      </c>
      <c r="AI110" s="138" t="e">
        <f>AF110-#REF!</f>
        <v>#REF!</v>
      </c>
      <c r="AJ110" s="140" t="e">
        <f t="shared" si="17"/>
        <v>#REF!</v>
      </c>
      <c r="AK110" s="184"/>
      <c r="AL110" s="186" t="s">
        <v>1</v>
      </c>
      <c r="AM110" s="186" t="s">
        <v>1</v>
      </c>
      <c r="AN110" s="187" t="s">
        <v>0</v>
      </c>
      <c r="AO110" s="143" t="e">
        <f t="shared" si="10"/>
        <v>#REF!</v>
      </c>
      <c r="AP110" s="164" t="s">
        <v>271</v>
      </c>
      <c r="AQ110" s="188" t="s">
        <v>743</v>
      </c>
      <c r="AT110" s="197" t="str">
        <f>Table12118[[#This Row],[Risk Location ]]</f>
        <v>Czech Republic</v>
      </c>
      <c r="AU110" s="198" t="str">
        <f>Table12118[[#This Row],[Sector (GICS Industry Group)]]</f>
        <v>Real Estate Management &amp; Development</v>
      </c>
      <c r="AX110" s="212" t="e">
        <f>Table12118[[#This Row],[Percentage Impact]]*Table12118[[#This Row],[Amortised Limit A$ Balance]]</f>
        <v>#REF!</v>
      </c>
      <c r="AY110" s="212" t="e">
        <f>Table12118[[#This Row],[Amortised Limit A$ Balance]]*12%</f>
        <v>#REF!</v>
      </c>
      <c r="AZ110" s="212" t="b">
        <f>IF(Table12118[[#This Row],[Everest]]="Everest",Table12118[[#This Row],[Assetinsure Amount ]]*0.2)</f>
        <v>0</v>
      </c>
      <c r="BA110" s="212"/>
      <c r="BB110" s="212" t="e">
        <f>MIN(Table12118[[#This Row],[Assetinsure Amount ]]-Table12118[[#This Row],[Reinsurance Everest Re]],Table12118[[#This Row],[Total Amount]])</f>
        <v>#REF!</v>
      </c>
      <c r="BC110" s="212">
        <f t="shared" si="11"/>
        <v>0</v>
      </c>
      <c r="BG110" s="18">
        <v>0</v>
      </c>
      <c r="BH110" s="212">
        <v>0</v>
      </c>
      <c r="BI110" s="212">
        <v>0</v>
      </c>
      <c r="BJ110" s="212">
        <v>0</v>
      </c>
      <c r="BK110" s="212">
        <v>0</v>
      </c>
      <c r="BL110" s="212">
        <v>0</v>
      </c>
      <c r="BM110" s="212">
        <v>0</v>
      </c>
      <c r="BN110" s="226"/>
      <c r="BQ110" s="58" t="s">
        <v>1038</v>
      </c>
      <c r="BR110" s="112"/>
      <c r="BS110" s="372"/>
    </row>
    <row r="111" spans="1:72" ht="39.950000000000003" customHeight="1" x14ac:dyDescent="0.2">
      <c r="A111" s="131" t="s">
        <v>753</v>
      </c>
      <c r="B111" s="337" t="s">
        <v>243</v>
      </c>
      <c r="C111" s="337" t="s">
        <v>243</v>
      </c>
      <c r="D111" s="133" t="s">
        <v>588</v>
      </c>
      <c r="E111" s="131" t="s">
        <v>499</v>
      </c>
      <c r="F111" s="133" t="s">
        <v>162</v>
      </c>
      <c r="G111" s="14" t="s">
        <v>891</v>
      </c>
      <c r="H111" s="66" t="s">
        <v>167</v>
      </c>
      <c r="I111" s="131" t="s">
        <v>167</v>
      </c>
      <c r="J111" s="14" t="s">
        <v>298</v>
      </c>
      <c r="K111" s="192" t="s">
        <v>218</v>
      </c>
      <c r="L111" s="168" t="s">
        <v>209</v>
      </c>
      <c r="M111" s="194" t="s">
        <v>191</v>
      </c>
      <c r="N111" s="134" t="s">
        <v>59</v>
      </c>
      <c r="O111" s="167" t="s">
        <v>43</v>
      </c>
      <c r="P111" s="65">
        <v>2</v>
      </c>
      <c r="Q111" s="167" t="s">
        <v>531</v>
      </c>
      <c r="R111" s="65" t="s">
        <v>534</v>
      </c>
      <c r="S111" s="135" t="s">
        <v>9</v>
      </c>
      <c r="T111" s="136" t="e">
        <f>20000/USD</f>
        <v>#REF!</v>
      </c>
      <c r="U111" s="62">
        <v>20000</v>
      </c>
      <c r="V111" s="136" t="e">
        <f>Table12118[[#This Row],[Amortised Limit in Original Currency]]/USD</f>
        <v>#REF!</v>
      </c>
      <c r="W111" s="136" t="e">
        <f>40000/USD</f>
        <v>#REF!</v>
      </c>
      <c r="X111" s="136" t="e">
        <f>720239.34/USD</f>
        <v>#REF!</v>
      </c>
      <c r="Y111" s="62" t="s">
        <v>16</v>
      </c>
      <c r="Z111" s="366">
        <v>0</v>
      </c>
      <c r="AA111" s="147" t="s">
        <v>11</v>
      </c>
      <c r="AB111" s="185">
        <v>3.4849999999999999E-2</v>
      </c>
      <c r="AC111" s="185"/>
      <c r="AD111" s="137">
        <v>44634</v>
      </c>
      <c r="AE111" s="137">
        <v>45316</v>
      </c>
      <c r="AF111" s="137">
        <f>Table12118[[#This Row],[Expiry Date]]+21</f>
        <v>45337</v>
      </c>
      <c r="AG111" s="138">
        <f t="shared" si="15"/>
        <v>704</v>
      </c>
      <c r="AH111" s="139" t="e">
        <f t="shared" si="16"/>
        <v>#REF!</v>
      </c>
      <c r="AI111" s="138" t="e">
        <f>AF111-#REF!</f>
        <v>#REF!</v>
      </c>
      <c r="AJ111" s="140" t="e">
        <f t="shared" si="17"/>
        <v>#REF!</v>
      </c>
      <c r="AK111" s="184" t="s">
        <v>436</v>
      </c>
      <c r="AL111" s="186" t="s">
        <v>1</v>
      </c>
      <c r="AM111" s="186" t="s">
        <v>1</v>
      </c>
      <c r="AN111" s="187" t="s">
        <v>0</v>
      </c>
      <c r="AO111" s="143" t="e">
        <f t="shared" si="10"/>
        <v>#REF!</v>
      </c>
      <c r="AP111" s="164" t="s">
        <v>271</v>
      </c>
      <c r="AQ111" s="188" t="s">
        <v>755</v>
      </c>
      <c r="AT111" s="197" t="str">
        <f>Table12118[[#This Row],[Risk Location ]]</f>
        <v>United States</v>
      </c>
      <c r="AU111" s="198" t="str">
        <f>Table12118[[#This Row],[Sector (GICS Industry Group)]]</f>
        <v>Information Technology - Hardware &amp; Equipment</v>
      </c>
      <c r="AX111" s="212" t="e">
        <f>Table12118[[#This Row],[Percentage Impact]]*Table12118[[#This Row],[Amortised Limit A$ Balance]]</f>
        <v>#REF!</v>
      </c>
      <c r="AY111" s="212" t="e">
        <f>Table12118[[#This Row],[Amortised Limit A$ Balance]]*12%</f>
        <v>#REF!</v>
      </c>
      <c r="AZ111" s="212" t="e">
        <f>IF(Table12118[[#This Row],[Everest]]="Everest",Table12118[[#This Row],[Assetinsure Amount ]]*0.2)</f>
        <v>#REF!</v>
      </c>
      <c r="BA111" s="212"/>
      <c r="BB111" s="212" t="e">
        <f>MIN(Table12118[[#This Row],[Assetinsure Amount ]]-Table12118[[#This Row],[Reinsurance Everest Re]],Table12118[[#This Row],[Total Amount]])</f>
        <v>#REF!</v>
      </c>
      <c r="BC111" s="212">
        <f t="shared" si="11"/>
        <v>0</v>
      </c>
      <c r="BG111" s="18">
        <v>0</v>
      </c>
      <c r="BH111" s="212">
        <v>0</v>
      </c>
      <c r="BI111" s="212">
        <v>0</v>
      </c>
      <c r="BJ111" s="212">
        <v>0</v>
      </c>
      <c r="BK111" s="212">
        <v>0</v>
      </c>
      <c r="BL111" s="212">
        <v>0</v>
      </c>
      <c r="BM111" s="212">
        <v>0</v>
      </c>
      <c r="BN111" s="226"/>
      <c r="BQ111" s="58" t="s">
        <v>941</v>
      </c>
      <c r="BR111" s="112"/>
      <c r="BS111" s="372"/>
    </row>
    <row r="112" spans="1:72" ht="39.950000000000003" customHeight="1" x14ac:dyDescent="0.2">
      <c r="A112" s="131" t="s">
        <v>756</v>
      </c>
      <c r="B112" s="337" t="s">
        <v>1336</v>
      </c>
      <c r="C112" s="337" t="s">
        <v>1144</v>
      </c>
      <c r="D112" s="133" t="s">
        <v>684</v>
      </c>
      <c r="E112" s="131" t="s">
        <v>542</v>
      </c>
      <c r="F112" s="133" t="s">
        <v>308</v>
      </c>
      <c r="G112" s="14" t="s">
        <v>891</v>
      </c>
      <c r="H112" s="66" t="s">
        <v>167</v>
      </c>
      <c r="I112" s="131" t="s">
        <v>167</v>
      </c>
      <c r="J112" s="133" t="s">
        <v>677</v>
      </c>
      <c r="K112" s="192" t="s">
        <v>218</v>
      </c>
      <c r="L112" s="168" t="s">
        <v>209</v>
      </c>
      <c r="M112" s="194" t="s">
        <v>191</v>
      </c>
      <c r="N112" s="134" t="s">
        <v>59</v>
      </c>
      <c r="O112" s="167" t="s">
        <v>43</v>
      </c>
      <c r="P112" s="65">
        <v>2</v>
      </c>
      <c r="Q112" s="167" t="s">
        <v>533</v>
      </c>
      <c r="R112" s="65" t="s">
        <v>534</v>
      </c>
      <c r="S112" s="135" t="s">
        <v>487</v>
      </c>
      <c r="T112" s="136" t="e">
        <f>155787.273/NOK</f>
        <v>#REF!</v>
      </c>
      <c r="U112" s="62">
        <v>155787.27299999999</v>
      </c>
      <c r="V112" s="136" t="e">
        <f>Table12118[[#This Row],[Amortised Limit in Original Currency]]/NOK</f>
        <v>#REF!</v>
      </c>
      <c r="W112" s="136" t="e">
        <f>311574.546/NOK</f>
        <v>#REF!</v>
      </c>
      <c r="X112" s="136" t="e">
        <f>10425037.06/NOK</f>
        <v>#REF!</v>
      </c>
      <c r="Y112" s="62" t="s">
        <v>16</v>
      </c>
      <c r="Z112" s="366">
        <v>0</v>
      </c>
      <c r="AA112" s="147" t="s">
        <v>11</v>
      </c>
      <c r="AB112" s="185">
        <f>0.0285</f>
        <v>2.8500000000000001E-2</v>
      </c>
      <c r="AC112" s="185"/>
      <c r="AD112" s="137">
        <v>44651</v>
      </c>
      <c r="AE112" s="137">
        <v>46418</v>
      </c>
      <c r="AF112" s="137">
        <f>Table12118[[#This Row],[Expiry Date]]+15</f>
        <v>46433</v>
      </c>
      <c r="AG112" s="138">
        <f t="shared" si="15"/>
        <v>1783</v>
      </c>
      <c r="AH112" s="139" t="e">
        <f t="shared" si="16"/>
        <v>#REF!</v>
      </c>
      <c r="AI112" s="138" t="e">
        <f>AF112-#REF!</f>
        <v>#REF!</v>
      </c>
      <c r="AJ112" s="140" t="e">
        <f t="shared" si="17"/>
        <v>#REF!</v>
      </c>
      <c r="AK112" s="184" t="s">
        <v>436</v>
      </c>
      <c r="AL112" s="186" t="s">
        <v>1</v>
      </c>
      <c r="AM112" s="186" t="s">
        <v>1</v>
      </c>
      <c r="AN112" s="187" t="s">
        <v>0</v>
      </c>
      <c r="AO112" s="143" t="e">
        <f t="shared" si="10"/>
        <v>#REF!</v>
      </c>
      <c r="AP112" s="164" t="s">
        <v>271</v>
      </c>
      <c r="AQ112" s="188" t="s">
        <v>757</v>
      </c>
      <c r="AT112" s="197" t="str">
        <f>Table12118[[#This Row],[Risk Location ]]</f>
        <v>Norway</v>
      </c>
      <c r="AU112" s="198" t="str">
        <f>Table12118[[#This Row],[Sector (GICS Industry Group)]]</f>
        <v>Information Technology - Hardware &amp; Equipment</v>
      </c>
      <c r="AX112" s="212" t="e">
        <f>Table12118[[#This Row],[Percentage Impact]]*Table12118[[#This Row],[Amortised Limit A$ Balance]]</f>
        <v>#REF!</v>
      </c>
      <c r="AY112" s="212" t="e">
        <f>Table12118[[#This Row],[Amortised Limit A$ Balance]]*12%</f>
        <v>#REF!</v>
      </c>
      <c r="AZ112" s="212" t="e">
        <f>IF(Table12118[[#This Row],[Everest]]="Everest",Table12118[[#This Row],[Assetinsure Amount ]]*0.2)</f>
        <v>#REF!</v>
      </c>
      <c r="BA112" s="212"/>
      <c r="BB112" s="212" t="e">
        <f>MIN(Table12118[[#This Row],[Assetinsure Amount ]]-Table12118[[#This Row],[Reinsurance Everest Re]],Table12118[[#This Row],[Total Amount]])</f>
        <v>#REF!</v>
      </c>
      <c r="BC112" s="212">
        <f t="shared" si="11"/>
        <v>0</v>
      </c>
      <c r="BG112" s="18">
        <v>0</v>
      </c>
      <c r="BH112" s="212">
        <v>0</v>
      </c>
      <c r="BI112" s="212">
        <v>0</v>
      </c>
      <c r="BJ112" s="212">
        <v>0</v>
      </c>
      <c r="BK112" s="212">
        <v>0</v>
      </c>
      <c r="BL112" s="212">
        <v>0</v>
      </c>
      <c r="BM112" s="212">
        <v>0</v>
      </c>
      <c r="BN112" s="226"/>
      <c r="BQ112" s="58" t="s">
        <v>1039</v>
      </c>
      <c r="BR112" s="112"/>
      <c r="BS112" s="372"/>
    </row>
    <row r="113" spans="1:72" ht="39.950000000000003" customHeight="1" x14ac:dyDescent="0.2">
      <c r="A113" s="131" t="s">
        <v>758</v>
      </c>
      <c r="B113" s="337" t="s">
        <v>23</v>
      </c>
      <c r="C113" s="337" t="s">
        <v>1141</v>
      </c>
      <c r="D113" s="133" t="s">
        <v>34</v>
      </c>
      <c r="E113" s="14" t="s">
        <v>34</v>
      </c>
      <c r="F113" s="133" t="s">
        <v>34</v>
      </c>
      <c r="G113" s="14" t="s">
        <v>102</v>
      </c>
      <c r="H113" s="14" t="s">
        <v>102</v>
      </c>
      <c r="I113" s="131" t="s">
        <v>477</v>
      </c>
      <c r="J113" s="133" t="s">
        <v>760</v>
      </c>
      <c r="K113" s="192" t="s">
        <v>33</v>
      </c>
      <c r="L113" s="168" t="s">
        <v>101</v>
      </c>
      <c r="M113" s="194" t="s">
        <v>191</v>
      </c>
      <c r="N113" s="134" t="s">
        <v>323</v>
      </c>
      <c r="O113" s="167" t="s">
        <v>43</v>
      </c>
      <c r="P113" s="65">
        <v>2</v>
      </c>
      <c r="Q113" s="167" t="s">
        <v>533</v>
      </c>
      <c r="R113" s="65" t="s">
        <v>534</v>
      </c>
      <c r="S113" s="135" t="s">
        <v>8</v>
      </c>
      <c r="T113" s="136">
        <v>11100</v>
      </c>
      <c r="U113" s="62">
        <v>11100</v>
      </c>
      <c r="V113" s="136">
        <v>11100</v>
      </c>
      <c r="W113" s="136">
        <v>48000</v>
      </c>
      <c r="X113" s="136">
        <v>417129.53</v>
      </c>
      <c r="Y113" s="136"/>
      <c r="Z113" s="365"/>
      <c r="AA113" s="147" t="s">
        <v>11</v>
      </c>
      <c r="AB113" s="185">
        <v>2.1499999999999998E-2</v>
      </c>
      <c r="AC113" s="185"/>
      <c r="AD113" s="137">
        <v>44651</v>
      </c>
      <c r="AE113" s="137">
        <v>46386</v>
      </c>
      <c r="AF113" s="137">
        <v>46386</v>
      </c>
      <c r="AG113" s="138">
        <f t="shared" si="15"/>
        <v>1736</v>
      </c>
      <c r="AH113" s="139" t="e">
        <f t="shared" si="16"/>
        <v>#REF!</v>
      </c>
      <c r="AI113" s="138" t="e">
        <f>AF113-#REF!</f>
        <v>#REF!</v>
      </c>
      <c r="AJ113" s="140" t="e">
        <f t="shared" si="17"/>
        <v>#REF!</v>
      </c>
      <c r="AK113" s="184"/>
      <c r="AL113" s="186" t="s">
        <v>1</v>
      </c>
      <c r="AM113" s="186" t="s">
        <v>1</v>
      </c>
      <c r="AN113" s="187" t="s">
        <v>0</v>
      </c>
      <c r="AO113" s="143" t="e">
        <f t="shared" si="10"/>
        <v>#REF!</v>
      </c>
      <c r="AP113" s="164" t="s">
        <v>563</v>
      </c>
      <c r="AQ113" s="188" t="s">
        <v>761</v>
      </c>
      <c r="AT113" s="197" t="str">
        <f>Table12118[[#This Row],[Risk Location ]]</f>
        <v>Australia</v>
      </c>
      <c r="AU113" s="198" t="str">
        <f>Table12118[[#This Row],[Sector (GICS Industry Group)]]</f>
        <v>Real Estate Investment</v>
      </c>
      <c r="AX113" s="212">
        <f>Table12118[[#This Row],[Percentage Impact]]*Table12118[[#This Row],[Amortised Limit A$ Balance]]</f>
        <v>0</v>
      </c>
      <c r="AY113" s="212">
        <f>Table12118[[#This Row],[Amortised Limit A$ Balance]]*12%</f>
        <v>1332</v>
      </c>
      <c r="AZ113" s="212" t="b">
        <f>IF(Table12118[[#This Row],[Everest]]="Everest",Table12118[[#This Row],[Assetinsure Amount ]]*0.2)</f>
        <v>0</v>
      </c>
      <c r="BA113" s="212"/>
      <c r="BB113" s="212">
        <f>MIN(Table12118[[#This Row],[Assetinsure Amount ]]-Table12118[[#This Row],[Reinsurance Everest Re]],Table12118[[#This Row],[Total Amount]])</f>
        <v>0</v>
      </c>
      <c r="BC113" s="212">
        <f t="shared" si="11"/>
        <v>0</v>
      </c>
      <c r="BG113" s="18">
        <v>0</v>
      </c>
      <c r="BH113" s="212">
        <v>0</v>
      </c>
      <c r="BI113" s="212">
        <v>0</v>
      </c>
      <c r="BJ113" s="212">
        <v>0</v>
      </c>
      <c r="BK113" s="212">
        <v>0</v>
      </c>
      <c r="BL113" s="212">
        <v>0</v>
      </c>
      <c r="BM113" s="212">
        <v>0</v>
      </c>
      <c r="BN113" s="226"/>
      <c r="BQ113" s="58" t="s">
        <v>1040</v>
      </c>
      <c r="BR113" s="112"/>
      <c r="BS113" s="372"/>
    </row>
    <row r="114" spans="1:72" ht="39.950000000000003" customHeight="1" x14ac:dyDescent="0.2">
      <c r="A114" s="131" t="s">
        <v>780</v>
      </c>
      <c r="B114" s="337" t="s">
        <v>23</v>
      </c>
      <c r="C114" s="337" t="s">
        <v>1143</v>
      </c>
      <c r="D114" s="133" t="s">
        <v>34</v>
      </c>
      <c r="E114" s="131" t="s">
        <v>34</v>
      </c>
      <c r="F114" s="133" t="s">
        <v>34</v>
      </c>
      <c r="G114" s="131" t="s">
        <v>544</v>
      </c>
      <c r="H114" s="66" t="s">
        <v>117</v>
      </c>
      <c r="I114" s="131" t="s">
        <v>273</v>
      </c>
      <c r="J114" s="133" t="s">
        <v>232</v>
      </c>
      <c r="K114" s="192" t="s">
        <v>21</v>
      </c>
      <c r="L114" s="168" t="s">
        <v>209</v>
      </c>
      <c r="M114" s="194" t="s">
        <v>191</v>
      </c>
      <c r="N114" s="134" t="s">
        <v>323</v>
      </c>
      <c r="O114" s="167" t="s">
        <v>43</v>
      </c>
      <c r="P114" s="65">
        <v>4</v>
      </c>
      <c r="Q114" s="167" t="s">
        <v>538</v>
      </c>
      <c r="R114" s="65" t="s">
        <v>534</v>
      </c>
      <c r="S114" s="135" t="s">
        <v>8</v>
      </c>
      <c r="T114" s="136">
        <f>20000</f>
        <v>20000</v>
      </c>
      <c r="U114" s="62">
        <v>20000</v>
      </c>
      <c r="V114" s="136">
        <f>Table12118[[#This Row],[Amortised Limit in Original Currency]]</f>
        <v>20000</v>
      </c>
      <c r="W114" s="136">
        <v>172250</v>
      </c>
      <c r="X114" s="136">
        <v>528467.09</v>
      </c>
      <c r="Y114" s="62" t="s">
        <v>16</v>
      </c>
      <c r="Z114" s="366">
        <v>0</v>
      </c>
      <c r="AA114" s="147" t="s">
        <v>11</v>
      </c>
      <c r="AB114" s="185">
        <v>2.2499999999999999E-2</v>
      </c>
      <c r="AC114" s="185"/>
      <c r="AD114" s="137">
        <v>44658</v>
      </c>
      <c r="AE114" s="137">
        <v>45594</v>
      </c>
      <c r="AF114" s="137">
        <v>45625</v>
      </c>
      <c r="AG114" s="138">
        <f t="shared" si="15"/>
        <v>968</v>
      </c>
      <c r="AH114" s="139" t="e">
        <f t="shared" si="16"/>
        <v>#REF!</v>
      </c>
      <c r="AI114" s="138" t="e">
        <f>AF114-#REF!</f>
        <v>#REF!</v>
      </c>
      <c r="AJ114" s="140" t="e">
        <f>AI114/365</f>
        <v>#REF!</v>
      </c>
      <c r="AK114" s="184"/>
      <c r="AL114" s="186" t="s">
        <v>1</v>
      </c>
      <c r="AM114" s="186" t="s">
        <v>1</v>
      </c>
      <c r="AN114" s="187" t="s">
        <v>0</v>
      </c>
      <c r="AO114" s="143" t="e">
        <f>+IF(AF114-60&lt;$A$1, "SEND NOTICE", "N/A")</f>
        <v>#REF!</v>
      </c>
      <c r="AP114" s="164" t="s">
        <v>563</v>
      </c>
      <c r="AQ114" s="188" t="s">
        <v>776</v>
      </c>
      <c r="AT114" s="197" t="str">
        <f>Table12118[[#This Row],[Risk Location ]]</f>
        <v>Australia</v>
      </c>
      <c r="AU114" s="198" t="str">
        <f>Table12118[[#This Row],[Sector (GICS Industry Group)]]</f>
        <v>Consumer Discretionary</v>
      </c>
      <c r="AX114" s="212">
        <f>Table12118[[#This Row],[Percentage Impact]]*Table12118[[#This Row],[Amortised Limit A$ Balance]]</f>
        <v>0</v>
      </c>
      <c r="AY114" s="212">
        <f>Table12118[[#This Row],[Amortised Limit A$ Balance]]*12%</f>
        <v>2400</v>
      </c>
      <c r="AZ114" s="212" t="b">
        <f>IF(Table12118[[#This Row],[Everest]]="Everest",Table12118[[#This Row],[Assetinsure Amount ]]*0.2)</f>
        <v>0</v>
      </c>
      <c r="BA114" s="212"/>
      <c r="BB114" s="212">
        <f>MIN(Table12118[[#This Row],[Assetinsure Amount ]]-Table12118[[#This Row],[Reinsurance Everest Re]],Table12118[[#This Row],[Total Amount]])</f>
        <v>0</v>
      </c>
      <c r="BC114" s="212">
        <f t="shared" si="11"/>
        <v>0</v>
      </c>
      <c r="BG114" s="18">
        <v>0</v>
      </c>
      <c r="BH114" s="212">
        <v>0</v>
      </c>
      <c r="BI114" s="212">
        <v>0</v>
      </c>
      <c r="BJ114" s="212">
        <v>0</v>
      </c>
      <c r="BK114" s="212">
        <v>0</v>
      </c>
      <c r="BL114" s="212">
        <v>0</v>
      </c>
      <c r="BM114" s="212">
        <v>0</v>
      </c>
      <c r="BN114" s="226"/>
      <c r="BQ114" s="58" t="s">
        <v>1041</v>
      </c>
      <c r="BR114" s="112"/>
      <c r="BS114" s="372"/>
    </row>
    <row r="115" spans="1:72" ht="39.950000000000003" customHeight="1" x14ac:dyDescent="0.2">
      <c r="A115" s="131" t="s">
        <v>781</v>
      </c>
      <c r="B115" s="337" t="s">
        <v>307</v>
      </c>
      <c r="C115" s="337" t="s">
        <v>1144</v>
      </c>
      <c r="D115" s="133" t="s">
        <v>588</v>
      </c>
      <c r="E115" s="14" t="s">
        <v>542</v>
      </c>
      <c r="F115" s="133" t="s">
        <v>87</v>
      </c>
      <c r="G115" s="14" t="s">
        <v>102</v>
      </c>
      <c r="H115" s="14" t="s">
        <v>102</v>
      </c>
      <c r="I115" s="131" t="s">
        <v>477</v>
      </c>
      <c r="J115" s="133" t="s">
        <v>298</v>
      </c>
      <c r="K115" s="192" t="s">
        <v>218</v>
      </c>
      <c r="L115" s="168" t="s">
        <v>209</v>
      </c>
      <c r="M115" s="194" t="s">
        <v>191</v>
      </c>
      <c r="N115" s="134" t="s">
        <v>59</v>
      </c>
      <c r="O115" s="167" t="s">
        <v>43</v>
      </c>
      <c r="P115" s="65">
        <v>2</v>
      </c>
      <c r="Q115" s="167" t="s">
        <v>533</v>
      </c>
      <c r="R115" s="65" t="s">
        <v>534</v>
      </c>
      <c r="S115" s="135" t="s">
        <v>156</v>
      </c>
      <c r="T115" s="136" t="e">
        <f>10000/GBP</f>
        <v>#REF!</v>
      </c>
      <c r="U115" s="62">
        <v>10000</v>
      </c>
      <c r="V115" s="136" t="e">
        <f>Table12118[[#This Row],[Amortised Limit in Original Currency]]/GBP</f>
        <v>#REF!</v>
      </c>
      <c r="W115" s="136" t="e">
        <f>40000/GBP</f>
        <v>#REF!</v>
      </c>
      <c r="X115" s="136" t="e">
        <f>411159.58/GBP</f>
        <v>#REF!</v>
      </c>
      <c r="Y115" s="62" t="s">
        <v>16</v>
      </c>
      <c r="Z115" s="366">
        <v>0</v>
      </c>
      <c r="AA115" s="147" t="s">
        <v>11</v>
      </c>
      <c r="AB115" s="185">
        <v>0.03</v>
      </c>
      <c r="AC115" s="185"/>
      <c r="AD115" s="137">
        <v>44663</v>
      </c>
      <c r="AE115" s="137">
        <v>45749</v>
      </c>
      <c r="AF115" s="137">
        <f>Table12118[[#This Row],[Expiry Date]]+15</f>
        <v>45764</v>
      </c>
      <c r="AG115" s="138">
        <f t="shared" si="15"/>
        <v>1102</v>
      </c>
      <c r="AH115" s="139" t="e">
        <f t="shared" si="16"/>
        <v>#REF!</v>
      </c>
      <c r="AI115" s="138" t="e">
        <f>AF115-#REF!</f>
        <v>#REF!</v>
      </c>
      <c r="AJ115" s="140" t="e">
        <f>AI115/365</f>
        <v>#REF!</v>
      </c>
      <c r="AK115" s="184"/>
      <c r="AL115" s="186" t="s">
        <v>1</v>
      </c>
      <c r="AM115" s="186" t="s">
        <v>1</v>
      </c>
      <c r="AN115" s="187" t="s">
        <v>0</v>
      </c>
      <c r="AO115" s="143" t="e">
        <f>+IF(AF115-60&lt;$A$1, "SEND NOTICE", "N/A")</f>
        <v>#REF!</v>
      </c>
      <c r="AP115" s="164" t="s">
        <v>563</v>
      </c>
      <c r="AQ115" s="188" t="s">
        <v>777</v>
      </c>
      <c r="AT115" s="197" t="str">
        <f>Table12118[[#This Row],[Risk Location ]]</f>
        <v>United Kingdom</v>
      </c>
      <c r="AU115" s="198" t="str">
        <f>Table12118[[#This Row],[Sector (GICS Industry Group)]]</f>
        <v>Real Estate Investment</v>
      </c>
      <c r="AX115" s="212" t="e">
        <f>Table12118[[#This Row],[Percentage Impact]]*Table12118[[#This Row],[Amortised Limit A$ Balance]]</f>
        <v>#REF!</v>
      </c>
      <c r="AY115" s="212" t="e">
        <f>Table12118[[#This Row],[Amortised Limit A$ Balance]]*12%</f>
        <v>#REF!</v>
      </c>
      <c r="AZ115" s="212" t="b">
        <f>IF(Table12118[[#This Row],[Everest]]="Everest",Table12118[[#This Row],[Assetinsure Amount ]]*0.2)</f>
        <v>0</v>
      </c>
      <c r="BA115" s="212"/>
      <c r="BB115" s="212" t="e">
        <f>MIN(Table12118[[#This Row],[Assetinsure Amount ]]-Table12118[[#This Row],[Reinsurance Everest Re]],Table12118[[#This Row],[Total Amount]])</f>
        <v>#REF!</v>
      </c>
      <c r="BC115" s="212">
        <f t="shared" si="11"/>
        <v>0</v>
      </c>
      <c r="BG115" s="18">
        <v>0</v>
      </c>
      <c r="BH115" s="212">
        <v>0</v>
      </c>
      <c r="BI115" s="212">
        <v>0</v>
      </c>
      <c r="BJ115" s="212">
        <v>0</v>
      </c>
      <c r="BK115" s="212">
        <v>0</v>
      </c>
      <c r="BL115" s="212">
        <v>0</v>
      </c>
      <c r="BM115" s="212">
        <v>0</v>
      </c>
      <c r="BN115" s="226"/>
      <c r="BQ115" s="58" t="s">
        <v>1042</v>
      </c>
      <c r="BR115" s="112"/>
      <c r="BS115" s="372"/>
    </row>
    <row r="116" spans="1:72" s="229" customFormat="1" ht="39.950000000000003" customHeight="1" x14ac:dyDescent="0.2">
      <c r="A116" s="131" t="s">
        <v>782</v>
      </c>
      <c r="B116" s="337" t="s">
        <v>23</v>
      </c>
      <c r="C116" s="337" t="s">
        <v>1143</v>
      </c>
      <c r="D116" s="133" t="s">
        <v>88</v>
      </c>
      <c r="E116" s="131" t="s">
        <v>542</v>
      </c>
      <c r="F116" s="133" t="s">
        <v>193</v>
      </c>
      <c r="G116" s="131" t="s">
        <v>92</v>
      </c>
      <c r="H116" s="66" t="s">
        <v>134</v>
      </c>
      <c r="I116" s="131" t="s">
        <v>134</v>
      </c>
      <c r="J116" s="133" t="s">
        <v>286</v>
      </c>
      <c r="K116" s="192" t="s">
        <v>220</v>
      </c>
      <c r="L116" s="168" t="s">
        <v>209</v>
      </c>
      <c r="M116" s="194" t="s">
        <v>191</v>
      </c>
      <c r="N116" s="134" t="s">
        <v>59</v>
      </c>
      <c r="O116" s="167" t="s">
        <v>43</v>
      </c>
      <c r="P116" s="65">
        <v>3</v>
      </c>
      <c r="Q116" s="167" t="s">
        <v>531</v>
      </c>
      <c r="R116" s="65" t="s">
        <v>534</v>
      </c>
      <c r="S116" s="135" t="s">
        <v>9</v>
      </c>
      <c r="T116" s="136" t="e">
        <f>7500/USD</f>
        <v>#REF!</v>
      </c>
      <c r="U116" s="62">
        <v>6208.8090000000002</v>
      </c>
      <c r="V116" s="136" t="e">
        <f>Table12118[[#This Row],[Amortised Limit in Original Currency]]/USD</f>
        <v>#REF!</v>
      </c>
      <c r="W116" s="136" t="e">
        <f>107254.32511/USD</f>
        <v>#REF!</v>
      </c>
      <c r="X116" s="136" t="e">
        <f>418014.94/USD</f>
        <v>#REF!</v>
      </c>
      <c r="Y116" s="62" t="s">
        <v>16</v>
      </c>
      <c r="Z116" s="366">
        <v>0</v>
      </c>
      <c r="AA116" s="147" t="s">
        <v>11</v>
      </c>
      <c r="AB116" s="185">
        <v>2.5000000000000001E-2</v>
      </c>
      <c r="AC116" s="185"/>
      <c r="AD116" s="137">
        <v>44650</v>
      </c>
      <c r="AE116" s="137">
        <v>47421</v>
      </c>
      <c r="AF116" s="137">
        <v>47421</v>
      </c>
      <c r="AG116" s="138">
        <f t="shared" si="15"/>
        <v>2772</v>
      </c>
      <c r="AH116" s="139" t="e">
        <f t="shared" si="16"/>
        <v>#REF!</v>
      </c>
      <c r="AI116" s="138" t="e">
        <f>AF116-#REF!</f>
        <v>#REF!</v>
      </c>
      <c r="AJ116" s="140" t="e">
        <f>AI116/365</f>
        <v>#REF!</v>
      </c>
      <c r="AK116" s="184"/>
      <c r="AL116" s="186" t="s">
        <v>1</v>
      </c>
      <c r="AM116" s="186" t="s">
        <v>1</v>
      </c>
      <c r="AN116" s="187" t="s">
        <v>784</v>
      </c>
      <c r="AO116" s="143" t="e">
        <f>+IF(AF116-60&lt;$A$1, "SEND NOTICE", "N/A")</f>
        <v>#REF!</v>
      </c>
      <c r="AP116" s="164" t="s">
        <v>563</v>
      </c>
      <c r="AQ116" s="188" t="s">
        <v>778</v>
      </c>
      <c r="AR116" s="11"/>
      <c r="AS116" s="11"/>
      <c r="AT116" s="197" t="str">
        <f>Table12118[[#This Row],[Risk Location ]]</f>
        <v>Switzerland</v>
      </c>
      <c r="AU116" s="198" t="str">
        <f>Table12118[[#This Row],[Sector (GICS Industry Group)]]</f>
        <v>Transportation</v>
      </c>
      <c r="AV116" s="11"/>
      <c r="AW116" s="11"/>
      <c r="AX116" s="212" t="e">
        <f>Table12118[[#This Row],[Percentage Impact]]*Table12118[[#This Row],[Amortised Limit A$ Balance]]</f>
        <v>#REF!</v>
      </c>
      <c r="AY116" s="212" t="e">
        <f>Table12118[[#This Row],[Amortised Limit A$ Balance]]*12%</f>
        <v>#REF!</v>
      </c>
      <c r="AZ116" s="212" t="b">
        <f>IF(Table12118[[#This Row],[Everest]]="Everest",Table12118[[#This Row],[Assetinsure Amount ]]*0.2)</f>
        <v>0</v>
      </c>
      <c r="BA116" s="212"/>
      <c r="BB116" s="212" t="e">
        <f>MIN(Table12118[[#This Row],[Assetinsure Amount ]]-Table12118[[#This Row],[Reinsurance Everest Re]],Table12118[[#This Row],[Total Amount]])</f>
        <v>#REF!</v>
      </c>
      <c r="BC116" s="212">
        <f t="shared" si="11"/>
        <v>0</v>
      </c>
      <c r="BD116" s="11"/>
      <c r="BG116" s="18">
        <v>0</v>
      </c>
      <c r="BH116" s="278">
        <v>0</v>
      </c>
      <c r="BI116" s="278">
        <v>0</v>
      </c>
      <c r="BJ116" s="278">
        <v>0</v>
      </c>
      <c r="BK116" s="278">
        <v>0</v>
      </c>
      <c r="BL116" s="278">
        <v>0</v>
      </c>
      <c r="BM116" s="278">
        <v>0</v>
      </c>
      <c r="BN116" s="226"/>
      <c r="BQ116" s="58" t="s">
        <v>1043</v>
      </c>
      <c r="BR116" s="276"/>
      <c r="BS116" s="372"/>
      <c r="BT116" s="11"/>
    </row>
    <row r="117" spans="1:72" ht="39.950000000000003" customHeight="1" x14ac:dyDescent="0.2">
      <c r="A117" s="131" t="s">
        <v>785</v>
      </c>
      <c r="B117" s="337" t="s">
        <v>51</v>
      </c>
      <c r="C117" s="337" t="s">
        <v>243</v>
      </c>
      <c r="D117" s="133" t="s">
        <v>746</v>
      </c>
      <c r="E117" s="131" t="s">
        <v>542</v>
      </c>
      <c r="F117" s="133" t="s">
        <v>746</v>
      </c>
      <c r="G117" s="133" t="s">
        <v>106</v>
      </c>
      <c r="H117" s="133" t="s">
        <v>106</v>
      </c>
      <c r="I117" s="131" t="s">
        <v>263</v>
      </c>
      <c r="J117" s="133" t="s">
        <v>747</v>
      </c>
      <c r="K117" s="192" t="s">
        <v>221</v>
      </c>
      <c r="L117" s="168" t="s">
        <v>101</v>
      </c>
      <c r="M117" s="194" t="s">
        <v>191</v>
      </c>
      <c r="N117" s="134" t="s">
        <v>59</v>
      </c>
      <c r="O117" s="167" t="s">
        <v>43</v>
      </c>
      <c r="P117" s="65">
        <v>2</v>
      </c>
      <c r="Q117" s="167" t="s">
        <v>533</v>
      </c>
      <c r="R117" s="270" t="s">
        <v>534</v>
      </c>
      <c r="S117" s="135" t="s">
        <v>59</v>
      </c>
      <c r="T117" s="136" t="e">
        <f>19864/EUR</f>
        <v>#REF!</v>
      </c>
      <c r="U117" s="62">
        <v>19814.352999999999</v>
      </c>
      <c r="V117" s="136" t="e">
        <f>Table12118[[#This Row],[Amortised Limit in Original Currency]]/EUR</f>
        <v>#REF!</v>
      </c>
      <c r="W117" s="136" t="e">
        <f>199100/EUR</f>
        <v>#REF!</v>
      </c>
      <c r="X117" s="136" t="e">
        <f>1400294.59/EUR</f>
        <v>#REF!</v>
      </c>
      <c r="Y117" s="136"/>
      <c r="Z117" s="365"/>
      <c r="AA117" s="147" t="s">
        <v>11</v>
      </c>
      <c r="AB117" s="185">
        <v>1.55E-2</v>
      </c>
      <c r="AC117" s="185"/>
      <c r="AD117" s="137">
        <v>44678</v>
      </c>
      <c r="AE117" s="137">
        <v>48096</v>
      </c>
      <c r="AF117" s="137">
        <v>48113</v>
      </c>
      <c r="AG117" s="138">
        <f t="shared" si="15"/>
        <v>3436</v>
      </c>
      <c r="AH117" s="139" t="e">
        <f t="shared" si="16"/>
        <v>#REF!</v>
      </c>
      <c r="AI117" s="138" t="e">
        <f>AF117-#REF!</f>
        <v>#REF!</v>
      </c>
      <c r="AJ117" s="140" t="e">
        <f t="shared" ref="AJ117:AJ180" si="18">AI117/365</f>
        <v>#REF!</v>
      </c>
      <c r="AK117" s="184" t="s">
        <v>436</v>
      </c>
      <c r="AL117" s="186" t="s">
        <v>1</v>
      </c>
      <c r="AM117" s="186" t="s">
        <v>1</v>
      </c>
      <c r="AN117" s="187" t="s">
        <v>784</v>
      </c>
      <c r="AO117" s="164" t="e">
        <f t="shared" ref="AO117:AO180" si="19">+IF(AF117-60&lt;$A$1, "SEND NOTICE", "N/A")</f>
        <v>#REF!</v>
      </c>
      <c r="AP117" s="164" t="s">
        <v>271</v>
      </c>
      <c r="AQ117" s="188" t="s">
        <v>779</v>
      </c>
      <c r="AR117" s="229"/>
      <c r="AS117" s="229"/>
      <c r="AT117" s="197" t="str">
        <f>Table12118[[#This Row],[Risk Location ]]</f>
        <v>Czech Republic</v>
      </c>
      <c r="AU117" s="198" t="str">
        <f>Table12118[[#This Row],[Sector (GICS Industry Group)]]</f>
        <v>Real Estate Management &amp; Development</v>
      </c>
      <c r="AV117" s="229"/>
      <c r="AW117" s="229"/>
      <c r="AX117" s="212" t="e">
        <f>Table12118[[#This Row],[Percentage Impact]]*Table12118[[#This Row],[Amortised Limit A$ Balance]]</f>
        <v>#REF!</v>
      </c>
      <c r="AY117" s="212" t="e">
        <f>Table12118[[#This Row],[Amortised Limit A$ Balance]]*12%</f>
        <v>#REF!</v>
      </c>
      <c r="AZ117" s="212" t="e">
        <f>IF(Table12118[[#This Row],[Everest]]="Everest",Table12118[[#This Row],[Assetinsure Amount ]]*0.2)</f>
        <v>#REF!</v>
      </c>
      <c r="BA117" s="278"/>
      <c r="BB117" s="212" t="e">
        <f>MIN(Table12118[[#This Row],[Assetinsure Amount ]]-Table12118[[#This Row],[Reinsurance Everest Re]],Table12118[[#This Row],[Total Amount]])</f>
        <v>#REF!</v>
      </c>
      <c r="BC117" s="212">
        <f t="shared" si="11"/>
        <v>0</v>
      </c>
      <c r="BD117" s="229"/>
      <c r="BG117" s="18">
        <v>0</v>
      </c>
      <c r="BH117" s="212">
        <v>0</v>
      </c>
      <c r="BI117" s="212">
        <v>0</v>
      </c>
      <c r="BJ117" s="212">
        <v>0</v>
      </c>
      <c r="BK117" s="212">
        <v>0</v>
      </c>
      <c r="BL117" s="212">
        <v>0</v>
      </c>
      <c r="BM117" s="212">
        <v>0</v>
      </c>
      <c r="BN117" s="226"/>
      <c r="BQ117" s="58" t="s">
        <v>1044</v>
      </c>
      <c r="BR117" s="112"/>
      <c r="BS117" s="372"/>
    </row>
    <row r="118" spans="1:72" ht="39.950000000000003" customHeight="1" x14ac:dyDescent="0.2">
      <c r="A118" s="131" t="s">
        <v>786</v>
      </c>
      <c r="B118" s="337" t="s">
        <v>23</v>
      </c>
      <c r="C118" s="337" t="s">
        <v>1141</v>
      </c>
      <c r="D118" s="133" t="s">
        <v>797</v>
      </c>
      <c r="E118" s="131" t="s">
        <v>541</v>
      </c>
      <c r="F118" s="133" t="s">
        <v>38</v>
      </c>
      <c r="G118" s="131" t="s">
        <v>543</v>
      </c>
      <c r="H118" s="66" t="s">
        <v>133</v>
      </c>
      <c r="I118" s="131" t="s">
        <v>133</v>
      </c>
      <c r="J118" s="133" t="s">
        <v>50</v>
      </c>
      <c r="K118" s="192" t="s">
        <v>21</v>
      </c>
      <c r="L118" s="168" t="s">
        <v>209</v>
      </c>
      <c r="M118" s="194" t="s">
        <v>191</v>
      </c>
      <c r="N118" s="134" t="s">
        <v>323</v>
      </c>
      <c r="O118" s="167" t="s">
        <v>43</v>
      </c>
      <c r="P118" s="65">
        <v>2</v>
      </c>
      <c r="Q118" s="167" t="s">
        <v>538</v>
      </c>
      <c r="R118" s="65" t="s">
        <v>534</v>
      </c>
      <c r="S118" s="135" t="s">
        <v>9</v>
      </c>
      <c r="T118" s="136" t="e">
        <f>20000/USD</f>
        <v>#REF!</v>
      </c>
      <c r="U118" s="62">
        <v>20000</v>
      </c>
      <c r="V118" s="136" t="e">
        <f>Table12118[[#This Row],[Amortised Limit in Original Currency]]/USD</f>
        <v>#REF!</v>
      </c>
      <c r="W118" s="136" t="e">
        <f>60000/USD</f>
        <v>#REF!</v>
      </c>
      <c r="X118" s="136" t="e">
        <f>2065267.72/USD</f>
        <v>#REF!</v>
      </c>
      <c r="Y118" s="62" t="s">
        <v>16</v>
      </c>
      <c r="Z118" s="366">
        <v>0</v>
      </c>
      <c r="AA118" s="147" t="s">
        <v>11</v>
      </c>
      <c r="AB118" s="185">
        <v>3.7499999999999999E-2</v>
      </c>
      <c r="AC118" s="185"/>
      <c r="AD118" s="137">
        <v>44686</v>
      </c>
      <c r="AE118" s="137">
        <v>46437</v>
      </c>
      <c r="AF118" s="137">
        <v>46465</v>
      </c>
      <c r="AG118" s="138">
        <f t="shared" si="15"/>
        <v>1780</v>
      </c>
      <c r="AH118" s="139" t="e">
        <f t="shared" si="16"/>
        <v>#REF!</v>
      </c>
      <c r="AI118" s="138" t="e">
        <f>AF118-#REF!</f>
        <v>#REF!</v>
      </c>
      <c r="AJ118" s="140" t="e">
        <f t="shared" si="18"/>
        <v>#REF!</v>
      </c>
      <c r="AK118" s="184" t="s">
        <v>436</v>
      </c>
      <c r="AL118" s="186" t="s">
        <v>1</v>
      </c>
      <c r="AM118" s="186" t="s">
        <v>1</v>
      </c>
      <c r="AN118" s="187" t="s">
        <v>803</v>
      </c>
      <c r="AO118" s="143" t="e">
        <f t="shared" si="19"/>
        <v>#REF!</v>
      </c>
      <c r="AP118" s="164" t="s">
        <v>563</v>
      </c>
      <c r="AQ118" s="188" t="s">
        <v>792</v>
      </c>
      <c r="AT118" s="197" t="str">
        <f>Table12118[[#This Row],[Risk Location ]]</f>
        <v>Singapore</v>
      </c>
      <c r="AU118" s="198" t="str">
        <f>Table12118[[#This Row],[Sector (GICS Industry Group)]]</f>
        <v>Industrials</v>
      </c>
      <c r="AX118" s="212" t="e">
        <f>Table12118[[#This Row],[Percentage Impact]]*Table12118[[#This Row],[Amortised Limit A$ Balance]]</f>
        <v>#REF!</v>
      </c>
      <c r="AY118" s="212" t="e">
        <f>Table12118[[#This Row],[Amortised Limit A$ Balance]]*12%</f>
        <v>#REF!</v>
      </c>
      <c r="AZ118" s="212" t="e">
        <f>IF(Table12118[[#This Row],[Everest]]="Everest",Table12118[[#This Row],[Assetinsure Amount ]]*0.2)</f>
        <v>#REF!</v>
      </c>
      <c r="BA118" s="212"/>
      <c r="BB118" s="212" t="e">
        <f>MIN(Table12118[[#This Row],[Assetinsure Amount ]]-Table12118[[#This Row],[Reinsurance Everest Re]],Table12118[[#This Row],[Total Amount]])</f>
        <v>#REF!</v>
      </c>
      <c r="BC118" s="212">
        <f t="shared" si="11"/>
        <v>0</v>
      </c>
      <c r="BG118" s="18">
        <v>0</v>
      </c>
      <c r="BH118" s="212">
        <v>0</v>
      </c>
      <c r="BI118" s="212">
        <v>0</v>
      </c>
      <c r="BJ118" s="212">
        <v>0</v>
      </c>
      <c r="BK118" s="212">
        <v>0</v>
      </c>
      <c r="BL118" s="212">
        <v>0</v>
      </c>
      <c r="BM118" s="212">
        <v>0</v>
      </c>
      <c r="BN118" s="226"/>
      <c r="BQ118" s="58" t="s">
        <v>1045</v>
      </c>
      <c r="BR118" s="112"/>
      <c r="BS118" s="372"/>
    </row>
    <row r="119" spans="1:72" ht="39.950000000000003" customHeight="1" x14ac:dyDescent="0.2">
      <c r="A119" s="131" t="s">
        <v>787</v>
      </c>
      <c r="B119" s="337" t="s">
        <v>1336</v>
      </c>
      <c r="C119" s="337" t="s">
        <v>1142</v>
      </c>
      <c r="D119" s="133" t="s">
        <v>34</v>
      </c>
      <c r="E119" s="131" t="s">
        <v>34</v>
      </c>
      <c r="F119" s="133" t="s">
        <v>34</v>
      </c>
      <c r="G119" s="131" t="s">
        <v>547</v>
      </c>
      <c r="H119" s="66" t="s">
        <v>265</v>
      </c>
      <c r="I119" s="131" t="s">
        <v>456</v>
      </c>
      <c r="J119" s="133" t="s">
        <v>656</v>
      </c>
      <c r="K119" s="192" t="s">
        <v>656</v>
      </c>
      <c r="L119" s="168" t="s">
        <v>140</v>
      </c>
      <c r="M119" s="194" t="s">
        <v>191</v>
      </c>
      <c r="N119" s="134" t="s">
        <v>323</v>
      </c>
      <c r="O119" s="167" t="s">
        <v>43</v>
      </c>
      <c r="P119" s="65">
        <v>2</v>
      </c>
      <c r="Q119" s="167" t="s">
        <v>533</v>
      </c>
      <c r="R119" s="65" t="s">
        <v>534</v>
      </c>
      <c r="S119" s="135" t="s">
        <v>8</v>
      </c>
      <c r="T119" s="136">
        <v>10000</v>
      </c>
      <c r="U119" s="62">
        <v>7601.5259999999998</v>
      </c>
      <c r="V119" s="136">
        <f>Table12118[[#This Row],[Amortised Limit in Original Currency]]</f>
        <v>7601.5259999999998</v>
      </c>
      <c r="W119" s="136">
        <f>88100</f>
        <v>88100</v>
      </c>
      <c r="X119" s="136">
        <v>698431.06</v>
      </c>
      <c r="Y119" s="136"/>
      <c r="Z119" s="365"/>
      <c r="AA119" s="147" t="s">
        <v>11</v>
      </c>
      <c r="AB119" s="185">
        <v>1.7999999999999999E-2</v>
      </c>
      <c r="AC119" s="185"/>
      <c r="AD119" s="137">
        <v>44694</v>
      </c>
      <c r="AE119" s="137">
        <v>47026</v>
      </c>
      <c r="AF119" s="137">
        <v>47047</v>
      </c>
      <c r="AG119" s="138">
        <f t="shared" si="15"/>
        <v>2354</v>
      </c>
      <c r="AH119" s="139" t="e">
        <f t="shared" si="16"/>
        <v>#REF!</v>
      </c>
      <c r="AI119" s="138" t="e">
        <f>AF119-#REF!</f>
        <v>#REF!</v>
      </c>
      <c r="AJ119" s="140" t="e">
        <f t="shared" si="18"/>
        <v>#REF!</v>
      </c>
      <c r="AK119" s="184"/>
      <c r="AL119" s="186" t="s">
        <v>1</v>
      </c>
      <c r="AM119" s="186" t="s">
        <v>1</v>
      </c>
      <c r="AN119" s="187" t="s">
        <v>1328</v>
      </c>
      <c r="AO119" s="143" t="e">
        <f t="shared" si="19"/>
        <v>#REF!</v>
      </c>
      <c r="AP119" s="164" t="s">
        <v>563</v>
      </c>
      <c r="AQ119" s="188" t="s">
        <v>791</v>
      </c>
      <c r="AT119" s="197" t="str">
        <f>Table12118[[#This Row],[Risk Location ]]</f>
        <v>Australia</v>
      </c>
      <c r="AU119" s="198" t="str">
        <f>Table12118[[#This Row],[Sector (GICS Industry Group)]]</f>
        <v>Consumer Staples</v>
      </c>
      <c r="AX119" s="212">
        <f>Table12118[[#This Row],[Percentage Impact]]*Table12118[[#This Row],[Amortised Limit A$ Balance]]</f>
        <v>0</v>
      </c>
      <c r="AY119" s="212">
        <f>Table12118[[#This Row],[Amortised Limit A$ Balance]]*12%</f>
        <v>912.18311999999992</v>
      </c>
      <c r="AZ119" s="212" t="b">
        <f>IF(Table12118[[#This Row],[Everest]]="Everest",Table12118[[#This Row],[Assetinsure Amount ]]*0.2)</f>
        <v>0</v>
      </c>
      <c r="BA119" s="212"/>
      <c r="BB119" s="212">
        <f>MIN(Table12118[[#This Row],[Assetinsure Amount ]]-Table12118[[#This Row],[Reinsurance Everest Re]],Table12118[[#This Row],[Total Amount]])</f>
        <v>0</v>
      </c>
      <c r="BC119" s="212">
        <f t="shared" si="11"/>
        <v>0</v>
      </c>
      <c r="BG119" s="18">
        <v>0</v>
      </c>
      <c r="BH119" s="212">
        <v>0</v>
      </c>
      <c r="BI119" s="212">
        <v>0</v>
      </c>
      <c r="BJ119" s="212">
        <v>0</v>
      </c>
      <c r="BK119" s="212">
        <v>0</v>
      </c>
      <c r="BL119" s="212">
        <v>0</v>
      </c>
      <c r="BM119" s="212">
        <v>0</v>
      </c>
      <c r="BN119" s="226"/>
      <c r="BQ119" s="58" t="s">
        <v>1046</v>
      </c>
      <c r="BR119" s="112"/>
      <c r="BS119" s="372"/>
    </row>
    <row r="120" spans="1:72" ht="39.950000000000003" customHeight="1" x14ac:dyDescent="0.2">
      <c r="A120" s="131" t="s">
        <v>793</v>
      </c>
      <c r="B120" s="337" t="s">
        <v>1247</v>
      </c>
      <c r="C120" s="337" t="s">
        <v>243</v>
      </c>
      <c r="D120" s="133" t="s">
        <v>38</v>
      </c>
      <c r="E120" s="131" t="s">
        <v>540</v>
      </c>
      <c r="F120" s="133" t="s">
        <v>35</v>
      </c>
      <c r="G120" s="131" t="s">
        <v>104</v>
      </c>
      <c r="H120" s="66" t="s">
        <v>105</v>
      </c>
      <c r="I120" s="131" t="s">
        <v>799</v>
      </c>
      <c r="J120" s="133" t="s">
        <v>1088</v>
      </c>
      <c r="K120" s="192" t="s">
        <v>687</v>
      </c>
      <c r="L120" s="168" t="s">
        <v>209</v>
      </c>
      <c r="M120" s="194" t="s">
        <v>191</v>
      </c>
      <c r="N120" s="134" t="s">
        <v>323</v>
      </c>
      <c r="O120" s="167" t="s">
        <v>43</v>
      </c>
      <c r="P120" s="65">
        <v>2</v>
      </c>
      <c r="Q120" s="167" t="s">
        <v>538</v>
      </c>
      <c r="R120" s="65" t="s">
        <v>534</v>
      </c>
      <c r="S120" s="135" t="s">
        <v>9</v>
      </c>
      <c r="T120" s="136" t="e">
        <f>10000/USD</f>
        <v>#REF!</v>
      </c>
      <c r="U120" s="62">
        <f>10000</f>
        <v>10000</v>
      </c>
      <c r="V120" s="136" t="e">
        <f>Table12118[[#This Row],[Amortised Limit in Original Currency]]/USD</f>
        <v>#REF!</v>
      </c>
      <c r="W120" s="136" t="e">
        <f>20000/USD</f>
        <v>#REF!</v>
      </c>
      <c r="X120" s="136" t="e">
        <f>1083772/USD</f>
        <v>#REF!</v>
      </c>
      <c r="Y120" s="136"/>
      <c r="Z120" s="365"/>
      <c r="AA120" s="147" t="s">
        <v>11</v>
      </c>
      <c r="AB120" s="185">
        <v>0.04</v>
      </c>
      <c r="AC120" s="185"/>
      <c r="AD120" s="137">
        <v>44700</v>
      </c>
      <c r="AE120" s="137">
        <v>46630</v>
      </c>
      <c r="AF120" s="137">
        <v>46630</v>
      </c>
      <c r="AG120" s="138">
        <f t="shared" si="15"/>
        <v>1931</v>
      </c>
      <c r="AH120" s="139" t="e">
        <f t="shared" si="16"/>
        <v>#REF!</v>
      </c>
      <c r="AI120" s="138" t="e">
        <f>AF120-#REF!</f>
        <v>#REF!</v>
      </c>
      <c r="AJ120" s="140" t="e">
        <f t="shared" si="18"/>
        <v>#REF!</v>
      </c>
      <c r="AK120" s="184"/>
      <c r="AL120" s="186" t="s">
        <v>1</v>
      </c>
      <c r="AM120" s="186" t="s">
        <v>1</v>
      </c>
      <c r="AN120" s="187" t="s">
        <v>804</v>
      </c>
      <c r="AO120" s="143" t="e">
        <f t="shared" si="19"/>
        <v>#REF!</v>
      </c>
      <c r="AP120" s="164" t="s">
        <v>271</v>
      </c>
      <c r="AQ120" s="188" t="s">
        <v>789</v>
      </c>
      <c r="AT120" s="197" t="str">
        <f>Table12118[[#This Row],[Risk Location ]]</f>
        <v>India</v>
      </c>
      <c r="AU120" s="198" t="str">
        <f>Table12118[[#This Row],[Sector (GICS Industry Group)]]</f>
        <v>Materials</v>
      </c>
      <c r="AX120" s="212" t="e">
        <f>Table12118[[#This Row],[Percentage Impact]]*Table12118[[#This Row],[Amortised Limit A$ Balance]]</f>
        <v>#REF!</v>
      </c>
      <c r="AY120" s="212" t="e">
        <f>Table12118[[#This Row],[Amortised Limit A$ Balance]]*12%</f>
        <v>#REF!</v>
      </c>
      <c r="AZ120" s="212" t="b">
        <f>IF(Table12118[[#This Row],[Everest]]="Everest",Table12118[[#This Row],[Assetinsure Amount ]]*0.2)</f>
        <v>0</v>
      </c>
      <c r="BA120" s="212"/>
      <c r="BB120" s="212" t="e">
        <f>MIN(Table12118[[#This Row],[Assetinsure Amount ]]-Table12118[[#This Row],[Reinsurance Everest Re]],Table12118[[#This Row],[Total Amount]])</f>
        <v>#REF!</v>
      </c>
      <c r="BC120" s="212">
        <f t="shared" si="11"/>
        <v>0</v>
      </c>
      <c r="BG120" s="18">
        <v>0</v>
      </c>
      <c r="BH120" s="212">
        <v>0</v>
      </c>
      <c r="BI120" s="212">
        <v>0</v>
      </c>
      <c r="BJ120" s="212">
        <v>0</v>
      </c>
      <c r="BK120" s="212">
        <v>0</v>
      </c>
      <c r="BL120" s="212">
        <v>0</v>
      </c>
      <c r="BM120" s="212">
        <v>0</v>
      </c>
      <c r="BN120" s="226"/>
      <c r="BQ120" s="58" t="s">
        <v>1048</v>
      </c>
      <c r="BR120" s="112"/>
      <c r="BS120" s="372"/>
    </row>
    <row r="121" spans="1:72" ht="39.950000000000003" customHeight="1" x14ac:dyDescent="0.2">
      <c r="A121" s="131" t="s">
        <v>794</v>
      </c>
      <c r="B121" s="337" t="s">
        <v>1335</v>
      </c>
      <c r="C121" s="337" t="s">
        <v>1142</v>
      </c>
      <c r="D121" s="133" t="s">
        <v>34</v>
      </c>
      <c r="E121" s="14" t="s">
        <v>34</v>
      </c>
      <c r="F121" s="133" t="s">
        <v>34</v>
      </c>
      <c r="G121" s="14" t="s">
        <v>102</v>
      </c>
      <c r="H121" s="14" t="s">
        <v>102</v>
      </c>
      <c r="I121" s="14" t="s">
        <v>474</v>
      </c>
      <c r="J121" s="133" t="s">
        <v>70</v>
      </c>
      <c r="K121" s="192" t="s">
        <v>218</v>
      </c>
      <c r="L121" s="168" t="s">
        <v>101</v>
      </c>
      <c r="M121" s="194" t="s">
        <v>191</v>
      </c>
      <c r="N121" s="134" t="s">
        <v>323</v>
      </c>
      <c r="O121" s="167" t="s">
        <v>43</v>
      </c>
      <c r="P121" s="65">
        <v>2</v>
      </c>
      <c r="Q121" s="167" t="s">
        <v>531</v>
      </c>
      <c r="R121" s="65" t="s">
        <v>534</v>
      </c>
      <c r="S121" s="135" t="s">
        <v>8</v>
      </c>
      <c r="T121" s="136">
        <v>16000</v>
      </c>
      <c r="U121" s="62">
        <f>16000+14000</f>
        <v>30000</v>
      </c>
      <c r="V121" s="136">
        <f>Table12118[[#This Row],[Amortised Limit in Original Currency]]</f>
        <v>30000</v>
      </c>
      <c r="W121" s="136">
        <v>120000</v>
      </c>
      <c r="X121" s="136">
        <f>599952.06+484650.41</f>
        <v>1084602.47</v>
      </c>
      <c r="Y121" s="62" t="s">
        <v>16</v>
      </c>
      <c r="Z121" s="366">
        <v>0</v>
      </c>
      <c r="AA121" s="147" t="s">
        <v>11</v>
      </c>
      <c r="AB121" s="185">
        <v>0.02</v>
      </c>
      <c r="AC121" s="185"/>
      <c r="AD121" s="137">
        <v>44698</v>
      </c>
      <c r="AE121" s="137">
        <v>46338</v>
      </c>
      <c r="AF121" s="137">
        <v>46352</v>
      </c>
      <c r="AG121" s="138">
        <f t="shared" si="15"/>
        <v>1655</v>
      </c>
      <c r="AH121" s="139" t="e">
        <f t="shared" si="16"/>
        <v>#REF!</v>
      </c>
      <c r="AI121" s="138" t="e">
        <f>AF121-#REF!</f>
        <v>#REF!</v>
      </c>
      <c r="AJ121" s="140" t="e">
        <f t="shared" si="18"/>
        <v>#REF!</v>
      </c>
      <c r="AK121" s="184" t="s">
        <v>436</v>
      </c>
      <c r="AL121" s="186" t="s">
        <v>1</v>
      </c>
      <c r="AM121" s="186" t="s">
        <v>1</v>
      </c>
      <c r="AN121" s="187" t="s">
        <v>0</v>
      </c>
      <c r="AO121" s="143" t="e">
        <f t="shared" si="19"/>
        <v>#REF!</v>
      </c>
      <c r="AP121" s="164" t="s">
        <v>563</v>
      </c>
      <c r="AQ121" s="188" t="s">
        <v>790</v>
      </c>
      <c r="AT121" s="197" t="str">
        <f>Table12118[[#This Row],[Risk Location ]]</f>
        <v>Australia</v>
      </c>
      <c r="AU121" s="198" t="str">
        <f>Table12118[[#This Row],[Sector (GICS Industry Group)]]</f>
        <v>Real Estate Investment</v>
      </c>
      <c r="AX121" s="212">
        <f>Table12118[[#This Row],[Percentage Impact]]*Table12118[[#This Row],[Amortised Limit A$ Balance]]</f>
        <v>0</v>
      </c>
      <c r="AY121" s="212">
        <f>Table12118[[#This Row],[Amortised Limit A$ Balance]]*12%</f>
        <v>3600</v>
      </c>
      <c r="AZ121" s="212">
        <f>IF(Table12118[[#This Row],[Everest]]="Everest",Table12118[[#This Row],[Assetinsure Amount ]]*0.2)</f>
        <v>720</v>
      </c>
      <c r="BA121" s="212"/>
      <c r="BB121" s="212">
        <f>MIN(Table12118[[#This Row],[Assetinsure Amount ]]-Table12118[[#This Row],[Reinsurance Everest Re]],Table12118[[#This Row],[Total Amount]])</f>
        <v>0</v>
      </c>
      <c r="BC121" s="212">
        <f t="shared" si="11"/>
        <v>0</v>
      </c>
      <c r="BG121" s="18">
        <v>0</v>
      </c>
      <c r="BH121" s="212">
        <v>0</v>
      </c>
      <c r="BI121" s="212">
        <v>0</v>
      </c>
      <c r="BJ121" s="212">
        <v>0</v>
      </c>
      <c r="BK121" s="212">
        <v>0</v>
      </c>
      <c r="BL121" s="212">
        <v>0</v>
      </c>
      <c r="BM121" s="212">
        <v>0</v>
      </c>
      <c r="BN121" s="226"/>
      <c r="BQ121" s="58" t="s">
        <v>1049</v>
      </c>
      <c r="BR121" s="112"/>
      <c r="BS121" s="372"/>
    </row>
    <row r="122" spans="1:72" ht="39.950000000000003" customHeight="1" x14ac:dyDescent="0.2">
      <c r="A122" s="131" t="s">
        <v>807</v>
      </c>
      <c r="B122" s="337" t="s">
        <v>1247</v>
      </c>
      <c r="C122" s="337" t="s">
        <v>243</v>
      </c>
      <c r="D122" s="133" t="s">
        <v>38</v>
      </c>
      <c r="E122" s="131" t="s">
        <v>540</v>
      </c>
      <c r="F122" s="133" t="s">
        <v>35</v>
      </c>
      <c r="G122" s="131" t="s">
        <v>104</v>
      </c>
      <c r="H122" s="66" t="s">
        <v>105</v>
      </c>
      <c r="I122" s="131" t="s">
        <v>799</v>
      </c>
      <c r="J122" s="133" t="s">
        <v>142</v>
      </c>
      <c r="K122" s="192" t="s">
        <v>218</v>
      </c>
      <c r="L122" s="168" t="s">
        <v>209</v>
      </c>
      <c r="M122" s="194" t="s">
        <v>191</v>
      </c>
      <c r="N122" s="134" t="s">
        <v>323</v>
      </c>
      <c r="O122" s="167" t="s">
        <v>43</v>
      </c>
      <c r="P122" s="65">
        <v>2</v>
      </c>
      <c r="Q122" s="167" t="s">
        <v>538</v>
      </c>
      <c r="R122" s="65" t="s">
        <v>534</v>
      </c>
      <c r="S122" s="135" t="s">
        <v>9</v>
      </c>
      <c r="T122" s="136" t="e">
        <f>5000/USD</f>
        <v>#REF!</v>
      </c>
      <c r="U122" s="62">
        <v>5000</v>
      </c>
      <c r="V122" s="136" t="e">
        <f>Table12118[[#This Row],[Amortised Limit in Original Currency]]/USD</f>
        <v>#REF!</v>
      </c>
      <c r="W122" s="136" t="e">
        <f>Table12118[[#This Row],[Amortised Limit A$ Balance]]/USD</f>
        <v>#REF!</v>
      </c>
      <c r="X122" s="136" t="e">
        <f>538769.36/USD</f>
        <v>#REF!</v>
      </c>
      <c r="Y122" s="62" t="s">
        <v>16</v>
      </c>
      <c r="Z122" s="366">
        <v>0</v>
      </c>
      <c r="AA122" s="147" t="s">
        <v>11</v>
      </c>
      <c r="AB122" s="185">
        <v>0.04</v>
      </c>
      <c r="AC122" s="185"/>
      <c r="AD122" s="137">
        <v>44708</v>
      </c>
      <c r="AE122" s="137">
        <v>46531</v>
      </c>
      <c r="AF122" s="137">
        <v>46545</v>
      </c>
      <c r="AG122" s="138">
        <f t="shared" si="15"/>
        <v>1838</v>
      </c>
      <c r="AH122" s="139" t="e">
        <f t="shared" si="16"/>
        <v>#REF!</v>
      </c>
      <c r="AI122" s="138" t="e">
        <f>AF122-#REF!</f>
        <v>#REF!</v>
      </c>
      <c r="AJ122" s="140" t="e">
        <f t="shared" si="18"/>
        <v>#REF!</v>
      </c>
      <c r="AK122" s="184"/>
      <c r="AL122" s="186" t="s">
        <v>1</v>
      </c>
      <c r="AM122" s="186" t="s">
        <v>1</v>
      </c>
      <c r="AN122" s="187" t="s">
        <v>800</v>
      </c>
      <c r="AO122" s="143" t="e">
        <f t="shared" si="19"/>
        <v>#REF!</v>
      </c>
      <c r="AP122" s="164" t="s">
        <v>563</v>
      </c>
      <c r="AQ122" s="188" t="s">
        <v>789</v>
      </c>
      <c r="AT122" s="197" t="str">
        <f>Table12118[[#This Row],[Risk Location ]]</f>
        <v>India</v>
      </c>
      <c r="AU122" s="198" t="str">
        <f>Table12118[[#This Row],[Sector (GICS Industry Group)]]</f>
        <v>Materials</v>
      </c>
      <c r="AX122" s="212" t="e">
        <f>Table12118[[#This Row],[Percentage Impact]]*Table12118[[#This Row],[Amortised Limit A$ Balance]]</f>
        <v>#REF!</v>
      </c>
      <c r="AY122" s="212" t="e">
        <f>Table12118[[#This Row],[Amortised Limit A$ Balance]]*12%</f>
        <v>#REF!</v>
      </c>
      <c r="AZ122" s="212" t="b">
        <f>IF(Table12118[[#This Row],[Everest]]="Everest",Table12118[[#This Row],[Assetinsure Amount ]]*0.2)</f>
        <v>0</v>
      </c>
      <c r="BA122" s="212"/>
      <c r="BB122" s="212" t="e">
        <f>MIN(Table12118[[#This Row],[Assetinsure Amount ]]-Table12118[[#This Row],[Reinsurance Everest Re]],Table12118[[#This Row],[Total Amount]])</f>
        <v>#REF!</v>
      </c>
      <c r="BC122" s="212">
        <f t="shared" si="11"/>
        <v>0</v>
      </c>
      <c r="BG122" s="18">
        <v>0</v>
      </c>
      <c r="BH122" s="212">
        <v>0</v>
      </c>
      <c r="BI122" s="212">
        <v>0</v>
      </c>
      <c r="BJ122" s="212">
        <v>0</v>
      </c>
      <c r="BK122" s="212">
        <v>0</v>
      </c>
      <c r="BL122" s="212">
        <v>0</v>
      </c>
      <c r="BM122" s="212">
        <v>0</v>
      </c>
      <c r="BN122" s="226"/>
      <c r="BQ122" s="58" t="s">
        <v>1047</v>
      </c>
      <c r="BR122" s="112"/>
      <c r="BS122" s="372"/>
    </row>
    <row r="123" spans="1:72" ht="39.950000000000003" customHeight="1" x14ac:dyDescent="0.2">
      <c r="A123" s="131" t="s">
        <v>795</v>
      </c>
      <c r="B123" s="337" t="s">
        <v>1337</v>
      </c>
      <c r="C123" s="337" t="s">
        <v>1142</v>
      </c>
      <c r="D123" s="133" t="s">
        <v>38</v>
      </c>
      <c r="E123" s="131" t="s">
        <v>540</v>
      </c>
      <c r="F123" s="133" t="s">
        <v>35</v>
      </c>
      <c r="G123" s="14" t="s">
        <v>892</v>
      </c>
      <c r="H123" s="66" t="s">
        <v>259</v>
      </c>
      <c r="I123" s="131" t="s">
        <v>459</v>
      </c>
      <c r="J123" s="133" t="s">
        <v>1088</v>
      </c>
      <c r="K123" s="192" t="s">
        <v>687</v>
      </c>
      <c r="L123" s="168" t="s">
        <v>209</v>
      </c>
      <c r="M123" s="194" t="s">
        <v>191</v>
      </c>
      <c r="N123" s="134" t="s">
        <v>323</v>
      </c>
      <c r="O123" s="167" t="s">
        <v>43</v>
      </c>
      <c r="P123" s="65">
        <v>2</v>
      </c>
      <c r="Q123" s="167" t="s">
        <v>531</v>
      </c>
      <c r="R123" s="65" t="s">
        <v>534</v>
      </c>
      <c r="S123" s="135" t="s">
        <v>9</v>
      </c>
      <c r="T123" s="136" t="e">
        <f>10000/USD</f>
        <v>#REF!</v>
      </c>
      <c r="U123" s="62">
        <f>10000+5000</f>
        <v>15000</v>
      </c>
      <c r="V123" s="136" t="e">
        <f>Table12118[[#This Row],[Amortised Limit in Original Currency]]/USD</f>
        <v>#REF!</v>
      </c>
      <c r="W123" s="136" t="e">
        <f>20000/USD</f>
        <v>#REF!</v>
      </c>
      <c r="X123" s="136" t="e">
        <f>3042812.49/USD</f>
        <v>#REF!</v>
      </c>
      <c r="Y123" s="136"/>
      <c r="Z123" s="365"/>
      <c r="AA123" s="147" t="s">
        <v>11</v>
      </c>
      <c r="AB123" s="185">
        <v>6.5000000000000002E-2</v>
      </c>
      <c r="AC123" s="185"/>
      <c r="AD123" s="137">
        <v>44712</v>
      </c>
      <c r="AE123" s="137">
        <v>46879</v>
      </c>
      <c r="AF123" s="137">
        <v>46920</v>
      </c>
      <c r="AG123" s="138">
        <f t="shared" si="15"/>
        <v>2209</v>
      </c>
      <c r="AH123" s="139" t="e">
        <f t="shared" si="16"/>
        <v>#REF!</v>
      </c>
      <c r="AI123" s="138" t="e">
        <f>AF123-#REF!</f>
        <v>#REF!</v>
      </c>
      <c r="AJ123" s="140" t="e">
        <f t="shared" si="18"/>
        <v>#REF!</v>
      </c>
      <c r="AK123" s="184"/>
      <c r="AL123" s="186" t="s">
        <v>1</v>
      </c>
      <c r="AM123" s="186" t="s">
        <v>1</v>
      </c>
      <c r="AN123" s="187" t="s">
        <v>0</v>
      </c>
      <c r="AO123" s="143" t="e">
        <f t="shared" si="19"/>
        <v>#REF!</v>
      </c>
      <c r="AP123" s="164" t="s">
        <v>271</v>
      </c>
      <c r="AQ123" s="188" t="s">
        <v>805</v>
      </c>
      <c r="AT123" s="197" t="str">
        <f>Table12118[[#This Row],[Risk Location ]]</f>
        <v>India</v>
      </c>
      <c r="AU123" s="198" t="str">
        <f>Table12118[[#This Row],[Sector (GICS Industry Group)]]</f>
        <v>Information Technology - Software &amp; Services</v>
      </c>
      <c r="AX123" s="212" t="e">
        <f>Table12118[[#This Row],[Percentage Impact]]*Table12118[[#This Row],[Amortised Limit A$ Balance]]</f>
        <v>#REF!</v>
      </c>
      <c r="AY123" s="212" t="e">
        <f>Table12118[[#This Row],[Amortised Limit A$ Balance]]*12%</f>
        <v>#REF!</v>
      </c>
      <c r="AZ123" s="212" t="b">
        <f>IF(Table12118[[#This Row],[Everest]]="Everest",Table12118[[#This Row],[Assetinsure Amount ]]*0.2)</f>
        <v>0</v>
      </c>
      <c r="BA123" s="212"/>
      <c r="BB123" s="212" t="e">
        <f>MIN(Table12118[[#This Row],[Assetinsure Amount ]]-Table12118[[#This Row],[Reinsurance Everest Re]],Table12118[[#This Row],[Total Amount]])</f>
        <v>#REF!</v>
      </c>
      <c r="BC123" s="212">
        <f t="shared" si="11"/>
        <v>0</v>
      </c>
      <c r="BG123" s="18">
        <v>0</v>
      </c>
      <c r="BH123" s="212">
        <v>0</v>
      </c>
      <c r="BI123" s="212">
        <v>0</v>
      </c>
      <c r="BJ123" s="212">
        <v>0</v>
      </c>
      <c r="BK123" s="212">
        <v>0</v>
      </c>
      <c r="BL123" s="212">
        <v>0</v>
      </c>
      <c r="BM123" s="212">
        <v>0</v>
      </c>
      <c r="BN123" s="226"/>
      <c r="BQ123" s="58" t="s">
        <v>1050</v>
      </c>
      <c r="BR123" s="112"/>
      <c r="BS123" s="372"/>
    </row>
    <row r="124" spans="1:72" ht="39.950000000000003" customHeight="1" x14ac:dyDescent="0.2">
      <c r="A124" s="131" t="s">
        <v>796</v>
      </c>
      <c r="B124" s="337" t="s">
        <v>1334</v>
      </c>
      <c r="C124" s="337" t="s">
        <v>1144</v>
      </c>
      <c r="D124" s="133" t="s">
        <v>38</v>
      </c>
      <c r="E124" s="14" t="s">
        <v>540</v>
      </c>
      <c r="F124" s="133" t="s">
        <v>229</v>
      </c>
      <c r="G124" s="14" t="s">
        <v>102</v>
      </c>
      <c r="H124" s="14" t="s">
        <v>102</v>
      </c>
      <c r="I124" s="130" t="s">
        <v>473</v>
      </c>
      <c r="J124" s="133" t="s">
        <v>142</v>
      </c>
      <c r="K124" s="192" t="s">
        <v>218</v>
      </c>
      <c r="L124" s="168" t="s">
        <v>29</v>
      </c>
      <c r="M124" s="194" t="s">
        <v>191</v>
      </c>
      <c r="N124" s="134" t="s">
        <v>323</v>
      </c>
      <c r="O124" s="167" t="s">
        <v>43</v>
      </c>
      <c r="P124" s="65">
        <v>2</v>
      </c>
      <c r="Q124" s="167" t="s">
        <v>531</v>
      </c>
      <c r="R124" s="65" t="s">
        <v>534</v>
      </c>
      <c r="S124" s="135" t="s">
        <v>9</v>
      </c>
      <c r="T124" s="136" t="e">
        <f>17500/USD</f>
        <v>#REF!</v>
      </c>
      <c r="U124" s="62">
        <v>17500</v>
      </c>
      <c r="V124" s="136" t="e">
        <f>Table12118[[#This Row],[Amortised Limit in Original Currency]]/USD</f>
        <v>#REF!</v>
      </c>
      <c r="W124" s="136" t="e">
        <f>25000/USD</f>
        <v>#REF!</v>
      </c>
      <c r="X124" s="136" t="e">
        <f>1654740.53/USD</f>
        <v>#REF!</v>
      </c>
      <c r="Y124" s="62" t="s">
        <v>16</v>
      </c>
      <c r="Z124" s="366">
        <v>0</v>
      </c>
      <c r="AA124" s="147" t="s">
        <v>11</v>
      </c>
      <c r="AB124" s="185">
        <v>9.3899999999999997E-2</v>
      </c>
      <c r="AC124" s="185"/>
      <c r="AD124" s="137">
        <v>44712</v>
      </c>
      <c r="AE124" s="137">
        <v>46517</v>
      </c>
      <c r="AF124" s="137">
        <v>46531</v>
      </c>
      <c r="AG124" s="138">
        <f t="shared" si="15"/>
        <v>1820</v>
      </c>
      <c r="AH124" s="139" t="e">
        <f t="shared" si="16"/>
        <v>#REF!</v>
      </c>
      <c r="AI124" s="138" t="e">
        <f>AF124-#REF!</f>
        <v>#REF!</v>
      </c>
      <c r="AJ124" s="140" t="e">
        <f t="shared" si="18"/>
        <v>#REF!</v>
      </c>
      <c r="AK124" s="184" t="s">
        <v>436</v>
      </c>
      <c r="AL124" s="186" t="s">
        <v>1</v>
      </c>
      <c r="AM124" s="186" t="s">
        <v>1</v>
      </c>
      <c r="AN124" s="187" t="s">
        <v>0</v>
      </c>
      <c r="AO124" s="143" t="e">
        <f t="shared" si="19"/>
        <v>#REF!</v>
      </c>
      <c r="AP124" s="164" t="s">
        <v>563</v>
      </c>
      <c r="AQ124" s="188" t="s">
        <v>871</v>
      </c>
      <c r="AT124" s="197" t="str">
        <f>Table12118[[#This Row],[Risk Location ]]</f>
        <v>Vietnam</v>
      </c>
      <c r="AU124" s="198" t="str">
        <f>Table12118[[#This Row],[Sector (GICS Industry Group)]]</f>
        <v>Real Estate Investment</v>
      </c>
      <c r="AV124" s="229">
        <v>1</v>
      </c>
      <c r="AW124" s="310">
        <v>0.05</v>
      </c>
      <c r="AX124" s="212" t="e">
        <f>Table12118[[#This Row],[Percentage Impact]]*Table12118[[#This Row],[Amortised Limit A$ Balance]]</f>
        <v>#REF!</v>
      </c>
      <c r="AY124" s="212" t="e">
        <f>Table12118[[#This Row],[Amortised Limit A$ Balance]]*12%</f>
        <v>#REF!</v>
      </c>
      <c r="AZ124" s="212" t="e">
        <f>IF(Table12118[[#This Row],[Everest]]="Everest",Table12118[[#This Row],[Assetinsure Amount ]]*0.2)</f>
        <v>#REF!</v>
      </c>
      <c r="BA124" s="278"/>
      <c r="BB124" s="212" t="e">
        <f>MIN(Table12118[[#This Row],[Assetinsure Amount ]]-Table12118[[#This Row],[Reinsurance Everest Re]],Table12118[[#This Row],[Total Amount]])</f>
        <v>#REF!</v>
      </c>
      <c r="BC124" s="212">
        <f t="shared" si="11"/>
        <v>1312.5410825358836</v>
      </c>
      <c r="BD124" s="288" t="s">
        <v>1340</v>
      </c>
      <c r="BG124" s="18">
        <v>1310.6669143602448</v>
      </c>
      <c r="BH124" s="212">
        <v>1312.5410825358836</v>
      </c>
      <c r="BI124" s="212">
        <v>1271.3340016142893</v>
      </c>
      <c r="BJ124" s="212">
        <v>0</v>
      </c>
      <c r="BK124" s="212">
        <v>0</v>
      </c>
      <c r="BL124" s="212">
        <v>0</v>
      </c>
      <c r="BM124" s="212">
        <v>0</v>
      </c>
      <c r="BN124" s="226"/>
      <c r="BQ124" s="58" t="s">
        <v>1051</v>
      </c>
      <c r="BR124" s="112"/>
      <c r="BS124" s="372"/>
    </row>
    <row r="125" spans="1:72" ht="39.950000000000003" customHeight="1" x14ac:dyDescent="0.2">
      <c r="A125" s="131" t="s">
        <v>808</v>
      </c>
      <c r="B125" s="337" t="s">
        <v>23</v>
      </c>
      <c r="C125" s="337" t="s">
        <v>1141</v>
      </c>
      <c r="D125" s="133" t="s">
        <v>149</v>
      </c>
      <c r="E125" s="14" t="s">
        <v>542</v>
      </c>
      <c r="F125" s="133" t="s">
        <v>166</v>
      </c>
      <c r="G125" s="66" t="s">
        <v>106</v>
      </c>
      <c r="H125" s="66" t="s">
        <v>106</v>
      </c>
      <c r="I125" s="66" t="s">
        <v>107</v>
      </c>
      <c r="J125" s="14" t="s">
        <v>148</v>
      </c>
      <c r="K125" s="66" t="s">
        <v>148</v>
      </c>
      <c r="L125" s="168" t="s">
        <v>101</v>
      </c>
      <c r="M125" s="194" t="s">
        <v>191</v>
      </c>
      <c r="N125" s="134" t="s">
        <v>59</v>
      </c>
      <c r="O125" s="167" t="s">
        <v>43</v>
      </c>
      <c r="P125" s="65">
        <v>2</v>
      </c>
      <c r="Q125" s="167" t="s">
        <v>531</v>
      </c>
      <c r="R125" s="65" t="s">
        <v>534</v>
      </c>
      <c r="S125" s="135" t="s">
        <v>59</v>
      </c>
      <c r="T125" s="136" t="e">
        <f>10000/EUR</f>
        <v>#REF!</v>
      </c>
      <c r="U125" s="62">
        <v>10000</v>
      </c>
      <c r="V125" s="136" t="e">
        <f>Table12118[[#This Row],[Amortised Limit in Original Currency]]/EUR</f>
        <v>#REF!</v>
      </c>
      <c r="W125" s="136" t="e">
        <f>50000/EUR</f>
        <v>#REF!</v>
      </c>
      <c r="X125" s="136" t="e">
        <f>519399.11/EUR</f>
        <v>#REF!</v>
      </c>
      <c r="Y125" s="136"/>
      <c r="Z125" s="365"/>
      <c r="AA125" s="147" t="s">
        <v>11</v>
      </c>
      <c r="AB125" s="185">
        <v>3.7999999999999999E-2</v>
      </c>
      <c r="AC125" s="185"/>
      <c r="AD125" s="137">
        <v>44726</v>
      </c>
      <c r="AE125" s="137">
        <v>45819</v>
      </c>
      <c r="AF125" s="137">
        <v>45819</v>
      </c>
      <c r="AG125" s="138">
        <f t="shared" si="15"/>
        <v>1094</v>
      </c>
      <c r="AH125" s="139" t="e">
        <f t="shared" si="16"/>
        <v>#REF!</v>
      </c>
      <c r="AI125" s="138" t="e">
        <f>AF125-#REF!</f>
        <v>#REF!</v>
      </c>
      <c r="AJ125" s="140" t="e">
        <f t="shared" si="18"/>
        <v>#REF!</v>
      </c>
      <c r="AK125" s="184"/>
      <c r="AL125" s="186" t="s">
        <v>1</v>
      </c>
      <c r="AM125" s="186" t="s">
        <v>1</v>
      </c>
      <c r="AN125" s="187" t="s">
        <v>0</v>
      </c>
      <c r="AO125" s="143" t="e">
        <f t="shared" si="19"/>
        <v>#REF!</v>
      </c>
      <c r="AP125" s="164" t="s">
        <v>563</v>
      </c>
      <c r="AQ125" s="188" t="s">
        <v>812</v>
      </c>
      <c r="AT125" s="197" t="str">
        <f>Table12118[[#This Row],[Risk Location ]]</f>
        <v>France</v>
      </c>
      <c r="AU125" s="198" t="str">
        <f>Table12118[[#This Row],[Sector (GICS Industry Group)]]</f>
        <v>Real Estate Management &amp; Development</v>
      </c>
      <c r="AX125" s="212" t="e">
        <f>Table12118[[#This Row],[Percentage Impact]]*Table12118[[#This Row],[Amortised Limit A$ Balance]]</f>
        <v>#REF!</v>
      </c>
      <c r="AY125" s="212" t="e">
        <f>Table12118[[#This Row],[Amortised Limit A$ Balance]]*12%</f>
        <v>#REF!</v>
      </c>
      <c r="AZ125" s="212" t="b">
        <f>IF(Table12118[[#This Row],[Everest]]="Everest",Table12118[[#This Row],[Assetinsure Amount ]]*0.2)</f>
        <v>0</v>
      </c>
      <c r="BA125" s="212"/>
      <c r="BB125" s="212" t="e">
        <f>MIN(Table12118[[#This Row],[Assetinsure Amount ]]-Table12118[[#This Row],[Reinsurance Everest Re]],Table12118[[#This Row],[Total Amount]])</f>
        <v>#REF!</v>
      </c>
      <c r="BC125" s="212">
        <f t="shared" si="11"/>
        <v>0</v>
      </c>
      <c r="BG125" s="18">
        <v>0</v>
      </c>
      <c r="BH125" s="212">
        <v>0</v>
      </c>
      <c r="BI125" s="212">
        <v>0</v>
      </c>
      <c r="BJ125" s="212">
        <v>0</v>
      </c>
      <c r="BK125" s="212">
        <v>0</v>
      </c>
      <c r="BL125" s="212">
        <v>0</v>
      </c>
      <c r="BM125" s="212">
        <v>0</v>
      </c>
      <c r="BN125" s="226"/>
      <c r="BQ125" s="58" t="s">
        <v>1052</v>
      </c>
      <c r="BR125" s="112"/>
      <c r="BS125" s="377" t="s">
        <v>103</v>
      </c>
    </row>
    <row r="126" spans="1:72" ht="39.950000000000003" customHeight="1" x14ac:dyDescent="0.2">
      <c r="A126" s="131" t="s">
        <v>809</v>
      </c>
      <c r="B126" s="337" t="s">
        <v>23</v>
      </c>
      <c r="C126" s="337" t="s">
        <v>1142</v>
      </c>
      <c r="D126" s="133" t="s">
        <v>34</v>
      </c>
      <c r="E126" s="131" t="s">
        <v>34</v>
      </c>
      <c r="F126" s="133" t="s">
        <v>34</v>
      </c>
      <c r="G126" s="131" t="s">
        <v>439</v>
      </c>
      <c r="H126" s="66" t="s">
        <v>444</v>
      </c>
      <c r="I126" s="66" t="s">
        <v>444</v>
      </c>
      <c r="J126" s="133" t="s">
        <v>656</v>
      </c>
      <c r="K126" s="192" t="s">
        <v>656</v>
      </c>
      <c r="L126" s="168" t="s">
        <v>209</v>
      </c>
      <c r="M126" s="194" t="s">
        <v>191</v>
      </c>
      <c r="N126" s="134" t="s">
        <v>323</v>
      </c>
      <c r="O126" s="167" t="s">
        <v>43</v>
      </c>
      <c r="P126" s="65">
        <v>4</v>
      </c>
      <c r="Q126" s="167" t="s">
        <v>531</v>
      </c>
      <c r="R126" s="65" t="s">
        <v>534</v>
      </c>
      <c r="S126" s="135" t="s">
        <v>8</v>
      </c>
      <c r="T126" s="136">
        <v>10000</v>
      </c>
      <c r="U126" s="62">
        <v>10000</v>
      </c>
      <c r="V126" s="136">
        <f>Table12118[[#This Row],[Amortised Limit in Original Currency]]</f>
        <v>10000</v>
      </c>
      <c r="W126" s="136">
        <f>51000</f>
        <v>51000</v>
      </c>
      <c r="X126" s="136">
        <v>558704.54</v>
      </c>
      <c r="Y126" s="136"/>
      <c r="Z126" s="365"/>
      <c r="AA126" s="147" t="s">
        <v>11</v>
      </c>
      <c r="AB126" s="185">
        <v>0.04</v>
      </c>
      <c r="AC126" s="185"/>
      <c r="AD126" s="137">
        <v>44735</v>
      </c>
      <c r="AE126" s="137">
        <v>45900</v>
      </c>
      <c r="AF126" s="137">
        <v>45900</v>
      </c>
      <c r="AG126" s="138">
        <f t="shared" si="15"/>
        <v>1166</v>
      </c>
      <c r="AH126" s="139" t="e">
        <f t="shared" si="16"/>
        <v>#REF!</v>
      </c>
      <c r="AI126" s="138" t="e">
        <f>AF126-#REF!</f>
        <v>#REF!</v>
      </c>
      <c r="AJ126" s="140" t="e">
        <f t="shared" si="18"/>
        <v>#REF!</v>
      </c>
      <c r="AK126" s="184"/>
      <c r="AL126" s="186" t="s">
        <v>1</v>
      </c>
      <c r="AM126" s="186" t="s">
        <v>1</v>
      </c>
      <c r="AN126" s="187" t="s">
        <v>0</v>
      </c>
      <c r="AO126" s="143" t="e">
        <f t="shared" si="19"/>
        <v>#REF!</v>
      </c>
      <c r="AP126" s="164" t="s">
        <v>563</v>
      </c>
      <c r="AQ126" s="188" t="s">
        <v>813</v>
      </c>
      <c r="AT126" s="197" t="str">
        <f>Table12118[[#This Row],[Risk Location ]]</f>
        <v>Australia</v>
      </c>
      <c r="AU126" s="198" t="str">
        <f>Table12118[[#This Row],[Sector (GICS Industry Group)]]</f>
        <v>Utilities</v>
      </c>
      <c r="AX126" s="212">
        <f>Table12118[[#This Row],[Percentage Impact]]*Table12118[[#This Row],[Amortised Limit A$ Balance]]</f>
        <v>0</v>
      </c>
      <c r="AY126" s="212">
        <f>Table12118[[#This Row],[Amortised Limit A$ Balance]]*12%</f>
        <v>1200</v>
      </c>
      <c r="AZ126" s="212" t="b">
        <f>IF(Table12118[[#This Row],[Everest]]="Everest",Table12118[[#This Row],[Assetinsure Amount ]]*0.2)</f>
        <v>0</v>
      </c>
      <c r="BA126" s="212"/>
      <c r="BB126" s="212">
        <f>MIN(Table12118[[#This Row],[Assetinsure Amount ]]-Table12118[[#This Row],[Reinsurance Everest Re]],Table12118[[#This Row],[Total Amount]])</f>
        <v>0</v>
      </c>
      <c r="BC126" s="212">
        <f t="shared" si="11"/>
        <v>0</v>
      </c>
      <c r="BG126" s="18">
        <v>0</v>
      </c>
      <c r="BH126" s="212">
        <v>0</v>
      </c>
      <c r="BI126" s="212">
        <v>0</v>
      </c>
      <c r="BJ126" s="212">
        <v>0</v>
      </c>
      <c r="BK126" s="212">
        <v>0</v>
      </c>
      <c r="BL126" s="212">
        <v>0</v>
      </c>
      <c r="BM126" s="212">
        <v>0</v>
      </c>
      <c r="BN126" s="226"/>
      <c r="BQ126" s="58" t="s">
        <v>1053</v>
      </c>
      <c r="BR126" s="112"/>
      <c r="BS126" s="372"/>
    </row>
    <row r="127" spans="1:72" ht="39.950000000000003" customHeight="1" x14ac:dyDescent="0.2">
      <c r="A127" s="131" t="s">
        <v>235</v>
      </c>
      <c r="B127" s="337" t="s">
        <v>23</v>
      </c>
      <c r="C127" s="337" t="s">
        <v>1144</v>
      </c>
      <c r="D127" s="133" t="s">
        <v>37</v>
      </c>
      <c r="E127" s="131" t="s">
        <v>542</v>
      </c>
      <c r="F127" s="133" t="s">
        <v>91</v>
      </c>
      <c r="G127" s="14" t="s">
        <v>173</v>
      </c>
      <c r="H127" s="66" t="s">
        <v>174</v>
      </c>
      <c r="I127" s="14" t="s">
        <v>172</v>
      </c>
      <c r="J127" s="133" t="s">
        <v>236</v>
      </c>
      <c r="K127" s="192" t="s">
        <v>21</v>
      </c>
      <c r="L127" s="168" t="s">
        <v>139</v>
      </c>
      <c r="M127" s="194" t="s">
        <v>191</v>
      </c>
      <c r="N127" s="134" t="s">
        <v>323</v>
      </c>
      <c r="O127" s="167" t="s">
        <v>43</v>
      </c>
      <c r="P127" s="65">
        <v>2</v>
      </c>
      <c r="Q127" s="167" t="s">
        <v>533</v>
      </c>
      <c r="R127" s="65" t="s">
        <v>534</v>
      </c>
      <c r="S127" s="135" t="s">
        <v>59</v>
      </c>
      <c r="T127" s="136" t="e">
        <f>20000/EUR</f>
        <v>#REF!</v>
      </c>
      <c r="U127" s="62">
        <v>20000</v>
      </c>
      <c r="V127" s="136" t="e">
        <f>Table12118[[#This Row],[Amortised Limit in Original Currency]]/EUR</f>
        <v>#REF!</v>
      </c>
      <c r="W127" s="136" t="e">
        <f>100000/EUR</f>
        <v>#REF!</v>
      </c>
      <c r="X127" s="136" t="e">
        <f>384069.11/EUR</f>
        <v>#REF!</v>
      </c>
      <c r="Y127" s="62" t="s">
        <v>16</v>
      </c>
      <c r="Z127" s="366">
        <v>0</v>
      </c>
      <c r="AA127" s="147" t="s">
        <v>11</v>
      </c>
      <c r="AB127" s="185">
        <v>1.0999999999999999E-2</v>
      </c>
      <c r="AC127" s="185"/>
      <c r="AD127" s="137">
        <v>44742</v>
      </c>
      <c r="AE127" s="137">
        <v>45827</v>
      </c>
      <c r="AF127" s="137">
        <v>45827</v>
      </c>
      <c r="AG127" s="138">
        <f t="shared" si="15"/>
        <v>1086</v>
      </c>
      <c r="AH127" s="139" t="e">
        <f t="shared" si="16"/>
        <v>#REF!</v>
      </c>
      <c r="AI127" s="138" t="e">
        <f>AF127-#REF!</f>
        <v>#REF!</v>
      </c>
      <c r="AJ127" s="140" t="e">
        <f t="shared" si="18"/>
        <v>#REF!</v>
      </c>
      <c r="AK127" s="184" t="s">
        <v>436</v>
      </c>
      <c r="AL127" s="186" t="s">
        <v>1</v>
      </c>
      <c r="AM127" s="186" t="s">
        <v>1</v>
      </c>
      <c r="AN127" s="187" t="s">
        <v>0</v>
      </c>
      <c r="AO127" s="143" t="e">
        <f t="shared" si="19"/>
        <v>#REF!</v>
      </c>
      <c r="AP127" s="164" t="s">
        <v>563</v>
      </c>
      <c r="AQ127" s="188" t="s">
        <v>1246</v>
      </c>
      <c r="AT127" s="197" t="str">
        <f>Table12118[[#This Row],[Risk Location ]]</f>
        <v>Sweden</v>
      </c>
      <c r="AU127" s="198" t="str">
        <f>Table12118[[#This Row],[Sector (GICS Industry Group)]]</f>
        <v>Automobiles &amp; Components</v>
      </c>
      <c r="AX127" s="212" t="e">
        <f>Table12118[[#This Row],[Percentage Impact]]*Table12118[[#This Row],[Amortised Limit A$ Balance]]</f>
        <v>#REF!</v>
      </c>
      <c r="AY127" s="212" t="e">
        <f>Table12118[[#This Row],[Amortised Limit A$ Balance]]*12%</f>
        <v>#REF!</v>
      </c>
      <c r="AZ127" s="212" t="e">
        <f>IF(Table12118[[#This Row],[Everest]]="Everest",Table12118[[#This Row],[Assetinsure Amount ]]*0.2)</f>
        <v>#REF!</v>
      </c>
      <c r="BA127" s="212"/>
      <c r="BB127" s="212" t="e">
        <f>MIN(Table12118[[#This Row],[Assetinsure Amount ]]-Table12118[[#This Row],[Reinsurance Everest Re]],Table12118[[#This Row],[Total Amount]])</f>
        <v>#REF!</v>
      </c>
      <c r="BC127" s="212">
        <f t="shared" si="11"/>
        <v>0</v>
      </c>
      <c r="BG127" s="18">
        <v>0</v>
      </c>
      <c r="BH127" s="212">
        <v>0</v>
      </c>
      <c r="BI127" s="212">
        <v>0</v>
      </c>
      <c r="BJ127" s="212">
        <v>0</v>
      </c>
      <c r="BK127" s="212">
        <v>0</v>
      </c>
      <c r="BL127" s="212">
        <v>0</v>
      </c>
      <c r="BM127" s="212">
        <v>0</v>
      </c>
      <c r="BN127" s="226"/>
      <c r="BQ127" s="58" t="s">
        <v>1054</v>
      </c>
      <c r="BR127" s="112"/>
      <c r="BS127" s="372"/>
    </row>
    <row r="128" spans="1:72" ht="39.950000000000003" customHeight="1" x14ac:dyDescent="0.2">
      <c r="A128" s="131" t="s">
        <v>810</v>
      </c>
      <c r="B128" s="337" t="s">
        <v>23</v>
      </c>
      <c r="C128" s="337" t="s">
        <v>243</v>
      </c>
      <c r="D128" s="133" t="s">
        <v>149</v>
      </c>
      <c r="E128" s="131" t="s">
        <v>499</v>
      </c>
      <c r="F128" s="161" t="s">
        <v>162</v>
      </c>
      <c r="G128" s="131" t="s">
        <v>92</v>
      </c>
      <c r="H128" s="66" t="s">
        <v>134</v>
      </c>
      <c r="I128" s="131" t="s">
        <v>134</v>
      </c>
      <c r="J128" s="14" t="s">
        <v>148</v>
      </c>
      <c r="K128" s="66" t="s">
        <v>148</v>
      </c>
      <c r="L128" s="168" t="s">
        <v>68</v>
      </c>
      <c r="M128" s="194" t="s">
        <v>191</v>
      </c>
      <c r="N128" s="134" t="s">
        <v>59</v>
      </c>
      <c r="O128" s="167" t="s">
        <v>43</v>
      </c>
      <c r="P128" s="65">
        <v>2</v>
      </c>
      <c r="Q128" s="167" t="s">
        <v>531</v>
      </c>
      <c r="R128" s="65" t="s">
        <v>534</v>
      </c>
      <c r="S128" s="135" t="s">
        <v>9</v>
      </c>
      <c r="T128" s="136" t="e">
        <f>15000/USD</f>
        <v>#REF!</v>
      </c>
      <c r="U128" s="62">
        <v>15000</v>
      </c>
      <c r="V128" s="136" t="e">
        <f>Table12118[[#This Row],[Amortised Limit in Original Currency]]/USD</f>
        <v>#REF!</v>
      </c>
      <c r="W128" s="136" t="e">
        <f>120000/USD</f>
        <v>#REF!</v>
      </c>
      <c r="X128" s="136" t="e">
        <f>435427.89/USD</f>
        <v>#REF!</v>
      </c>
      <c r="Y128" s="136"/>
      <c r="Z128" s="365"/>
      <c r="AA128" s="147" t="s">
        <v>11</v>
      </c>
      <c r="AB128" s="185">
        <v>2.4E-2</v>
      </c>
      <c r="AC128" s="185"/>
      <c r="AD128" s="137">
        <v>44741</v>
      </c>
      <c r="AE128" s="137">
        <v>46527</v>
      </c>
      <c r="AF128" s="137">
        <v>46527</v>
      </c>
      <c r="AG128" s="138">
        <f t="shared" si="15"/>
        <v>1787</v>
      </c>
      <c r="AH128" s="139" t="e">
        <f t="shared" si="16"/>
        <v>#REF!</v>
      </c>
      <c r="AI128" s="138" t="e">
        <f>AF128-#REF!</f>
        <v>#REF!</v>
      </c>
      <c r="AJ128" s="140" t="e">
        <f t="shared" si="18"/>
        <v>#REF!</v>
      </c>
      <c r="AK128" s="184"/>
      <c r="AL128" s="186" t="s">
        <v>1</v>
      </c>
      <c r="AM128" s="186" t="s">
        <v>1</v>
      </c>
      <c r="AN128" s="187" t="s">
        <v>0</v>
      </c>
      <c r="AO128" s="143" t="e">
        <f t="shared" si="19"/>
        <v>#REF!</v>
      </c>
      <c r="AP128" s="164" t="s">
        <v>563</v>
      </c>
      <c r="AQ128" s="188" t="s">
        <v>814</v>
      </c>
      <c r="AT128" s="197" t="str">
        <f>Table12118[[#This Row],[Risk Location ]]</f>
        <v>United States</v>
      </c>
      <c r="AU128" s="198" t="str">
        <f>Table12118[[#This Row],[Sector (GICS Industry Group)]]</f>
        <v>Transportation</v>
      </c>
      <c r="AX128" s="212" t="e">
        <f>Table12118[[#This Row],[Percentage Impact]]*Table12118[[#This Row],[Amortised Limit A$ Balance]]</f>
        <v>#REF!</v>
      </c>
      <c r="AY128" s="212" t="e">
        <f>Table12118[[#This Row],[Amortised Limit A$ Balance]]*12%</f>
        <v>#REF!</v>
      </c>
      <c r="AZ128" s="212" t="b">
        <f>IF(Table12118[[#This Row],[Everest]]="Everest",Table12118[[#This Row],[Assetinsure Amount ]]*0.2)</f>
        <v>0</v>
      </c>
      <c r="BA128" s="212"/>
      <c r="BB128" s="212" t="e">
        <f>MIN(Table12118[[#This Row],[Assetinsure Amount ]]-Table12118[[#This Row],[Reinsurance Everest Re]],Table12118[[#This Row],[Total Amount]])</f>
        <v>#REF!</v>
      </c>
      <c r="BC128" s="212">
        <f t="shared" si="11"/>
        <v>0</v>
      </c>
      <c r="BG128" s="18">
        <v>0</v>
      </c>
      <c r="BH128" s="212">
        <v>0</v>
      </c>
      <c r="BI128" s="212">
        <v>0</v>
      </c>
      <c r="BJ128" s="212">
        <v>0</v>
      </c>
      <c r="BK128" s="212">
        <v>0</v>
      </c>
      <c r="BL128" s="212">
        <v>0</v>
      </c>
      <c r="BM128" s="212">
        <v>0</v>
      </c>
      <c r="BN128" s="226"/>
      <c r="BQ128" s="58" t="s">
        <v>1055</v>
      </c>
      <c r="BR128" s="112"/>
      <c r="BS128" s="372"/>
    </row>
    <row r="129" spans="1:72" ht="39.950000000000003" customHeight="1" x14ac:dyDescent="0.2">
      <c r="A129" s="131" t="s">
        <v>811</v>
      </c>
      <c r="B129" s="337" t="s">
        <v>307</v>
      </c>
      <c r="C129" s="337" t="s">
        <v>1143</v>
      </c>
      <c r="D129" s="133" t="s">
        <v>162</v>
      </c>
      <c r="E129" s="14" t="s">
        <v>499</v>
      </c>
      <c r="F129" s="161" t="s">
        <v>162</v>
      </c>
      <c r="G129" s="14" t="s">
        <v>102</v>
      </c>
      <c r="H129" s="14" t="s">
        <v>102</v>
      </c>
      <c r="I129" s="66" t="s">
        <v>110</v>
      </c>
      <c r="J129" s="131" t="s">
        <v>509</v>
      </c>
      <c r="K129" s="133" t="s">
        <v>222</v>
      </c>
      <c r="L129" s="168" t="s">
        <v>101</v>
      </c>
      <c r="M129" s="194" t="s">
        <v>191</v>
      </c>
      <c r="N129" s="134" t="s">
        <v>59</v>
      </c>
      <c r="O129" s="167" t="s">
        <v>43</v>
      </c>
      <c r="P129" s="65">
        <v>2</v>
      </c>
      <c r="Q129" s="167" t="s">
        <v>538</v>
      </c>
      <c r="R129" s="65" t="s">
        <v>534</v>
      </c>
      <c r="S129" s="135" t="s">
        <v>9</v>
      </c>
      <c r="T129" s="136" t="e">
        <f>10000/USD</f>
        <v>#REF!</v>
      </c>
      <c r="U129" s="62">
        <v>10000</v>
      </c>
      <c r="V129" s="136" t="e">
        <f>Table12118[[#This Row],[Amortised Limit in Original Currency]]/USD</f>
        <v>#REF!</v>
      </c>
      <c r="W129" s="136" t="e">
        <f>70500/USD</f>
        <v>#REF!</v>
      </c>
      <c r="X129" s="136" t="e">
        <f>605837.51/USD</f>
        <v>#REF!</v>
      </c>
      <c r="Y129" s="136"/>
      <c r="Z129" s="365"/>
      <c r="AA129" s="147" t="s">
        <v>11</v>
      </c>
      <c r="AB129" s="185">
        <v>2.75E-2</v>
      </c>
      <c r="AC129" s="185"/>
      <c r="AD129" s="137">
        <v>44735</v>
      </c>
      <c r="AE129" s="137">
        <v>46420</v>
      </c>
      <c r="AF129" s="137">
        <v>46420</v>
      </c>
      <c r="AG129" s="138">
        <f t="shared" si="15"/>
        <v>1686</v>
      </c>
      <c r="AH129" s="139" t="e">
        <f t="shared" si="16"/>
        <v>#REF!</v>
      </c>
      <c r="AI129" s="138" t="e">
        <f>AF129-#REF!</f>
        <v>#REF!</v>
      </c>
      <c r="AJ129" s="140" t="e">
        <f t="shared" si="18"/>
        <v>#REF!</v>
      </c>
      <c r="AK129" s="184"/>
      <c r="AL129" s="186" t="s">
        <v>1</v>
      </c>
      <c r="AM129" s="186" t="s">
        <v>1</v>
      </c>
      <c r="AN129" s="187" t="s">
        <v>0</v>
      </c>
      <c r="AO129" s="143" t="e">
        <f t="shared" si="19"/>
        <v>#REF!</v>
      </c>
      <c r="AP129" s="164" t="s">
        <v>563</v>
      </c>
      <c r="AQ129" s="188" t="s">
        <v>815</v>
      </c>
      <c r="AT129" s="197" t="str">
        <f>Table12118[[#This Row],[Risk Location ]]</f>
        <v>United States</v>
      </c>
      <c r="AU129" s="198" t="str">
        <f>Table12118[[#This Row],[Sector (GICS Industry Group)]]</f>
        <v>Real Estate Investment</v>
      </c>
      <c r="AX129" s="212" t="e">
        <f>Table12118[[#This Row],[Percentage Impact]]*Table12118[[#This Row],[Amortised Limit A$ Balance]]</f>
        <v>#REF!</v>
      </c>
      <c r="AY129" s="212" t="e">
        <f>Table12118[[#This Row],[Amortised Limit A$ Balance]]*12%</f>
        <v>#REF!</v>
      </c>
      <c r="AZ129" s="212" t="b">
        <f>IF(Table12118[[#This Row],[Everest]]="Everest",Table12118[[#This Row],[Assetinsure Amount ]]*0.2)</f>
        <v>0</v>
      </c>
      <c r="BA129" s="212"/>
      <c r="BB129" s="212" t="e">
        <f>MIN(Table12118[[#This Row],[Assetinsure Amount ]]-Table12118[[#This Row],[Reinsurance Everest Re]],Table12118[[#This Row],[Total Amount]])</f>
        <v>#REF!</v>
      </c>
      <c r="BC129" s="212">
        <f t="shared" si="11"/>
        <v>0</v>
      </c>
      <c r="BG129" s="18">
        <v>0</v>
      </c>
      <c r="BH129" s="212">
        <v>0</v>
      </c>
      <c r="BI129" s="212">
        <v>0</v>
      </c>
      <c r="BJ129" s="212">
        <v>0</v>
      </c>
      <c r="BK129" s="212">
        <v>0</v>
      </c>
      <c r="BL129" s="212">
        <v>0</v>
      </c>
      <c r="BM129" s="212">
        <v>0</v>
      </c>
      <c r="BN129" s="226"/>
      <c r="BQ129" s="58" t="s">
        <v>1056</v>
      </c>
      <c r="BR129" s="112"/>
      <c r="BS129" s="372"/>
    </row>
    <row r="130" spans="1:72" ht="39.950000000000003" customHeight="1" x14ac:dyDescent="0.2">
      <c r="A130" s="131" t="s">
        <v>835</v>
      </c>
      <c r="B130" s="337" t="s">
        <v>67</v>
      </c>
      <c r="C130" s="337" t="s">
        <v>243</v>
      </c>
      <c r="D130" s="133" t="s">
        <v>684</v>
      </c>
      <c r="E130" s="131" t="s">
        <v>542</v>
      </c>
      <c r="F130" s="161" t="s">
        <v>193</v>
      </c>
      <c r="G130" s="14" t="s">
        <v>891</v>
      </c>
      <c r="H130" s="66" t="s">
        <v>167</v>
      </c>
      <c r="I130" s="131" t="s">
        <v>167</v>
      </c>
      <c r="J130" s="14" t="s">
        <v>826</v>
      </c>
      <c r="K130" s="66" t="s">
        <v>218</v>
      </c>
      <c r="L130" s="168" t="s">
        <v>209</v>
      </c>
      <c r="M130" s="194" t="s">
        <v>191</v>
      </c>
      <c r="N130" s="134" t="s">
        <v>59</v>
      </c>
      <c r="O130" s="167" t="s">
        <v>43</v>
      </c>
      <c r="P130" s="65">
        <v>2</v>
      </c>
      <c r="Q130" s="167" t="s">
        <v>531</v>
      </c>
      <c r="R130" s="65" t="s">
        <v>534</v>
      </c>
      <c r="S130" s="135" t="s">
        <v>823</v>
      </c>
      <c r="T130" s="136" t="e">
        <f>7000/CHF</f>
        <v>#REF!</v>
      </c>
      <c r="U130" s="62">
        <v>7000</v>
      </c>
      <c r="V130" s="136" t="e" cm="1">
        <f t="array" ref="V130">Table12118[[#This Row],[Amortised Limit in Original Currency]]/CHF</f>
        <v>#REF!</v>
      </c>
      <c r="W130" s="136">
        <v>14000</v>
      </c>
      <c r="X130" s="136" t="e">
        <f>535139.76/CHF</f>
        <v>#REF!</v>
      </c>
      <c r="Y130" s="62" t="s">
        <v>16</v>
      </c>
      <c r="Z130" s="366">
        <v>0</v>
      </c>
      <c r="AA130" s="147" t="s">
        <v>11</v>
      </c>
      <c r="AB130" s="185">
        <v>0.03</v>
      </c>
      <c r="AC130" s="185"/>
      <c r="AD130" s="137">
        <v>44743</v>
      </c>
      <c r="AE130" s="137">
        <v>46569</v>
      </c>
      <c r="AF130" s="137">
        <v>46569</v>
      </c>
      <c r="AG130" s="138">
        <f t="shared" si="15"/>
        <v>1827</v>
      </c>
      <c r="AH130" s="139" t="e">
        <f t="shared" si="16"/>
        <v>#REF!</v>
      </c>
      <c r="AI130" s="138" t="e">
        <f>AF130-#REF!</f>
        <v>#REF!</v>
      </c>
      <c r="AJ130" s="140" t="e">
        <f t="shared" si="18"/>
        <v>#REF!</v>
      </c>
      <c r="AK130" s="184" t="s">
        <v>436</v>
      </c>
      <c r="AL130" s="186" t="s">
        <v>1</v>
      </c>
      <c r="AM130" s="186" t="s">
        <v>1</v>
      </c>
      <c r="AN130" s="187" t="s">
        <v>0</v>
      </c>
      <c r="AO130" s="143" t="e">
        <f t="shared" si="19"/>
        <v>#REF!</v>
      </c>
      <c r="AP130" s="164" t="s">
        <v>271</v>
      </c>
      <c r="AQ130" s="188" t="s">
        <v>831</v>
      </c>
      <c r="AT130" s="197" t="str">
        <f>Table12118[[#This Row],[Risk Location ]]</f>
        <v>Switzerland</v>
      </c>
      <c r="AU130" s="198" t="str">
        <f>Table12118[[#This Row],[Sector (GICS Industry Group)]]</f>
        <v>Information Technology - Hardware &amp; Equipment</v>
      </c>
      <c r="AX130" s="212" t="e">
        <f>Table12118[[#This Row],[Percentage Impact]]*Table12118[[#This Row],[Amortised Limit A$ Balance]]</f>
        <v>#REF!</v>
      </c>
      <c r="AY130" s="212" t="e">
        <f>Table12118[[#This Row],[Amortised Limit A$ Balance]]*12%</f>
        <v>#REF!</v>
      </c>
      <c r="AZ130" s="212" t="e">
        <f>IF(Table12118[[#This Row],[Everest]]="Everest",Table12118[[#This Row],[Assetinsure Amount ]]*0.2)</f>
        <v>#REF!</v>
      </c>
      <c r="BA130" s="212"/>
      <c r="BB130" s="212" t="e">
        <f>MIN(Table12118[[#This Row],[Assetinsure Amount ]]-Table12118[[#This Row],[Reinsurance Everest Re]],Table12118[[#This Row],[Total Amount]])</f>
        <v>#REF!</v>
      </c>
      <c r="BC130" s="212">
        <f t="shared" si="11"/>
        <v>0</v>
      </c>
      <c r="BG130" s="18">
        <v>0</v>
      </c>
      <c r="BH130" s="212">
        <v>0</v>
      </c>
      <c r="BI130" s="212">
        <v>0</v>
      </c>
      <c r="BJ130" s="212">
        <v>0</v>
      </c>
      <c r="BK130" s="212">
        <v>0</v>
      </c>
      <c r="BL130" s="212">
        <v>0</v>
      </c>
      <c r="BM130" s="212">
        <v>0</v>
      </c>
      <c r="BN130" s="226"/>
      <c r="BQ130" s="58" t="s">
        <v>1057</v>
      </c>
      <c r="BR130" s="112"/>
      <c r="BS130" s="372"/>
    </row>
    <row r="131" spans="1:72" ht="39.950000000000003" customHeight="1" x14ac:dyDescent="0.2">
      <c r="A131" s="131" t="s">
        <v>834</v>
      </c>
      <c r="B131" s="337" t="s">
        <v>67</v>
      </c>
      <c r="C131" s="337" t="s">
        <v>243</v>
      </c>
      <c r="D131" s="133" t="s">
        <v>684</v>
      </c>
      <c r="E131" s="131" t="s">
        <v>542</v>
      </c>
      <c r="F131" s="161" t="s">
        <v>193</v>
      </c>
      <c r="G131" s="14" t="s">
        <v>891</v>
      </c>
      <c r="H131" s="66" t="s">
        <v>167</v>
      </c>
      <c r="I131" s="131" t="s">
        <v>167</v>
      </c>
      <c r="J131" s="14" t="s">
        <v>826</v>
      </c>
      <c r="K131" s="66" t="s">
        <v>218</v>
      </c>
      <c r="L131" s="168" t="s">
        <v>209</v>
      </c>
      <c r="M131" s="194" t="s">
        <v>191</v>
      </c>
      <c r="N131" s="134" t="s">
        <v>59</v>
      </c>
      <c r="O131" s="167" t="s">
        <v>43</v>
      </c>
      <c r="P131" s="65">
        <v>2</v>
      </c>
      <c r="Q131" s="167" t="s">
        <v>531</v>
      </c>
      <c r="R131" s="65" t="s">
        <v>534</v>
      </c>
      <c r="S131" s="135" t="s">
        <v>823</v>
      </c>
      <c r="T131" s="136" t="e">
        <f>7000/CHF</f>
        <v>#REF!</v>
      </c>
      <c r="U131" s="62">
        <v>7000</v>
      </c>
      <c r="V131" s="136" t="e">
        <f>Table12118[[#This Row],[Amortised Limit in Original Currency]]/CHF</f>
        <v>#REF!</v>
      </c>
      <c r="W131" s="136">
        <v>14000</v>
      </c>
      <c r="X131" s="136" t="e">
        <f>1451549.49/CHF</f>
        <v>#REF!</v>
      </c>
      <c r="Y131" s="62" t="s">
        <v>16</v>
      </c>
      <c r="Z131" s="366">
        <v>0</v>
      </c>
      <c r="AA131" s="147" t="s">
        <v>11</v>
      </c>
      <c r="AB131" s="185">
        <v>7.2900000000000006E-2</v>
      </c>
      <c r="AC131" s="185"/>
      <c r="AD131" s="137">
        <v>44743</v>
      </c>
      <c r="AE131" s="137">
        <v>46569</v>
      </c>
      <c r="AF131" s="137">
        <v>46569</v>
      </c>
      <c r="AG131" s="138">
        <f t="shared" si="15"/>
        <v>1827</v>
      </c>
      <c r="AH131" s="139" t="e">
        <f t="shared" si="16"/>
        <v>#REF!</v>
      </c>
      <c r="AI131" s="138" t="e">
        <f>AF131-#REF!</f>
        <v>#REF!</v>
      </c>
      <c r="AJ131" s="140" t="e">
        <f t="shared" si="18"/>
        <v>#REF!</v>
      </c>
      <c r="AK131" s="184" t="s">
        <v>436</v>
      </c>
      <c r="AL131" s="186" t="s">
        <v>1</v>
      </c>
      <c r="AM131" s="186" t="s">
        <v>1</v>
      </c>
      <c r="AN131" s="187" t="s">
        <v>0</v>
      </c>
      <c r="AO131" s="143" t="e">
        <f t="shared" si="19"/>
        <v>#REF!</v>
      </c>
      <c r="AP131" s="164" t="s">
        <v>271</v>
      </c>
      <c r="AQ131" s="188" t="s">
        <v>832</v>
      </c>
      <c r="AT131" s="197" t="str">
        <f>Table12118[[#This Row],[Risk Location ]]</f>
        <v>Switzerland</v>
      </c>
      <c r="AU131" s="198" t="str">
        <f>Table12118[[#This Row],[Sector (GICS Industry Group)]]</f>
        <v>Information Technology - Hardware &amp; Equipment</v>
      </c>
      <c r="AX131" s="212" t="e">
        <f>Table12118[[#This Row],[Percentage Impact]]*Table12118[[#This Row],[Amortised Limit A$ Balance]]</f>
        <v>#REF!</v>
      </c>
      <c r="AY131" s="212" t="e">
        <f>Table12118[[#This Row],[Amortised Limit A$ Balance]]*12%</f>
        <v>#REF!</v>
      </c>
      <c r="AZ131" s="212" t="e">
        <f>IF(Table12118[[#This Row],[Everest]]="Everest",Table12118[[#This Row],[Assetinsure Amount ]]*0.2)</f>
        <v>#REF!</v>
      </c>
      <c r="BA131" s="212"/>
      <c r="BB131" s="212" t="e">
        <f>MIN(Table12118[[#This Row],[Assetinsure Amount ]]-Table12118[[#This Row],[Reinsurance Everest Re]],Table12118[[#This Row],[Total Amount]])</f>
        <v>#REF!</v>
      </c>
      <c r="BC131" s="212">
        <f t="shared" si="11"/>
        <v>0</v>
      </c>
      <c r="BG131" s="18">
        <v>0</v>
      </c>
      <c r="BH131" s="212">
        <v>0</v>
      </c>
      <c r="BI131" s="212">
        <v>0</v>
      </c>
      <c r="BJ131" s="212">
        <v>0</v>
      </c>
      <c r="BK131" s="212">
        <v>0</v>
      </c>
      <c r="BL131" s="212">
        <v>0</v>
      </c>
      <c r="BM131" s="212">
        <v>0</v>
      </c>
      <c r="BN131" s="226"/>
      <c r="BQ131" s="58" t="s">
        <v>1058</v>
      </c>
      <c r="BR131" s="112"/>
      <c r="BS131" s="372"/>
    </row>
    <row r="132" spans="1:72" ht="39.950000000000003" customHeight="1" x14ac:dyDescent="0.2">
      <c r="A132" s="131" t="s">
        <v>836</v>
      </c>
      <c r="B132" s="337" t="s">
        <v>243</v>
      </c>
      <c r="C132" s="337" t="s">
        <v>243</v>
      </c>
      <c r="D132" s="133" t="s">
        <v>588</v>
      </c>
      <c r="E132" s="131" t="s">
        <v>542</v>
      </c>
      <c r="F132" s="161" t="s">
        <v>162</v>
      </c>
      <c r="G132" s="131" t="s">
        <v>233</v>
      </c>
      <c r="H132" s="66" t="s">
        <v>443</v>
      </c>
      <c r="I132" s="131" t="s">
        <v>234</v>
      </c>
      <c r="J132" s="14" t="s">
        <v>826</v>
      </c>
      <c r="K132" s="66" t="s">
        <v>218</v>
      </c>
      <c r="L132" s="168" t="s">
        <v>209</v>
      </c>
      <c r="M132" s="194" t="s">
        <v>191</v>
      </c>
      <c r="N132" s="134" t="s">
        <v>59</v>
      </c>
      <c r="O132" s="167" t="s">
        <v>43</v>
      </c>
      <c r="P132" s="65">
        <v>2</v>
      </c>
      <c r="Q132" s="167" t="s">
        <v>531</v>
      </c>
      <c r="R132" s="65" t="s">
        <v>534</v>
      </c>
      <c r="S132" s="135" t="s">
        <v>9</v>
      </c>
      <c r="T132" s="136" t="e">
        <f>11500/USD</f>
        <v>#REF!</v>
      </c>
      <c r="U132" s="62">
        <v>11500</v>
      </c>
      <c r="V132" s="136" t="e">
        <f>Table12118[[#This Row],[Amortised Limit in Original Currency]]/USD</f>
        <v>#REF!</v>
      </c>
      <c r="W132" s="136">
        <v>34500</v>
      </c>
      <c r="X132" s="136" t="e">
        <f>2154949.47/USD</f>
        <v>#REF!</v>
      </c>
      <c r="Y132" s="62" t="s">
        <v>16</v>
      </c>
      <c r="Z132" s="366">
        <v>0</v>
      </c>
      <c r="AA132" s="147" t="s">
        <v>11</v>
      </c>
      <c r="AB132" s="185">
        <v>7.3999999999999996E-2</v>
      </c>
      <c r="AC132" s="185"/>
      <c r="AD132" s="137">
        <v>44760</v>
      </c>
      <c r="AE132" s="137">
        <v>46674</v>
      </c>
      <c r="AF132" s="137">
        <v>46674</v>
      </c>
      <c r="AG132" s="138">
        <f t="shared" si="15"/>
        <v>1915</v>
      </c>
      <c r="AH132" s="139" t="e">
        <f t="shared" si="16"/>
        <v>#REF!</v>
      </c>
      <c r="AI132" s="138" t="e">
        <f>AF132-#REF!</f>
        <v>#REF!</v>
      </c>
      <c r="AJ132" s="140" t="e">
        <f t="shared" si="18"/>
        <v>#REF!</v>
      </c>
      <c r="AK132" s="184"/>
      <c r="AL132" s="186" t="s">
        <v>1</v>
      </c>
      <c r="AM132" s="186" t="s">
        <v>1</v>
      </c>
      <c r="AN132" s="187" t="s">
        <v>0</v>
      </c>
      <c r="AO132" s="143" t="e">
        <f t="shared" si="19"/>
        <v>#REF!</v>
      </c>
      <c r="AP132" s="164" t="s">
        <v>271</v>
      </c>
      <c r="AQ132" s="188" t="s">
        <v>829</v>
      </c>
      <c r="AT132" s="197" t="str">
        <f>Table12118[[#This Row],[Risk Location ]]</f>
        <v>United States</v>
      </c>
      <c r="AU132" s="198" t="str">
        <f>Table12118[[#This Row],[Sector (GICS Industry Group)]]</f>
        <v>Telecommunication Services</v>
      </c>
      <c r="AX132" s="212" t="e">
        <f>Table12118[[#This Row],[Percentage Impact]]*Table12118[[#This Row],[Amortised Limit A$ Balance]]</f>
        <v>#REF!</v>
      </c>
      <c r="AY132" s="212" t="e">
        <f>Table12118[[#This Row],[Amortised Limit A$ Balance]]*12%</f>
        <v>#REF!</v>
      </c>
      <c r="AZ132" s="212" t="b">
        <f>IF(Table12118[[#This Row],[Everest]]="Everest",Table12118[[#This Row],[Assetinsure Amount ]]*0.2)</f>
        <v>0</v>
      </c>
      <c r="BA132" s="212"/>
      <c r="BB132" s="212" t="e">
        <f>MIN(Table12118[[#This Row],[Assetinsure Amount ]]-Table12118[[#This Row],[Reinsurance Everest Re]],Table12118[[#This Row],[Total Amount]])</f>
        <v>#REF!</v>
      </c>
      <c r="BC132" s="212">
        <f t="shared" si="11"/>
        <v>0</v>
      </c>
      <c r="BG132" s="18">
        <v>0</v>
      </c>
      <c r="BH132" s="212">
        <v>0</v>
      </c>
      <c r="BI132" s="212">
        <v>0</v>
      </c>
      <c r="BJ132" s="212">
        <v>0</v>
      </c>
      <c r="BK132" s="212">
        <v>0</v>
      </c>
      <c r="BL132" s="212">
        <v>0</v>
      </c>
      <c r="BM132" s="212">
        <v>0</v>
      </c>
      <c r="BN132" s="226"/>
      <c r="BQ132" s="58" t="s">
        <v>1059</v>
      </c>
      <c r="BR132" s="112"/>
      <c r="BS132" s="372"/>
    </row>
    <row r="133" spans="1:72" ht="39.950000000000003" customHeight="1" x14ac:dyDescent="0.2">
      <c r="A133" s="131" t="s">
        <v>833</v>
      </c>
      <c r="B133" s="337" t="s">
        <v>1335</v>
      </c>
      <c r="C133" s="337" t="s">
        <v>1142</v>
      </c>
      <c r="D133" s="133" t="s">
        <v>824</v>
      </c>
      <c r="E133" s="131" t="s">
        <v>542</v>
      </c>
      <c r="F133" s="161" t="s">
        <v>89</v>
      </c>
      <c r="G133" s="131" t="s">
        <v>233</v>
      </c>
      <c r="H133" s="131" t="s">
        <v>443</v>
      </c>
      <c r="I133" s="131" t="s">
        <v>234</v>
      </c>
      <c r="J133" s="66" t="s">
        <v>145</v>
      </c>
      <c r="K133" s="192" t="s">
        <v>221</v>
      </c>
      <c r="L133" s="168" t="s">
        <v>139</v>
      </c>
      <c r="M133" s="194" t="s">
        <v>191</v>
      </c>
      <c r="N133" s="134" t="s">
        <v>59</v>
      </c>
      <c r="O133" s="167" t="s">
        <v>43</v>
      </c>
      <c r="P133" s="65">
        <v>2</v>
      </c>
      <c r="Q133" s="167" t="s">
        <v>538</v>
      </c>
      <c r="R133" s="65" t="s">
        <v>534</v>
      </c>
      <c r="S133" s="135" t="s">
        <v>59</v>
      </c>
      <c r="T133" s="136" t="e">
        <f>10000/EUR</f>
        <v>#REF!</v>
      </c>
      <c r="U133" s="62">
        <v>10000</v>
      </c>
      <c r="V133" s="136" t="e">
        <f>Table12118[[#This Row],[Amortised Limit in Original Currency]]/EUR</f>
        <v>#REF!</v>
      </c>
      <c r="W133" s="136">
        <v>137500</v>
      </c>
      <c r="X133" s="136" t="e">
        <f>799986.09/EUR</f>
        <v>#REF!</v>
      </c>
      <c r="Y133" s="136"/>
      <c r="Z133" s="365"/>
      <c r="AA133" s="147" t="s">
        <v>11</v>
      </c>
      <c r="AB133" s="185">
        <v>2.4299999999999999E-2</v>
      </c>
      <c r="AC133" s="185"/>
      <c r="AD133" s="137">
        <v>44762</v>
      </c>
      <c r="AE133" s="137">
        <v>47299</v>
      </c>
      <c r="AF133" s="137">
        <v>47330</v>
      </c>
      <c r="AG133" s="138">
        <f t="shared" si="15"/>
        <v>2569</v>
      </c>
      <c r="AH133" s="139" t="e">
        <f t="shared" si="16"/>
        <v>#REF!</v>
      </c>
      <c r="AI133" s="138" t="e">
        <f>AF133-#REF!</f>
        <v>#REF!</v>
      </c>
      <c r="AJ133" s="140" t="e">
        <f t="shared" si="18"/>
        <v>#REF!</v>
      </c>
      <c r="AK133" s="184"/>
      <c r="AL133" s="186" t="s">
        <v>1</v>
      </c>
      <c r="AM133" s="186" t="s">
        <v>1</v>
      </c>
      <c r="AN133" s="187" t="s">
        <v>0</v>
      </c>
      <c r="AO133" s="143" t="e">
        <f t="shared" si="19"/>
        <v>#REF!</v>
      </c>
      <c r="AP133" s="164" t="s">
        <v>271</v>
      </c>
      <c r="AQ133" s="188" t="s">
        <v>828</v>
      </c>
      <c r="AT133" s="197" t="str">
        <f>Table12118[[#This Row],[Risk Location ]]</f>
        <v>Netherlands</v>
      </c>
      <c r="AU133" s="198" t="str">
        <f>Table12118[[#This Row],[Sector (GICS Industry Group)]]</f>
        <v>Telecommunication Services</v>
      </c>
      <c r="AX133" s="212" t="e">
        <f>Table12118[[#This Row],[Percentage Impact]]*Table12118[[#This Row],[Amortised Limit A$ Balance]]</f>
        <v>#REF!</v>
      </c>
      <c r="AY133" s="212" t="e">
        <f>Table12118[[#This Row],[Amortised Limit A$ Balance]]*12%</f>
        <v>#REF!</v>
      </c>
      <c r="AZ133" s="212" t="b">
        <f>IF(Table12118[[#This Row],[Everest]]="Everest",Table12118[[#This Row],[Assetinsure Amount ]]*0.2)</f>
        <v>0</v>
      </c>
      <c r="BA133" s="212"/>
      <c r="BB133" s="212" t="e">
        <f>MIN(Table12118[[#This Row],[Assetinsure Amount ]]-Table12118[[#This Row],[Reinsurance Everest Re]],Table12118[[#This Row],[Total Amount]])</f>
        <v>#REF!</v>
      </c>
      <c r="BC133" s="212">
        <f t="shared" ref="BC133:BC196" si="20">+BH133</f>
        <v>0</v>
      </c>
      <c r="BG133" s="18">
        <v>0</v>
      </c>
      <c r="BH133" s="212">
        <v>0</v>
      </c>
      <c r="BI133" s="212">
        <v>0</v>
      </c>
      <c r="BJ133" s="212">
        <v>0</v>
      </c>
      <c r="BK133" s="212">
        <v>0</v>
      </c>
      <c r="BL133" s="212">
        <v>0</v>
      </c>
      <c r="BM133" s="212">
        <v>0</v>
      </c>
      <c r="BN133" s="226"/>
      <c r="BQ133" s="58" t="s">
        <v>1060</v>
      </c>
      <c r="BR133" s="112"/>
      <c r="BS133" s="372"/>
    </row>
    <row r="134" spans="1:72" ht="39.950000000000003" customHeight="1" x14ac:dyDescent="0.2">
      <c r="A134" s="131" t="s">
        <v>825</v>
      </c>
      <c r="B134" s="337" t="s">
        <v>23</v>
      </c>
      <c r="C134" s="337" t="s">
        <v>1142</v>
      </c>
      <c r="D134" s="133" t="s">
        <v>34</v>
      </c>
      <c r="E134" s="131" t="s">
        <v>34</v>
      </c>
      <c r="F134" s="161" t="s">
        <v>34</v>
      </c>
      <c r="G134" s="131" t="s">
        <v>475</v>
      </c>
      <c r="H134" s="66" t="s">
        <v>227</v>
      </c>
      <c r="I134" s="131" t="s">
        <v>827</v>
      </c>
      <c r="J134" s="14" t="s">
        <v>656</v>
      </c>
      <c r="K134" s="14" t="s">
        <v>656</v>
      </c>
      <c r="L134" s="168" t="s">
        <v>209</v>
      </c>
      <c r="M134" s="194" t="s">
        <v>191</v>
      </c>
      <c r="N134" s="134" t="s">
        <v>323</v>
      </c>
      <c r="O134" s="167" t="s">
        <v>43</v>
      </c>
      <c r="P134" s="65">
        <v>4</v>
      </c>
      <c r="Q134" s="167" t="s">
        <v>531</v>
      </c>
      <c r="R134" s="65" t="s">
        <v>534</v>
      </c>
      <c r="S134" s="135" t="s">
        <v>8</v>
      </c>
      <c r="T134" s="136">
        <v>15000</v>
      </c>
      <c r="U134" s="62">
        <v>15000</v>
      </c>
      <c r="V134" s="136">
        <f>Table12118[[#This Row],[Amortised Limit in Original Currency]]</f>
        <v>15000</v>
      </c>
      <c r="W134" s="136">
        <v>58500</v>
      </c>
      <c r="X134" s="136">
        <v>736036.69</v>
      </c>
      <c r="Y134" s="136"/>
      <c r="Z134" s="365"/>
      <c r="AA134" s="147" t="s">
        <v>11</v>
      </c>
      <c r="AB134" s="185">
        <f>(3.75%*3.5+11.5*4%)/15</f>
        <v>3.9416666666666669E-2</v>
      </c>
      <c r="AC134" s="185"/>
      <c r="AD134" s="137">
        <v>44771</v>
      </c>
      <c r="AE134" s="137">
        <v>46013</v>
      </c>
      <c r="AF134" s="137">
        <v>46013</v>
      </c>
      <c r="AG134" s="138">
        <f t="shared" si="15"/>
        <v>1243</v>
      </c>
      <c r="AH134" s="139" t="e">
        <f t="shared" si="16"/>
        <v>#REF!</v>
      </c>
      <c r="AI134" s="138" t="e">
        <f>AF134-#REF!</f>
        <v>#REF!</v>
      </c>
      <c r="AJ134" s="140" t="e">
        <f t="shared" si="18"/>
        <v>#REF!</v>
      </c>
      <c r="AK134" s="184"/>
      <c r="AL134" s="186" t="s">
        <v>1</v>
      </c>
      <c r="AM134" s="186" t="s">
        <v>1</v>
      </c>
      <c r="AN134" s="187" t="s">
        <v>0</v>
      </c>
      <c r="AO134" s="143" t="e">
        <f t="shared" si="19"/>
        <v>#REF!</v>
      </c>
      <c r="AP134" s="164" t="s">
        <v>563</v>
      </c>
      <c r="AQ134" s="188" t="s">
        <v>830</v>
      </c>
      <c r="AT134" s="197" t="str">
        <f>Table12118[[#This Row],[Risk Location ]]</f>
        <v>Australia</v>
      </c>
      <c r="AU134" s="198" t="str">
        <f>Table12118[[#This Row],[Sector (GICS Industry Group)]]</f>
        <v>Health Care</v>
      </c>
      <c r="AX134" s="212">
        <f>Table12118[[#This Row],[Percentage Impact]]*Table12118[[#This Row],[Amortised Limit A$ Balance]]</f>
        <v>0</v>
      </c>
      <c r="AY134" s="212">
        <f>Table12118[[#This Row],[Amortised Limit A$ Balance]]*12%</f>
        <v>1800</v>
      </c>
      <c r="AZ134" s="212" t="b">
        <f>IF(Table12118[[#This Row],[Everest]]="Everest",Table12118[[#This Row],[Assetinsure Amount ]]*0.2)</f>
        <v>0</v>
      </c>
      <c r="BA134" s="212"/>
      <c r="BB134" s="212">
        <f>MIN(Table12118[[#This Row],[Assetinsure Amount ]]-Table12118[[#This Row],[Reinsurance Everest Re]],Table12118[[#This Row],[Total Amount]])</f>
        <v>0</v>
      </c>
      <c r="BC134" s="212">
        <f t="shared" si="20"/>
        <v>0</v>
      </c>
      <c r="BG134" s="18">
        <v>0</v>
      </c>
      <c r="BH134" s="212">
        <v>0</v>
      </c>
      <c r="BI134" s="212">
        <v>0</v>
      </c>
      <c r="BJ134" s="212">
        <v>0</v>
      </c>
      <c r="BK134" s="212">
        <v>0</v>
      </c>
      <c r="BL134" s="212">
        <v>0</v>
      </c>
      <c r="BM134" s="212">
        <v>0</v>
      </c>
      <c r="BN134" s="226"/>
      <c r="BQ134" s="58" t="s">
        <v>1061</v>
      </c>
      <c r="BR134" s="112"/>
      <c r="BS134" s="372"/>
    </row>
    <row r="135" spans="1:72" s="293" customFormat="1" ht="39.950000000000003" customHeight="1" x14ac:dyDescent="0.2">
      <c r="A135" s="131" t="s">
        <v>841</v>
      </c>
      <c r="B135" s="337" t="s">
        <v>51</v>
      </c>
      <c r="C135" s="337" t="s">
        <v>1143</v>
      </c>
      <c r="D135" s="133" t="s">
        <v>588</v>
      </c>
      <c r="E135" s="14" t="s">
        <v>542</v>
      </c>
      <c r="F135" s="133" t="s">
        <v>87</v>
      </c>
      <c r="G135" s="14" t="s">
        <v>102</v>
      </c>
      <c r="H135" s="14" t="s">
        <v>102</v>
      </c>
      <c r="I135" s="66" t="s">
        <v>122</v>
      </c>
      <c r="J135" s="133" t="s">
        <v>705</v>
      </c>
      <c r="K135" s="133" t="s">
        <v>220</v>
      </c>
      <c r="L135" s="168" t="s">
        <v>101</v>
      </c>
      <c r="M135" s="194" t="s">
        <v>191</v>
      </c>
      <c r="N135" s="134" t="s">
        <v>59</v>
      </c>
      <c r="O135" s="167" t="s">
        <v>43</v>
      </c>
      <c r="P135" s="65">
        <v>2</v>
      </c>
      <c r="Q135" s="167" t="s">
        <v>533</v>
      </c>
      <c r="R135" s="65" t="s">
        <v>534</v>
      </c>
      <c r="S135" s="135" t="s">
        <v>156</v>
      </c>
      <c r="T135" s="136" t="e">
        <f>15000/GBP</f>
        <v>#REF!</v>
      </c>
      <c r="U135" s="62">
        <v>15000</v>
      </c>
      <c r="V135" s="136" t="e">
        <f>Table12118[[#This Row],[Amortised Limit in Original Currency]]/GBP</f>
        <v>#REF!</v>
      </c>
      <c r="W135" s="136" t="e">
        <f>237500/GBP</f>
        <v>#REF!</v>
      </c>
      <c r="X135" s="136" t="e">
        <f>601944.86/GBP</f>
        <v>#REF!</v>
      </c>
      <c r="Y135" s="62" t="s">
        <v>16</v>
      </c>
      <c r="Z135" s="366">
        <v>0</v>
      </c>
      <c r="AA135" s="147" t="s">
        <v>11</v>
      </c>
      <c r="AB135" s="185">
        <v>1.4500000000000001E-2</v>
      </c>
      <c r="AC135" s="185"/>
      <c r="AD135" s="137">
        <v>44789</v>
      </c>
      <c r="AE135" s="137">
        <f>+Table12118[[#This Row],[Policy Expiry Date ]]</f>
        <v>46680</v>
      </c>
      <c r="AF135" s="137">
        <v>46680</v>
      </c>
      <c r="AG135" s="138">
        <f t="shared" si="15"/>
        <v>1892</v>
      </c>
      <c r="AH135" s="139" t="e">
        <f t="shared" si="16"/>
        <v>#REF!</v>
      </c>
      <c r="AI135" s="138" t="e">
        <f>AF135-#REF!</f>
        <v>#REF!</v>
      </c>
      <c r="AJ135" s="140" t="e">
        <f t="shared" si="18"/>
        <v>#REF!</v>
      </c>
      <c r="AK135" s="184" t="s">
        <v>436</v>
      </c>
      <c r="AL135" s="186" t="s">
        <v>1</v>
      </c>
      <c r="AM135" s="186" t="s">
        <v>1</v>
      </c>
      <c r="AN135" s="187" t="s">
        <v>0</v>
      </c>
      <c r="AO135" s="143" t="e">
        <f t="shared" si="19"/>
        <v>#REF!</v>
      </c>
      <c r="AP135" s="164" t="s">
        <v>271</v>
      </c>
      <c r="AQ135" s="188" t="s">
        <v>848</v>
      </c>
      <c r="AR135" s="11"/>
      <c r="AS135" s="11"/>
      <c r="AT135" s="197" t="str">
        <f>Table12118[[#This Row],[Risk Location ]]</f>
        <v>United Kingdom</v>
      </c>
      <c r="AU135" s="198" t="str">
        <f>Table12118[[#This Row],[Sector (GICS Industry Group)]]</f>
        <v>Real Estate Investment</v>
      </c>
      <c r="AV135" s="11"/>
      <c r="AW135" s="11"/>
      <c r="AX135" s="212" t="e">
        <f>Table12118[[#This Row],[Percentage Impact]]*Table12118[[#This Row],[Amortised Limit A$ Balance]]</f>
        <v>#REF!</v>
      </c>
      <c r="AY135" s="212" t="e">
        <f>Table12118[[#This Row],[Amortised Limit A$ Balance]]*12%</f>
        <v>#REF!</v>
      </c>
      <c r="AZ135" s="212" t="e">
        <f>IF(Table12118[[#This Row],[Everest]]="Everest",Table12118[[#This Row],[Assetinsure Amount ]]*0.2)</f>
        <v>#REF!</v>
      </c>
      <c r="BA135" s="212"/>
      <c r="BB135" s="212" t="e">
        <f>MIN(Table12118[[#This Row],[Assetinsure Amount ]]-Table12118[[#This Row],[Reinsurance Everest Re]],Table12118[[#This Row],[Total Amount]])</f>
        <v>#REF!</v>
      </c>
      <c r="BC135" s="212">
        <f t="shared" si="20"/>
        <v>0</v>
      </c>
      <c r="BD135" s="11"/>
      <c r="BE135" s="229"/>
      <c r="BF135" s="229"/>
      <c r="BG135" s="18">
        <v>0</v>
      </c>
      <c r="BH135" s="278">
        <v>0</v>
      </c>
      <c r="BI135" s="278">
        <v>0</v>
      </c>
      <c r="BJ135" s="278">
        <v>0</v>
      </c>
      <c r="BK135" s="278">
        <v>0</v>
      </c>
      <c r="BL135" s="278">
        <v>0</v>
      </c>
      <c r="BM135" s="278">
        <v>0</v>
      </c>
      <c r="BN135" s="226"/>
      <c r="BO135" s="229"/>
      <c r="BP135" s="229"/>
      <c r="BQ135" s="58" t="s">
        <v>1062</v>
      </c>
      <c r="BR135" s="276"/>
      <c r="BS135" s="372"/>
      <c r="BT135" s="11"/>
    </row>
    <row r="136" spans="1:72" ht="39.950000000000003" customHeight="1" x14ac:dyDescent="0.2">
      <c r="A136" s="131" t="s">
        <v>838</v>
      </c>
      <c r="B136" s="337" t="s">
        <v>51</v>
      </c>
      <c r="C136" s="337" t="s">
        <v>1141</v>
      </c>
      <c r="D136" s="133" t="s">
        <v>211</v>
      </c>
      <c r="E136" s="131" t="s">
        <v>542</v>
      </c>
      <c r="F136" s="161" t="s">
        <v>211</v>
      </c>
      <c r="G136" s="131" t="s">
        <v>102</v>
      </c>
      <c r="H136" s="131" t="s">
        <v>102</v>
      </c>
      <c r="I136" s="131" t="s">
        <v>475</v>
      </c>
      <c r="J136" s="131" t="s">
        <v>844</v>
      </c>
      <c r="K136" s="192" t="s">
        <v>221</v>
      </c>
      <c r="L136" s="168" t="s">
        <v>101</v>
      </c>
      <c r="M136" s="194" t="s">
        <v>191</v>
      </c>
      <c r="N136" s="134" t="s">
        <v>59</v>
      </c>
      <c r="O136" s="167" t="s">
        <v>43</v>
      </c>
      <c r="P136" s="65">
        <v>2</v>
      </c>
      <c r="Q136" s="167" t="s">
        <v>538</v>
      </c>
      <c r="R136" s="270" t="s">
        <v>534</v>
      </c>
      <c r="S136" s="135" t="s">
        <v>59</v>
      </c>
      <c r="T136" s="136" t="e">
        <f>(20000-2809.719)/EUR</f>
        <v>#REF!</v>
      </c>
      <c r="U136" s="62">
        <f>20000-2809.719</f>
        <v>17190.280999999999</v>
      </c>
      <c r="V136" s="136" t="e">
        <f>Table12118[[#This Row],[Amortised Limit in Original Currency]]/EUR</f>
        <v>#REF!</v>
      </c>
      <c r="W136" s="136">
        <v>53500</v>
      </c>
      <c r="X136" s="136" t="e">
        <f>874798.64/EUR</f>
        <v>#REF!</v>
      </c>
      <c r="Y136" s="136"/>
      <c r="Z136" s="365"/>
      <c r="AA136" s="147" t="s">
        <v>11</v>
      </c>
      <c r="AB136" s="185">
        <v>0.02</v>
      </c>
      <c r="AC136" s="185"/>
      <c r="AD136" s="137">
        <v>44798</v>
      </c>
      <c r="AE136" s="137">
        <v>46614</v>
      </c>
      <c r="AF136" s="137">
        <v>46614</v>
      </c>
      <c r="AG136" s="138">
        <f t="shared" si="15"/>
        <v>1817</v>
      </c>
      <c r="AH136" s="139" t="e">
        <f t="shared" si="16"/>
        <v>#REF!</v>
      </c>
      <c r="AI136" s="138" t="e">
        <f>AF136-#REF!</f>
        <v>#REF!</v>
      </c>
      <c r="AJ136" s="140" t="e">
        <f t="shared" si="18"/>
        <v>#REF!</v>
      </c>
      <c r="AK136" s="184" t="s">
        <v>436</v>
      </c>
      <c r="AL136" s="186" t="s">
        <v>1</v>
      </c>
      <c r="AM136" s="186" t="s">
        <v>1</v>
      </c>
      <c r="AN136" s="187" t="s">
        <v>0</v>
      </c>
      <c r="AO136" s="164" t="e">
        <f t="shared" si="19"/>
        <v>#REF!</v>
      </c>
      <c r="AP136" s="164" t="s">
        <v>563</v>
      </c>
      <c r="AQ136" s="188" t="s">
        <v>849</v>
      </c>
      <c r="AR136" s="229"/>
      <c r="AS136" s="229"/>
      <c r="AT136" s="323" t="str">
        <f>Table12118[[#This Row],[Risk Location ]]</f>
        <v>Spain</v>
      </c>
      <c r="AU136" s="324" t="str">
        <f>Table12118[[#This Row],[Sector (GICS Industry Group)]]</f>
        <v>Real Estate Investment</v>
      </c>
      <c r="AX136" s="212" t="e">
        <f>Table12118[[#This Row],[Percentage Impact]]*Table12118[[#This Row],[Amortised Limit A$ Balance]]</f>
        <v>#REF!</v>
      </c>
      <c r="AY136" s="212" t="e">
        <f>Table12118[[#This Row],[Amortised Limit A$ Balance]]*12%</f>
        <v>#REF!</v>
      </c>
      <c r="AZ136" s="212" t="e">
        <f>IF(Table12118[[#This Row],[Everest]]="Everest",Table12118[[#This Row],[Assetinsure Amount ]]*0.2)</f>
        <v>#REF!</v>
      </c>
      <c r="BA136" s="212"/>
      <c r="BB136" s="212" t="e">
        <f>MIN(Table12118[[#This Row],[Assetinsure Amount ]]-Table12118[[#This Row],[Reinsurance Everest Re]],Table12118[[#This Row],[Total Amount]])</f>
        <v>#REF!</v>
      </c>
      <c r="BC136" s="212">
        <f t="shared" si="20"/>
        <v>0</v>
      </c>
      <c r="BD136" s="229"/>
      <c r="BG136" s="18">
        <v>0</v>
      </c>
      <c r="BH136" s="212">
        <v>0</v>
      </c>
      <c r="BI136" s="212">
        <v>0</v>
      </c>
      <c r="BJ136" s="212">
        <v>0</v>
      </c>
      <c r="BK136" s="212">
        <v>0</v>
      </c>
      <c r="BL136" s="212">
        <v>0</v>
      </c>
      <c r="BM136" s="212">
        <v>0</v>
      </c>
      <c r="BN136" s="226"/>
      <c r="BQ136" s="58" t="s">
        <v>1063</v>
      </c>
      <c r="BR136" s="112"/>
      <c r="BS136" s="372"/>
    </row>
    <row r="137" spans="1:72" ht="39.950000000000003" customHeight="1" x14ac:dyDescent="0.2">
      <c r="A137" s="131" t="s">
        <v>843</v>
      </c>
      <c r="B137" s="337" t="s">
        <v>51</v>
      </c>
      <c r="C137" s="337" t="s">
        <v>1141</v>
      </c>
      <c r="D137" s="133" t="s">
        <v>34</v>
      </c>
      <c r="E137" s="131" t="s">
        <v>34</v>
      </c>
      <c r="F137" s="133" t="s">
        <v>34</v>
      </c>
      <c r="G137" s="131" t="s">
        <v>475</v>
      </c>
      <c r="H137" s="131" t="s">
        <v>440</v>
      </c>
      <c r="I137" s="131" t="s">
        <v>458</v>
      </c>
      <c r="J137" s="66" t="s">
        <v>232</v>
      </c>
      <c r="K137" s="192" t="s">
        <v>21</v>
      </c>
      <c r="L137" s="168" t="s">
        <v>209</v>
      </c>
      <c r="M137" s="194" t="s">
        <v>191</v>
      </c>
      <c r="N137" s="134" t="s">
        <v>323</v>
      </c>
      <c r="O137" s="167" t="s">
        <v>43</v>
      </c>
      <c r="P137" s="65">
        <v>3</v>
      </c>
      <c r="Q137" s="167" t="s">
        <v>538</v>
      </c>
      <c r="R137" s="65" t="s">
        <v>534</v>
      </c>
      <c r="S137" s="135" t="s">
        <v>8</v>
      </c>
      <c r="T137" s="136">
        <v>7550</v>
      </c>
      <c r="U137" s="62">
        <v>7550</v>
      </c>
      <c r="V137" s="136">
        <f>Table12118[[#This Row],[Amortised Limit in Original Currency]]</f>
        <v>7550</v>
      </c>
      <c r="W137" s="136">
        <f>73300</f>
        <v>73300</v>
      </c>
      <c r="X137" s="136">
        <v>806324.17</v>
      </c>
      <c r="Y137" s="62" t="s">
        <v>16</v>
      </c>
      <c r="Z137" s="366">
        <v>0</v>
      </c>
      <c r="AA137" s="147" t="s">
        <v>11</v>
      </c>
      <c r="AB137" s="185">
        <v>3.7499999999999999E-2</v>
      </c>
      <c r="AC137" s="185"/>
      <c r="AD137" s="137">
        <v>44796</v>
      </c>
      <c r="AE137" s="137">
        <v>46416</v>
      </c>
      <c r="AF137" s="137">
        <v>46446</v>
      </c>
      <c r="AG137" s="138">
        <f t="shared" si="15"/>
        <v>1651</v>
      </c>
      <c r="AH137" s="139" t="e">
        <f t="shared" si="16"/>
        <v>#REF!</v>
      </c>
      <c r="AI137" s="138" t="e">
        <f>AF137-#REF!</f>
        <v>#REF!</v>
      </c>
      <c r="AJ137" s="140" t="e">
        <f t="shared" si="18"/>
        <v>#REF!</v>
      </c>
      <c r="AK137" s="184"/>
      <c r="AL137" s="186" t="s">
        <v>1</v>
      </c>
      <c r="AM137" s="186" t="s">
        <v>1</v>
      </c>
      <c r="AN137" s="187" t="s">
        <v>0</v>
      </c>
      <c r="AO137" s="143" t="e">
        <f t="shared" si="19"/>
        <v>#REF!</v>
      </c>
      <c r="AP137" s="164" t="s">
        <v>271</v>
      </c>
      <c r="AQ137" s="188" t="s">
        <v>845</v>
      </c>
      <c r="AT137" s="197" t="str">
        <f>Table12118[[#This Row],[Risk Location ]]</f>
        <v>Australia</v>
      </c>
      <c r="AU137" s="198" t="str">
        <f>Table12118[[#This Row],[Sector (GICS Industry Group)]]</f>
        <v>Health Care</v>
      </c>
      <c r="AX137" s="212">
        <f>Table12118[[#This Row],[Percentage Impact]]*Table12118[[#This Row],[Amortised Limit A$ Balance]]</f>
        <v>0</v>
      </c>
      <c r="AY137" s="212">
        <f>Table12118[[#This Row],[Amortised Limit A$ Balance]]*12%</f>
        <v>906</v>
      </c>
      <c r="AZ137" s="212" t="b">
        <f>IF(Table12118[[#This Row],[Everest]]="Everest",Table12118[[#This Row],[Assetinsure Amount ]]*0.2)</f>
        <v>0</v>
      </c>
      <c r="BA137" s="212"/>
      <c r="BB137" s="212">
        <f>MIN(Table12118[[#This Row],[Assetinsure Amount ]]-Table12118[[#This Row],[Reinsurance Everest Re]],Table12118[[#This Row],[Total Amount]])</f>
        <v>0</v>
      </c>
      <c r="BC137" s="212">
        <f t="shared" si="20"/>
        <v>0</v>
      </c>
      <c r="BG137" s="18">
        <v>0</v>
      </c>
      <c r="BH137" s="212">
        <v>0</v>
      </c>
      <c r="BI137" s="212">
        <v>0</v>
      </c>
      <c r="BJ137" s="212">
        <v>0</v>
      </c>
      <c r="BK137" s="212">
        <v>0</v>
      </c>
      <c r="BL137" s="212">
        <v>0</v>
      </c>
      <c r="BM137" s="212">
        <v>0</v>
      </c>
      <c r="BN137" s="226"/>
      <c r="BQ137" s="58" t="s">
        <v>1064</v>
      </c>
      <c r="BR137" s="112"/>
      <c r="BS137" s="372"/>
    </row>
    <row r="138" spans="1:72" ht="39.950000000000003" customHeight="1" x14ac:dyDescent="0.2">
      <c r="A138" s="131" t="s">
        <v>842</v>
      </c>
      <c r="B138" s="337" t="s">
        <v>51</v>
      </c>
      <c r="C138" s="337" t="s">
        <v>1142</v>
      </c>
      <c r="D138" s="133" t="s">
        <v>162</v>
      </c>
      <c r="E138" s="131" t="s">
        <v>499</v>
      </c>
      <c r="F138" s="161" t="s">
        <v>162</v>
      </c>
      <c r="G138" s="131" t="s">
        <v>547</v>
      </c>
      <c r="H138" s="131" t="s">
        <v>265</v>
      </c>
      <c r="I138" s="131" t="s">
        <v>266</v>
      </c>
      <c r="J138" s="66" t="s">
        <v>561</v>
      </c>
      <c r="K138" s="133" t="s">
        <v>220</v>
      </c>
      <c r="L138" s="168" t="s">
        <v>29</v>
      </c>
      <c r="M138" s="194" t="s">
        <v>191</v>
      </c>
      <c r="N138" s="134" t="s">
        <v>59</v>
      </c>
      <c r="O138" s="167" t="s">
        <v>43</v>
      </c>
      <c r="P138" s="65">
        <v>2</v>
      </c>
      <c r="Q138" s="167" t="s">
        <v>538</v>
      </c>
      <c r="R138" s="65" t="s">
        <v>534</v>
      </c>
      <c r="S138" s="135" t="s">
        <v>9</v>
      </c>
      <c r="T138" s="136" t="e">
        <f>30000/USD</f>
        <v>#REF!</v>
      </c>
      <c r="U138" s="62">
        <f>30000</f>
        <v>30000</v>
      </c>
      <c r="V138" s="136" t="e">
        <f>Table12118[[#This Row],[Amortised Limit in Original Currency]]/USD</f>
        <v>#REF!</v>
      </c>
      <c r="W138" s="136" t="e">
        <f>200000/USD</f>
        <v>#REF!</v>
      </c>
      <c r="X138" s="136" t="e">
        <f>1399175.01/USD</f>
        <v>#REF!</v>
      </c>
      <c r="Y138" s="62" t="s">
        <v>16</v>
      </c>
      <c r="Z138" s="366">
        <v>0</v>
      </c>
      <c r="AA138" s="147" t="s">
        <v>11</v>
      </c>
      <c r="AB138" s="185">
        <v>0.02</v>
      </c>
      <c r="AC138" s="185"/>
      <c r="AD138" s="137">
        <v>44796</v>
      </c>
      <c r="AE138" s="137">
        <f>+Table12118[[#This Row],[Policy Expiry Date ]]</f>
        <v>46583</v>
      </c>
      <c r="AF138" s="137">
        <v>46583</v>
      </c>
      <c r="AG138" s="138">
        <f>AF138-AD138+1</f>
        <v>1788</v>
      </c>
      <c r="AH138" s="139" t="e">
        <f>IF(AF138-$A$1&gt;60,"No","Yes")</f>
        <v>#REF!</v>
      </c>
      <c r="AI138" s="138" t="e">
        <f>AF138-#REF!</f>
        <v>#REF!</v>
      </c>
      <c r="AJ138" s="140" t="e">
        <f t="shared" si="18"/>
        <v>#REF!</v>
      </c>
      <c r="AK138" s="184" t="s">
        <v>436</v>
      </c>
      <c r="AL138" s="186" t="s">
        <v>1</v>
      </c>
      <c r="AM138" s="186" t="s">
        <v>1</v>
      </c>
      <c r="AN138" s="187" t="s">
        <v>0</v>
      </c>
      <c r="AO138" s="143" t="e">
        <f t="shared" si="19"/>
        <v>#REF!</v>
      </c>
      <c r="AP138" s="164" t="s">
        <v>271</v>
      </c>
      <c r="AQ138" s="188" t="s">
        <v>384</v>
      </c>
      <c r="AT138" s="197" t="str">
        <f>Table12118[[#This Row],[Risk Location ]]</f>
        <v>United States</v>
      </c>
      <c r="AU138" s="198" t="str">
        <f>Table12118[[#This Row],[Sector (GICS Industry Group)]]</f>
        <v>Consumer Staples</v>
      </c>
      <c r="AX138" s="212" t="e">
        <f>Table12118[[#This Row],[Percentage Impact]]*Table12118[[#This Row],[Amortised Limit A$ Balance]]</f>
        <v>#REF!</v>
      </c>
      <c r="AY138" s="212" t="e">
        <f>Table12118[[#This Row],[Amortised Limit A$ Balance]]*12%</f>
        <v>#REF!</v>
      </c>
      <c r="AZ138" s="212" t="e">
        <f>IF(Table12118[[#This Row],[Everest]]="Everest",Table12118[[#This Row],[Assetinsure Amount ]]*0.2)</f>
        <v>#REF!</v>
      </c>
      <c r="BA138" s="212"/>
      <c r="BB138" s="212" t="e">
        <f>MIN(Table12118[[#This Row],[Assetinsure Amount ]]-Table12118[[#This Row],[Reinsurance Everest Re]],Table12118[[#This Row],[Total Amount]])</f>
        <v>#REF!</v>
      </c>
      <c r="BC138" s="212">
        <f t="shared" si="20"/>
        <v>0</v>
      </c>
      <c r="BG138" s="18">
        <v>0</v>
      </c>
      <c r="BH138" s="212">
        <v>0</v>
      </c>
      <c r="BI138" s="212">
        <v>0</v>
      </c>
      <c r="BJ138" s="212">
        <v>0</v>
      </c>
      <c r="BK138" s="212">
        <v>0</v>
      </c>
      <c r="BL138" s="212">
        <v>0</v>
      </c>
      <c r="BM138" s="212">
        <v>0</v>
      </c>
      <c r="BN138" s="226"/>
      <c r="BQ138" s="58" t="s">
        <v>1065</v>
      </c>
      <c r="BR138" s="112"/>
      <c r="BS138" s="372"/>
    </row>
    <row r="139" spans="1:72" ht="39.950000000000003" customHeight="1" x14ac:dyDescent="0.2">
      <c r="A139" s="131" t="s">
        <v>840</v>
      </c>
      <c r="B139" s="337" t="s">
        <v>51</v>
      </c>
      <c r="C139" s="337" t="s">
        <v>1144</v>
      </c>
      <c r="D139" s="133" t="s">
        <v>119</v>
      </c>
      <c r="E139" s="14" t="s">
        <v>542</v>
      </c>
      <c r="F139" s="161" t="s">
        <v>119</v>
      </c>
      <c r="G139" s="14" t="s">
        <v>102</v>
      </c>
      <c r="H139" s="14" t="s">
        <v>102</v>
      </c>
      <c r="I139" s="14" t="s">
        <v>474</v>
      </c>
      <c r="J139" s="14" t="s">
        <v>264</v>
      </c>
      <c r="K139" s="192" t="s">
        <v>221</v>
      </c>
      <c r="L139" s="168" t="s">
        <v>101</v>
      </c>
      <c r="M139" s="194" t="s">
        <v>191</v>
      </c>
      <c r="N139" s="134" t="s">
        <v>59</v>
      </c>
      <c r="O139" s="167" t="s">
        <v>43</v>
      </c>
      <c r="P139" s="65">
        <v>2</v>
      </c>
      <c r="Q139" s="167" t="s">
        <v>538</v>
      </c>
      <c r="R139" s="65" t="s">
        <v>534</v>
      </c>
      <c r="S139" s="135" t="s">
        <v>59</v>
      </c>
      <c r="T139" s="136" t="e">
        <f>13000/EUR</f>
        <v>#REF!</v>
      </c>
      <c r="U139" s="62">
        <v>13000</v>
      </c>
      <c r="V139" s="136" t="e">
        <f>Table12118[[#This Row],[Amortised Limit in Original Currency]]/EUR</f>
        <v>#REF!</v>
      </c>
      <c r="W139" s="136" t="e">
        <f>100170/EUR</f>
        <v>#REF!</v>
      </c>
      <c r="X139" s="136" t="e">
        <f>771779.72*(1-0.102902)/EUR</f>
        <v>#REF!</v>
      </c>
      <c r="Y139" s="136"/>
      <c r="Z139" s="365"/>
      <c r="AA139" s="147" t="s">
        <v>11</v>
      </c>
      <c r="AB139" s="185">
        <v>2.3E-2</v>
      </c>
      <c r="AC139" s="185"/>
      <c r="AD139" s="137">
        <v>44798</v>
      </c>
      <c r="AE139" s="137">
        <v>46385</v>
      </c>
      <c r="AF139" s="137">
        <v>46399</v>
      </c>
      <c r="AG139" s="138">
        <f t="shared" si="15"/>
        <v>1602</v>
      </c>
      <c r="AH139" s="139" t="e">
        <f t="shared" si="16"/>
        <v>#REF!</v>
      </c>
      <c r="AI139" s="138" t="e">
        <f>AF139-#REF!</f>
        <v>#REF!</v>
      </c>
      <c r="AJ139" s="140" t="e">
        <f t="shared" si="18"/>
        <v>#REF!</v>
      </c>
      <c r="AK139" s="184"/>
      <c r="AL139" s="186" t="s">
        <v>1</v>
      </c>
      <c r="AM139" s="186" t="s">
        <v>1</v>
      </c>
      <c r="AN139" s="187" t="s">
        <v>0</v>
      </c>
      <c r="AO139" s="143" t="e">
        <f t="shared" si="19"/>
        <v>#REF!</v>
      </c>
      <c r="AP139" s="164" t="s">
        <v>271</v>
      </c>
      <c r="AQ139" s="188" t="s">
        <v>847</v>
      </c>
      <c r="AT139" s="197" t="str">
        <f>Table12118[[#This Row],[Risk Location ]]</f>
        <v>Italy</v>
      </c>
      <c r="AU139" s="198" t="str">
        <f>Table12118[[#This Row],[Sector (GICS Industry Group)]]</f>
        <v>Real Estate Investment</v>
      </c>
      <c r="AX139" s="212" t="e">
        <f>Table12118[[#This Row],[Percentage Impact]]*Table12118[[#This Row],[Amortised Limit A$ Balance]]</f>
        <v>#REF!</v>
      </c>
      <c r="AY139" s="212" t="e">
        <f>Table12118[[#This Row],[Amortised Limit A$ Balance]]*12%</f>
        <v>#REF!</v>
      </c>
      <c r="AZ139" s="212" t="b">
        <f>IF(Table12118[[#This Row],[Everest]]="Everest",Table12118[[#This Row],[Assetinsure Amount ]]*0.2)</f>
        <v>0</v>
      </c>
      <c r="BA139" s="212"/>
      <c r="BB139" s="212" t="e">
        <f>MIN(Table12118[[#This Row],[Assetinsure Amount ]]-Table12118[[#This Row],[Reinsurance Everest Re]],Table12118[[#This Row],[Total Amount]])</f>
        <v>#REF!</v>
      </c>
      <c r="BC139" s="212">
        <f t="shared" si="20"/>
        <v>0</v>
      </c>
      <c r="BG139" s="18">
        <v>0</v>
      </c>
      <c r="BH139" s="212">
        <v>0</v>
      </c>
      <c r="BI139" s="212">
        <v>0</v>
      </c>
      <c r="BJ139" s="212">
        <v>0</v>
      </c>
      <c r="BK139" s="212">
        <v>0</v>
      </c>
      <c r="BL139" s="212">
        <v>0</v>
      </c>
      <c r="BM139" s="212">
        <v>0</v>
      </c>
      <c r="BN139" s="226"/>
      <c r="BQ139" s="58" t="s">
        <v>1066</v>
      </c>
      <c r="BR139" s="112"/>
      <c r="BS139" s="372"/>
    </row>
    <row r="140" spans="1:72" ht="39.950000000000003" customHeight="1" x14ac:dyDescent="0.2">
      <c r="A140" s="131" t="s">
        <v>839</v>
      </c>
      <c r="B140" s="337" t="s">
        <v>23</v>
      </c>
      <c r="C140" s="337" t="s">
        <v>1142</v>
      </c>
      <c r="D140" s="133" t="s">
        <v>684</v>
      </c>
      <c r="E140" s="131" t="s">
        <v>542</v>
      </c>
      <c r="F140" s="161" t="s">
        <v>127</v>
      </c>
      <c r="G140" s="131" t="s">
        <v>173</v>
      </c>
      <c r="H140" s="131" t="s">
        <v>316</v>
      </c>
      <c r="I140" s="131" t="s">
        <v>851</v>
      </c>
      <c r="J140" s="133" t="s">
        <v>165</v>
      </c>
      <c r="K140" s="133" t="s">
        <v>220</v>
      </c>
      <c r="L140" s="168" t="s">
        <v>29</v>
      </c>
      <c r="M140" s="194" t="s">
        <v>191</v>
      </c>
      <c r="N140" s="134" t="s">
        <v>59</v>
      </c>
      <c r="O140" s="167" t="s">
        <v>43</v>
      </c>
      <c r="P140" s="65">
        <v>2</v>
      </c>
      <c r="Q140" s="167" t="s">
        <v>538</v>
      </c>
      <c r="R140" s="65" t="s">
        <v>534</v>
      </c>
      <c r="S140" s="135" t="s">
        <v>59</v>
      </c>
      <c r="T140" s="136" t="e">
        <f>10500/EUR</f>
        <v>#REF!</v>
      </c>
      <c r="U140" s="62">
        <v>10500</v>
      </c>
      <c r="V140" s="136" t="e">
        <f>Table12118[[#This Row],[Amortised Limit in Original Currency]]/EUR</f>
        <v>#REF!</v>
      </c>
      <c r="W140" s="136" t="e">
        <f>20000/EUR</f>
        <v>#REF!</v>
      </c>
      <c r="X140" s="136" t="e">
        <f>890615.96/EUR</f>
        <v>#REF!</v>
      </c>
      <c r="Y140" s="62" t="s">
        <v>16</v>
      </c>
      <c r="Z140" s="366">
        <v>0</v>
      </c>
      <c r="AA140" s="147" t="s">
        <v>11</v>
      </c>
      <c r="AB140" s="185">
        <v>2.2499999999999999E-2</v>
      </c>
      <c r="AC140" s="185"/>
      <c r="AD140" s="137">
        <v>44798</v>
      </c>
      <c r="AE140" s="137">
        <v>47050</v>
      </c>
      <c r="AF140" s="137">
        <v>47050</v>
      </c>
      <c r="AG140" s="138">
        <f t="shared" si="15"/>
        <v>2253</v>
      </c>
      <c r="AH140" s="139" t="e">
        <f t="shared" si="16"/>
        <v>#REF!</v>
      </c>
      <c r="AI140" s="138" t="e">
        <f>AF140-#REF!</f>
        <v>#REF!</v>
      </c>
      <c r="AJ140" s="140" t="e">
        <f t="shared" si="18"/>
        <v>#REF!</v>
      </c>
      <c r="AK140" s="184"/>
      <c r="AL140" s="186" t="s">
        <v>1</v>
      </c>
      <c r="AM140" s="186" t="s">
        <v>1</v>
      </c>
      <c r="AN140" s="187" t="s">
        <v>0</v>
      </c>
      <c r="AO140" s="143" t="e">
        <f t="shared" si="19"/>
        <v>#REF!</v>
      </c>
      <c r="AP140" s="164" t="s">
        <v>563</v>
      </c>
      <c r="AQ140" s="188" t="s">
        <v>846</v>
      </c>
      <c r="AT140" s="197" t="str">
        <f>Table12118[[#This Row],[Risk Location ]]</f>
        <v>Germany</v>
      </c>
      <c r="AU140" s="198" t="str">
        <f>Table12118[[#This Row],[Sector (GICS Industry Group)]]</f>
        <v>Automobiles &amp; Components</v>
      </c>
      <c r="AX140" s="212" t="e">
        <f>Table12118[[#This Row],[Percentage Impact]]*Table12118[[#This Row],[Amortised Limit A$ Balance]]</f>
        <v>#REF!</v>
      </c>
      <c r="AY140" s="212" t="e">
        <f>Table12118[[#This Row],[Amortised Limit A$ Balance]]*12%</f>
        <v>#REF!</v>
      </c>
      <c r="AZ140" s="212" t="b">
        <f>IF(Table12118[[#This Row],[Everest]]="Everest",Table12118[[#This Row],[Assetinsure Amount ]]*0.2)</f>
        <v>0</v>
      </c>
      <c r="BA140" s="212"/>
      <c r="BB140" s="212" t="e">
        <f>MIN(Table12118[[#This Row],[Assetinsure Amount ]]-Table12118[[#This Row],[Reinsurance Everest Re]],Table12118[[#This Row],[Total Amount]])</f>
        <v>#REF!</v>
      </c>
      <c r="BC140" s="212">
        <f t="shared" si="20"/>
        <v>0</v>
      </c>
      <c r="BG140" s="18">
        <v>0</v>
      </c>
      <c r="BH140" s="212">
        <v>0</v>
      </c>
      <c r="BI140" s="212">
        <v>0</v>
      </c>
      <c r="BJ140" s="212">
        <v>0</v>
      </c>
      <c r="BK140" s="212">
        <v>0</v>
      </c>
      <c r="BL140" s="212">
        <v>0</v>
      </c>
      <c r="BM140" s="212">
        <v>0</v>
      </c>
      <c r="BN140" s="226"/>
      <c r="BQ140" s="58" t="s">
        <v>1067</v>
      </c>
      <c r="BR140" s="112"/>
      <c r="BS140" s="372"/>
    </row>
    <row r="141" spans="1:72" ht="39.950000000000003" customHeight="1" x14ac:dyDescent="0.2">
      <c r="A141" s="131" t="s">
        <v>837</v>
      </c>
      <c r="B141" s="337" t="s">
        <v>23</v>
      </c>
      <c r="C141" s="337" t="s">
        <v>243</v>
      </c>
      <c r="D141" s="133" t="s">
        <v>119</v>
      </c>
      <c r="E141" s="131" t="s">
        <v>542</v>
      </c>
      <c r="F141" s="161" t="s">
        <v>119</v>
      </c>
      <c r="G141" s="131" t="s">
        <v>233</v>
      </c>
      <c r="H141" s="66" t="s">
        <v>443</v>
      </c>
      <c r="I141" s="131" t="s">
        <v>234</v>
      </c>
      <c r="J141" s="133" t="s">
        <v>745</v>
      </c>
      <c r="K141" s="133" t="s">
        <v>220</v>
      </c>
      <c r="L141" s="168" t="s">
        <v>29</v>
      </c>
      <c r="M141" s="194" t="s">
        <v>191</v>
      </c>
      <c r="N141" s="134" t="s">
        <v>59</v>
      </c>
      <c r="O141" s="167" t="s">
        <v>43</v>
      </c>
      <c r="P141" s="65">
        <v>2</v>
      </c>
      <c r="Q141" s="167" t="s">
        <v>538</v>
      </c>
      <c r="R141" s="65" t="s">
        <v>534</v>
      </c>
      <c r="S141" s="135" t="s">
        <v>59</v>
      </c>
      <c r="T141" s="136" t="e">
        <f>10000/EUR</f>
        <v>#REF!</v>
      </c>
      <c r="U141" s="62">
        <v>10000</v>
      </c>
      <c r="V141" s="136" t="e">
        <f>Table12118[[#This Row],[Amortised Limit in Original Currency]]/EUR</f>
        <v>#REF!</v>
      </c>
      <c r="W141" s="136" t="e">
        <f>710000/EUR</f>
        <v>#REF!</v>
      </c>
      <c r="X141" s="136" t="e">
        <f>1074885.24/EUR</f>
        <v>#REF!</v>
      </c>
      <c r="Y141" s="62" t="s">
        <v>16</v>
      </c>
      <c r="Z141" s="366">
        <v>0</v>
      </c>
      <c r="AA141" s="147" t="s">
        <v>11</v>
      </c>
      <c r="AB141" s="185">
        <v>2.2499999999999999E-2</v>
      </c>
      <c r="AC141" s="185"/>
      <c r="AD141" s="137">
        <v>44788</v>
      </c>
      <c r="AE141" s="137">
        <v>47163</v>
      </c>
      <c r="AF141" s="137">
        <v>47191</v>
      </c>
      <c r="AG141" s="138">
        <f t="shared" si="15"/>
        <v>2404</v>
      </c>
      <c r="AH141" s="139" t="e">
        <f t="shared" si="16"/>
        <v>#REF!</v>
      </c>
      <c r="AI141" s="138" t="e">
        <f>AF141-#REF!</f>
        <v>#REF!</v>
      </c>
      <c r="AJ141" s="140" t="e">
        <f t="shared" si="18"/>
        <v>#REF!</v>
      </c>
      <c r="AK141" s="184"/>
      <c r="AL141" s="186" t="s">
        <v>1</v>
      </c>
      <c r="AM141" s="186" t="s">
        <v>1</v>
      </c>
      <c r="AN141" s="187" t="s">
        <v>0</v>
      </c>
      <c r="AO141" s="143" t="e">
        <f t="shared" si="19"/>
        <v>#REF!</v>
      </c>
      <c r="AP141" s="164" t="s">
        <v>563</v>
      </c>
      <c r="AQ141" s="188" t="s">
        <v>850</v>
      </c>
      <c r="AT141" s="197" t="str">
        <f>Table12118[[#This Row],[Risk Location ]]</f>
        <v>Italy</v>
      </c>
      <c r="AU141" s="198" t="str">
        <f>Table12118[[#This Row],[Sector (GICS Industry Group)]]</f>
        <v>Telecommunication Services</v>
      </c>
      <c r="AX141" s="212" t="e">
        <f>Table12118[[#This Row],[Percentage Impact]]*Table12118[[#This Row],[Amortised Limit A$ Balance]]</f>
        <v>#REF!</v>
      </c>
      <c r="AY141" s="212" t="e">
        <f>Table12118[[#This Row],[Amortised Limit A$ Balance]]*12%</f>
        <v>#REF!</v>
      </c>
      <c r="AZ141" s="212" t="b">
        <f>IF(Table12118[[#This Row],[Everest]]="Everest",Table12118[[#This Row],[Assetinsure Amount ]]*0.2)</f>
        <v>0</v>
      </c>
      <c r="BA141" s="212"/>
      <c r="BB141" s="212" t="e">
        <f>MIN(Table12118[[#This Row],[Assetinsure Amount ]]-Table12118[[#This Row],[Reinsurance Everest Re]],Table12118[[#This Row],[Total Amount]])</f>
        <v>#REF!</v>
      </c>
      <c r="BC141" s="212">
        <f t="shared" si="20"/>
        <v>0</v>
      </c>
      <c r="BG141" s="18">
        <v>0</v>
      </c>
      <c r="BH141" s="212">
        <v>0</v>
      </c>
      <c r="BI141" s="212">
        <v>0</v>
      </c>
      <c r="BJ141" s="212">
        <v>0</v>
      </c>
      <c r="BK141" s="212">
        <v>0</v>
      </c>
      <c r="BL141" s="212">
        <v>0</v>
      </c>
      <c r="BM141" s="212">
        <v>0</v>
      </c>
      <c r="BN141" s="226"/>
      <c r="BQ141" s="58" t="s">
        <v>1068</v>
      </c>
      <c r="BR141" s="112"/>
      <c r="BS141" s="372"/>
    </row>
    <row r="142" spans="1:72" ht="39.950000000000003" customHeight="1" x14ac:dyDescent="0.2">
      <c r="A142" s="131" t="s">
        <v>854</v>
      </c>
      <c r="B142" s="337" t="s">
        <v>67</v>
      </c>
      <c r="C142" s="337" t="s">
        <v>243</v>
      </c>
      <c r="D142" s="133" t="s">
        <v>588</v>
      </c>
      <c r="E142" s="131" t="s">
        <v>499</v>
      </c>
      <c r="F142" s="161" t="s">
        <v>162</v>
      </c>
      <c r="G142" s="14" t="s">
        <v>891</v>
      </c>
      <c r="H142" s="131" t="s">
        <v>115</v>
      </c>
      <c r="I142" s="131" t="s">
        <v>115</v>
      </c>
      <c r="J142" s="14" t="s">
        <v>826</v>
      </c>
      <c r="K142" s="66" t="s">
        <v>218</v>
      </c>
      <c r="L142" s="168" t="s">
        <v>209</v>
      </c>
      <c r="M142" s="194" t="s">
        <v>191</v>
      </c>
      <c r="N142" s="134" t="s">
        <v>59</v>
      </c>
      <c r="O142" s="167" t="s">
        <v>43</v>
      </c>
      <c r="P142" s="65">
        <v>4</v>
      </c>
      <c r="Q142" s="167" t="s">
        <v>538</v>
      </c>
      <c r="R142" s="65" t="s">
        <v>534</v>
      </c>
      <c r="S142" s="135" t="s">
        <v>9</v>
      </c>
      <c r="T142" s="136" t="e">
        <f>15000/USD</f>
        <v>#REF!</v>
      </c>
      <c r="U142" s="62">
        <v>14847.7</v>
      </c>
      <c r="V142" s="136" t="e">
        <f>Table12118[[#This Row],[Amortised Limit in Original Currency]]/USD</f>
        <v>#REF!</v>
      </c>
      <c r="W142" s="136" t="e">
        <f>30000/USD</f>
        <v>#REF!</v>
      </c>
      <c r="X142" s="136" t="e">
        <f>798435.78/USD</f>
        <v>#REF!</v>
      </c>
      <c r="Y142" s="62" t="s">
        <v>16</v>
      </c>
      <c r="Z142" s="366">
        <v>0</v>
      </c>
      <c r="AA142" s="147" t="s">
        <v>11</v>
      </c>
      <c r="AB142" s="185">
        <v>0.05</v>
      </c>
      <c r="AC142" s="185"/>
      <c r="AD142" s="137">
        <v>44806</v>
      </c>
      <c r="AE142" s="137">
        <v>46338</v>
      </c>
      <c r="AF142" s="137">
        <v>46355</v>
      </c>
      <c r="AG142" s="138">
        <f t="shared" si="15"/>
        <v>1550</v>
      </c>
      <c r="AH142" s="139" t="e">
        <f t="shared" si="16"/>
        <v>#REF!</v>
      </c>
      <c r="AI142" s="138" t="e">
        <f>AF142-#REF!</f>
        <v>#REF!</v>
      </c>
      <c r="AJ142" s="140" t="e">
        <f t="shared" si="18"/>
        <v>#REF!</v>
      </c>
      <c r="AK142" s="184"/>
      <c r="AL142" s="186" t="s">
        <v>1</v>
      </c>
      <c r="AM142" s="186" t="s">
        <v>1</v>
      </c>
      <c r="AN142" s="187" t="s">
        <v>852</v>
      </c>
      <c r="AO142" s="143" t="e">
        <f t="shared" si="19"/>
        <v>#REF!</v>
      </c>
      <c r="AP142" s="164" t="s">
        <v>271</v>
      </c>
      <c r="AQ142" s="188" t="s">
        <v>853</v>
      </c>
      <c r="AR142" s="260"/>
      <c r="AS142" s="260"/>
      <c r="AT142" s="197" t="str">
        <f>Table12118[[#This Row],[Risk Location ]]</f>
        <v>United States</v>
      </c>
      <c r="AU142" s="198" t="str">
        <f>Table12118[[#This Row],[Sector (GICS Industry Group)]]</f>
        <v>Information Technology - Hardware &amp; Equipment</v>
      </c>
      <c r="AX142" s="212" t="e">
        <f>Table12118[[#This Row],[Percentage Impact]]*Table12118[[#This Row],[Amortised Limit A$ Balance]]</f>
        <v>#REF!</v>
      </c>
      <c r="AY142" s="212" t="e">
        <f>Table12118[[#This Row],[Amortised Limit A$ Balance]]*12%</f>
        <v>#REF!</v>
      </c>
      <c r="AZ142" s="212" t="b">
        <f>IF(Table12118[[#This Row],[Everest]]="Everest",Table12118[[#This Row],[Assetinsure Amount ]]*0.2)</f>
        <v>0</v>
      </c>
      <c r="BA142" s="212"/>
      <c r="BB142" s="212" t="e">
        <f>MIN(Table12118[[#This Row],[Assetinsure Amount ]]-Table12118[[#This Row],[Reinsurance Everest Re]],Table12118[[#This Row],[Total Amount]])</f>
        <v>#REF!</v>
      </c>
      <c r="BC142" s="212">
        <f t="shared" si="20"/>
        <v>0</v>
      </c>
      <c r="BD142" s="260"/>
      <c r="BG142" s="18">
        <v>0</v>
      </c>
      <c r="BH142" s="212">
        <v>0</v>
      </c>
      <c r="BI142" s="212">
        <v>0</v>
      </c>
      <c r="BJ142" s="212">
        <v>0</v>
      </c>
      <c r="BK142" s="212">
        <v>0</v>
      </c>
      <c r="BL142" s="212">
        <v>0</v>
      </c>
      <c r="BM142" s="212">
        <v>0</v>
      </c>
      <c r="BN142" s="226"/>
      <c r="BQ142" s="58" t="s">
        <v>922</v>
      </c>
      <c r="BR142" s="112"/>
      <c r="BS142" s="372"/>
    </row>
    <row r="143" spans="1:72" s="229" customFormat="1" ht="39.950000000000003" customHeight="1" x14ac:dyDescent="0.2">
      <c r="A143" s="131" t="s">
        <v>857</v>
      </c>
      <c r="B143" s="337" t="s">
        <v>23</v>
      </c>
      <c r="C143" s="337" t="s">
        <v>1144</v>
      </c>
      <c r="D143" s="133" t="s">
        <v>34</v>
      </c>
      <c r="E143" s="131" t="s">
        <v>34</v>
      </c>
      <c r="F143" s="161" t="s">
        <v>34</v>
      </c>
      <c r="G143" s="14" t="s">
        <v>544</v>
      </c>
      <c r="H143" s="14" t="s">
        <v>178</v>
      </c>
      <c r="I143" s="14" t="s">
        <v>177</v>
      </c>
      <c r="J143" s="133" t="s">
        <v>70</v>
      </c>
      <c r="K143" s="66" t="s">
        <v>218</v>
      </c>
      <c r="L143" s="168" t="s">
        <v>209</v>
      </c>
      <c r="M143" s="194" t="s">
        <v>191</v>
      </c>
      <c r="N143" s="134" t="s">
        <v>323</v>
      </c>
      <c r="O143" s="167" t="s">
        <v>43</v>
      </c>
      <c r="P143" s="65">
        <v>4</v>
      </c>
      <c r="Q143" s="167" t="s">
        <v>531</v>
      </c>
      <c r="R143" s="65" t="s">
        <v>534</v>
      </c>
      <c r="S143" s="135" t="s">
        <v>8</v>
      </c>
      <c r="T143" s="136">
        <v>20000</v>
      </c>
      <c r="U143" s="62">
        <v>20000</v>
      </c>
      <c r="V143" s="136">
        <f>Table12118[[#This Row],[Amortised Limit in Original Currency]]</f>
        <v>20000</v>
      </c>
      <c r="W143" s="136">
        <v>100000</v>
      </c>
      <c r="X143" s="136">
        <v>2846047.51</v>
      </c>
      <c r="Y143" s="62" t="s">
        <v>16</v>
      </c>
      <c r="Z143" s="366">
        <v>0</v>
      </c>
      <c r="AA143" s="147" t="s">
        <v>11</v>
      </c>
      <c r="AB143" s="185">
        <v>6.5000000000000002E-2</v>
      </c>
      <c r="AC143" s="185"/>
      <c r="AD143" s="137">
        <v>44810</v>
      </c>
      <c r="AE143" s="137">
        <v>46476</v>
      </c>
      <c r="AF143" s="137">
        <v>46498</v>
      </c>
      <c r="AG143" s="138">
        <f t="shared" si="15"/>
        <v>1689</v>
      </c>
      <c r="AH143" s="139" t="e">
        <f t="shared" si="16"/>
        <v>#REF!</v>
      </c>
      <c r="AI143" s="138" t="e">
        <f>AF143-#REF!</f>
        <v>#REF!</v>
      </c>
      <c r="AJ143" s="140" t="e">
        <f t="shared" si="18"/>
        <v>#REF!</v>
      </c>
      <c r="AK143" s="184"/>
      <c r="AL143" s="186" t="s">
        <v>1</v>
      </c>
      <c r="AM143" s="186" t="s">
        <v>1</v>
      </c>
      <c r="AN143" s="187" t="s">
        <v>0</v>
      </c>
      <c r="AO143" s="143" t="e">
        <f t="shared" si="19"/>
        <v>#REF!</v>
      </c>
      <c r="AP143" s="164" t="s">
        <v>563</v>
      </c>
      <c r="AQ143" s="188" t="s">
        <v>855</v>
      </c>
      <c r="AR143" s="260"/>
      <c r="AS143" s="260"/>
      <c r="AT143" s="197" t="str">
        <f>Table12118[[#This Row],[Risk Location ]]</f>
        <v>Australia</v>
      </c>
      <c r="AU143" s="198" t="str">
        <f>Table12118[[#This Row],[Sector (GICS Industry Group)]]</f>
        <v>Consumer Discretionary</v>
      </c>
      <c r="AV143" s="11"/>
      <c r="AW143" s="11"/>
      <c r="AX143" s="212">
        <f>Table12118[[#This Row],[Percentage Impact]]*Table12118[[#This Row],[Amortised Limit A$ Balance]]</f>
        <v>0</v>
      </c>
      <c r="AY143" s="212">
        <f>Table12118[[#This Row],[Amortised Limit A$ Balance]]*12%</f>
        <v>2400</v>
      </c>
      <c r="AZ143" s="212" t="b">
        <f>IF(Table12118[[#This Row],[Everest]]="Everest",Table12118[[#This Row],[Assetinsure Amount ]]*0.2)</f>
        <v>0</v>
      </c>
      <c r="BA143" s="212"/>
      <c r="BB143" s="212">
        <f>MIN(Table12118[[#This Row],[Assetinsure Amount ]]-Table12118[[#This Row],[Reinsurance Everest Re]],Table12118[[#This Row],[Total Amount]])</f>
        <v>0</v>
      </c>
      <c r="BC143" s="212">
        <f t="shared" si="20"/>
        <v>0</v>
      </c>
      <c r="BD143" s="260"/>
      <c r="BG143" s="18">
        <v>0</v>
      </c>
      <c r="BH143" s="278">
        <v>0</v>
      </c>
      <c r="BI143" s="278">
        <v>0</v>
      </c>
      <c r="BJ143" s="278">
        <v>0</v>
      </c>
      <c r="BK143" s="278">
        <v>0</v>
      </c>
      <c r="BL143" s="278">
        <v>0</v>
      </c>
      <c r="BM143" s="278">
        <v>0</v>
      </c>
      <c r="BN143" s="226"/>
      <c r="BQ143" s="58" t="s">
        <v>921</v>
      </c>
      <c r="BR143" s="276"/>
      <c r="BS143" s="372"/>
      <c r="BT143" s="11"/>
    </row>
    <row r="144" spans="1:72" ht="39.950000000000003" customHeight="1" x14ac:dyDescent="0.2">
      <c r="A144" s="131" t="s">
        <v>858</v>
      </c>
      <c r="B144" s="337" t="s">
        <v>307</v>
      </c>
      <c r="C144" s="337" t="s">
        <v>1143</v>
      </c>
      <c r="D144" s="133" t="s">
        <v>34</v>
      </c>
      <c r="E144" s="131" t="s">
        <v>34</v>
      </c>
      <c r="F144" s="161" t="s">
        <v>295</v>
      </c>
      <c r="G144" s="131" t="s">
        <v>92</v>
      </c>
      <c r="H144" s="131" t="s">
        <v>108</v>
      </c>
      <c r="I144" s="131" t="s">
        <v>109</v>
      </c>
      <c r="J144" s="133" t="s">
        <v>70</v>
      </c>
      <c r="K144" s="133" t="s">
        <v>218</v>
      </c>
      <c r="L144" s="168" t="s">
        <v>209</v>
      </c>
      <c r="M144" s="194" t="s">
        <v>191</v>
      </c>
      <c r="N144" s="134" t="s">
        <v>323</v>
      </c>
      <c r="O144" s="167" t="s">
        <v>43</v>
      </c>
      <c r="P144" s="270">
        <v>2</v>
      </c>
      <c r="Q144" s="167" t="s">
        <v>538</v>
      </c>
      <c r="R144" s="270" t="s">
        <v>534</v>
      </c>
      <c r="S144" s="135" t="s">
        <v>297</v>
      </c>
      <c r="T144" s="136" t="e">
        <f>18750/NZD</f>
        <v>#REF!</v>
      </c>
      <c r="U144" s="62">
        <v>18750</v>
      </c>
      <c r="V144" s="136" t="e">
        <f>Table12118[[#This Row],[Amortised Limit in Original Currency]]/NZD</f>
        <v>#REF!</v>
      </c>
      <c r="W144" s="136" t="e">
        <f>107500/NZD</f>
        <v>#REF!</v>
      </c>
      <c r="X144" s="136" t="e">
        <f>(1956896.15+176120.66)/NZD</f>
        <v>#REF!</v>
      </c>
      <c r="Y144" s="62" t="s">
        <v>16</v>
      </c>
      <c r="Z144" s="366">
        <v>0</v>
      </c>
      <c r="AA144" s="147" t="s">
        <v>11</v>
      </c>
      <c r="AB144" s="185">
        <v>3.7499999999999999E-2</v>
      </c>
      <c r="AC144" s="185"/>
      <c r="AD144" s="137">
        <v>44820</v>
      </c>
      <c r="AE144" s="137">
        <v>47247</v>
      </c>
      <c r="AF144" s="137">
        <v>47269</v>
      </c>
      <c r="AG144" s="138">
        <f t="shared" ref="AG144" si="21">AF144-AD144+1</f>
        <v>2450</v>
      </c>
      <c r="AH144" s="139" t="e">
        <f t="shared" ref="AH144" si="22">IF(AF144-$A$1&gt;60,"No","Yes")</f>
        <v>#REF!</v>
      </c>
      <c r="AI144" s="138" t="e">
        <f>AF144-#REF!</f>
        <v>#REF!</v>
      </c>
      <c r="AJ144" s="140" t="e">
        <f t="shared" si="18"/>
        <v>#REF!</v>
      </c>
      <c r="AK144" s="184"/>
      <c r="AL144" s="186" t="s">
        <v>1</v>
      </c>
      <c r="AM144" s="186" t="s">
        <v>1</v>
      </c>
      <c r="AN144" s="187" t="s">
        <v>0</v>
      </c>
      <c r="AO144" s="164" t="e">
        <f t="shared" si="19"/>
        <v>#REF!</v>
      </c>
      <c r="AP144" s="164" t="s">
        <v>563</v>
      </c>
      <c r="AQ144" s="188" t="s">
        <v>856</v>
      </c>
      <c r="AR144" s="291"/>
      <c r="AS144" s="291"/>
      <c r="AT144" s="323" t="str">
        <f>Table12118[[#This Row],[Risk Location ]]</f>
        <v>New Zealand</v>
      </c>
      <c r="AU144" s="324" t="str">
        <f>Table12118[[#This Row],[Sector (GICS Industry Group)]]</f>
        <v>Transportation</v>
      </c>
      <c r="AX144" s="212" t="e">
        <f>Table12118[[#This Row],[Percentage Impact]]*Table12118[[#This Row],[Amortised Limit A$ Balance]]</f>
        <v>#REF!</v>
      </c>
      <c r="AY144" s="212" t="e">
        <f>Table12118[[#This Row],[Amortised Limit A$ Balance]]*12%</f>
        <v>#REF!</v>
      </c>
      <c r="AZ144" s="212" t="b">
        <f>IF(Table12118[[#This Row],[Everest]]="Everest",Table12118[[#This Row],[Assetinsure Amount ]]*0.2)</f>
        <v>0</v>
      </c>
      <c r="BA144" s="212"/>
      <c r="BB144" s="212" t="e">
        <f>MIN(Table12118[[#This Row],[Assetinsure Amount ]]-Table12118[[#This Row],[Reinsurance Everest Re]],Table12118[[#This Row],[Total Amount]])</f>
        <v>#REF!</v>
      </c>
      <c r="BC144" s="212">
        <f t="shared" si="20"/>
        <v>0</v>
      </c>
      <c r="BD144" s="291"/>
      <c r="BG144" s="18">
        <v>0</v>
      </c>
      <c r="BH144" s="212">
        <v>0</v>
      </c>
      <c r="BI144" s="212">
        <v>0</v>
      </c>
      <c r="BJ144" s="212">
        <v>0</v>
      </c>
      <c r="BK144" s="212">
        <v>0</v>
      </c>
      <c r="BL144" s="212">
        <v>0</v>
      </c>
      <c r="BM144" s="212">
        <v>0</v>
      </c>
      <c r="BN144" s="226"/>
      <c r="BQ144" s="58" t="s">
        <v>920</v>
      </c>
      <c r="BR144" s="112"/>
      <c r="BS144" s="372"/>
    </row>
    <row r="145" spans="1:72" ht="39.950000000000003" customHeight="1" x14ac:dyDescent="0.2">
      <c r="A145" s="131" t="s">
        <v>859</v>
      </c>
      <c r="B145" s="337" t="s">
        <v>1336</v>
      </c>
      <c r="C145" s="337" t="s">
        <v>1143</v>
      </c>
      <c r="D145" s="133" t="s">
        <v>34</v>
      </c>
      <c r="E145" s="131" t="s">
        <v>34</v>
      </c>
      <c r="F145" s="161" t="s">
        <v>295</v>
      </c>
      <c r="G145" s="131" t="s">
        <v>475</v>
      </c>
      <c r="H145" s="131" t="s">
        <v>227</v>
      </c>
      <c r="I145" s="131" t="s">
        <v>228</v>
      </c>
      <c r="J145" s="133" t="s">
        <v>860</v>
      </c>
      <c r="K145" s="133" t="s">
        <v>220</v>
      </c>
      <c r="L145" s="168" t="s">
        <v>209</v>
      </c>
      <c r="M145" s="194" t="s">
        <v>191</v>
      </c>
      <c r="N145" s="134" t="s">
        <v>323</v>
      </c>
      <c r="O145" s="167" t="s">
        <v>43</v>
      </c>
      <c r="P145" s="65">
        <v>2</v>
      </c>
      <c r="Q145" s="167" t="s">
        <v>531</v>
      </c>
      <c r="R145" s="65" t="s">
        <v>534</v>
      </c>
      <c r="S145" s="135" t="s">
        <v>297</v>
      </c>
      <c r="T145" s="136" t="e">
        <f>10000/NZD</f>
        <v>#REF!</v>
      </c>
      <c r="U145" s="62">
        <v>10000</v>
      </c>
      <c r="V145" s="136" t="e">
        <f>Table12118[[#This Row],[Amortised Limit in Original Currency]]/NZD</f>
        <v>#REF!</v>
      </c>
      <c r="W145" s="136" t="e">
        <f>50000/NZD</f>
        <v>#REF!</v>
      </c>
      <c r="X145" s="136" t="e">
        <f>751172.18/NZD</f>
        <v>#REF!</v>
      </c>
      <c r="Y145" s="62" t="s">
        <v>16</v>
      </c>
      <c r="Z145" s="366">
        <v>0</v>
      </c>
      <c r="AA145" s="147" t="s">
        <v>11</v>
      </c>
      <c r="AB145" s="185">
        <v>3.2500000000000001E-2</v>
      </c>
      <c r="AC145" s="185"/>
      <c r="AD145" s="137">
        <v>44834</v>
      </c>
      <c r="AE145" s="137">
        <v>46555</v>
      </c>
      <c r="AF145" s="137">
        <v>46598</v>
      </c>
      <c r="AG145" s="138">
        <f>AF145-AD145+1</f>
        <v>1765</v>
      </c>
      <c r="AH145" s="139" t="e">
        <f>IF(AF145-$A$1&gt;60,"No","Yes")</f>
        <v>#REF!</v>
      </c>
      <c r="AI145" s="138" t="e">
        <f>AF145-#REF!</f>
        <v>#REF!</v>
      </c>
      <c r="AJ145" s="140" t="e">
        <f t="shared" si="18"/>
        <v>#REF!</v>
      </c>
      <c r="AK145" s="184"/>
      <c r="AL145" s="186" t="s">
        <v>1</v>
      </c>
      <c r="AM145" s="186" t="s">
        <v>1</v>
      </c>
      <c r="AN145" s="187" t="s">
        <v>0</v>
      </c>
      <c r="AO145" s="143" t="e">
        <f t="shared" si="19"/>
        <v>#REF!</v>
      </c>
      <c r="AP145" s="164" t="s">
        <v>271</v>
      </c>
      <c r="AQ145" s="188" t="s">
        <v>861</v>
      </c>
      <c r="AR145" s="260"/>
      <c r="AS145" s="260"/>
      <c r="AT145" s="197" t="str">
        <f>Table12118[[#This Row],[Risk Location ]]</f>
        <v>New Zealand</v>
      </c>
      <c r="AU145" s="198" t="str">
        <f>Table12118[[#This Row],[Sector (GICS Industry Group)]]</f>
        <v>Health Care</v>
      </c>
      <c r="AX145" s="212" t="e">
        <f>Table12118[[#This Row],[Percentage Impact]]*Table12118[[#This Row],[Amortised Limit A$ Balance]]</f>
        <v>#REF!</v>
      </c>
      <c r="AY145" s="212" t="e">
        <f>Table12118[[#This Row],[Amortised Limit A$ Balance]]*12%</f>
        <v>#REF!</v>
      </c>
      <c r="AZ145" s="212" t="b">
        <f>IF(Table12118[[#This Row],[Everest]]="Everest",Table12118[[#This Row],[Assetinsure Amount ]]*0.2)</f>
        <v>0</v>
      </c>
      <c r="BA145" s="212"/>
      <c r="BB145" s="212" t="e">
        <f>MIN(Table12118[[#This Row],[Assetinsure Amount ]]-Table12118[[#This Row],[Reinsurance Everest Re]],Table12118[[#This Row],[Total Amount]])</f>
        <v>#REF!</v>
      </c>
      <c r="BC145" s="212">
        <f t="shared" si="20"/>
        <v>0</v>
      </c>
      <c r="BD145" s="260"/>
      <c r="BG145" s="18">
        <v>0</v>
      </c>
      <c r="BH145" s="212">
        <v>0</v>
      </c>
      <c r="BI145" s="212">
        <v>0</v>
      </c>
      <c r="BJ145" s="212">
        <v>0</v>
      </c>
      <c r="BK145" s="212">
        <v>0</v>
      </c>
      <c r="BL145" s="212">
        <v>0</v>
      </c>
      <c r="BM145" s="212">
        <v>0</v>
      </c>
      <c r="BN145" s="226"/>
      <c r="BQ145" s="58" t="s">
        <v>919</v>
      </c>
      <c r="BR145" s="112"/>
      <c r="BS145" s="372"/>
    </row>
    <row r="146" spans="1:72" ht="39.950000000000003" customHeight="1" x14ac:dyDescent="0.2">
      <c r="A146" s="131" t="s">
        <v>862</v>
      </c>
      <c r="B146" s="337" t="s">
        <v>23</v>
      </c>
      <c r="C146" s="337" t="s">
        <v>1141</v>
      </c>
      <c r="D146" s="133" t="s">
        <v>38</v>
      </c>
      <c r="E146" s="131" t="s">
        <v>541</v>
      </c>
      <c r="F146" s="133" t="s">
        <v>38</v>
      </c>
      <c r="G146" s="14" t="s">
        <v>48</v>
      </c>
      <c r="H146" s="131" t="s">
        <v>95</v>
      </c>
      <c r="I146" s="130" t="s">
        <v>447</v>
      </c>
      <c r="J146" s="133" t="s">
        <v>32</v>
      </c>
      <c r="K146" s="133" t="s">
        <v>33</v>
      </c>
      <c r="L146" s="14" t="s">
        <v>140</v>
      </c>
      <c r="M146" s="194" t="s">
        <v>191</v>
      </c>
      <c r="N146" s="134" t="s">
        <v>323</v>
      </c>
      <c r="O146" s="167" t="s">
        <v>43</v>
      </c>
      <c r="P146" s="65">
        <v>3</v>
      </c>
      <c r="Q146" s="167" t="s">
        <v>531</v>
      </c>
      <c r="R146" s="65" t="s">
        <v>534</v>
      </c>
      <c r="S146" s="135" t="s">
        <v>9</v>
      </c>
      <c r="T146" s="136" t="e">
        <f>10000/USD</f>
        <v>#REF!</v>
      </c>
      <c r="U146" s="62">
        <v>10000</v>
      </c>
      <c r="V146" s="136" t="e">
        <f>Table12118[[#This Row],[Amortised Limit in Original Currency]]/USD</f>
        <v>#REF!</v>
      </c>
      <c r="W146" s="136" t="e">
        <f>20000/USD</f>
        <v>#REF!</v>
      </c>
      <c r="X146" s="136" t="e">
        <f>1135725.91/USD</f>
        <v>#REF!</v>
      </c>
      <c r="Y146" s="136"/>
      <c r="Z146" s="365"/>
      <c r="AA146" s="147" t="s">
        <v>11</v>
      </c>
      <c r="AB146" s="185">
        <v>5.5E-2</v>
      </c>
      <c r="AC146" s="185"/>
      <c r="AD146" s="137">
        <v>44820</v>
      </c>
      <c r="AE146" s="137">
        <v>46973</v>
      </c>
      <c r="AF146" s="137">
        <v>47004</v>
      </c>
      <c r="AG146" s="138">
        <f>AF146-AD146+1</f>
        <v>2185</v>
      </c>
      <c r="AH146" s="139" t="e">
        <f>IF(AF146-$A$1&gt;60,"No","Yes")</f>
        <v>#REF!</v>
      </c>
      <c r="AI146" s="138" t="e">
        <f>AF146-#REF!</f>
        <v>#REF!</v>
      </c>
      <c r="AJ146" s="140" t="e">
        <f t="shared" si="18"/>
        <v>#REF!</v>
      </c>
      <c r="AK146" s="184"/>
      <c r="AL146" s="186" t="s">
        <v>1</v>
      </c>
      <c r="AM146" s="186" t="s">
        <v>1</v>
      </c>
      <c r="AN146" s="187" t="s">
        <v>0</v>
      </c>
      <c r="AO146" s="143" t="e">
        <f t="shared" si="19"/>
        <v>#REF!</v>
      </c>
      <c r="AP146" s="164" t="s">
        <v>271</v>
      </c>
      <c r="AQ146" s="188" t="s">
        <v>863</v>
      </c>
      <c r="AR146" s="260"/>
      <c r="AS146" s="260"/>
      <c r="AT146" s="197" t="str">
        <f>Table12118[[#This Row],[Risk Location ]]</f>
        <v>Singapore</v>
      </c>
      <c r="AU146" s="198" t="str">
        <f>Table12118[[#This Row],[Sector (GICS Industry Group)]]</f>
        <v>Energy</v>
      </c>
      <c r="AX146" s="212" t="e">
        <f>Table12118[[#This Row],[Percentage Impact]]*Table12118[[#This Row],[Amortised Limit A$ Balance]]</f>
        <v>#REF!</v>
      </c>
      <c r="AY146" s="212" t="e">
        <f>Table12118[[#This Row],[Amortised Limit A$ Balance]]*12%</f>
        <v>#REF!</v>
      </c>
      <c r="AZ146" s="212" t="b">
        <f>IF(Table12118[[#This Row],[Everest]]="Everest",Table12118[[#This Row],[Assetinsure Amount ]]*0.2)</f>
        <v>0</v>
      </c>
      <c r="BA146" s="212"/>
      <c r="BB146" s="212" t="e">
        <f>MIN(Table12118[[#This Row],[Assetinsure Amount ]]-Table12118[[#This Row],[Reinsurance Everest Re]],Table12118[[#This Row],[Total Amount]])</f>
        <v>#REF!</v>
      </c>
      <c r="BC146" s="212">
        <f t="shared" si="20"/>
        <v>0</v>
      </c>
      <c r="BD146" s="260"/>
      <c r="BG146" s="18">
        <v>0</v>
      </c>
      <c r="BH146" s="212">
        <v>0</v>
      </c>
      <c r="BI146" s="212">
        <v>0</v>
      </c>
      <c r="BJ146" s="212">
        <v>0</v>
      </c>
      <c r="BK146" s="212">
        <v>0</v>
      </c>
      <c r="BL146" s="212">
        <v>0</v>
      </c>
      <c r="BM146" s="212">
        <v>0</v>
      </c>
      <c r="BN146" s="226"/>
      <c r="BQ146" s="58" t="s">
        <v>918</v>
      </c>
      <c r="BR146" s="112"/>
      <c r="BS146" s="372"/>
    </row>
    <row r="147" spans="1:72" ht="39.950000000000003" customHeight="1" x14ac:dyDescent="0.2">
      <c r="A147" s="131" t="s">
        <v>864</v>
      </c>
      <c r="B147" s="337" t="s">
        <v>23</v>
      </c>
      <c r="C147" s="337" t="s">
        <v>1143</v>
      </c>
      <c r="D147" s="133" t="s">
        <v>149</v>
      </c>
      <c r="E147" s="14" t="s">
        <v>542</v>
      </c>
      <c r="F147" s="133" t="s">
        <v>127</v>
      </c>
      <c r="G147" s="14" t="s">
        <v>102</v>
      </c>
      <c r="H147" s="14" t="s">
        <v>102</v>
      </c>
      <c r="I147" s="66" t="s">
        <v>122</v>
      </c>
      <c r="J147" s="14" t="s">
        <v>148</v>
      </c>
      <c r="K147" s="133" t="s">
        <v>148</v>
      </c>
      <c r="L147" s="14" t="s">
        <v>101</v>
      </c>
      <c r="M147" s="194" t="s">
        <v>191</v>
      </c>
      <c r="N147" s="134" t="s">
        <v>59</v>
      </c>
      <c r="O147" s="167" t="s">
        <v>43</v>
      </c>
      <c r="P147" s="65">
        <v>4</v>
      </c>
      <c r="Q147" s="167" t="s">
        <v>531</v>
      </c>
      <c r="R147" s="65" t="s">
        <v>534</v>
      </c>
      <c r="S147" s="135" t="s">
        <v>59</v>
      </c>
      <c r="T147" s="136" t="e">
        <f>13000/EUR</f>
        <v>#REF!</v>
      </c>
      <c r="U147" s="62">
        <v>13000</v>
      </c>
      <c r="V147" s="136" t="e">
        <f>Table12118[[#This Row],[Amortised Limit in Original Currency]]/EUR</f>
        <v>#REF!</v>
      </c>
      <c r="W147" s="136" t="e">
        <f>115000/EUR</f>
        <v>#REF!</v>
      </c>
      <c r="X147" s="136" t="e">
        <f>513600/EUR</f>
        <v>#REF!</v>
      </c>
      <c r="Y147" s="136"/>
      <c r="Z147" s="365"/>
      <c r="AA147" s="147" t="s">
        <v>11</v>
      </c>
      <c r="AB147" s="185">
        <v>1.7999999999999999E-2</v>
      </c>
      <c r="AC147" s="185"/>
      <c r="AD147" s="137">
        <v>44832</v>
      </c>
      <c r="AE147" s="137">
        <v>46505</v>
      </c>
      <c r="AF147" s="137">
        <v>46505</v>
      </c>
      <c r="AG147" s="138">
        <f>AF147-AD147+1</f>
        <v>1674</v>
      </c>
      <c r="AH147" s="139" t="e">
        <f>IF(AF147-$A$1&gt;60,"No","Yes")</f>
        <v>#REF!</v>
      </c>
      <c r="AI147" s="138" t="e">
        <f>AF147-#REF!</f>
        <v>#REF!</v>
      </c>
      <c r="AJ147" s="140" t="e">
        <f t="shared" si="18"/>
        <v>#REF!</v>
      </c>
      <c r="AK147" s="184"/>
      <c r="AL147" s="186" t="s">
        <v>1</v>
      </c>
      <c r="AM147" s="186" t="s">
        <v>1</v>
      </c>
      <c r="AN147" s="187" t="s">
        <v>0</v>
      </c>
      <c r="AO147" s="143" t="e">
        <f t="shared" si="19"/>
        <v>#REF!</v>
      </c>
      <c r="AP147" s="164" t="s">
        <v>563</v>
      </c>
      <c r="AQ147" s="188" t="s">
        <v>865</v>
      </c>
      <c r="AR147" s="260"/>
      <c r="AS147" s="260"/>
      <c r="AT147" s="197" t="str">
        <f>Table12118[[#This Row],[Risk Location ]]</f>
        <v>Germany</v>
      </c>
      <c r="AU147" s="198" t="str">
        <f>Table12118[[#This Row],[Sector (GICS Industry Group)]]</f>
        <v>Real Estate Investment</v>
      </c>
      <c r="AX147" s="212" t="e">
        <f>Table12118[[#This Row],[Percentage Impact]]*Table12118[[#This Row],[Amortised Limit A$ Balance]]</f>
        <v>#REF!</v>
      </c>
      <c r="AY147" s="212" t="e">
        <f>Table12118[[#This Row],[Amortised Limit A$ Balance]]*12%</f>
        <v>#REF!</v>
      </c>
      <c r="AZ147" s="212" t="b">
        <f>IF(Table12118[[#This Row],[Everest]]="Everest",Table12118[[#This Row],[Assetinsure Amount ]]*0.2)</f>
        <v>0</v>
      </c>
      <c r="BA147" s="212"/>
      <c r="BB147" s="212" t="e">
        <f>MIN(Table12118[[#This Row],[Assetinsure Amount ]]-Table12118[[#This Row],[Reinsurance Everest Re]],Table12118[[#This Row],[Total Amount]])</f>
        <v>#REF!</v>
      </c>
      <c r="BC147" s="212">
        <f t="shared" si="20"/>
        <v>0</v>
      </c>
      <c r="BD147" s="260"/>
      <c r="BG147" s="18">
        <v>0</v>
      </c>
      <c r="BH147" s="212">
        <v>0</v>
      </c>
      <c r="BI147" s="212">
        <v>0</v>
      </c>
      <c r="BJ147" s="212">
        <v>0</v>
      </c>
      <c r="BK147" s="212">
        <v>0</v>
      </c>
      <c r="BL147" s="212">
        <v>0</v>
      </c>
      <c r="BM147" s="212">
        <v>0</v>
      </c>
      <c r="BN147" s="226"/>
      <c r="BQ147" s="58" t="s">
        <v>923</v>
      </c>
      <c r="BR147" s="112"/>
      <c r="BS147" s="372"/>
    </row>
    <row r="148" spans="1:72" ht="39.950000000000003" customHeight="1" x14ac:dyDescent="0.2">
      <c r="A148" s="131" t="s">
        <v>943</v>
      </c>
      <c r="B148" s="337" t="s">
        <v>1336</v>
      </c>
      <c r="C148" s="337" t="s">
        <v>1142</v>
      </c>
      <c r="D148" s="133" t="s">
        <v>34</v>
      </c>
      <c r="E148" s="131" t="s">
        <v>34</v>
      </c>
      <c r="F148" s="133" t="s">
        <v>34</v>
      </c>
      <c r="G148" s="131" t="s">
        <v>104</v>
      </c>
      <c r="H148" s="14" t="s">
        <v>111</v>
      </c>
      <c r="I148" s="131" t="s">
        <v>112</v>
      </c>
      <c r="J148" s="66" t="s">
        <v>70</v>
      </c>
      <c r="K148" s="192" t="s">
        <v>218</v>
      </c>
      <c r="L148" s="168" t="s">
        <v>29</v>
      </c>
      <c r="M148" s="194" t="s">
        <v>191</v>
      </c>
      <c r="N148" s="134" t="s">
        <v>323</v>
      </c>
      <c r="O148" s="167" t="s">
        <v>43</v>
      </c>
      <c r="P148" s="65">
        <v>4</v>
      </c>
      <c r="Q148" s="167" t="s">
        <v>538</v>
      </c>
      <c r="R148" s="65" t="s">
        <v>534</v>
      </c>
      <c r="S148" s="135" t="s">
        <v>8</v>
      </c>
      <c r="T148" s="136">
        <v>4990</v>
      </c>
      <c r="U148" s="62">
        <v>4761.8999999999996</v>
      </c>
      <c r="V148" s="136">
        <f>Table12118[[#This Row],[Amortised Limit in Original Currency]]</f>
        <v>4761.8999999999996</v>
      </c>
      <c r="W148" s="136">
        <v>45000</v>
      </c>
      <c r="X148" s="136">
        <v>586672</v>
      </c>
      <c r="Y148" s="62" t="s">
        <v>16</v>
      </c>
      <c r="Z148" s="366">
        <v>0</v>
      </c>
      <c r="AA148" s="147" t="s">
        <v>11</v>
      </c>
      <c r="AB148" s="185">
        <v>0.10249999999999999</v>
      </c>
      <c r="AC148" s="185"/>
      <c r="AD148" s="137">
        <v>44827</v>
      </c>
      <c r="AE148" s="137">
        <v>45858</v>
      </c>
      <c r="AF148" s="137">
        <v>45877</v>
      </c>
      <c r="AG148" s="138">
        <f t="shared" ref="AG148:AG210" si="23">AF148-AD148+1</f>
        <v>1051</v>
      </c>
      <c r="AH148" s="139" t="e">
        <f t="shared" ref="AH148:AH210" si="24">IF(AF148-$A$1&gt;60,"No","Yes")</f>
        <v>#REF!</v>
      </c>
      <c r="AI148" s="138" t="e">
        <f>AF148-#REF!</f>
        <v>#REF!</v>
      </c>
      <c r="AJ148" s="140" t="e">
        <f t="shared" si="18"/>
        <v>#REF!</v>
      </c>
      <c r="AK148" s="184"/>
      <c r="AL148" s="186" t="s">
        <v>1</v>
      </c>
      <c r="AM148" s="186" t="s">
        <v>1</v>
      </c>
      <c r="AN148" s="187" t="s">
        <v>878</v>
      </c>
      <c r="AO148" s="143" t="e">
        <f t="shared" si="19"/>
        <v>#REF!</v>
      </c>
      <c r="AP148" s="164" t="s">
        <v>271</v>
      </c>
      <c r="AQ148" s="188" t="s">
        <v>866</v>
      </c>
      <c r="AT148" s="197" t="str">
        <f>Table12118[[#This Row],[Risk Location ]]</f>
        <v>Australia</v>
      </c>
      <c r="AU148" s="198" t="str">
        <f>Table12118[[#This Row],[Sector (GICS Industry Group)]]</f>
        <v>Materials</v>
      </c>
      <c r="AV148" s="11">
        <v>1</v>
      </c>
      <c r="AW148" s="379">
        <v>0.15</v>
      </c>
      <c r="AX148" s="212">
        <f>Table12118[[#This Row],[Percentage Impact]]*Table12118[[#This Row],[Amortised Limit A$ Balance]]</f>
        <v>714.28499999999997</v>
      </c>
      <c r="AY148" s="212">
        <f>Table12118[[#This Row],[Amortised Limit A$ Balance]]*12%</f>
        <v>571.42799999999988</v>
      </c>
      <c r="AZ148" s="212" t="b">
        <f>IF(Table12118[[#This Row],[Everest]]="Everest",Table12118[[#This Row],[Assetinsure Amount ]]*0.2)</f>
        <v>0</v>
      </c>
      <c r="BA148" s="212"/>
      <c r="BB148" s="212">
        <f>MIN(Table12118[[#This Row],[Assetinsure Amount ]]-Table12118[[#This Row],[Reinsurance Everest Re]],Table12118[[#This Row],[Total Amount]])</f>
        <v>571.42799999999988</v>
      </c>
      <c r="BC148" s="212">
        <f t="shared" si="20"/>
        <v>0</v>
      </c>
      <c r="BD148" s="380" t="s">
        <v>1341</v>
      </c>
      <c r="BG148" s="18">
        <v>571.42799999999988</v>
      </c>
      <c r="BH148" s="212">
        <v>0</v>
      </c>
      <c r="BI148" s="212">
        <v>0</v>
      </c>
      <c r="BJ148" s="212">
        <v>0</v>
      </c>
      <c r="BK148" s="212">
        <v>0</v>
      </c>
      <c r="BL148" s="212">
        <v>0</v>
      </c>
      <c r="BM148" s="212">
        <v>0</v>
      </c>
      <c r="BN148" s="226"/>
      <c r="BQ148" s="272" t="s">
        <v>914</v>
      </c>
      <c r="BR148" s="276"/>
      <c r="BS148" s="372"/>
    </row>
    <row r="149" spans="1:72" s="293" customFormat="1" ht="39.950000000000003" customHeight="1" x14ac:dyDescent="0.2">
      <c r="A149" s="131" t="s">
        <v>867</v>
      </c>
      <c r="B149" s="337" t="s">
        <v>67</v>
      </c>
      <c r="C149" s="337" t="s">
        <v>243</v>
      </c>
      <c r="D149" s="133" t="s">
        <v>684</v>
      </c>
      <c r="E149" s="131" t="s">
        <v>542</v>
      </c>
      <c r="F149" s="133" t="s">
        <v>127</v>
      </c>
      <c r="G149" s="131" t="s">
        <v>891</v>
      </c>
      <c r="H149" s="131" t="s">
        <v>167</v>
      </c>
      <c r="I149" s="131" t="s">
        <v>167</v>
      </c>
      <c r="J149" s="66" t="s">
        <v>677</v>
      </c>
      <c r="K149" s="192" t="s">
        <v>218</v>
      </c>
      <c r="L149" s="168" t="s">
        <v>140</v>
      </c>
      <c r="M149" s="194" t="s">
        <v>191</v>
      </c>
      <c r="N149" s="134" t="s">
        <v>59</v>
      </c>
      <c r="O149" s="167" t="s">
        <v>43</v>
      </c>
      <c r="P149" s="65">
        <v>3</v>
      </c>
      <c r="Q149" s="167" t="s">
        <v>538</v>
      </c>
      <c r="R149" s="65" t="s">
        <v>534</v>
      </c>
      <c r="S149" s="135" t="s">
        <v>59</v>
      </c>
      <c r="T149" s="136" t="e">
        <f>7500/EUR</f>
        <v>#REF!</v>
      </c>
      <c r="U149" s="62">
        <v>7500</v>
      </c>
      <c r="V149" s="136" t="e">
        <f>Table12118[[#This Row],[Amortised Limit in Original Currency]]/EUR</f>
        <v>#REF!</v>
      </c>
      <c r="W149" s="136" t="e">
        <f>100000/EUR</f>
        <v>#REF!</v>
      </c>
      <c r="X149" s="136" t="e">
        <f>1346965.92/EUR</f>
        <v>#REF!</v>
      </c>
      <c r="Y149" s="62" t="s">
        <v>16</v>
      </c>
      <c r="Z149" s="366">
        <v>0</v>
      </c>
      <c r="AA149" s="147" t="s">
        <v>11</v>
      </c>
      <c r="AB149" s="185">
        <v>7.4999999999999997E-2</v>
      </c>
      <c r="AC149" s="185"/>
      <c r="AD149" s="137">
        <v>44832</v>
      </c>
      <c r="AE149" s="137">
        <v>46629</v>
      </c>
      <c r="AF149" s="137">
        <v>46629</v>
      </c>
      <c r="AG149" s="138">
        <f>AF149-AD149+1</f>
        <v>1798</v>
      </c>
      <c r="AH149" s="139" t="e">
        <f>IF(AF149-$A$1&gt;60,"No","Yes")</f>
        <v>#REF!</v>
      </c>
      <c r="AI149" s="138" t="e">
        <f>AF149-#REF!</f>
        <v>#REF!</v>
      </c>
      <c r="AJ149" s="140" t="e">
        <f>AI149/365</f>
        <v>#REF!</v>
      </c>
      <c r="AK149" s="184"/>
      <c r="AL149" s="186" t="s">
        <v>1</v>
      </c>
      <c r="AM149" s="186" t="s">
        <v>1</v>
      </c>
      <c r="AN149" s="187" t="s">
        <v>0</v>
      </c>
      <c r="AO149" s="143" t="e">
        <f>+IF(AF149-60&lt;$A$1, "SEND NOTICE", "N/A")</f>
        <v>#REF!</v>
      </c>
      <c r="AP149" s="164" t="s">
        <v>563</v>
      </c>
      <c r="AQ149" s="188" t="s">
        <v>869</v>
      </c>
      <c r="AR149" s="11"/>
      <c r="AS149" s="11"/>
      <c r="AT149" s="197" t="str">
        <f>Table12118[[#This Row],[Risk Location ]]</f>
        <v>Germany</v>
      </c>
      <c r="AU149" s="198" t="str">
        <f>Table12118[[#This Row],[Sector (GICS Industry Group)]]</f>
        <v>Information Technology - Hardware &amp; Equipment</v>
      </c>
      <c r="AV149" s="11"/>
      <c r="AW149" s="11"/>
      <c r="AX149" s="212" t="e">
        <f>Table12118[[#This Row],[Percentage Impact]]*Table12118[[#This Row],[Amortised Limit A$ Balance]]</f>
        <v>#REF!</v>
      </c>
      <c r="AY149" s="212" t="e">
        <f>Table12118[[#This Row],[Amortised Limit A$ Balance]]*12%</f>
        <v>#REF!</v>
      </c>
      <c r="AZ149" s="212" t="b">
        <f>IF(Table12118[[#This Row],[Everest]]="Everest",Table12118[[#This Row],[Assetinsure Amount ]]*0.2)</f>
        <v>0</v>
      </c>
      <c r="BA149" s="212"/>
      <c r="BB149" s="212" t="e">
        <f>MIN(Table12118[[#This Row],[Assetinsure Amount ]]-Table12118[[#This Row],[Reinsurance Everest Re]],Table12118[[#This Row],[Total Amount]])</f>
        <v>#REF!</v>
      </c>
      <c r="BC149" s="212">
        <f t="shared" si="20"/>
        <v>0</v>
      </c>
      <c r="BD149" s="11"/>
      <c r="BE149" s="229"/>
      <c r="BF149" s="229"/>
      <c r="BG149" s="18">
        <v>0</v>
      </c>
      <c r="BH149" s="278">
        <v>0</v>
      </c>
      <c r="BI149" s="278">
        <v>0</v>
      </c>
      <c r="BJ149" s="212">
        <v>0</v>
      </c>
      <c r="BK149" s="212">
        <v>0</v>
      </c>
      <c r="BL149" s="212">
        <v>0</v>
      </c>
      <c r="BM149" s="212">
        <v>0</v>
      </c>
      <c r="BN149" s="226"/>
      <c r="BO149" s="229"/>
      <c r="BP149" s="229"/>
      <c r="BQ149" s="58" t="s">
        <v>924</v>
      </c>
      <c r="BR149" s="294"/>
      <c r="BS149" s="372"/>
      <c r="BT149" s="11"/>
    </row>
    <row r="150" spans="1:72" ht="39.950000000000003" customHeight="1" x14ac:dyDescent="0.2">
      <c r="A150" s="131" t="s">
        <v>868</v>
      </c>
      <c r="B150" s="337" t="s">
        <v>67</v>
      </c>
      <c r="C150" s="337" t="s">
        <v>243</v>
      </c>
      <c r="D150" s="133" t="s">
        <v>684</v>
      </c>
      <c r="E150" s="131" t="s">
        <v>542</v>
      </c>
      <c r="F150" s="133" t="s">
        <v>127</v>
      </c>
      <c r="G150" s="131" t="s">
        <v>891</v>
      </c>
      <c r="H150" s="131" t="s">
        <v>167</v>
      </c>
      <c r="I150" s="131" t="s">
        <v>167</v>
      </c>
      <c r="J150" s="133" t="s">
        <v>677</v>
      </c>
      <c r="K150" s="192" t="s">
        <v>218</v>
      </c>
      <c r="L150" s="168" t="s">
        <v>140</v>
      </c>
      <c r="M150" s="194" t="s">
        <v>191</v>
      </c>
      <c r="N150" s="134" t="s">
        <v>59</v>
      </c>
      <c r="O150" s="167" t="s">
        <v>43</v>
      </c>
      <c r="P150" s="65">
        <v>3</v>
      </c>
      <c r="Q150" s="167" t="s">
        <v>538</v>
      </c>
      <c r="R150" s="270" t="s">
        <v>534</v>
      </c>
      <c r="S150" s="135" t="s">
        <v>59</v>
      </c>
      <c r="T150" s="136" t="e">
        <f>(7500+10000)/EUR</f>
        <v>#REF!</v>
      </c>
      <c r="U150" s="62">
        <f>7500+10000</f>
        <v>17500</v>
      </c>
      <c r="V150" s="136" t="e">
        <f>Table12118[[#This Row],[Amortised Limit in Original Currency]]/EUR</f>
        <v>#REF!</v>
      </c>
      <c r="W150" s="136" t="e">
        <f>100000/EUR</f>
        <v>#REF!</v>
      </c>
      <c r="X150" s="136" t="e">
        <f>1073653.46/EUR</f>
        <v>#REF!</v>
      </c>
      <c r="Y150" s="62" t="s">
        <v>16</v>
      </c>
      <c r="Z150" s="366">
        <v>0</v>
      </c>
      <c r="AA150" s="147" t="s">
        <v>11</v>
      </c>
      <c r="AB150" s="185">
        <v>2.75E-2</v>
      </c>
      <c r="AC150" s="185"/>
      <c r="AD150" s="137">
        <v>44832</v>
      </c>
      <c r="AE150" s="137">
        <v>46629</v>
      </c>
      <c r="AF150" s="137">
        <v>46629</v>
      </c>
      <c r="AG150" s="138">
        <f>AF150-AD150+1</f>
        <v>1798</v>
      </c>
      <c r="AH150" s="139" t="e">
        <f>IF(AF150-$A$1&gt;60,"No","Yes")</f>
        <v>#REF!</v>
      </c>
      <c r="AI150" s="138" t="e">
        <f>AF150-#REF!</f>
        <v>#REF!</v>
      </c>
      <c r="AJ150" s="140" t="e">
        <f>AI150/365</f>
        <v>#REF!</v>
      </c>
      <c r="AK150" s="184"/>
      <c r="AL150" s="186" t="s">
        <v>1</v>
      </c>
      <c r="AM150" s="186" t="s">
        <v>1</v>
      </c>
      <c r="AN150" s="187" t="s">
        <v>0</v>
      </c>
      <c r="AO150" s="164" t="e">
        <f>+IF(AF150-60&lt;$A$1, "SEND NOTICE", "N/A")</f>
        <v>#REF!</v>
      </c>
      <c r="AP150" s="164" t="s">
        <v>563</v>
      </c>
      <c r="AQ150" s="188" t="s">
        <v>870</v>
      </c>
      <c r="AR150" s="229"/>
      <c r="AS150" s="229"/>
      <c r="AT150" s="197" t="str">
        <f>Table12118[[#This Row],[Risk Location ]]</f>
        <v>Germany</v>
      </c>
      <c r="AU150" s="198" t="str">
        <f>Table12118[[#This Row],[Sector (GICS Industry Group)]]</f>
        <v>Information Technology - Hardware &amp; Equipment</v>
      </c>
      <c r="AX150" s="212" t="e">
        <f>Table12118[[#This Row],[Percentage Impact]]*Table12118[[#This Row],[Amortised Limit A$ Balance]]</f>
        <v>#REF!</v>
      </c>
      <c r="AY150" s="212" t="e">
        <f>Table12118[[#This Row],[Amortised Limit A$ Balance]]*12%</f>
        <v>#REF!</v>
      </c>
      <c r="AZ150" s="212" t="b">
        <f>IF(Table12118[[#This Row],[Everest]]="Everest",Table12118[[#This Row],[Assetinsure Amount ]]*0.2)</f>
        <v>0</v>
      </c>
      <c r="BA150" s="212"/>
      <c r="BB150" s="212" t="e">
        <f>MIN(Table12118[[#This Row],[Assetinsure Amount ]]-Table12118[[#This Row],[Reinsurance Everest Re]],Table12118[[#This Row],[Total Amount]])</f>
        <v>#REF!</v>
      </c>
      <c r="BC150" s="212">
        <f t="shared" si="20"/>
        <v>0</v>
      </c>
      <c r="BD150" s="229"/>
      <c r="BG150" s="18">
        <v>0</v>
      </c>
      <c r="BH150" s="212">
        <v>0</v>
      </c>
      <c r="BI150" s="212">
        <v>0</v>
      </c>
      <c r="BJ150" s="212">
        <v>0</v>
      </c>
      <c r="BK150" s="212">
        <v>0</v>
      </c>
      <c r="BL150" s="212">
        <v>0</v>
      </c>
      <c r="BM150" s="212">
        <v>0</v>
      </c>
      <c r="BN150" s="226"/>
      <c r="BQ150" s="58" t="s">
        <v>925</v>
      </c>
      <c r="BR150" s="112"/>
      <c r="BS150" s="372"/>
    </row>
    <row r="151" spans="1:72" s="229" customFormat="1" ht="39.950000000000003" customHeight="1" x14ac:dyDescent="0.2">
      <c r="A151" s="131" t="s">
        <v>942</v>
      </c>
      <c r="B151" s="337" t="s">
        <v>243</v>
      </c>
      <c r="C151" s="337" t="s">
        <v>1142</v>
      </c>
      <c r="D151" s="133" t="s">
        <v>588</v>
      </c>
      <c r="E151" s="131" t="s">
        <v>499</v>
      </c>
      <c r="F151" s="133" t="s">
        <v>162</v>
      </c>
      <c r="G151" s="131" t="s">
        <v>233</v>
      </c>
      <c r="H151" s="131" t="s">
        <v>443</v>
      </c>
      <c r="I151" s="131" t="s">
        <v>234</v>
      </c>
      <c r="J151" s="66" t="s">
        <v>826</v>
      </c>
      <c r="K151" s="192" t="s">
        <v>218</v>
      </c>
      <c r="L151" s="168" t="s">
        <v>140</v>
      </c>
      <c r="M151" s="194" t="s">
        <v>191</v>
      </c>
      <c r="N151" s="134" t="s">
        <v>59</v>
      </c>
      <c r="O151" s="167" t="s">
        <v>43</v>
      </c>
      <c r="P151" s="65">
        <v>2</v>
      </c>
      <c r="Q151" s="167" t="s">
        <v>538</v>
      </c>
      <c r="R151" s="65" t="s">
        <v>534</v>
      </c>
      <c r="S151" s="135" t="s">
        <v>9</v>
      </c>
      <c r="T151" s="136" t="e">
        <f>15000/USD</f>
        <v>#REF!</v>
      </c>
      <c r="U151" s="62">
        <v>15000</v>
      </c>
      <c r="V151" s="136" t="e">
        <f>Table12118[[#This Row],[Amortised Limit in Original Currency]]/USD</f>
        <v>#REF!</v>
      </c>
      <c r="W151" s="136" t="e">
        <f>30000/USD</f>
        <v>#REF!</v>
      </c>
      <c r="X151" s="136" t="e">
        <f>1642542.42/USD</f>
        <v>#REF!</v>
      </c>
      <c r="Y151" s="62" t="s">
        <v>16</v>
      </c>
      <c r="Z151" s="366">
        <v>0</v>
      </c>
      <c r="AA151" s="147" t="s">
        <v>11</v>
      </c>
      <c r="AB151" s="185">
        <v>2.75E-2</v>
      </c>
      <c r="AC151" s="185"/>
      <c r="AD151" s="137">
        <v>44851</v>
      </c>
      <c r="AE151" s="137">
        <v>47320</v>
      </c>
      <c r="AF151" s="137">
        <v>47322</v>
      </c>
      <c r="AG151" s="138">
        <f t="shared" si="23"/>
        <v>2472</v>
      </c>
      <c r="AH151" s="139" t="e">
        <f t="shared" si="24"/>
        <v>#REF!</v>
      </c>
      <c r="AI151" s="138" t="e">
        <f>AF151-#REF!</f>
        <v>#REF!</v>
      </c>
      <c r="AJ151" s="140" t="e">
        <f t="shared" si="18"/>
        <v>#REF!</v>
      </c>
      <c r="AK151" s="184"/>
      <c r="AL151" s="186" t="s">
        <v>1</v>
      </c>
      <c r="AM151" s="186" t="s">
        <v>1</v>
      </c>
      <c r="AN151" s="187" t="s">
        <v>0</v>
      </c>
      <c r="AO151" s="143" t="e">
        <f t="shared" si="19"/>
        <v>#REF!</v>
      </c>
      <c r="AP151" s="164" t="s">
        <v>271</v>
      </c>
      <c r="AQ151" s="188" t="s">
        <v>899</v>
      </c>
      <c r="AR151" s="11"/>
      <c r="AS151" s="11"/>
      <c r="AT151" s="197" t="str">
        <f>Table12118[[#This Row],[Risk Location ]]</f>
        <v>United States</v>
      </c>
      <c r="AU151" s="198" t="str">
        <f>Table12118[[#This Row],[Sector (GICS Industry Group)]]</f>
        <v>Telecommunication Services</v>
      </c>
      <c r="AV151" s="11"/>
      <c r="AW151" s="11"/>
      <c r="AX151" s="212" t="e">
        <f>Table12118[[#This Row],[Percentage Impact]]*Table12118[[#This Row],[Amortised Limit A$ Balance]]</f>
        <v>#REF!</v>
      </c>
      <c r="AY151" s="212" t="e">
        <f>Table12118[[#This Row],[Amortised Limit A$ Balance]]*12%</f>
        <v>#REF!</v>
      </c>
      <c r="AZ151" s="212" t="b">
        <f>IF(Table12118[[#This Row],[Everest]]="Everest",Table12118[[#This Row],[Assetinsure Amount ]]*0.2)</f>
        <v>0</v>
      </c>
      <c r="BA151" s="212"/>
      <c r="BB151" s="212" t="e">
        <f>MIN(Table12118[[#This Row],[Assetinsure Amount ]]-Table12118[[#This Row],[Reinsurance Everest Re]],Table12118[[#This Row],[Total Amount]])</f>
        <v>#REF!</v>
      </c>
      <c r="BC151" s="212">
        <f t="shared" si="20"/>
        <v>0</v>
      </c>
      <c r="BD151" s="11"/>
      <c r="BG151" s="18">
        <v>0</v>
      </c>
      <c r="BH151" s="278">
        <v>0</v>
      </c>
      <c r="BI151" s="278">
        <v>0</v>
      </c>
      <c r="BJ151" s="212">
        <v>0</v>
      </c>
      <c r="BK151" s="212">
        <v>0</v>
      </c>
      <c r="BL151" s="212">
        <v>0</v>
      </c>
      <c r="BM151" s="212">
        <v>0</v>
      </c>
      <c r="BN151" s="226"/>
      <c r="BQ151" s="58" t="s">
        <v>900</v>
      </c>
      <c r="BR151" s="276"/>
      <c r="BS151" s="372"/>
      <c r="BT151" s="11"/>
    </row>
    <row r="152" spans="1:72" ht="39.950000000000003" customHeight="1" x14ac:dyDescent="0.2">
      <c r="A152" s="132" t="s">
        <v>915</v>
      </c>
      <c r="B152" s="337" t="s">
        <v>51</v>
      </c>
      <c r="C152" s="337" t="s">
        <v>1144</v>
      </c>
      <c r="D152" s="133" t="s">
        <v>88</v>
      </c>
      <c r="E152" s="131" t="s">
        <v>542</v>
      </c>
      <c r="F152" s="145" t="s">
        <v>88</v>
      </c>
      <c r="G152" s="133" t="s">
        <v>106</v>
      </c>
      <c r="H152" s="133" t="s">
        <v>106</v>
      </c>
      <c r="I152" s="133" t="s">
        <v>107</v>
      </c>
      <c r="J152" s="133" t="s">
        <v>61</v>
      </c>
      <c r="K152" s="133" t="s">
        <v>220</v>
      </c>
      <c r="L152" s="131" t="s">
        <v>101</v>
      </c>
      <c r="M152" s="134" t="s">
        <v>191</v>
      </c>
      <c r="N152" s="134" t="s">
        <v>59</v>
      </c>
      <c r="O152" s="132" t="s">
        <v>43</v>
      </c>
      <c r="P152" s="65">
        <v>2</v>
      </c>
      <c r="Q152" s="132" t="s">
        <v>533</v>
      </c>
      <c r="R152" s="269" t="s">
        <v>548</v>
      </c>
      <c r="S152" s="135" t="s">
        <v>59</v>
      </c>
      <c r="T152" s="136" t="e">
        <f>12000/EUR</f>
        <v>#REF!</v>
      </c>
      <c r="U152" s="62">
        <v>12000</v>
      </c>
      <c r="V152" s="136" t="e">
        <f>Table12118[[#This Row],[Amortised Limit in Original Currency]]/EUR</f>
        <v>#REF!</v>
      </c>
      <c r="W152" s="136" t="e">
        <f>30000/EUR</f>
        <v>#REF!</v>
      </c>
      <c r="X152" s="136" t="e">
        <f>478771.6/EUR</f>
        <v>#REF!</v>
      </c>
      <c r="Y152" s="62" t="s">
        <v>16</v>
      </c>
      <c r="Z152" s="366">
        <v>0</v>
      </c>
      <c r="AA152" s="61" t="s">
        <v>11</v>
      </c>
      <c r="AB152" s="181">
        <v>1.35E-2</v>
      </c>
      <c r="AC152" s="181"/>
      <c r="AD152" s="137">
        <v>44851</v>
      </c>
      <c r="AE152" s="137">
        <v>46568</v>
      </c>
      <c r="AF152" s="137">
        <v>46598</v>
      </c>
      <c r="AG152" s="138">
        <f t="shared" si="23"/>
        <v>1748</v>
      </c>
      <c r="AH152" s="139" t="e">
        <f>IF(AF152-$A$1&gt;60,"No","Yes")</f>
        <v>#REF!</v>
      </c>
      <c r="AI152" s="138" t="e">
        <f>AF152-#REF!</f>
        <v>#REF!</v>
      </c>
      <c r="AJ152" s="140" t="e">
        <f t="shared" si="18"/>
        <v>#REF!</v>
      </c>
      <c r="AK152" s="274"/>
      <c r="AL152" s="141" t="s">
        <v>1</v>
      </c>
      <c r="AM152" s="141" t="s">
        <v>1</v>
      </c>
      <c r="AN152" s="187" t="s">
        <v>0</v>
      </c>
      <c r="AO152" s="229" t="e">
        <f t="shared" si="19"/>
        <v>#REF!</v>
      </c>
      <c r="AP152" s="144" t="s">
        <v>271</v>
      </c>
      <c r="AQ152" s="132" t="s">
        <v>916</v>
      </c>
      <c r="AR152" s="291"/>
      <c r="AS152" s="291"/>
      <c r="AT152" s="197" t="str">
        <f>Table12118[[#This Row],[Risk Location ]]</f>
        <v>Belgium</v>
      </c>
      <c r="AU152" s="198" t="str">
        <f>Table12118[[#This Row],[Sector (GICS Industry Group)]]</f>
        <v>Real Estate Management &amp; Development</v>
      </c>
      <c r="AX152" s="212" t="e">
        <f>Table12118[[#This Row],[Percentage Impact]]*Table12118[[#This Row],[Amortised Limit A$ Balance]]</f>
        <v>#REF!</v>
      </c>
      <c r="AY152" s="212" t="e">
        <f>Table12118[[#This Row],[Amortised Limit A$ Balance]]*12%</f>
        <v>#REF!</v>
      </c>
      <c r="AZ152" s="212" t="b">
        <f>IF(Table12118[[#This Row],[Everest]]="Everest",Table12118[[#This Row],[Assetinsure Amount ]]*0.2)</f>
        <v>0</v>
      </c>
      <c r="BA152" s="212"/>
      <c r="BB152" s="212" t="e">
        <f>MIN(Table12118[[#This Row],[Assetinsure Amount ]]-Table12118[[#This Row],[Reinsurance Everest Re]],Table12118[[#This Row],[Total Amount]])</f>
        <v>#REF!</v>
      </c>
      <c r="BC152" s="212">
        <f t="shared" si="20"/>
        <v>0</v>
      </c>
      <c r="BD152" s="291"/>
      <c r="BG152" s="18">
        <v>0</v>
      </c>
      <c r="BH152" s="212">
        <v>0</v>
      </c>
      <c r="BI152" s="212">
        <v>0</v>
      </c>
      <c r="BJ152" s="212">
        <v>0</v>
      </c>
      <c r="BK152" s="212">
        <v>0</v>
      </c>
      <c r="BL152" s="212">
        <v>0</v>
      </c>
      <c r="BM152" s="212">
        <v>0</v>
      </c>
      <c r="BN152" s="226"/>
      <c r="BQ152" s="58" t="s">
        <v>917</v>
      </c>
      <c r="BR152" s="112"/>
      <c r="BS152" s="377" t="s">
        <v>103</v>
      </c>
    </row>
    <row r="153" spans="1:72" ht="39.950000000000003" customHeight="1" x14ac:dyDescent="0.2">
      <c r="A153" s="132" t="s">
        <v>901</v>
      </c>
      <c r="B153" s="337" t="s">
        <v>23</v>
      </c>
      <c r="C153" s="337" t="s">
        <v>1141</v>
      </c>
      <c r="D153" s="133" t="s">
        <v>34</v>
      </c>
      <c r="E153" s="14" t="s">
        <v>34</v>
      </c>
      <c r="F153" s="145" t="s">
        <v>34</v>
      </c>
      <c r="G153" s="66" t="s">
        <v>544</v>
      </c>
      <c r="H153" s="66" t="s">
        <v>195</v>
      </c>
      <c r="I153" s="66" t="s">
        <v>455</v>
      </c>
      <c r="J153" s="133" t="s">
        <v>656</v>
      </c>
      <c r="K153" s="133" t="s">
        <v>656</v>
      </c>
      <c r="L153" s="14" t="s">
        <v>209</v>
      </c>
      <c r="M153" s="134" t="s">
        <v>191</v>
      </c>
      <c r="N153" s="134" t="s">
        <v>323</v>
      </c>
      <c r="O153" s="132" t="s">
        <v>43</v>
      </c>
      <c r="P153" s="65">
        <v>4</v>
      </c>
      <c r="Q153" s="132" t="s">
        <v>531</v>
      </c>
      <c r="R153" s="13" t="s">
        <v>534</v>
      </c>
      <c r="S153" s="135" t="s">
        <v>8</v>
      </c>
      <c r="T153" s="136">
        <v>12500</v>
      </c>
      <c r="U153" s="62">
        <v>12500</v>
      </c>
      <c r="V153" s="136">
        <f>Table12118[[#This Row],[Amortised Limit in Original Currency]]</f>
        <v>12500</v>
      </c>
      <c r="W153" s="136">
        <v>71000</v>
      </c>
      <c r="X153" s="136">
        <v>1143776.72</v>
      </c>
      <c r="Y153" s="136"/>
      <c r="Z153" s="365"/>
      <c r="AA153" s="61" t="s">
        <v>11</v>
      </c>
      <c r="AB153" s="181">
        <v>5.5E-2</v>
      </c>
      <c r="AC153" s="181"/>
      <c r="AD153" s="137">
        <v>44848</v>
      </c>
      <c r="AE153" s="137">
        <v>46000</v>
      </c>
      <c r="AF153" s="137">
        <v>46004</v>
      </c>
      <c r="AG153" s="138">
        <f t="shared" si="23"/>
        <v>1157</v>
      </c>
      <c r="AH153" s="139" t="e">
        <f t="shared" si="24"/>
        <v>#REF!</v>
      </c>
      <c r="AI153" s="138" t="e">
        <f>AF153-#REF!</f>
        <v>#REF!</v>
      </c>
      <c r="AJ153" s="140" t="e">
        <f t="shared" si="18"/>
        <v>#REF!</v>
      </c>
      <c r="AK153" s="56"/>
      <c r="AL153" s="186" t="s">
        <v>1</v>
      </c>
      <c r="AM153" s="186" t="s">
        <v>1</v>
      </c>
      <c r="AN153" s="187" t="s">
        <v>0</v>
      </c>
      <c r="AO153" s="143" t="e">
        <f t="shared" si="19"/>
        <v>#REF!</v>
      </c>
      <c r="AP153" s="164" t="s">
        <v>563</v>
      </c>
      <c r="AQ153" s="188" t="s">
        <v>908</v>
      </c>
      <c r="AT153" s="197" t="str">
        <f>Table12118[[#This Row],[Risk Location ]]</f>
        <v>Australia</v>
      </c>
      <c r="AU153" s="198" t="str">
        <f>Table12118[[#This Row],[Sector (GICS Industry Group)]]</f>
        <v>Consumer Discretionary</v>
      </c>
      <c r="AX153" s="212">
        <f>Table12118[[#This Row],[Percentage Impact]]*Table12118[[#This Row],[Amortised Limit A$ Balance]]</f>
        <v>0</v>
      </c>
      <c r="AY153" s="212">
        <f>Table12118[[#This Row],[Amortised Limit A$ Balance]]*12%</f>
        <v>1500</v>
      </c>
      <c r="AZ153" s="212" t="b">
        <f>IF(Table12118[[#This Row],[Everest]]="Everest",Table12118[[#This Row],[Assetinsure Amount ]]*0.2)</f>
        <v>0</v>
      </c>
      <c r="BA153" s="212"/>
      <c r="BB153" s="212">
        <f>MIN(Table12118[[#This Row],[Assetinsure Amount ]]-Table12118[[#This Row],[Reinsurance Everest Re]],Table12118[[#This Row],[Total Amount]])</f>
        <v>0</v>
      </c>
      <c r="BC153" s="212">
        <f t="shared" si="20"/>
        <v>0</v>
      </c>
      <c r="BG153" s="18">
        <v>0</v>
      </c>
      <c r="BH153" s="212">
        <v>0</v>
      </c>
      <c r="BI153" s="212">
        <v>0</v>
      </c>
      <c r="BJ153" s="212">
        <v>0</v>
      </c>
      <c r="BK153" s="212">
        <v>0</v>
      </c>
      <c r="BL153" s="212">
        <v>0</v>
      </c>
      <c r="BM153" s="212">
        <v>0</v>
      </c>
      <c r="BN153" s="226"/>
      <c r="BQ153" s="58" t="s">
        <v>902</v>
      </c>
      <c r="BR153" s="112"/>
      <c r="BS153" s="372"/>
    </row>
    <row r="154" spans="1:72" ht="39.950000000000003" customHeight="1" x14ac:dyDescent="0.2">
      <c r="A154" s="132" t="s">
        <v>903</v>
      </c>
      <c r="B154" s="337" t="s">
        <v>23</v>
      </c>
      <c r="C154" s="337" t="s">
        <v>1141</v>
      </c>
      <c r="D154" s="133" t="s">
        <v>34</v>
      </c>
      <c r="E154" s="14" t="s">
        <v>34</v>
      </c>
      <c r="F154" s="145" t="s">
        <v>34</v>
      </c>
      <c r="G154" s="66" t="s">
        <v>544</v>
      </c>
      <c r="H154" s="66" t="s">
        <v>195</v>
      </c>
      <c r="I154" s="66" t="s">
        <v>455</v>
      </c>
      <c r="J154" s="133" t="s">
        <v>656</v>
      </c>
      <c r="K154" s="133" t="s">
        <v>656</v>
      </c>
      <c r="L154" s="14" t="s">
        <v>209</v>
      </c>
      <c r="M154" s="134" t="s">
        <v>191</v>
      </c>
      <c r="N154" s="134" t="s">
        <v>323</v>
      </c>
      <c r="O154" s="132" t="s">
        <v>43</v>
      </c>
      <c r="P154" s="65">
        <v>4</v>
      </c>
      <c r="Q154" s="132" t="s">
        <v>531</v>
      </c>
      <c r="R154" s="13" t="s">
        <v>534</v>
      </c>
      <c r="S154" s="135" t="s">
        <v>8</v>
      </c>
      <c r="T154" s="136">
        <v>7500</v>
      </c>
      <c r="U154" s="62">
        <v>7500</v>
      </c>
      <c r="V154" s="136">
        <f>Table12118[[#This Row],[Amortised Limit in Original Currency]]</f>
        <v>7500</v>
      </c>
      <c r="W154" s="136">
        <v>71000</v>
      </c>
      <c r="X154" s="136">
        <v>807284.94</v>
      </c>
      <c r="Y154" s="136"/>
      <c r="Z154" s="365"/>
      <c r="AA154" s="61" t="s">
        <v>11</v>
      </c>
      <c r="AB154" s="181">
        <v>5.5E-2</v>
      </c>
      <c r="AC154" s="181"/>
      <c r="AD154" s="137">
        <v>44852</v>
      </c>
      <c r="AE154" s="137">
        <v>46000</v>
      </c>
      <c r="AF154" s="137">
        <v>46004</v>
      </c>
      <c r="AG154" s="138">
        <f t="shared" si="23"/>
        <v>1153</v>
      </c>
      <c r="AH154" s="139" t="e">
        <f t="shared" si="24"/>
        <v>#REF!</v>
      </c>
      <c r="AI154" s="138" t="e">
        <f>AF154-#REF!</f>
        <v>#REF!</v>
      </c>
      <c r="AJ154" s="140" t="e">
        <f t="shared" si="18"/>
        <v>#REF!</v>
      </c>
      <c r="AK154" s="56"/>
      <c r="AL154" s="186" t="s">
        <v>1</v>
      </c>
      <c r="AM154" s="186" t="s">
        <v>1</v>
      </c>
      <c r="AN154" s="187" t="s">
        <v>0</v>
      </c>
      <c r="AO154" s="143" t="e">
        <f t="shared" si="19"/>
        <v>#REF!</v>
      </c>
      <c r="AP154" s="164" t="s">
        <v>563</v>
      </c>
      <c r="AQ154" s="188" t="s">
        <v>909</v>
      </c>
      <c r="AT154" s="197" t="str">
        <f>Table12118[[#This Row],[Risk Location ]]</f>
        <v>Australia</v>
      </c>
      <c r="AU154" s="198" t="str">
        <f>Table12118[[#This Row],[Sector (GICS Industry Group)]]</f>
        <v>Consumer Discretionary</v>
      </c>
      <c r="AX154" s="212">
        <f>Table12118[[#This Row],[Percentage Impact]]*Table12118[[#This Row],[Amortised Limit A$ Balance]]</f>
        <v>0</v>
      </c>
      <c r="AY154" s="212">
        <f>Table12118[[#This Row],[Amortised Limit A$ Balance]]*12%</f>
        <v>900</v>
      </c>
      <c r="AZ154" s="212" t="b">
        <f>IF(Table12118[[#This Row],[Everest]]="Everest",Table12118[[#This Row],[Assetinsure Amount ]]*0.2)</f>
        <v>0</v>
      </c>
      <c r="BA154" s="212"/>
      <c r="BB154" s="212">
        <f>MIN(Table12118[[#This Row],[Assetinsure Amount ]]-Table12118[[#This Row],[Reinsurance Everest Re]],Table12118[[#This Row],[Total Amount]])</f>
        <v>0</v>
      </c>
      <c r="BC154" s="212">
        <f t="shared" si="20"/>
        <v>0</v>
      </c>
      <c r="BG154" s="18">
        <v>0</v>
      </c>
      <c r="BH154" s="212">
        <v>0</v>
      </c>
      <c r="BI154" s="212">
        <v>0</v>
      </c>
      <c r="BJ154" s="212">
        <v>0</v>
      </c>
      <c r="BK154" s="212">
        <v>0</v>
      </c>
      <c r="BL154" s="212">
        <v>0</v>
      </c>
      <c r="BM154" s="212">
        <v>0</v>
      </c>
      <c r="BN154" s="226"/>
      <c r="BQ154" s="58" t="s">
        <v>904</v>
      </c>
      <c r="BR154" s="112"/>
      <c r="BS154" s="372"/>
    </row>
    <row r="155" spans="1:72" ht="39.950000000000003" customHeight="1" x14ac:dyDescent="0.2">
      <c r="A155" s="132" t="s">
        <v>905</v>
      </c>
      <c r="B155" s="337" t="s">
        <v>67</v>
      </c>
      <c r="C155" s="337" t="s">
        <v>243</v>
      </c>
      <c r="D155" s="133" t="s">
        <v>149</v>
      </c>
      <c r="E155" s="14" t="s">
        <v>499</v>
      </c>
      <c r="F155" s="145" t="s">
        <v>162</v>
      </c>
      <c r="G155" s="66" t="s">
        <v>233</v>
      </c>
      <c r="H155" s="66" t="s">
        <v>906</v>
      </c>
      <c r="I155" s="66" t="s">
        <v>906</v>
      </c>
      <c r="J155" s="133" t="s">
        <v>148</v>
      </c>
      <c r="K155" s="133" t="s">
        <v>148</v>
      </c>
      <c r="L155" s="168" t="s">
        <v>209</v>
      </c>
      <c r="M155" s="194" t="s">
        <v>191</v>
      </c>
      <c r="N155" s="134" t="s">
        <v>59</v>
      </c>
      <c r="O155" s="167" t="s">
        <v>43</v>
      </c>
      <c r="P155" s="65">
        <v>2</v>
      </c>
      <c r="Q155" s="167" t="s">
        <v>538</v>
      </c>
      <c r="R155" s="65" t="s">
        <v>534</v>
      </c>
      <c r="S155" s="135" t="s">
        <v>9</v>
      </c>
      <c r="T155" s="136" t="e">
        <f>15000/USD</f>
        <v>#REF!</v>
      </c>
      <c r="U155" s="62">
        <v>15000</v>
      </c>
      <c r="V155" s="136" t="e">
        <f>Table12118[[#This Row],[Amortised Limit in Original Currency]]/USD</f>
        <v>#REF!</v>
      </c>
      <c r="W155" s="136" t="e">
        <f>148000/USD</f>
        <v>#REF!</v>
      </c>
      <c r="X155" s="136" t="e">
        <f>1069425.9/USD</f>
        <v>#REF!</v>
      </c>
      <c r="Y155" s="136"/>
      <c r="Z155" s="365"/>
      <c r="AA155" s="61" t="s">
        <v>11</v>
      </c>
      <c r="AB155" s="181">
        <v>0.04</v>
      </c>
      <c r="AC155" s="181"/>
      <c r="AD155" s="137">
        <v>44851</v>
      </c>
      <c r="AE155" s="137">
        <v>46609</v>
      </c>
      <c r="AF155" s="137">
        <v>46609</v>
      </c>
      <c r="AG155" s="138">
        <f t="shared" si="23"/>
        <v>1759</v>
      </c>
      <c r="AH155" s="139" t="e">
        <f t="shared" si="24"/>
        <v>#REF!</v>
      </c>
      <c r="AI155" s="138" t="e">
        <f>AF155-#REF!</f>
        <v>#REF!</v>
      </c>
      <c r="AJ155" s="140" t="e">
        <f t="shared" si="18"/>
        <v>#REF!</v>
      </c>
      <c r="AK155" s="56"/>
      <c r="AL155" s="186" t="s">
        <v>1</v>
      </c>
      <c r="AM155" s="186" t="s">
        <v>1</v>
      </c>
      <c r="AN155" s="187" t="s">
        <v>0</v>
      </c>
      <c r="AO155" s="143" t="e">
        <f t="shared" si="19"/>
        <v>#REF!</v>
      </c>
      <c r="AP155" s="164" t="s">
        <v>271</v>
      </c>
      <c r="AQ155" s="188" t="s">
        <v>907</v>
      </c>
      <c r="AT155" s="197" t="str">
        <f>Table12118[[#This Row],[Risk Location ]]</f>
        <v>United States</v>
      </c>
      <c r="AU155" s="198" t="str">
        <f>Table12118[[#This Row],[Sector (GICS Industry Group)]]</f>
        <v>Telecommunication Services</v>
      </c>
      <c r="AX155" s="212" t="e">
        <f>Table12118[[#This Row],[Percentage Impact]]*Table12118[[#This Row],[Amortised Limit A$ Balance]]</f>
        <v>#REF!</v>
      </c>
      <c r="AY155" s="212" t="e">
        <f>Table12118[[#This Row],[Amortised Limit A$ Balance]]*12%</f>
        <v>#REF!</v>
      </c>
      <c r="AZ155" s="212" t="b">
        <f>IF(Table12118[[#This Row],[Everest]]="Everest",Table12118[[#This Row],[Assetinsure Amount ]]*0.2)</f>
        <v>0</v>
      </c>
      <c r="BA155" s="212"/>
      <c r="BB155" s="212" t="e">
        <f>MIN(Table12118[[#This Row],[Assetinsure Amount ]]-Table12118[[#This Row],[Reinsurance Everest Re]],Table12118[[#This Row],[Total Amount]])</f>
        <v>#REF!</v>
      </c>
      <c r="BC155" s="212">
        <f t="shared" si="20"/>
        <v>0</v>
      </c>
      <c r="BG155" s="18">
        <v>0</v>
      </c>
      <c r="BH155" s="212">
        <v>0</v>
      </c>
      <c r="BI155" s="212">
        <v>0</v>
      </c>
      <c r="BJ155" s="212">
        <v>0</v>
      </c>
      <c r="BK155" s="212">
        <v>0</v>
      </c>
      <c r="BL155" s="212">
        <v>0</v>
      </c>
      <c r="BM155" s="212">
        <v>0</v>
      </c>
      <c r="BN155" s="226"/>
      <c r="BQ155" s="58" t="s">
        <v>910</v>
      </c>
      <c r="BR155" s="112"/>
      <c r="BS155" s="372"/>
    </row>
    <row r="156" spans="1:72" ht="39.950000000000003" customHeight="1" x14ac:dyDescent="0.2">
      <c r="A156" s="132" t="s">
        <v>944</v>
      </c>
      <c r="B156" s="337" t="s">
        <v>1336</v>
      </c>
      <c r="C156" s="337" t="s">
        <v>1142</v>
      </c>
      <c r="D156" s="133" t="s">
        <v>588</v>
      </c>
      <c r="E156" s="14" t="s">
        <v>34</v>
      </c>
      <c r="F156" s="145" t="s">
        <v>34</v>
      </c>
      <c r="G156" s="66" t="s">
        <v>104</v>
      </c>
      <c r="H156" s="14" t="s">
        <v>111</v>
      </c>
      <c r="I156" s="66" t="s">
        <v>112</v>
      </c>
      <c r="J156" s="133" t="s">
        <v>826</v>
      </c>
      <c r="K156" s="133" t="s">
        <v>218</v>
      </c>
      <c r="L156" s="168" t="s">
        <v>29</v>
      </c>
      <c r="M156" s="194" t="s">
        <v>191</v>
      </c>
      <c r="N156" s="134" t="s">
        <v>59</v>
      </c>
      <c r="O156" s="167" t="s">
        <v>43</v>
      </c>
      <c r="P156" s="65">
        <v>4</v>
      </c>
      <c r="Q156" s="167" t="s">
        <v>538</v>
      </c>
      <c r="R156" s="65" t="s">
        <v>534</v>
      </c>
      <c r="S156" s="135" t="s">
        <v>8</v>
      </c>
      <c r="T156" s="136">
        <v>7450</v>
      </c>
      <c r="U156" s="62">
        <v>7095.2</v>
      </c>
      <c r="V156" s="136">
        <f>Table12118[[#This Row],[Amortised Limit in Original Currency]]</f>
        <v>7095.2</v>
      </c>
      <c r="W156" s="136">
        <v>15000</v>
      </c>
      <c r="X156" s="136">
        <v>1012635.61</v>
      </c>
      <c r="Y156" s="62" t="s">
        <v>16</v>
      </c>
      <c r="Z156" s="366">
        <v>0</v>
      </c>
      <c r="AA156" s="61" t="s">
        <v>11</v>
      </c>
      <c r="AB156" s="181">
        <v>0.10249999999999999</v>
      </c>
      <c r="AC156" s="181"/>
      <c r="AD156" s="137">
        <v>44859</v>
      </c>
      <c r="AE156" s="137">
        <v>45858</v>
      </c>
      <c r="AF156" s="137">
        <v>45877</v>
      </c>
      <c r="AG156" s="138">
        <f t="shared" si="23"/>
        <v>1019</v>
      </c>
      <c r="AH156" s="139" t="e">
        <f t="shared" si="24"/>
        <v>#REF!</v>
      </c>
      <c r="AI156" s="138" t="e">
        <f>AF156-#REF!</f>
        <v>#REF!</v>
      </c>
      <c r="AJ156" s="140" t="e">
        <f t="shared" si="18"/>
        <v>#REF!</v>
      </c>
      <c r="AK156" s="56"/>
      <c r="AL156" s="186" t="s">
        <v>1</v>
      </c>
      <c r="AM156" s="186" t="s">
        <v>1</v>
      </c>
      <c r="AN156" s="187" t="s">
        <v>879</v>
      </c>
      <c r="AO156" s="143" t="e">
        <f t="shared" si="19"/>
        <v>#REF!</v>
      </c>
      <c r="AP156" s="164" t="s">
        <v>563</v>
      </c>
      <c r="AQ156" s="188" t="s">
        <v>913</v>
      </c>
      <c r="AT156" s="197" t="str">
        <f>Table12118[[#This Row],[Risk Location ]]</f>
        <v>Australia</v>
      </c>
      <c r="AU156" s="198" t="str">
        <f>Table12118[[#This Row],[Sector (GICS Industry Group)]]</f>
        <v>Materials</v>
      </c>
      <c r="AV156" s="11">
        <v>1</v>
      </c>
      <c r="AW156" s="379">
        <v>0.15</v>
      </c>
      <c r="AX156" s="212">
        <f>Table12118[[#This Row],[Percentage Impact]]*Table12118[[#This Row],[Amortised Limit A$ Balance]]</f>
        <v>1064.28</v>
      </c>
      <c r="AY156" s="212">
        <f>Table12118[[#This Row],[Amortised Limit A$ Balance]]*12%</f>
        <v>851.42399999999998</v>
      </c>
      <c r="AZ156" s="212" t="b">
        <f>IF(Table12118[[#This Row],[Everest]]="Everest",Table12118[[#This Row],[Assetinsure Amount ]]*0.2)</f>
        <v>0</v>
      </c>
      <c r="BA156" s="212"/>
      <c r="BB156" s="212">
        <f>MIN(Table12118[[#This Row],[Assetinsure Amount ]]-Table12118[[#This Row],[Reinsurance Everest Re]],Table12118[[#This Row],[Total Amount]])</f>
        <v>851.42399999999998</v>
      </c>
      <c r="BC156" s="212">
        <f t="shared" si="20"/>
        <v>0</v>
      </c>
      <c r="BD156" s="380" t="s">
        <v>1341</v>
      </c>
      <c r="BG156" s="18">
        <v>851.42399999999998</v>
      </c>
      <c r="BH156" s="212">
        <v>0</v>
      </c>
      <c r="BI156" s="212">
        <v>0</v>
      </c>
      <c r="BJ156" s="212">
        <v>0</v>
      </c>
      <c r="BK156" s="212">
        <v>0</v>
      </c>
      <c r="BL156" s="212">
        <v>0</v>
      </c>
      <c r="BM156" s="212">
        <v>0</v>
      </c>
      <c r="BN156" s="226"/>
      <c r="BQ156" s="272" t="s">
        <v>912</v>
      </c>
      <c r="BR156" s="276"/>
      <c r="BS156" s="372"/>
    </row>
    <row r="157" spans="1:72" ht="39.950000000000003" customHeight="1" x14ac:dyDescent="0.2">
      <c r="A157" s="132" t="s">
        <v>1072</v>
      </c>
      <c r="B157" s="337" t="s">
        <v>51</v>
      </c>
      <c r="C157" s="337" t="s">
        <v>1141</v>
      </c>
      <c r="D157" s="133" t="s">
        <v>38</v>
      </c>
      <c r="E157" s="14" t="s">
        <v>541</v>
      </c>
      <c r="F157" s="145" t="s">
        <v>37</v>
      </c>
      <c r="G157" s="66" t="s">
        <v>544</v>
      </c>
      <c r="H157" s="131" t="s">
        <v>117</v>
      </c>
      <c r="I157" s="66" t="s">
        <v>1073</v>
      </c>
      <c r="J157" s="133" t="s">
        <v>142</v>
      </c>
      <c r="K157" s="133" t="s">
        <v>218</v>
      </c>
      <c r="L157" s="168" t="s">
        <v>29</v>
      </c>
      <c r="M157" s="194" t="s">
        <v>191</v>
      </c>
      <c r="N157" s="134" t="s">
        <v>323</v>
      </c>
      <c r="O157" s="167" t="s">
        <v>43</v>
      </c>
      <c r="P157" s="65">
        <v>2</v>
      </c>
      <c r="Q157" s="132" t="s">
        <v>533</v>
      </c>
      <c r="R157" s="167" t="s">
        <v>534</v>
      </c>
      <c r="S157" s="135" t="s">
        <v>9</v>
      </c>
      <c r="T157" s="136" t="e">
        <f>(7500+5000)/USD</f>
        <v>#REF!</v>
      </c>
      <c r="U157" s="73">
        <f>6375+4250</f>
        <v>10625</v>
      </c>
      <c r="V157" s="136" t="e">
        <f>Table12118[[#This Row],[Amortised Limit in Original Currency]]/USD</f>
        <v>#REF!</v>
      </c>
      <c r="W157" s="136" t="e">
        <f>(15000+10000)/USD</f>
        <v>#REF!</v>
      </c>
      <c r="X157" s="136" t="e">
        <f>(280292.44+203935.65)/USD</f>
        <v>#REF!</v>
      </c>
      <c r="Y157" s="62" t="s">
        <v>16</v>
      </c>
      <c r="Z157" s="366">
        <v>0</v>
      </c>
      <c r="AA157" s="61" t="s">
        <v>11</v>
      </c>
      <c r="AB157" s="185">
        <v>5.3499999999999999E-2</v>
      </c>
      <c r="AC157" s="185"/>
      <c r="AD157" s="137">
        <v>44866</v>
      </c>
      <c r="AE157" s="137">
        <v>45526</v>
      </c>
      <c r="AF157" s="137">
        <v>45686</v>
      </c>
      <c r="AG157" s="138">
        <f t="shared" si="23"/>
        <v>821</v>
      </c>
      <c r="AH157" s="139" t="e">
        <f t="shared" si="24"/>
        <v>#REF!</v>
      </c>
      <c r="AI157" s="138" t="e">
        <f>AF157-#REF!</f>
        <v>#REF!</v>
      </c>
      <c r="AJ157" s="140" t="e">
        <f t="shared" si="18"/>
        <v>#REF!</v>
      </c>
      <c r="AK157" s="56"/>
      <c r="AL157" s="186" t="s">
        <v>1</v>
      </c>
      <c r="AM157" s="186" t="s">
        <v>1</v>
      </c>
      <c r="AN157" s="187" t="s">
        <v>1200</v>
      </c>
      <c r="AO157" s="143" t="e">
        <f t="shared" si="19"/>
        <v>#REF!</v>
      </c>
      <c r="AP157" s="164" t="s">
        <v>271</v>
      </c>
      <c r="AQ157" s="188" t="s">
        <v>1136</v>
      </c>
      <c r="AR157" s="260"/>
      <c r="AS157" s="260"/>
      <c r="AT157" s="197" t="str">
        <f>Table12118[[#This Row],[Risk Location ]]</f>
        <v>Hong Kong</v>
      </c>
      <c r="AU157" s="198" t="str">
        <f>Table12118[[#This Row],[Sector (GICS Industry Group)]]</f>
        <v>Consumer Discretionary</v>
      </c>
      <c r="AX157" s="212" t="e">
        <f>Table12118[[#This Row],[Percentage Impact]]*Table12118[[#This Row],[Amortised Limit A$ Balance]]</f>
        <v>#REF!</v>
      </c>
      <c r="AY157" s="212" t="e">
        <f>Table12118[[#This Row],[Amortised Limit A$ Balance]]*12%</f>
        <v>#REF!</v>
      </c>
      <c r="AZ157" s="212" t="b">
        <f>IF(Table12118[[#This Row],[Everest]]="Everest",Table12118[[#This Row],[Assetinsure Amount ]]*0.2)</f>
        <v>0</v>
      </c>
      <c r="BA157" s="212"/>
      <c r="BB157" s="212" t="e">
        <f>MIN(Table12118[[#This Row],[Assetinsure Amount ]]-Table12118[[#This Row],[Reinsurance Everest Re]],Table12118[[#This Row],[Total Amount]])</f>
        <v>#REF!</v>
      </c>
      <c r="BC157" s="212">
        <f t="shared" si="20"/>
        <v>0</v>
      </c>
      <c r="BD157" s="260"/>
      <c r="BG157" s="18">
        <v>0</v>
      </c>
      <c r="BH157" s="212">
        <v>0</v>
      </c>
      <c r="BI157" s="212">
        <v>0</v>
      </c>
      <c r="BJ157" s="212">
        <v>0</v>
      </c>
      <c r="BK157" s="212">
        <v>0</v>
      </c>
      <c r="BL157" s="212">
        <v>0</v>
      </c>
      <c r="BM157" s="212">
        <v>0</v>
      </c>
      <c r="BN157" s="226"/>
      <c r="BQ157" s="58" t="s">
        <v>1137</v>
      </c>
      <c r="BR157" s="112"/>
      <c r="BS157" s="372"/>
    </row>
    <row r="158" spans="1:72" ht="39.950000000000003" customHeight="1" x14ac:dyDescent="0.2">
      <c r="A158" s="132" t="s">
        <v>1076</v>
      </c>
      <c r="B158" s="337" t="s">
        <v>1247</v>
      </c>
      <c r="C158" s="337" t="s">
        <v>243</v>
      </c>
      <c r="D158" s="133" t="s">
        <v>38</v>
      </c>
      <c r="E158" s="14" t="s">
        <v>34</v>
      </c>
      <c r="F158" s="145" t="s">
        <v>34</v>
      </c>
      <c r="G158" s="131" t="s">
        <v>475</v>
      </c>
      <c r="H158" s="131" t="s">
        <v>138</v>
      </c>
      <c r="I158" s="66" t="s">
        <v>138</v>
      </c>
      <c r="J158" s="133" t="s">
        <v>1088</v>
      </c>
      <c r="K158" s="14" t="s">
        <v>687</v>
      </c>
      <c r="L158" s="168" t="s">
        <v>209</v>
      </c>
      <c r="M158" s="194" t="s">
        <v>191</v>
      </c>
      <c r="N158" s="134" t="s">
        <v>323</v>
      </c>
      <c r="O158" s="167" t="s">
        <v>43</v>
      </c>
      <c r="P158" s="65">
        <v>2</v>
      </c>
      <c r="Q158" s="167" t="s">
        <v>531</v>
      </c>
      <c r="R158" s="167" t="s">
        <v>534</v>
      </c>
      <c r="S158" s="135" t="s">
        <v>8</v>
      </c>
      <c r="T158" s="136">
        <v>15000</v>
      </c>
      <c r="U158" s="73">
        <v>15000</v>
      </c>
      <c r="V158" s="136">
        <f>Table12118[[#This Row],[Amortised Limit in Original Currency]]</f>
        <v>15000</v>
      </c>
      <c r="W158" s="136">
        <v>30000</v>
      </c>
      <c r="X158" s="136">
        <v>2935550.58</v>
      </c>
      <c r="Y158" s="136"/>
      <c r="Z158" s="365"/>
      <c r="AA158" s="61" t="s">
        <v>11</v>
      </c>
      <c r="AB158" s="185">
        <v>6.5000000000000002E-2</v>
      </c>
      <c r="AC158" s="185"/>
      <c r="AD158" s="137">
        <v>44876</v>
      </c>
      <c r="AE158" s="137">
        <v>47054</v>
      </c>
      <c r="AF158" s="137">
        <v>47085</v>
      </c>
      <c r="AG158" s="138">
        <f t="shared" si="23"/>
        <v>2210</v>
      </c>
      <c r="AH158" s="139" t="e">
        <f t="shared" si="24"/>
        <v>#REF!</v>
      </c>
      <c r="AI158" s="138" t="e">
        <f>AF158-#REF!</f>
        <v>#REF!</v>
      </c>
      <c r="AJ158" s="140" t="e">
        <f t="shared" si="18"/>
        <v>#REF!</v>
      </c>
      <c r="AK158" s="56"/>
      <c r="AL158" s="186" t="s">
        <v>1</v>
      </c>
      <c r="AM158" s="186" t="s">
        <v>1</v>
      </c>
      <c r="AN158" s="187" t="s">
        <v>0</v>
      </c>
      <c r="AO158" s="143" t="e">
        <f t="shared" si="19"/>
        <v>#REF!</v>
      </c>
      <c r="AP158" s="164" t="s">
        <v>271</v>
      </c>
      <c r="AQ158" s="188" t="s">
        <v>1077</v>
      </c>
      <c r="AR158" s="260"/>
      <c r="AS158" s="260"/>
      <c r="AT158" s="197" t="str">
        <f>Table12118[[#This Row],[Risk Location ]]</f>
        <v>Australia</v>
      </c>
      <c r="AU158" s="198" t="str">
        <f>Table12118[[#This Row],[Sector (GICS Industry Group)]]</f>
        <v>Health Care</v>
      </c>
      <c r="AX158" s="212">
        <f>Table12118[[#This Row],[Percentage Impact]]*Table12118[[#This Row],[Amortised Limit A$ Balance]]</f>
        <v>0</v>
      </c>
      <c r="AY158" s="212">
        <f>Table12118[[#This Row],[Amortised Limit A$ Balance]]*12%</f>
        <v>1800</v>
      </c>
      <c r="AZ158" s="212" t="b">
        <f>IF(Table12118[[#This Row],[Everest]]="Everest",Table12118[[#This Row],[Assetinsure Amount ]]*0.2)</f>
        <v>0</v>
      </c>
      <c r="BA158" s="212"/>
      <c r="BB158" s="212">
        <f>MIN(Table12118[[#This Row],[Assetinsure Amount ]]-Table12118[[#This Row],[Reinsurance Everest Re]],Table12118[[#This Row],[Total Amount]])</f>
        <v>0</v>
      </c>
      <c r="BC158" s="212">
        <f t="shared" si="20"/>
        <v>0</v>
      </c>
      <c r="BD158" s="260"/>
      <c r="BG158" s="18">
        <v>0</v>
      </c>
      <c r="BH158" s="212">
        <v>0</v>
      </c>
      <c r="BI158" s="212">
        <v>0</v>
      </c>
      <c r="BJ158" s="212">
        <v>0</v>
      </c>
      <c r="BK158" s="212">
        <v>0</v>
      </c>
      <c r="BL158" s="212">
        <v>0</v>
      </c>
      <c r="BM158" s="212">
        <v>0</v>
      </c>
      <c r="BN158" s="226"/>
      <c r="BQ158" s="58" t="s">
        <v>1070</v>
      </c>
      <c r="BR158" s="112"/>
      <c r="BS158" s="372"/>
    </row>
    <row r="159" spans="1:72" ht="39" customHeight="1" x14ac:dyDescent="0.2">
      <c r="A159" s="132" t="s">
        <v>1078</v>
      </c>
      <c r="B159" s="337" t="s">
        <v>23</v>
      </c>
      <c r="C159" s="337" t="s">
        <v>1144</v>
      </c>
      <c r="D159" s="133" t="s">
        <v>588</v>
      </c>
      <c r="E159" s="14" t="s">
        <v>499</v>
      </c>
      <c r="F159" s="145" t="s">
        <v>162</v>
      </c>
      <c r="G159" s="131" t="s">
        <v>891</v>
      </c>
      <c r="H159" s="131" t="s">
        <v>167</v>
      </c>
      <c r="I159" s="131" t="s">
        <v>167</v>
      </c>
      <c r="J159" s="133" t="s">
        <v>1080</v>
      </c>
      <c r="K159" s="133" t="s">
        <v>33</v>
      </c>
      <c r="L159" s="168" t="s">
        <v>209</v>
      </c>
      <c r="M159" s="194" t="s">
        <v>191</v>
      </c>
      <c r="N159" s="134" t="s">
        <v>59</v>
      </c>
      <c r="O159" s="167" t="s">
        <v>43</v>
      </c>
      <c r="P159" s="65">
        <v>2</v>
      </c>
      <c r="Q159" s="167" t="s">
        <v>531</v>
      </c>
      <c r="R159" s="167" t="s">
        <v>534</v>
      </c>
      <c r="S159" s="135" t="s">
        <v>9</v>
      </c>
      <c r="T159" s="136" t="e">
        <f>15000/USD</f>
        <v>#REF!</v>
      </c>
      <c r="U159" s="73">
        <v>15000</v>
      </c>
      <c r="V159" s="136" t="e">
        <f>Table12118[[#This Row],[Amortised Limit in Original Currency]]/USD</f>
        <v>#REF!</v>
      </c>
      <c r="W159" s="136" t="e">
        <f>138999.1364/USD</f>
        <v>#REF!</v>
      </c>
      <c r="X159" s="136" t="e">
        <f>235172.77/USD</f>
        <v>#REF!</v>
      </c>
      <c r="Y159" s="136"/>
      <c r="Z159" s="365"/>
      <c r="AA159" s="61" t="s">
        <v>11</v>
      </c>
      <c r="AB159" s="185">
        <v>2.5000000000000001E-2</v>
      </c>
      <c r="AC159" s="185"/>
      <c r="AD159" s="137">
        <v>44882</v>
      </c>
      <c r="AE159" s="137">
        <v>45397</v>
      </c>
      <c r="AF159" s="137">
        <v>45427</v>
      </c>
      <c r="AG159" s="138">
        <f t="shared" si="23"/>
        <v>546</v>
      </c>
      <c r="AH159" s="139" t="e">
        <f t="shared" si="24"/>
        <v>#REF!</v>
      </c>
      <c r="AI159" s="138" t="e">
        <f>AF159-#REF!</f>
        <v>#REF!</v>
      </c>
      <c r="AJ159" s="140" t="e">
        <f t="shared" si="18"/>
        <v>#REF!</v>
      </c>
      <c r="AK159" s="56"/>
      <c r="AL159" s="186" t="s">
        <v>1</v>
      </c>
      <c r="AM159" s="186" t="s">
        <v>1</v>
      </c>
      <c r="AN159" s="187" t="s">
        <v>0</v>
      </c>
      <c r="AO159" s="143" t="e">
        <f t="shared" si="19"/>
        <v>#REF!</v>
      </c>
      <c r="AP159" s="164" t="s">
        <v>563</v>
      </c>
      <c r="AQ159" s="188" t="s">
        <v>1081</v>
      </c>
      <c r="AR159" s="260"/>
      <c r="AS159" s="260"/>
      <c r="AT159" s="197" t="str">
        <f>Table12118[[#This Row],[Risk Location ]]</f>
        <v>United States</v>
      </c>
      <c r="AU159" s="198" t="str">
        <f>Table12118[[#This Row],[Sector (GICS Industry Group)]]</f>
        <v>Information Technology - Hardware &amp; Equipment</v>
      </c>
      <c r="AX159" s="212" t="e">
        <f>Table12118[[#This Row],[Percentage Impact]]*Table12118[[#This Row],[Amortised Limit A$ Balance]]</f>
        <v>#REF!</v>
      </c>
      <c r="AY159" s="212" t="e">
        <f>Table12118[[#This Row],[Amortised Limit A$ Balance]]*12%</f>
        <v>#REF!</v>
      </c>
      <c r="AZ159" s="212" t="b">
        <f>IF(Table12118[[#This Row],[Everest]]="Everest",Table12118[[#This Row],[Assetinsure Amount ]]*0.2)</f>
        <v>0</v>
      </c>
      <c r="BA159" s="212"/>
      <c r="BB159" s="212" t="e">
        <f>MIN(Table12118[[#This Row],[Assetinsure Amount ]]-Table12118[[#This Row],[Reinsurance Everest Re]],Table12118[[#This Row],[Total Amount]])</f>
        <v>#REF!</v>
      </c>
      <c r="BC159" s="212">
        <f t="shared" si="20"/>
        <v>0</v>
      </c>
      <c r="BD159" s="260"/>
      <c r="BG159" s="18">
        <v>0</v>
      </c>
      <c r="BH159" s="212">
        <v>0</v>
      </c>
      <c r="BI159" s="212">
        <v>0</v>
      </c>
      <c r="BJ159" s="212">
        <v>0</v>
      </c>
      <c r="BK159" s="212">
        <v>0</v>
      </c>
      <c r="BL159" s="212">
        <v>0</v>
      </c>
      <c r="BM159" s="212">
        <v>0</v>
      </c>
      <c r="BN159" s="226"/>
      <c r="BQ159" s="58" t="s">
        <v>1071</v>
      </c>
      <c r="BR159" s="112"/>
      <c r="BS159" s="372"/>
    </row>
    <row r="160" spans="1:72" ht="29.25" customHeight="1" x14ac:dyDescent="0.2">
      <c r="A160" s="132" t="s">
        <v>1083</v>
      </c>
      <c r="B160" s="337" t="s">
        <v>51</v>
      </c>
      <c r="C160" s="337" t="s">
        <v>1142</v>
      </c>
      <c r="D160" s="133" t="s">
        <v>38</v>
      </c>
      <c r="E160" s="131" t="s">
        <v>541</v>
      </c>
      <c r="F160" s="145" t="s">
        <v>38</v>
      </c>
      <c r="G160" s="131" t="s">
        <v>547</v>
      </c>
      <c r="H160" s="131" t="s">
        <v>124</v>
      </c>
      <c r="I160" s="130" t="s">
        <v>123</v>
      </c>
      <c r="J160" s="133" t="s">
        <v>50</v>
      </c>
      <c r="K160" s="192" t="s">
        <v>21</v>
      </c>
      <c r="L160" s="168" t="s">
        <v>29</v>
      </c>
      <c r="M160" s="194" t="s">
        <v>191</v>
      </c>
      <c r="N160" s="134" t="s">
        <v>323</v>
      </c>
      <c r="O160" s="167" t="s">
        <v>43</v>
      </c>
      <c r="P160" s="65">
        <v>2</v>
      </c>
      <c r="Q160" s="132" t="s">
        <v>533</v>
      </c>
      <c r="R160" s="269" t="s">
        <v>548</v>
      </c>
      <c r="S160" s="135" t="s">
        <v>9</v>
      </c>
      <c r="T160" s="136" t="e">
        <f>15000/USD</f>
        <v>#REF!</v>
      </c>
      <c r="U160" s="73">
        <v>15000</v>
      </c>
      <c r="V160" s="136" t="e">
        <f>Table12118[[#This Row],[Amortised Limit in Original Currency]]/USD</f>
        <v>#REF!</v>
      </c>
      <c r="W160" s="136" t="e">
        <f>200000/USD</f>
        <v>#REF!</v>
      </c>
      <c r="X160" s="136" t="e">
        <f>247458.33/USD</f>
        <v>#REF!</v>
      </c>
      <c r="Y160" s="62" t="s">
        <v>16</v>
      </c>
      <c r="Z160" s="366">
        <v>0</v>
      </c>
      <c r="AA160" s="61" t="s">
        <v>11</v>
      </c>
      <c r="AB160" s="185">
        <v>0.01</v>
      </c>
      <c r="AC160" s="185"/>
      <c r="AD160" s="137">
        <v>44889</v>
      </c>
      <c r="AE160" s="137">
        <v>45892</v>
      </c>
      <c r="AF160" s="137">
        <v>45925</v>
      </c>
      <c r="AG160" s="138">
        <f t="shared" si="23"/>
        <v>1037</v>
      </c>
      <c r="AH160" s="139" t="e">
        <f t="shared" si="24"/>
        <v>#REF!</v>
      </c>
      <c r="AI160" s="138" t="e">
        <f>AF160-#REF!</f>
        <v>#REF!</v>
      </c>
      <c r="AJ160" s="140" t="e">
        <f t="shared" si="18"/>
        <v>#REF!</v>
      </c>
      <c r="AK160" s="56"/>
      <c r="AL160" s="186" t="s">
        <v>1</v>
      </c>
      <c r="AM160" s="186" t="s">
        <v>1</v>
      </c>
      <c r="AN160" s="187" t="s">
        <v>0</v>
      </c>
      <c r="AO160" s="143" t="e">
        <f>+IF(AF160-60&lt;$A$1, "SEND NOTICE", "N/A")</f>
        <v>#REF!</v>
      </c>
      <c r="AP160" s="164" t="s">
        <v>271</v>
      </c>
      <c r="AQ160" s="188" t="s">
        <v>1084</v>
      </c>
      <c r="AR160" s="260"/>
      <c r="AS160" s="260"/>
      <c r="AT160" s="197" t="str">
        <f>Table12118[[#This Row],[Risk Location ]]</f>
        <v>Singapore</v>
      </c>
      <c r="AU160" s="198" t="str">
        <f>Table12118[[#This Row],[Sector (GICS Industry Group)]]</f>
        <v>Consumer Staples</v>
      </c>
      <c r="AX160" s="212" t="e">
        <f>Table12118[[#This Row],[Percentage Impact]]*Table12118[[#This Row],[Amortised Limit A$ Balance]]</f>
        <v>#REF!</v>
      </c>
      <c r="AY160" s="212" t="e">
        <f>Table12118[[#This Row],[Amortised Limit A$ Balance]]*12%</f>
        <v>#REF!</v>
      </c>
      <c r="AZ160" s="212" t="b">
        <f>IF(Table12118[[#This Row],[Everest]]="Everest",Table12118[[#This Row],[Assetinsure Amount ]]*0.2)</f>
        <v>0</v>
      </c>
      <c r="BA160" s="212"/>
      <c r="BB160" s="212" t="e">
        <f>MIN(Table12118[[#This Row],[Assetinsure Amount ]]-Table12118[[#This Row],[Reinsurance Everest Re]],Table12118[[#This Row],[Total Amount]])</f>
        <v>#REF!</v>
      </c>
      <c r="BC160" s="212">
        <f t="shared" si="20"/>
        <v>0</v>
      </c>
      <c r="BD160" s="260"/>
      <c r="BG160" s="18">
        <v>0</v>
      </c>
      <c r="BH160" s="212">
        <v>0</v>
      </c>
      <c r="BI160" s="11">
        <v>0</v>
      </c>
      <c r="BJ160" s="212">
        <v>0</v>
      </c>
      <c r="BK160" s="212">
        <v>0</v>
      </c>
      <c r="BL160" s="212">
        <v>0</v>
      </c>
      <c r="BM160" s="212">
        <v>0</v>
      </c>
      <c r="BQ160" s="58" t="s">
        <v>1089</v>
      </c>
      <c r="BS160" s="372"/>
    </row>
    <row r="161" spans="1:72" ht="34.5" customHeight="1" x14ac:dyDescent="0.2">
      <c r="A161" s="132" t="s">
        <v>1082</v>
      </c>
      <c r="B161" s="337" t="s">
        <v>1335</v>
      </c>
      <c r="C161" s="337" t="s">
        <v>1142</v>
      </c>
      <c r="D161" s="133" t="s">
        <v>38</v>
      </c>
      <c r="E161" s="131" t="s">
        <v>34</v>
      </c>
      <c r="F161" s="145" t="s">
        <v>295</v>
      </c>
      <c r="G161" s="131" t="s">
        <v>891</v>
      </c>
      <c r="H161" s="131" t="s">
        <v>167</v>
      </c>
      <c r="I161" s="130" t="s">
        <v>167</v>
      </c>
      <c r="J161" s="133" t="s">
        <v>706</v>
      </c>
      <c r="K161" s="133" t="s">
        <v>220</v>
      </c>
      <c r="L161" s="168" t="s">
        <v>209</v>
      </c>
      <c r="M161" s="194" t="s">
        <v>191</v>
      </c>
      <c r="N161" s="134" t="s">
        <v>323</v>
      </c>
      <c r="O161" s="167" t="s">
        <v>43</v>
      </c>
      <c r="P161" s="65">
        <v>3</v>
      </c>
      <c r="Q161" s="167" t="s">
        <v>538</v>
      </c>
      <c r="R161" s="167" t="s">
        <v>534</v>
      </c>
      <c r="S161" s="135" t="s">
        <v>297</v>
      </c>
      <c r="T161" s="136" t="e">
        <f>30000/NZD</f>
        <v>#REF!</v>
      </c>
      <c r="U161" s="62">
        <v>30000</v>
      </c>
      <c r="V161" s="136" t="e">
        <f>Table12118[[#This Row],[Amortised Limit in Original Currency]]/NZD</f>
        <v>#REF!</v>
      </c>
      <c r="W161" s="136" t="e">
        <f>140200/NZD</f>
        <v>#REF!</v>
      </c>
      <c r="X161" s="136" t="e">
        <f>1330385.09/NZD</f>
        <v>#REF!</v>
      </c>
      <c r="Y161" s="62" t="s">
        <v>16</v>
      </c>
      <c r="Z161" s="366">
        <v>0</v>
      </c>
      <c r="AA161" s="61" t="s">
        <v>11</v>
      </c>
      <c r="AB161" s="185">
        <v>1.7000000000000001E-2</v>
      </c>
      <c r="AC161" s="185"/>
      <c r="AD161" s="137">
        <v>44866</v>
      </c>
      <c r="AE161" s="137">
        <v>46687</v>
      </c>
      <c r="AF161" s="137">
        <v>46722</v>
      </c>
      <c r="AG161" s="138">
        <f t="shared" si="23"/>
        <v>1857</v>
      </c>
      <c r="AH161" s="139" t="e">
        <f t="shared" si="24"/>
        <v>#REF!</v>
      </c>
      <c r="AI161" s="138" t="e">
        <f>AF161-#REF!</f>
        <v>#REF!</v>
      </c>
      <c r="AJ161" s="140" t="e">
        <f t="shared" si="18"/>
        <v>#REF!</v>
      </c>
      <c r="AK161" s="56" t="s">
        <v>436</v>
      </c>
      <c r="AL161" s="186" t="s">
        <v>1</v>
      </c>
      <c r="AM161" s="186" t="s">
        <v>1</v>
      </c>
      <c r="AN161" s="187" t="s">
        <v>0</v>
      </c>
      <c r="AO161" s="143" t="e">
        <f t="shared" si="19"/>
        <v>#REF!</v>
      </c>
      <c r="AP161" s="164" t="s">
        <v>271</v>
      </c>
      <c r="AQ161" s="188" t="s">
        <v>1079</v>
      </c>
      <c r="AR161" s="260"/>
      <c r="AS161" s="260"/>
      <c r="AT161" s="197" t="str">
        <f>Table12118[[#This Row],[Risk Location ]]</f>
        <v>New Zealand</v>
      </c>
      <c r="AU161" s="198" t="str">
        <f>Table12118[[#This Row],[Sector (GICS Industry Group)]]</f>
        <v>Information Technology - Hardware &amp; Equipment</v>
      </c>
      <c r="AX161" s="212" t="e">
        <f>Table12118[[#This Row],[Percentage Impact]]*Table12118[[#This Row],[Amortised Limit A$ Balance]]</f>
        <v>#REF!</v>
      </c>
      <c r="AY161" s="212" t="e">
        <f>Table12118[[#This Row],[Amortised Limit A$ Balance]]*12%</f>
        <v>#REF!</v>
      </c>
      <c r="AZ161" s="212" t="e">
        <f>IF(Table12118[[#This Row],[Everest]]="Everest",Table12118[[#This Row],[Assetinsure Amount ]]*0.2)</f>
        <v>#REF!</v>
      </c>
      <c r="BA161" s="212"/>
      <c r="BB161" s="212" t="e">
        <f>MIN(Table12118[[#This Row],[Assetinsure Amount ]]-Table12118[[#This Row],[Reinsurance Everest Re]],Table12118[[#This Row],[Total Amount]])</f>
        <v>#REF!</v>
      </c>
      <c r="BC161" s="212">
        <f t="shared" si="20"/>
        <v>0</v>
      </c>
      <c r="BD161" s="260"/>
      <c r="BG161" s="18">
        <v>0</v>
      </c>
      <c r="BH161" s="212">
        <v>0</v>
      </c>
      <c r="BI161" s="11">
        <v>0</v>
      </c>
      <c r="BJ161" s="212">
        <v>0</v>
      </c>
      <c r="BK161" s="212">
        <v>0</v>
      </c>
      <c r="BL161" s="212">
        <v>0</v>
      </c>
      <c r="BM161" s="212">
        <v>0</v>
      </c>
      <c r="BQ161" s="58" t="s">
        <v>1085</v>
      </c>
      <c r="BS161" s="372"/>
    </row>
    <row r="162" spans="1:72" ht="35.25" customHeight="1" x14ac:dyDescent="0.2">
      <c r="A162" s="132" t="s">
        <v>1086</v>
      </c>
      <c r="B162" s="337" t="s">
        <v>23</v>
      </c>
      <c r="C162" s="337" t="s">
        <v>1141</v>
      </c>
      <c r="D162" s="133" t="s">
        <v>38</v>
      </c>
      <c r="E162" s="131" t="s">
        <v>540</v>
      </c>
      <c r="F162" s="145" t="s">
        <v>35</v>
      </c>
      <c r="G162" s="131" t="s">
        <v>92</v>
      </c>
      <c r="H162" s="131" t="s">
        <v>108</v>
      </c>
      <c r="I162" s="130" t="s">
        <v>452</v>
      </c>
      <c r="J162" s="133" t="s">
        <v>32</v>
      </c>
      <c r="K162" s="133" t="s">
        <v>33</v>
      </c>
      <c r="L162" s="168" t="s">
        <v>29</v>
      </c>
      <c r="M162" s="194" t="s">
        <v>191</v>
      </c>
      <c r="N162" s="134" t="s">
        <v>323</v>
      </c>
      <c r="O162" s="167" t="s">
        <v>43</v>
      </c>
      <c r="P162" s="65">
        <v>3</v>
      </c>
      <c r="Q162" s="167" t="s">
        <v>538</v>
      </c>
      <c r="R162" s="167" t="s">
        <v>534</v>
      </c>
      <c r="S162" s="135" t="s">
        <v>9</v>
      </c>
      <c r="T162" s="136" t="e">
        <f>10000/USD</f>
        <v>#REF!</v>
      </c>
      <c r="U162" s="73">
        <v>10000</v>
      </c>
      <c r="V162" s="136" t="e">
        <f>Table12118[[#This Row],[Amortised Limit in Original Currency]]/USD</f>
        <v>#REF!</v>
      </c>
      <c r="W162" s="136" t="e">
        <f>100000/USD</f>
        <v>#REF!</v>
      </c>
      <c r="X162" s="136" t="e">
        <f>1207595.15/USD</f>
        <v>#REF!</v>
      </c>
      <c r="Y162" s="136"/>
      <c r="Z162" s="365"/>
      <c r="AA162" s="61" t="s">
        <v>11</v>
      </c>
      <c r="AB162" s="185">
        <v>2.5000000000000001E-2</v>
      </c>
      <c r="AC162" s="185"/>
      <c r="AD162" s="137">
        <v>44895</v>
      </c>
      <c r="AE162" s="137">
        <v>47328</v>
      </c>
      <c r="AF162" s="137">
        <v>47328</v>
      </c>
      <c r="AG162" s="138">
        <f t="shared" si="23"/>
        <v>2434</v>
      </c>
      <c r="AH162" s="139" t="e">
        <f t="shared" si="24"/>
        <v>#REF!</v>
      </c>
      <c r="AI162" s="138" t="e">
        <f>AF162-#REF!</f>
        <v>#REF!</v>
      </c>
      <c r="AJ162" s="140" t="e">
        <f t="shared" si="18"/>
        <v>#REF!</v>
      </c>
      <c r="AK162" s="56"/>
      <c r="AL162" s="186" t="s">
        <v>1</v>
      </c>
      <c r="AM162" s="186" t="s">
        <v>1</v>
      </c>
      <c r="AN162" s="187" t="s">
        <v>0</v>
      </c>
      <c r="AO162" s="143" t="e">
        <f t="shared" si="19"/>
        <v>#REF!</v>
      </c>
      <c r="AP162" s="164" t="s">
        <v>563</v>
      </c>
      <c r="AQ162" s="188" t="s">
        <v>1087</v>
      </c>
      <c r="AR162" s="260"/>
      <c r="AS162" s="260"/>
      <c r="AT162" s="197" t="str">
        <f>Table12118[[#This Row],[Risk Location ]]</f>
        <v>India</v>
      </c>
      <c r="AU162" s="198" t="str">
        <f>Table12118[[#This Row],[Sector (GICS Industry Group)]]</f>
        <v>Transportation</v>
      </c>
      <c r="AX162" s="212" t="e">
        <f>Table12118[[#This Row],[Percentage Impact]]*Table12118[[#This Row],[Amortised Limit A$ Balance]]</f>
        <v>#REF!</v>
      </c>
      <c r="AY162" s="212" t="e">
        <f>Table12118[[#This Row],[Amortised Limit A$ Balance]]*12%</f>
        <v>#REF!</v>
      </c>
      <c r="AZ162" s="212" t="b">
        <f>IF(Table12118[[#This Row],[Everest]]="Everest",Table12118[[#This Row],[Assetinsure Amount ]]*0.2)</f>
        <v>0</v>
      </c>
      <c r="BA162" s="212"/>
      <c r="BB162" s="212" t="e">
        <f>MIN(Table12118[[#This Row],[Assetinsure Amount ]]-Table12118[[#This Row],[Reinsurance Everest Re]],Table12118[[#This Row],[Total Amount]])</f>
        <v>#REF!</v>
      </c>
      <c r="BC162" s="212">
        <f t="shared" si="20"/>
        <v>0</v>
      </c>
      <c r="BD162" s="260"/>
      <c r="BG162" s="18">
        <v>0</v>
      </c>
      <c r="BH162" s="212">
        <v>0</v>
      </c>
      <c r="BI162" s="11">
        <v>0</v>
      </c>
      <c r="BJ162" s="212">
        <v>0</v>
      </c>
      <c r="BK162" s="212">
        <v>0</v>
      </c>
      <c r="BL162" s="212">
        <v>0</v>
      </c>
      <c r="BM162" s="212">
        <v>0</v>
      </c>
      <c r="BQ162" s="58" t="s">
        <v>1126</v>
      </c>
      <c r="BS162" s="372"/>
    </row>
    <row r="163" spans="1:72" ht="34.5" customHeight="1" x14ac:dyDescent="0.2">
      <c r="A163" s="132" t="s">
        <v>1091</v>
      </c>
      <c r="B163" s="337" t="s">
        <v>51</v>
      </c>
      <c r="C163" s="337" t="s">
        <v>1143</v>
      </c>
      <c r="D163" s="133" t="s">
        <v>37</v>
      </c>
      <c r="E163" s="131" t="s">
        <v>34</v>
      </c>
      <c r="F163" s="145" t="s">
        <v>34</v>
      </c>
      <c r="G163" s="131" t="s">
        <v>102</v>
      </c>
      <c r="H163" s="131" t="s">
        <v>102</v>
      </c>
      <c r="I163" s="130" t="s">
        <v>473</v>
      </c>
      <c r="J163" s="66" t="s">
        <v>55</v>
      </c>
      <c r="K163" s="131" t="s">
        <v>218</v>
      </c>
      <c r="L163" s="300" t="s">
        <v>101</v>
      </c>
      <c r="M163" s="194" t="s">
        <v>191</v>
      </c>
      <c r="N163" s="134" t="s">
        <v>323</v>
      </c>
      <c r="O163" s="167" t="s">
        <v>43</v>
      </c>
      <c r="P163" s="65">
        <v>2</v>
      </c>
      <c r="Q163" s="167" t="s">
        <v>538</v>
      </c>
      <c r="R163" s="167" t="s">
        <v>534</v>
      </c>
      <c r="S163" s="135" t="s">
        <v>8</v>
      </c>
      <c r="T163" s="136">
        <v>30000</v>
      </c>
      <c r="U163" s="73">
        <v>30000</v>
      </c>
      <c r="V163" s="136">
        <f>Table12118[[#This Row],[Amortised Limit in Original Currency]]</f>
        <v>30000</v>
      </c>
      <c r="W163" s="136">
        <v>60000</v>
      </c>
      <c r="X163" s="136">
        <v>743691.68</v>
      </c>
      <c r="Y163" s="62" t="s">
        <v>16</v>
      </c>
      <c r="Z163" s="366">
        <v>0</v>
      </c>
      <c r="AA163" s="61" t="s">
        <v>11</v>
      </c>
      <c r="AB163" s="185">
        <v>2.2499999999999999E-2</v>
      </c>
      <c r="AC163" s="185"/>
      <c r="AD163" s="137">
        <v>44909</v>
      </c>
      <c r="AE163" s="137">
        <v>45576</v>
      </c>
      <c r="AF163" s="137">
        <v>45609</v>
      </c>
      <c r="AG163" s="138">
        <f t="shared" si="23"/>
        <v>701</v>
      </c>
      <c r="AH163" s="139" t="e">
        <f t="shared" si="24"/>
        <v>#REF!</v>
      </c>
      <c r="AI163" s="138" t="e">
        <f>AF163-#REF!</f>
        <v>#REF!</v>
      </c>
      <c r="AJ163" s="140" t="e">
        <f t="shared" si="18"/>
        <v>#REF!</v>
      </c>
      <c r="AK163" s="56" t="s">
        <v>436</v>
      </c>
      <c r="AL163" s="186" t="s">
        <v>1</v>
      </c>
      <c r="AM163" s="186" t="s">
        <v>1</v>
      </c>
      <c r="AN163" s="187" t="s">
        <v>0</v>
      </c>
      <c r="AO163" s="143" t="e">
        <f t="shared" si="19"/>
        <v>#REF!</v>
      </c>
      <c r="AP163" s="164" t="s">
        <v>271</v>
      </c>
      <c r="AQ163" s="188" t="s">
        <v>1092</v>
      </c>
      <c r="AR163" s="260"/>
      <c r="AS163" s="260"/>
      <c r="AT163" s="197" t="str">
        <f>Table12118[[#This Row],[Risk Location ]]</f>
        <v>Australia</v>
      </c>
      <c r="AU163" s="198" t="str">
        <f>Table12118[[#This Row],[Sector (GICS Industry Group)]]</f>
        <v>Real Estate Investment</v>
      </c>
      <c r="AX163" s="212">
        <f>Table12118[[#This Row],[Percentage Impact]]*Table12118[[#This Row],[Amortised Limit A$ Balance]]</f>
        <v>0</v>
      </c>
      <c r="AY163" s="212">
        <f>Table12118[[#This Row],[Amortised Limit A$ Balance]]*12%</f>
        <v>3600</v>
      </c>
      <c r="AZ163" s="212">
        <f>IF(Table12118[[#This Row],[Everest]]="Everest",Table12118[[#This Row],[Assetinsure Amount ]]*0.2)</f>
        <v>720</v>
      </c>
      <c r="BA163" s="212"/>
      <c r="BB163" s="212">
        <f>MIN(Table12118[[#This Row],[Assetinsure Amount ]]-Table12118[[#This Row],[Reinsurance Everest Re]],Table12118[[#This Row],[Total Amount]])</f>
        <v>0</v>
      </c>
      <c r="BC163" s="212">
        <f t="shared" si="20"/>
        <v>0</v>
      </c>
      <c r="BD163" s="260"/>
      <c r="BG163" s="18">
        <v>0</v>
      </c>
      <c r="BH163" s="212">
        <v>0</v>
      </c>
      <c r="BI163" s="11">
        <v>0</v>
      </c>
      <c r="BJ163" s="212">
        <v>0</v>
      </c>
      <c r="BK163" s="212">
        <v>0</v>
      </c>
      <c r="BL163" s="212">
        <v>0</v>
      </c>
      <c r="BM163" s="212">
        <v>0</v>
      </c>
      <c r="BQ163" s="58" t="s">
        <v>1093</v>
      </c>
      <c r="BS163" s="372"/>
    </row>
    <row r="164" spans="1:72" s="229" customFormat="1" ht="34.5" customHeight="1" x14ac:dyDescent="0.2">
      <c r="A164" s="132" t="s">
        <v>1094</v>
      </c>
      <c r="B164" s="337" t="s">
        <v>1247</v>
      </c>
      <c r="C164" s="337" t="s">
        <v>1142</v>
      </c>
      <c r="D164" s="133" t="s">
        <v>560</v>
      </c>
      <c r="E164" s="131" t="s">
        <v>499</v>
      </c>
      <c r="F164" s="145" t="s">
        <v>162</v>
      </c>
      <c r="G164" s="131" t="s">
        <v>544</v>
      </c>
      <c r="H164" s="131" t="s">
        <v>117</v>
      </c>
      <c r="I164" s="130" t="s">
        <v>118</v>
      </c>
      <c r="J164" s="145" t="s">
        <v>1095</v>
      </c>
      <c r="K164" s="131" t="s">
        <v>687</v>
      </c>
      <c r="L164" s="301" t="s">
        <v>209</v>
      </c>
      <c r="M164" s="167" t="s">
        <v>191</v>
      </c>
      <c r="N164" s="134" t="s">
        <v>59</v>
      </c>
      <c r="O164" s="167" t="s">
        <v>43</v>
      </c>
      <c r="P164" s="65">
        <v>2</v>
      </c>
      <c r="Q164" s="167" t="s">
        <v>538</v>
      </c>
      <c r="R164" s="167" t="s">
        <v>534</v>
      </c>
      <c r="S164" s="135" t="s">
        <v>9</v>
      </c>
      <c r="T164" s="136" t="e">
        <f>20000/USD</f>
        <v>#REF!</v>
      </c>
      <c r="U164" s="73">
        <v>20000</v>
      </c>
      <c r="V164" s="136" t="e">
        <f>Table12118[[#This Row],[Amortised Limit in Original Currency]]/USD</f>
        <v>#REF!</v>
      </c>
      <c r="W164" s="136">
        <v>199812</v>
      </c>
      <c r="X164" s="136" t="e">
        <f>2908304.53/USD</f>
        <v>#REF!</v>
      </c>
      <c r="Y164" s="136"/>
      <c r="Z164" s="365"/>
      <c r="AA164" s="61" t="s">
        <v>11</v>
      </c>
      <c r="AB164" s="185">
        <v>4.7500000000000001E-2</v>
      </c>
      <c r="AC164" s="185"/>
      <c r="AD164" s="137">
        <v>44914</v>
      </c>
      <c r="AE164" s="137">
        <v>47037</v>
      </c>
      <c r="AF164" s="137">
        <v>47068</v>
      </c>
      <c r="AG164" s="138">
        <f t="shared" si="23"/>
        <v>2155</v>
      </c>
      <c r="AH164" s="139" t="e">
        <f t="shared" si="24"/>
        <v>#REF!</v>
      </c>
      <c r="AI164" s="138" t="e">
        <f>AF164-#REF!</f>
        <v>#REF!</v>
      </c>
      <c r="AJ164" s="140" t="e">
        <f t="shared" si="18"/>
        <v>#REF!</v>
      </c>
      <c r="AK164" s="56" t="s">
        <v>436</v>
      </c>
      <c r="AL164" s="186" t="s">
        <v>1</v>
      </c>
      <c r="AM164" s="186" t="s">
        <v>1</v>
      </c>
      <c r="AN164" s="187" t="s">
        <v>0</v>
      </c>
      <c r="AO164" s="143" t="e">
        <f t="shared" si="19"/>
        <v>#REF!</v>
      </c>
      <c r="AP164" s="164" t="s">
        <v>271</v>
      </c>
      <c r="AQ164" s="188" t="s">
        <v>1097</v>
      </c>
      <c r="AR164" s="260"/>
      <c r="AS164" s="260"/>
      <c r="AT164" s="197" t="str">
        <f>Table12118[[#This Row],[Risk Location ]]</f>
        <v>United States</v>
      </c>
      <c r="AU164" s="198" t="str">
        <f>Table12118[[#This Row],[Sector (GICS Industry Group)]]</f>
        <v>Consumer Discretionary</v>
      </c>
      <c r="AV164" s="11"/>
      <c r="AW164" s="11"/>
      <c r="AX164" s="212" t="e">
        <f>Table12118[[#This Row],[Percentage Impact]]*Table12118[[#This Row],[Amortised Limit A$ Balance]]</f>
        <v>#REF!</v>
      </c>
      <c r="AY164" s="212" t="e">
        <f>Table12118[[#This Row],[Amortised Limit A$ Balance]]*12%</f>
        <v>#REF!</v>
      </c>
      <c r="AZ164" s="212" t="e">
        <f>IF(Table12118[[#This Row],[Everest]]="Everest",Table12118[[#This Row],[Assetinsure Amount ]]*0.2)</f>
        <v>#REF!</v>
      </c>
      <c r="BA164" s="212"/>
      <c r="BB164" s="212" t="e">
        <f>MIN(Table12118[[#This Row],[Assetinsure Amount ]]-Table12118[[#This Row],[Reinsurance Everest Re]],Table12118[[#This Row],[Total Amount]])</f>
        <v>#REF!</v>
      </c>
      <c r="BC164" s="212">
        <f t="shared" si="20"/>
        <v>0</v>
      </c>
      <c r="BD164" s="260"/>
      <c r="BG164" s="18">
        <v>0</v>
      </c>
      <c r="BH164" s="278">
        <v>0</v>
      </c>
      <c r="BI164" s="229">
        <v>0</v>
      </c>
      <c r="BJ164" s="212">
        <v>0</v>
      </c>
      <c r="BK164" s="212">
        <v>0</v>
      </c>
      <c r="BL164" s="212">
        <v>0</v>
      </c>
      <c r="BM164" s="212">
        <v>0</v>
      </c>
      <c r="BQ164" s="58" t="s">
        <v>1096</v>
      </c>
      <c r="BS164" s="372"/>
      <c r="BT164" s="11"/>
    </row>
    <row r="165" spans="1:72" ht="33" customHeight="1" x14ac:dyDescent="0.2">
      <c r="A165" s="132" t="s">
        <v>1098</v>
      </c>
      <c r="B165" s="337" t="s">
        <v>51</v>
      </c>
      <c r="C165" s="337" t="s">
        <v>1141</v>
      </c>
      <c r="D165" s="133" t="s">
        <v>588</v>
      </c>
      <c r="E165" s="131" t="s">
        <v>542</v>
      </c>
      <c r="F165" s="145" t="s">
        <v>87</v>
      </c>
      <c r="G165" s="131" t="s">
        <v>547</v>
      </c>
      <c r="H165" s="131" t="s">
        <v>265</v>
      </c>
      <c r="I165" s="145" t="s">
        <v>457</v>
      </c>
      <c r="J165" s="133" t="s">
        <v>705</v>
      </c>
      <c r="K165" s="131" t="s">
        <v>220</v>
      </c>
      <c r="L165" s="301" t="s">
        <v>209</v>
      </c>
      <c r="M165" s="167" t="s">
        <v>191</v>
      </c>
      <c r="N165" s="134" t="s">
        <v>59</v>
      </c>
      <c r="O165" s="167" t="s">
        <v>43</v>
      </c>
      <c r="P165" s="65">
        <v>2</v>
      </c>
      <c r="Q165" s="167" t="s">
        <v>538</v>
      </c>
      <c r="R165" s="167" t="s">
        <v>534</v>
      </c>
      <c r="S165" s="135" t="s">
        <v>156</v>
      </c>
      <c r="T165" s="136" t="e">
        <f>7515.25/GBP</f>
        <v>#REF!</v>
      </c>
      <c r="U165" s="73">
        <v>7515.25</v>
      </c>
      <c r="V165" s="136" t="e">
        <f>Table12118[[#This Row],[Amortised Limit in Original Currency]]/GBP</f>
        <v>#REF!</v>
      </c>
      <c r="W165" s="136" t="e">
        <f>23214.51/EUR + 10300.85/GBP</f>
        <v>#REF!</v>
      </c>
      <c r="X165" s="136" t="e">
        <f>24442.81/EUR+871068.63/GBP</f>
        <v>#REF!</v>
      </c>
      <c r="Y165" s="62" t="s">
        <v>16</v>
      </c>
      <c r="Z165" s="366">
        <v>0</v>
      </c>
      <c r="AA165" s="147" t="s">
        <v>11</v>
      </c>
      <c r="AB165" s="185">
        <f>(4.75%+5.5%)/2</f>
        <v>5.1250000000000004E-2</v>
      </c>
      <c r="AC165" s="185"/>
      <c r="AD165" s="137">
        <v>44916</v>
      </c>
      <c r="AE165" s="137">
        <v>46694</v>
      </c>
      <c r="AF165" s="137">
        <v>46604</v>
      </c>
      <c r="AG165" s="138">
        <f t="shared" si="23"/>
        <v>1689</v>
      </c>
      <c r="AH165" s="139" t="e">
        <f t="shared" si="24"/>
        <v>#REF!</v>
      </c>
      <c r="AI165" s="138" t="e">
        <f>AF165-#REF!</f>
        <v>#REF!</v>
      </c>
      <c r="AJ165" s="140" t="e">
        <f t="shared" si="18"/>
        <v>#REF!</v>
      </c>
      <c r="AK165" s="274"/>
      <c r="AL165" s="186" t="s">
        <v>1</v>
      </c>
      <c r="AM165" s="186" t="s">
        <v>1</v>
      </c>
      <c r="AN165" s="187" t="s">
        <v>0</v>
      </c>
      <c r="AO165" s="164" t="e">
        <f t="shared" si="19"/>
        <v>#REF!</v>
      </c>
      <c r="AP165" s="164" t="s">
        <v>271</v>
      </c>
      <c r="AQ165" s="188" t="s">
        <v>1101</v>
      </c>
      <c r="AR165" s="291"/>
      <c r="AS165" s="291"/>
      <c r="AT165" s="323" t="str">
        <f>Table12118[[#This Row],[Risk Location ]]</f>
        <v>United Kingdom</v>
      </c>
      <c r="AU165" s="324" t="str">
        <f>Table12118[[#This Row],[Sector (GICS Industry Group)]]</f>
        <v>Consumer Staples</v>
      </c>
      <c r="AX165" s="212" t="e">
        <f>Table12118[[#This Row],[Percentage Impact]]*Table12118[[#This Row],[Amortised Limit A$ Balance]]</f>
        <v>#REF!</v>
      </c>
      <c r="AY165" s="212" t="e">
        <f>Table12118[[#This Row],[Amortised Limit A$ Balance]]*12%</f>
        <v>#REF!</v>
      </c>
      <c r="AZ165" s="212" t="b">
        <f>IF(Table12118[[#This Row],[Everest]]="Everest",Table12118[[#This Row],[Assetinsure Amount ]]*0.2)</f>
        <v>0</v>
      </c>
      <c r="BA165" s="212"/>
      <c r="BB165" s="212" t="e">
        <f>MIN(Table12118[[#This Row],[Assetinsure Amount ]]-Table12118[[#This Row],[Reinsurance Everest Re]],Table12118[[#This Row],[Total Amount]])</f>
        <v>#REF!</v>
      </c>
      <c r="BC165" s="212">
        <f t="shared" si="20"/>
        <v>0</v>
      </c>
      <c r="BD165" s="291"/>
      <c r="BG165" s="18">
        <v>0</v>
      </c>
      <c r="BH165" s="212">
        <v>0</v>
      </c>
      <c r="BI165" s="11">
        <v>0</v>
      </c>
      <c r="BJ165" s="212">
        <v>0</v>
      </c>
      <c r="BK165" s="212">
        <v>0</v>
      </c>
      <c r="BL165" s="212">
        <v>0</v>
      </c>
      <c r="BM165" s="212">
        <v>0</v>
      </c>
      <c r="BQ165" s="58" t="s">
        <v>1120</v>
      </c>
      <c r="BS165" s="372"/>
    </row>
    <row r="166" spans="1:72" s="229" customFormat="1" ht="36.75" customHeight="1" x14ac:dyDescent="0.2">
      <c r="A166" s="132" t="s">
        <v>1099</v>
      </c>
      <c r="B166" s="337" t="s">
        <v>51</v>
      </c>
      <c r="C166" s="337" t="s">
        <v>1144</v>
      </c>
      <c r="D166" s="133" t="s">
        <v>166</v>
      </c>
      <c r="E166" s="131" t="s">
        <v>542</v>
      </c>
      <c r="F166" s="145" t="s">
        <v>166</v>
      </c>
      <c r="G166" s="131" t="s">
        <v>104</v>
      </c>
      <c r="H166" s="131" t="s">
        <v>105</v>
      </c>
      <c r="I166" s="130" t="s">
        <v>285</v>
      </c>
      <c r="J166" s="133" t="s">
        <v>1100</v>
      </c>
      <c r="K166" s="131" t="s">
        <v>220</v>
      </c>
      <c r="L166" s="301" t="s">
        <v>29</v>
      </c>
      <c r="M166" s="167" t="s">
        <v>191</v>
      </c>
      <c r="N166" s="134" t="s">
        <v>59</v>
      </c>
      <c r="O166" s="167" t="s">
        <v>43</v>
      </c>
      <c r="P166" s="65">
        <v>3</v>
      </c>
      <c r="Q166" s="167" t="s">
        <v>538</v>
      </c>
      <c r="R166" s="167" t="s">
        <v>534</v>
      </c>
      <c r="S166" s="135" t="s">
        <v>59</v>
      </c>
      <c r="T166" s="136" t="e">
        <f>7000/EUR</f>
        <v>#REF!</v>
      </c>
      <c r="U166" s="73">
        <v>7000</v>
      </c>
      <c r="V166" s="136" t="e">
        <f>Table12118[[#This Row],[Amortised Limit in Original Currency]]/EUR</f>
        <v>#REF!</v>
      </c>
      <c r="W166" s="136" t="e">
        <f>151350/EUR</f>
        <v>#REF!</v>
      </c>
      <c r="X166" s="136" t="e">
        <f>1278907.53/EUR</f>
        <v>#REF!</v>
      </c>
      <c r="Y166" s="62" t="s">
        <v>16</v>
      </c>
      <c r="Z166" s="366">
        <v>0</v>
      </c>
      <c r="AA166" s="147" t="s">
        <v>11</v>
      </c>
      <c r="AB166" s="185">
        <v>4.4999999999999998E-2</v>
      </c>
      <c r="AC166" s="185"/>
      <c r="AD166" s="137">
        <v>44914</v>
      </c>
      <c r="AE166" s="137">
        <v>47292</v>
      </c>
      <c r="AF166" s="137">
        <v>47323</v>
      </c>
      <c r="AG166" s="138">
        <f t="shared" si="23"/>
        <v>2410</v>
      </c>
      <c r="AH166" s="139" t="e">
        <f t="shared" si="24"/>
        <v>#REF!</v>
      </c>
      <c r="AI166" s="138" t="e">
        <f>AF166-#REF!</f>
        <v>#REF!</v>
      </c>
      <c r="AJ166" s="140" t="e">
        <f t="shared" si="18"/>
        <v>#REF!</v>
      </c>
      <c r="AK166" s="56"/>
      <c r="AL166" s="186" t="s">
        <v>1</v>
      </c>
      <c r="AM166" s="186" t="s">
        <v>1</v>
      </c>
      <c r="AN166" s="187" t="s">
        <v>0</v>
      </c>
      <c r="AO166" s="143" t="e">
        <f t="shared" si="19"/>
        <v>#REF!</v>
      </c>
      <c r="AP166" s="164" t="s">
        <v>271</v>
      </c>
      <c r="AQ166" s="188" t="s">
        <v>1103</v>
      </c>
      <c r="AR166" s="260"/>
      <c r="AS166" s="260"/>
      <c r="AT166" s="197" t="str">
        <f>Table12118[[#This Row],[Risk Location ]]</f>
        <v>France</v>
      </c>
      <c r="AU166" s="198" t="str">
        <f>Table12118[[#This Row],[Sector (GICS Industry Group)]]</f>
        <v>Materials</v>
      </c>
      <c r="AV166" s="11"/>
      <c r="AW166" s="11"/>
      <c r="AX166" s="212" t="e">
        <f>Table12118[[#This Row],[Percentage Impact]]*Table12118[[#This Row],[Amortised Limit A$ Balance]]</f>
        <v>#REF!</v>
      </c>
      <c r="AY166" s="212" t="e">
        <f>Table12118[[#This Row],[Amortised Limit A$ Balance]]*12%</f>
        <v>#REF!</v>
      </c>
      <c r="AZ166" s="212" t="b">
        <f>IF(Table12118[[#This Row],[Everest]]="Everest",Table12118[[#This Row],[Assetinsure Amount ]]*0.2)</f>
        <v>0</v>
      </c>
      <c r="BA166" s="212"/>
      <c r="BB166" s="212" t="e">
        <f>MIN(Table12118[[#This Row],[Assetinsure Amount ]]-Table12118[[#This Row],[Reinsurance Everest Re]],Table12118[[#This Row],[Total Amount]])</f>
        <v>#REF!</v>
      </c>
      <c r="BC166" s="212">
        <f t="shared" si="20"/>
        <v>0</v>
      </c>
      <c r="BD166" s="260"/>
      <c r="BG166" s="18">
        <v>0</v>
      </c>
      <c r="BH166" s="278">
        <v>0</v>
      </c>
      <c r="BI166" s="229">
        <v>0</v>
      </c>
      <c r="BJ166" s="212">
        <v>0</v>
      </c>
      <c r="BK166" s="212">
        <v>0</v>
      </c>
      <c r="BL166" s="212">
        <v>0</v>
      </c>
      <c r="BM166" s="212">
        <v>0</v>
      </c>
      <c r="BQ166" s="58" t="s">
        <v>1102</v>
      </c>
      <c r="BS166" s="372"/>
      <c r="BT166" s="11"/>
    </row>
    <row r="167" spans="1:72" ht="33" customHeight="1" x14ac:dyDescent="0.2">
      <c r="A167" s="132" t="s">
        <v>1105</v>
      </c>
      <c r="B167" s="337" t="s">
        <v>307</v>
      </c>
      <c r="C167" s="337" t="s">
        <v>243</v>
      </c>
      <c r="D167" s="133" t="s">
        <v>560</v>
      </c>
      <c r="E167" s="131" t="s">
        <v>499</v>
      </c>
      <c r="F167" s="145" t="s">
        <v>162</v>
      </c>
      <c r="G167" s="131" t="s">
        <v>891</v>
      </c>
      <c r="H167" s="131" t="s">
        <v>167</v>
      </c>
      <c r="I167" s="145" t="s">
        <v>167</v>
      </c>
      <c r="J167" s="133" t="s">
        <v>1106</v>
      </c>
      <c r="K167" s="131" t="s">
        <v>680</v>
      </c>
      <c r="L167" s="300" t="s">
        <v>209</v>
      </c>
      <c r="M167" s="194" t="s">
        <v>191</v>
      </c>
      <c r="N167" s="134" t="s">
        <v>59</v>
      </c>
      <c r="O167" s="167" t="s">
        <v>43</v>
      </c>
      <c r="P167" s="65">
        <v>2</v>
      </c>
      <c r="Q167" s="167" t="s">
        <v>531</v>
      </c>
      <c r="R167" s="167" t="s">
        <v>534</v>
      </c>
      <c r="S167" s="135" t="s">
        <v>9</v>
      </c>
      <c r="T167" s="136" t="e">
        <f>(15000+5000)/USD</f>
        <v>#REF!</v>
      </c>
      <c r="U167" s="73">
        <f>15000+5000</f>
        <v>20000</v>
      </c>
      <c r="V167" s="136" t="e">
        <f>Table12118[[#This Row],[Amortised Limit in Original Currency]]/USD</f>
        <v>#REF!</v>
      </c>
      <c r="W167" s="136" t="e">
        <f>510046/USD</f>
        <v>#REF!</v>
      </c>
      <c r="X167" s="136" t="e">
        <f>1468359.38/USD</f>
        <v>#REF!</v>
      </c>
      <c r="Y167" s="136"/>
      <c r="Z167" s="365"/>
      <c r="AA167" s="147" t="s">
        <v>11</v>
      </c>
      <c r="AB167" s="185">
        <v>0.03</v>
      </c>
      <c r="AC167" s="185"/>
      <c r="AD167" s="137">
        <v>44901</v>
      </c>
      <c r="AE167" s="137">
        <v>46736</v>
      </c>
      <c r="AF167" s="137">
        <v>46736</v>
      </c>
      <c r="AG167" s="138">
        <f t="shared" si="23"/>
        <v>1836</v>
      </c>
      <c r="AH167" s="139" t="e">
        <f t="shared" si="24"/>
        <v>#REF!</v>
      </c>
      <c r="AI167" s="138" t="e">
        <f>AF167-#REF!</f>
        <v>#REF!</v>
      </c>
      <c r="AJ167" s="140" t="e">
        <f t="shared" si="18"/>
        <v>#REF!</v>
      </c>
      <c r="AK167" s="274" t="s">
        <v>436</v>
      </c>
      <c r="AL167" s="186" t="s">
        <v>1</v>
      </c>
      <c r="AM167" s="186" t="s">
        <v>1</v>
      </c>
      <c r="AN167" s="187" t="s">
        <v>0</v>
      </c>
      <c r="AO167" s="164" t="e">
        <f t="shared" si="19"/>
        <v>#REF!</v>
      </c>
      <c r="AP167" s="164" t="s">
        <v>271</v>
      </c>
      <c r="AQ167" s="188" t="s">
        <v>1121</v>
      </c>
      <c r="AR167" s="291"/>
      <c r="AS167" s="291"/>
      <c r="AT167" s="323" t="str">
        <f>Table12118[[#This Row],[Risk Location ]]</f>
        <v>United States</v>
      </c>
      <c r="AU167" s="324" t="str">
        <f>Table12118[[#This Row],[Sector (GICS Industry Group)]]</f>
        <v>Information Technology - Hardware &amp; Equipment</v>
      </c>
      <c r="AX167" s="212" t="e">
        <f>Table12118[[#This Row],[Percentage Impact]]*Table12118[[#This Row],[Amortised Limit A$ Balance]]</f>
        <v>#REF!</v>
      </c>
      <c r="AY167" s="212" t="e">
        <f>Table12118[[#This Row],[Amortised Limit A$ Balance]]*12%</f>
        <v>#REF!</v>
      </c>
      <c r="AZ167" s="212" t="e">
        <f>IF(Table12118[[#This Row],[Everest]]="Everest",Table12118[[#This Row],[Assetinsure Amount ]]*0.2)</f>
        <v>#REF!</v>
      </c>
      <c r="BA167" s="212"/>
      <c r="BB167" s="212" t="e">
        <f>MIN(Table12118[[#This Row],[Assetinsure Amount ]]-Table12118[[#This Row],[Reinsurance Everest Re]],Table12118[[#This Row],[Total Amount]])</f>
        <v>#REF!</v>
      </c>
      <c r="BC167" s="212">
        <f t="shared" si="20"/>
        <v>0</v>
      </c>
      <c r="BD167" s="291"/>
      <c r="BG167" s="18">
        <v>0</v>
      </c>
      <c r="BH167" s="212">
        <v>0</v>
      </c>
      <c r="BI167" s="11">
        <v>0</v>
      </c>
      <c r="BJ167" s="212">
        <v>0</v>
      </c>
      <c r="BK167" s="212">
        <v>0</v>
      </c>
      <c r="BL167" s="212">
        <v>0</v>
      </c>
      <c r="BM167" s="212">
        <v>0</v>
      </c>
      <c r="BQ167" s="58" t="s">
        <v>1104</v>
      </c>
      <c r="BS167" s="372"/>
    </row>
    <row r="168" spans="1:72" ht="31.5" customHeight="1" x14ac:dyDescent="0.2">
      <c r="A168" s="132" t="s">
        <v>1122</v>
      </c>
      <c r="B168" s="337" t="s">
        <v>243</v>
      </c>
      <c r="C168" s="337" t="s">
        <v>243</v>
      </c>
      <c r="D168" s="133" t="s">
        <v>588</v>
      </c>
      <c r="E168" s="131" t="s">
        <v>499</v>
      </c>
      <c r="F168" s="145" t="s">
        <v>162</v>
      </c>
      <c r="G168" s="131" t="s">
        <v>891</v>
      </c>
      <c r="H168" s="131" t="s">
        <v>167</v>
      </c>
      <c r="I168" s="130" t="s">
        <v>167</v>
      </c>
      <c r="J168" s="133" t="s">
        <v>589</v>
      </c>
      <c r="K168" s="131" t="s">
        <v>218</v>
      </c>
      <c r="L168" s="300" t="s">
        <v>140</v>
      </c>
      <c r="M168" s="194" t="s">
        <v>191</v>
      </c>
      <c r="N168" s="134" t="s">
        <v>59</v>
      </c>
      <c r="O168" s="167" t="s">
        <v>43</v>
      </c>
      <c r="P168" s="65">
        <v>2</v>
      </c>
      <c r="Q168" s="167" t="s">
        <v>538</v>
      </c>
      <c r="R168" s="167" t="s">
        <v>534</v>
      </c>
      <c r="S168" s="135" t="s">
        <v>9</v>
      </c>
      <c r="T168" s="136" t="e">
        <f>15000/USD</f>
        <v>#REF!</v>
      </c>
      <c r="U168" s="73">
        <v>15000</v>
      </c>
      <c r="V168" s="136" t="e">
        <f>Table12118[[#This Row],[Amortised Limit in Original Currency]]/USD</f>
        <v>#REF!</v>
      </c>
      <c r="W168" s="136" t="e">
        <f>30000/USD</f>
        <v>#REF!</v>
      </c>
      <c r="X168" s="136" t="e">
        <f>541448.17/USD</f>
        <v>#REF!</v>
      </c>
      <c r="Y168" s="62" t="s">
        <v>16</v>
      </c>
      <c r="Z168" s="366">
        <v>0</v>
      </c>
      <c r="AA168" s="147" t="s">
        <v>11</v>
      </c>
      <c r="AB168" s="185">
        <v>2.7E-2</v>
      </c>
      <c r="AC168" s="185"/>
      <c r="AD168" s="137">
        <v>44916</v>
      </c>
      <c r="AE168" s="137">
        <v>45949</v>
      </c>
      <c r="AF168" s="137">
        <v>45950</v>
      </c>
      <c r="AG168" s="138">
        <f t="shared" si="23"/>
        <v>1035</v>
      </c>
      <c r="AH168" s="139" t="e">
        <f t="shared" si="24"/>
        <v>#REF!</v>
      </c>
      <c r="AI168" s="138" t="e">
        <f>AF168-#REF!</f>
        <v>#REF!</v>
      </c>
      <c r="AJ168" s="140" t="e">
        <f t="shared" si="18"/>
        <v>#REF!</v>
      </c>
      <c r="AK168" s="56"/>
      <c r="AL168" s="186" t="s">
        <v>1</v>
      </c>
      <c r="AM168" s="186" t="s">
        <v>1</v>
      </c>
      <c r="AN168" s="187" t="s">
        <v>0</v>
      </c>
      <c r="AO168" s="143" t="e">
        <f t="shared" si="19"/>
        <v>#REF!</v>
      </c>
      <c r="AP168" s="164" t="s">
        <v>271</v>
      </c>
      <c r="AQ168" s="188" t="s">
        <v>1107</v>
      </c>
      <c r="AR168" s="260"/>
      <c r="AS168" s="260"/>
      <c r="AT168" s="197" t="str">
        <f>Table12118[[#This Row],[Risk Location ]]</f>
        <v>United States</v>
      </c>
      <c r="AU168" s="198" t="str">
        <f>Table12118[[#This Row],[Sector (GICS Industry Group)]]</f>
        <v>Information Technology - Hardware &amp; Equipment</v>
      </c>
      <c r="AX168" s="212" t="e">
        <f>Table12118[[#This Row],[Percentage Impact]]*Table12118[[#This Row],[Amortised Limit A$ Balance]]</f>
        <v>#REF!</v>
      </c>
      <c r="AY168" s="212" t="e">
        <f>Table12118[[#This Row],[Amortised Limit A$ Balance]]*12%</f>
        <v>#REF!</v>
      </c>
      <c r="AZ168" s="212" t="b">
        <f>IF(Table12118[[#This Row],[Everest]]="Everest",Table12118[[#This Row],[Assetinsure Amount ]]*0.2)</f>
        <v>0</v>
      </c>
      <c r="BA168" s="212"/>
      <c r="BB168" s="212" t="e">
        <f>MIN(Table12118[[#This Row],[Assetinsure Amount ]]-Table12118[[#This Row],[Reinsurance Everest Re]],Table12118[[#This Row],[Total Amount]])</f>
        <v>#REF!</v>
      </c>
      <c r="BC168" s="212">
        <f t="shared" si="20"/>
        <v>0</v>
      </c>
      <c r="BD168" s="260"/>
      <c r="BG168" s="18">
        <v>0</v>
      </c>
      <c r="BH168" s="212">
        <v>0</v>
      </c>
      <c r="BI168" s="11">
        <v>0</v>
      </c>
      <c r="BJ168" s="212">
        <v>0</v>
      </c>
      <c r="BK168" s="212">
        <v>0</v>
      </c>
      <c r="BL168" s="212">
        <v>0</v>
      </c>
      <c r="BM168" s="212">
        <v>0</v>
      </c>
      <c r="BQ168" s="58" t="s">
        <v>1108</v>
      </c>
      <c r="BS168" s="372"/>
    </row>
    <row r="169" spans="1:72" s="229" customFormat="1" ht="32.25" customHeight="1" x14ac:dyDescent="0.2">
      <c r="A169" s="132" t="s">
        <v>1109</v>
      </c>
      <c r="B169" s="337" t="s">
        <v>51</v>
      </c>
      <c r="C169" s="337" t="s">
        <v>243</v>
      </c>
      <c r="D169" s="133" t="s">
        <v>684</v>
      </c>
      <c r="E169" s="131" t="s">
        <v>542</v>
      </c>
      <c r="F169" s="145" t="s">
        <v>119</v>
      </c>
      <c r="G169" s="131" t="s">
        <v>102</v>
      </c>
      <c r="H169" s="131" t="s">
        <v>102</v>
      </c>
      <c r="I169" s="130" t="s">
        <v>122</v>
      </c>
      <c r="J169" s="66" t="s">
        <v>677</v>
      </c>
      <c r="K169" s="188" t="s">
        <v>218</v>
      </c>
      <c r="L169" s="300" t="s">
        <v>101</v>
      </c>
      <c r="M169" s="194" t="s">
        <v>191</v>
      </c>
      <c r="N169" s="134" t="s">
        <v>59</v>
      </c>
      <c r="O169" s="167" t="s">
        <v>43</v>
      </c>
      <c r="P169" s="65">
        <v>2</v>
      </c>
      <c r="Q169" s="167" t="s">
        <v>533</v>
      </c>
      <c r="R169" s="167" t="s">
        <v>534</v>
      </c>
      <c r="S169" s="135" t="s">
        <v>59</v>
      </c>
      <c r="T169" s="136" t="e">
        <f>20000/EUR</f>
        <v>#REF!</v>
      </c>
      <c r="U169" s="73">
        <v>20000</v>
      </c>
      <c r="V169" s="136" t="e">
        <f>Table12118[[#This Row],[Amortised Limit in Original Currency]]/EUR</f>
        <v>#REF!</v>
      </c>
      <c r="W169" s="136" t="e">
        <f>40000/EUR</f>
        <v>#REF!</v>
      </c>
      <c r="X169" s="136" t="e">
        <f>1285612.75/EUR</f>
        <v>#REF!</v>
      </c>
      <c r="Y169" s="62" t="s">
        <v>16</v>
      </c>
      <c r="Z169" s="366">
        <v>0</v>
      </c>
      <c r="AA169" s="147" t="s">
        <v>11</v>
      </c>
      <c r="AB169" s="185">
        <v>2.6499999999999999E-2</v>
      </c>
      <c r="AC169" s="185"/>
      <c r="AD169" s="137">
        <v>44918</v>
      </c>
      <c r="AE169" s="137">
        <v>46505</v>
      </c>
      <c r="AF169" s="137">
        <v>46535</v>
      </c>
      <c r="AG169" s="138">
        <f t="shared" si="23"/>
        <v>1618</v>
      </c>
      <c r="AH169" s="139" t="e">
        <f t="shared" si="24"/>
        <v>#REF!</v>
      </c>
      <c r="AI169" s="138" t="e">
        <f>AF169-#REF!</f>
        <v>#REF!</v>
      </c>
      <c r="AJ169" s="140" t="e">
        <f t="shared" si="18"/>
        <v>#REF!</v>
      </c>
      <c r="AK169" s="56" t="s">
        <v>436</v>
      </c>
      <c r="AL169" s="186" t="s">
        <v>1</v>
      </c>
      <c r="AM169" s="186" t="s">
        <v>1</v>
      </c>
      <c r="AN169" s="187" t="s">
        <v>0</v>
      </c>
      <c r="AO169" s="143" t="e">
        <f t="shared" si="19"/>
        <v>#REF!</v>
      </c>
      <c r="AP169" s="164" t="s">
        <v>271</v>
      </c>
      <c r="AQ169" s="188" t="s">
        <v>1124</v>
      </c>
      <c r="AR169" s="260"/>
      <c r="AS169" s="260"/>
      <c r="AT169" s="197" t="str">
        <f>Table12118[[#This Row],[Risk Location ]]</f>
        <v>Italy</v>
      </c>
      <c r="AU169" s="198" t="str">
        <f>Table12118[[#This Row],[Sector (GICS Industry Group)]]</f>
        <v>Real Estate Investment</v>
      </c>
      <c r="AV169" s="11"/>
      <c r="AW169" s="11"/>
      <c r="AX169" s="212" t="e">
        <f>Table12118[[#This Row],[Percentage Impact]]*Table12118[[#This Row],[Amortised Limit A$ Balance]]</f>
        <v>#REF!</v>
      </c>
      <c r="AY169" s="212" t="e">
        <f>Table12118[[#This Row],[Amortised Limit A$ Balance]]*12%</f>
        <v>#REF!</v>
      </c>
      <c r="AZ169" s="212" t="e">
        <f>IF(Table12118[[#This Row],[Everest]]="Everest",Table12118[[#This Row],[Assetinsure Amount ]]*0.2)</f>
        <v>#REF!</v>
      </c>
      <c r="BA169" s="212"/>
      <c r="BB169" s="212" t="e">
        <f>MIN(Table12118[[#This Row],[Assetinsure Amount ]]-Table12118[[#This Row],[Reinsurance Everest Re]],Table12118[[#This Row],[Total Amount]])</f>
        <v>#REF!</v>
      </c>
      <c r="BC169" s="212">
        <f t="shared" si="20"/>
        <v>0</v>
      </c>
      <c r="BD169" s="260"/>
      <c r="BG169" s="18">
        <v>0</v>
      </c>
      <c r="BH169" s="278">
        <v>0</v>
      </c>
      <c r="BI169" s="229">
        <v>0</v>
      </c>
      <c r="BJ169" s="212">
        <v>0</v>
      </c>
      <c r="BK169" s="212">
        <v>0</v>
      </c>
      <c r="BL169" s="212">
        <v>0</v>
      </c>
      <c r="BM169" s="212">
        <v>0</v>
      </c>
      <c r="BP169" s="277"/>
      <c r="BQ169" s="58" t="s">
        <v>1110</v>
      </c>
      <c r="BS169" s="372"/>
      <c r="BT169" s="11"/>
    </row>
    <row r="170" spans="1:72" ht="32.25" customHeight="1" x14ac:dyDescent="0.2">
      <c r="A170" s="132" t="s">
        <v>1131</v>
      </c>
      <c r="B170" s="337" t="s">
        <v>51</v>
      </c>
      <c r="C170" s="337" t="s">
        <v>1142</v>
      </c>
      <c r="D170" s="133" t="s">
        <v>211</v>
      </c>
      <c r="E170" s="131" t="s">
        <v>542</v>
      </c>
      <c r="F170" s="145" t="s">
        <v>87</v>
      </c>
      <c r="G170" s="131" t="s">
        <v>547</v>
      </c>
      <c r="H170" s="131" t="s">
        <v>265</v>
      </c>
      <c r="I170" s="145" t="s">
        <v>266</v>
      </c>
      <c r="J170" s="133" t="s">
        <v>212</v>
      </c>
      <c r="K170" s="131" t="s">
        <v>220</v>
      </c>
      <c r="L170" s="300" t="s">
        <v>209</v>
      </c>
      <c r="M170" s="194" t="s">
        <v>191</v>
      </c>
      <c r="N170" s="134" t="s">
        <v>59</v>
      </c>
      <c r="O170" s="167" t="s">
        <v>43</v>
      </c>
      <c r="P170" s="65">
        <v>2</v>
      </c>
      <c r="Q170" s="167" t="s">
        <v>538</v>
      </c>
      <c r="R170" s="167" t="s">
        <v>534</v>
      </c>
      <c r="S170" s="135" t="s">
        <v>59</v>
      </c>
      <c r="T170" s="136" t="e">
        <f>(10000-5000)/EUR</f>
        <v>#REF!</v>
      </c>
      <c r="U170" s="73">
        <f>10000-5000</f>
        <v>5000</v>
      </c>
      <c r="V170" s="136" t="e">
        <f>Table12118[[#This Row],[Amortised Limit in Original Currency]]/EUR</f>
        <v>#REF!</v>
      </c>
      <c r="W170" s="136" t="e">
        <f>105000/EUR</f>
        <v>#REF!</v>
      </c>
      <c r="X170" s="136" t="e">
        <f>(1954267-1098238.86)/EUR</f>
        <v>#REF!</v>
      </c>
      <c r="Y170" s="62" t="s">
        <v>16</v>
      </c>
      <c r="Z170" s="366">
        <v>0</v>
      </c>
      <c r="AA170" s="147" t="s">
        <v>11</v>
      </c>
      <c r="AB170" s="185">
        <v>5.5E-2</v>
      </c>
      <c r="AC170" s="185"/>
      <c r="AD170" s="137">
        <v>44928</v>
      </c>
      <c r="AE170" s="137">
        <v>47041</v>
      </c>
      <c r="AF170" s="137">
        <v>47077</v>
      </c>
      <c r="AG170" s="138">
        <f t="shared" si="23"/>
        <v>2150</v>
      </c>
      <c r="AH170" s="139" t="e">
        <f t="shared" si="24"/>
        <v>#REF!</v>
      </c>
      <c r="AI170" s="138" t="e">
        <f>AF170-#REF!</f>
        <v>#REF!</v>
      </c>
      <c r="AJ170" s="140" t="e">
        <f t="shared" si="18"/>
        <v>#REF!</v>
      </c>
      <c r="AK170" s="274"/>
      <c r="AL170" s="186" t="s">
        <v>1</v>
      </c>
      <c r="AM170" s="186" t="s">
        <v>1</v>
      </c>
      <c r="AN170" s="187" t="s">
        <v>0</v>
      </c>
      <c r="AO170" s="164" t="e">
        <f t="shared" si="19"/>
        <v>#REF!</v>
      </c>
      <c r="AP170" s="164" t="s">
        <v>271</v>
      </c>
      <c r="AQ170" s="316" t="s">
        <v>1139</v>
      </c>
      <c r="AR170" s="291"/>
      <c r="AS170" s="291"/>
      <c r="AT170" s="327" t="str">
        <f>Table12118[[#This Row],[Risk Location ]]</f>
        <v>United Kingdom</v>
      </c>
      <c r="AU170" s="328" t="str">
        <f>Table12118[[#This Row],[Sector (GICS Industry Group)]]</f>
        <v>Consumer Staples</v>
      </c>
      <c r="AX170" s="212" t="e">
        <f>Table12118[[#This Row],[Percentage Impact]]*Table12118[[#This Row],[Amortised Limit A$ Balance]]</f>
        <v>#REF!</v>
      </c>
      <c r="AY170" s="212" t="e">
        <f>Table12118[[#This Row],[Amortised Limit A$ Balance]]*12%</f>
        <v>#REF!</v>
      </c>
      <c r="AZ170" s="212" t="b">
        <f>IF(Table12118[[#This Row],[Everest]]="Everest",Table12118[[#This Row],[Assetinsure Amount ]]*0.2)</f>
        <v>0</v>
      </c>
      <c r="BA170" s="212"/>
      <c r="BB170" s="212" t="e">
        <f>MIN(Table12118[[#This Row],[Assetinsure Amount ]]-Table12118[[#This Row],[Reinsurance Everest Re]],Table12118[[#This Row],[Total Amount]])</f>
        <v>#REF!</v>
      </c>
      <c r="BC170" s="212">
        <f t="shared" si="20"/>
        <v>0</v>
      </c>
      <c r="BD170" s="291"/>
      <c r="BG170" s="18">
        <v>0</v>
      </c>
      <c r="BH170" s="212">
        <v>0</v>
      </c>
      <c r="BI170" s="11">
        <v>0</v>
      </c>
      <c r="BJ170" s="212">
        <v>0</v>
      </c>
      <c r="BK170" s="212">
        <v>0</v>
      </c>
      <c r="BL170" s="212">
        <v>0</v>
      </c>
      <c r="BM170" s="212">
        <v>0</v>
      </c>
      <c r="BP170" s="154"/>
      <c r="BQ170" s="72" t="s">
        <v>1132</v>
      </c>
      <c r="BS170" s="373"/>
    </row>
    <row r="171" spans="1:72" ht="32.25" customHeight="1" x14ac:dyDescent="0.2">
      <c r="A171" s="132" t="s">
        <v>1135</v>
      </c>
      <c r="B171" s="337" t="s">
        <v>1335</v>
      </c>
      <c r="C171" s="339" t="s">
        <v>1142</v>
      </c>
      <c r="D171" s="133" t="s">
        <v>127</v>
      </c>
      <c r="E171" s="131" t="s">
        <v>542</v>
      </c>
      <c r="F171" s="145" t="s">
        <v>149</v>
      </c>
      <c r="G171" s="131" t="s">
        <v>543</v>
      </c>
      <c r="H171" s="131" t="s">
        <v>97</v>
      </c>
      <c r="I171" s="130" t="s">
        <v>255</v>
      </c>
      <c r="J171" s="133" t="s">
        <v>677</v>
      </c>
      <c r="K171" s="133" t="s">
        <v>218</v>
      </c>
      <c r="L171" s="231" t="s">
        <v>209</v>
      </c>
      <c r="M171" s="194" t="s">
        <v>191</v>
      </c>
      <c r="N171" s="134" t="s">
        <v>59</v>
      </c>
      <c r="O171" s="167" t="s">
        <v>43</v>
      </c>
      <c r="P171" s="65">
        <v>2</v>
      </c>
      <c r="Q171" s="167" t="s">
        <v>538</v>
      </c>
      <c r="R171" s="167" t="s">
        <v>534</v>
      </c>
      <c r="S171" s="135" t="s">
        <v>59</v>
      </c>
      <c r="T171" s="136" t="e">
        <f>12500/EUR</f>
        <v>#REF!</v>
      </c>
      <c r="U171" s="73">
        <v>12500</v>
      </c>
      <c r="V171" s="136" t="e">
        <f>Table12118[[#This Row],[Amortised Limit in Original Currency]]/EUR</f>
        <v>#REF!</v>
      </c>
      <c r="W171" s="136" t="e">
        <f>42500/EUR</f>
        <v>#REF!</v>
      </c>
      <c r="X171" s="136" t="e">
        <f>1015208.33/EUR</f>
        <v>#REF!</v>
      </c>
      <c r="Y171" s="62" t="s">
        <v>16</v>
      </c>
      <c r="Z171" s="366">
        <v>0</v>
      </c>
      <c r="AA171" s="147" t="s">
        <v>11</v>
      </c>
      <c r="AB171" s="185">
        <v>4.4999999999999998E-2</v>
      </c>
      <c r="AC171" s="185"/>
      <c r="AD171" s="137">
        <v>44946</v>
      </c>
      <c r="AE171" s="137">
        <v>46744</v>
      </c>
      <c r="AF171" s="137">
        <v>46803</v>
      </c>
      <c r="AG171" s="138">
        <f t="shared" si="23"/>
        <v>1858</v>
      </c>
      <c r="AH171" s="139" t="e">
        <f t="shared" si="24"/>
        <v>#REF!</v>
      </c>
      <c r="AI171" s="138" t="e">
        <f>AF171-#REF!</f>
        <v>#REF!</v>
      </c>
      <c r="AJ171" s="140" t="e">
        <f t="shared" si="18"/>
        <v>#REF!</v>
      </c>
      <c r="AK171" s="56"/>
      <c r="AL171" s="186" t="s">
        <v>1</v>
      </c>
      <c r="AM171" s="186" t="s">
        <v>1</v>
      </c>
      <c r="AN171" s="187" t="s">
        <v>1161</v>
      </c>
      <c r="AO171" s="143" t="e">
        <f t="shared" si="19"/>
        <v>#REF!</v>
      </c>
      <c r="AP171" s="164" t="s">
        <v>271</v>
      </c>
      <c r="AQ171" s="188" t="s">
        <v>1134</v>
      </c>
      <c r="AR171" s="260"/>
      <c r="AS171" s="260"/>
      <c r="AT171" s="312" t="str">
        <f>Table12118[[#This Row],[Risk Location ]]</f>
        <v>Luxembourg</v>
      </c>
      <c r="AU171" s="313" t="str">
        <f>Table12118[[#This Row],[Sector (GICS Industry Group)]]</f>
        <v>Industrials</v>
      </c>
      <c r="AX171" s="212" t="e">
        <f>Table12118[[#This Row],[Percentage Impact]]*Table12118[[#This Row],[Amortised Limit A$ Balance]]</f>
        <v>#REF!</v>
      </c>
      <c r="AY171" s="212" t="e">
        <f>Table12118[[#This Row],[Amortised Limit A$ Balance]]*12%</f>
        <v>#REF!</v>
      </c>
      <c r="AZ171" s="212" t="b">
        <f>IF(Table12118[[#This Row],[Everest]]="Everest",Table12118[[#This Row],[Assetinsure Amount ]]*0.2)</f>
        <v>0</v>
      </c>
      <c r="BA171" s="212"/>
      <c r="BB171" s="212" t="e">
        <f>MIN(Table12118[[#This Row],[Assetinsure Amount ]]-Table12118[[#This Row],[Reinsurance Everest Re]],Table12118[[#This Row],[Total Amount]])</f>
        <v>#REF!</v>
      </c>
      <c r="BC171" s="212">
        <f t="shared" si="20"/>
        <v>0</v>
      </c>
      <c r="BD171" s="260"/>
      <c r="BG171" s="18">
        <v>0</v>
      </c>
      <c r="BH171" s="212">
        <v>0</v>
      </c>
      <c r="BI171" s="11">
        <v>0</v>
      </c>
      <c r="BJ171" s="212">
        <v>0</v>
      </c>
      <c r="BK171" s="212">
        <v>0</v>
      </c>
      <c r="BL171" s="212">
        <v>0</v>
      </c>
      <c r="BM171" s="212">
        <v>0</v>
      </c>
      <c r="BP171" s="154"/>
      <c r="BQ171" s="72" t="s">
        <v>1133</v>
      </c>
      <c r="BS171" s="373"/>
    </row>
    <row r="172" spans="1:72" s="229" customFormat="1" ht="32.25" customHeight="1" x14ac:dyDescent="0.2">
      <c r="A172" s="132" t="s">
        <v>1146</v>
      </c>
      <c r="B172" s="337" t="s">
        <v>23</v>
      </c>
      <c r="C172" s="340" t="s">
        <v>1141</v>
      </c>
      <c r="D172" s="133" t="s">
        <v>149</v>
      </c>
      <c r="E172" s="131" t="s">
        <v>542</v>
      </c>
      <c r="F172" s="145" t="s">
        <v>308</v>
      </c>
      <c r="G172" s="131" t="s">
        <v>92</v>
      </c>
      <c r="H172" s="131" t="s">
        <v>134</v>
      </c>
      <c r="I172" s="131" t="s">
        <v>134</v>
      </c>
      <c r="J172" s="133" t="s">
        <v>148</v>
      </c>
      <c r="K172" s="133" t="s">
        <v>148</v>
      </c>
      <c r="L172" s="231" t="s">
        <v>209</v>
      </c>
      <c r="M172" s="194" t="s">
        <v>191</v>
      </c>
      <c r="N172" s="134" t="s">
        <v>59</v>
      </c>
      <c r="O172" s="167" t="s">
        <v>43</v>
      </c>
      <c r="P172" s="65">
        <v>2</v>
      </c>
      <c r="Q172" s="167" t="s">
        <v>531</v>
      </c>
      <c r="R172" s="167" t="s">
        <v>534</v>
      </c>
      <c r="S172" s="135" t="s">
        <v>1148</v>
      </c>
      <c r="T172" s="320" t="e">
        <f>94012.52742/NOK+5840.11035/EUR</f>
        <v>#REF!</v>
      </c>
      <c r="U172" s="320">
        <f>94012.52742+5840.11035</f>
        <v>99852.637770000001</v>
      </c>
      <c r="V172" s="320" t="e">
        <f>94012.52742/NOK+5840.11035/EUR</f>
        <v>#REF!</v>
      </c>
      <c r="W172" s="136" t="e">
        <f>30000/EUR</f>
        <v>#REF!</v>
      </c>
      <c r="X172" s="136" t="e">
        <f>5867590.28/NOK+350666.35/EUR</f>
        <v>#REF!</v>
      </c>
      <c r="Y172" s="136"/>
      <c r="Z172" s="365"/>
      <c r="AA172" s="147" t="s">
        <v>11</v>
      </c>
      <c r="AB172" s="185">
        <v>2.2499999999999999E-2</v>
      </c>
      <c r="AC172" s="185"/>
      <c r="AD172" s="137">
        <v>44972</v>
      </c>
      <c r="AE172" s="137">
        <v>47188</v>
      </c>
      <c r="AF172" s="137">
        <v>47207</v>
      </c>
      <c r="AG172" s="138">
        <f t="shared" si="23"/>
        <v>2236</v>
      </c>
      <c r="AH172" s="139" t="e">
        <f t="shared" si="24"/>
        <v>#REF!</v>
      </c>
      <c r="AI172" s="138" t="e">
        <f>AF172-#REF!</f>
        <v>#REF!</v>
      </c>
      <c r="AJ172" s="140" t="e">
        <f t="shared" si="18"/>
        <v>#REF!</v>
      </c>
      <c r="AK172" s="56" t="s">
        <v>436</v>
      </c>
      <c r="AL172" s="318" t="s">
        <v>1</v>
      </c>
      <c r="AM172" s="318" t="s">
        <v>1</v>
      </c>
      <c r="AN172" s="187" t="s">
        <v>0</v>
      </c>
      <c r="AO172" s="143" t="e">
        <f t="shared" si="19"/>
        <v>#REF!</v>
      </c>
      <c r="AP172" s="164" t="s">
        <v>563</v>
      </c>
      <c r="AQ172" s="188" t="s">
        <v>1147</v>
      </c>
      <c r="AR172" s="260"/>
      <c r="AS172" s="260"/>
      <c r="AT172" s="312" t="str">
        <f>Table12118[[#This Row],[Risk Location ]]</f>
        <v>Norway</v>
      </c>
      <c r="AU172" s="313" t="str">
        <f>Table12118[[#This Row],[Sector (GICS Industry Group)]]</f>
        <v>Transportation</v>
      </c>
      <c r="AV172" s="11"/>
      <c r="AW172" s="11"/>
      <c r="AX172" s="212" t="e">
        <f>Table12118[[#This Row],[Percentage Impact]]*Table12118[[#This Row],[Amortised Limit A$ Balance]]</f>
        <v>#REF!</v>
      </c>
      <c r="AY172" s="212" t="e">
        <f>Table12118[[#This Row],[Amortised Limit A$ Balance]]*12%</f>
        <v>#REF!</v>
      </c>
      <c r="AZ172" s="212" t="e">
        <f>IF(Table12118[[#This Row],[Everest]]="Everest",Table12118[[#This Row],[Assetinsure Amount ]]*0.2)</f>
        <v>#REF!</v>
      </c>
      <c r="BA172" s="212"/>
      <c r="BB172" s="212" t="e">
        <f>MIN(Table12118[[#This Row],[Assetinsure Amount ]]-Table12118[[#This Row],[Reinsurance Everest Re]],Table12118[[#This Row],[Total Amount]])</f>
        <v>#REF!</v>
      </c>
      <c r="BC172" s="212">
        <f t="shared" si="20"/>
        <v>0</v>
      </c>
      <c r="BD172" s="260"/>
      <c r="BG172" s="18">
        <v>0</v>
      </c>
      <c r="BH172" s="278">
        <v>0</v>
      </c>
      <c r="BI172" s="11">
        <v>0</v>
      </c>
      <c r="BJ172" s="212">
        <v>0</v>
      </c>
      <c r="BK172" s="212">
        <v>0</v>
      </c>
      <c r="BL172" s="212">
        <v>0</v>
      </c>
      <c r="BM172" s="212">
        <v>0</v>
      </c>
      <c r="BP172" s="277"/>
      <c r="BQ172" s="72" t="s">
        <v>1145</v>
      </c>
      <c r="BS172" s="373"/>
      <c r="BT172" s="11"/>
    </row>
    <row r="173" spans="1:72" ht="32.25" customHeight="1" x14ac:dyDescent="0.2">
      <c r="A173" s="132" t="s">
        <v>1149</v>
      </c>
      <c r="B173" s="337" t="s">
        <v>51</v>
      </c>
      <c r="C173" s="340" t="s">
        <v>1141</v>
      </c>
      <c r="D173" s="133" t="s">
        <v>876</v>
      </c>
      <c r="E173" s="131" t="s">
        <v>541</v>
      </c>
      <c r="F173" s="145" t="s">
        <v>38</v>
      </c>
      <c r="G173" s="131" t="s">
        <v>92</v>
      </c>
      <c r="H173" s="131" t="s">
        <v>134</v>
      </c>
      <c r="I173" s="131" t="s">
        <v>134</v>
      </c>
      <c r="J173" s="133" t="s">
        <v>50</v>
      </c>
      <c r="K173" s="131" t="s">
        <v>21</v>
      </c>
      <c r="L173" s="231" t="s">
        <v>209</v>
      </c>
      <c r="M173" s="194" t="s">
        <v>191</v>
      </c>
      <c r="N173" s="134" t="s">
        <v>323</v>
      </c>
      <c r="O173" s="167" t="s">
        <v>43</v>
      </c>
      <c r="P173" s="65">
        <v>2</v>
      </c>
      <c r="Q173" s="167" t="s">
        <v>531</v>
      </c>
      <c r="R173" s="167" t="s">
        <v>534</v>
      </c>
      <c r="S173" s="135" t="s">
        <v>9</v>
      </c>
      <c r="T173" s="320" t="e">
        <f>12500/USD</f>
        <v>#REF!</v>
      </c>
      <c r="U173" s="73">
        <v>12500</v>
      </c>
      <c r="V173" s="136" t="e">
        <f>Table12118[[#This Row],[Amortised Limit in Original Currency]]/USD</f>
        <v>#REF!</v>
      </c>
      <c r="W173" s="136" t="e">
        <f>66778.065/USD</f>
        <v>#REF!</v>
      </c>
      <c r="X173" s="136" t="e">
        <f>1458062.39/USD</f>
        <v>#REF!</v>
      </c>
      <c r="Y173" s="62" t="s">
        <v>16</v>
      </c>
      <c r="Z173" s="366">
        <v>0</v>
      </c>
      <c r="AA173" s="147" t="s">
        <v>11</v>
      </c>
      <c r="AB173" s="185">
        <v>4.2500000000000003E-2</v>
      </c>
      <c r="AC173" s="185"/>
      <c r="AD173" s="137">
        <v>44984</v>
      </c>
      <c r="AE173" s="137">
        <v>46726</v>
      </c>
      <c r="AF173" s="137">
        <v>46769</v>
      </c>
      <c r="AG173" s="138">
        <f t="shared" si="23"/>
        <v>1786</v>
      </c>
      <c r="AH173" s="139" t="e">
        <f t="shared" si="24"/>
        <v>#REF!</v>
      </c>
      <c r="AI173" s="138" t="e">
        <f>AF173-#REF!</f>
        <v>#REF!</v>
      </c>
      <c r="AJ173" s="140" t="e">
        <f t="shared" si="18"/>
        <v>#REF!</v>
      </c>
      <c r="AK173" s="274"/>
      <c r="AL173" s="318" t="s">
        <v>1</v>
      </c>
      <c r="AM173" s="318" t="s">
        <v>1</v>
      </c>
      <c r="AN173" s="187" t="s">
        <v>1201</v>
      </c>
      <c r="AO173" s="164" t="e">
        <f t="shared" si="19"/>
        <v>#REF!</v>
      </c>
      <c r="AP173" s="164" t="s">
        <v>271</v>
      </c>
      <c r="AQ173" s="188" t="s">
        <v>1150</v>
      </c>
      <c r="AR173" s="291"/>
      <c r="AS173" s="291"/>
      <c r="AT173" s="327" t="str">
        <f>Table12118[[#This Row],[Risk Location ]]</f>
        <v>Singapore</v>
      </c>
      <c r="AU173" s="328" t="str">
        <f>Table12118[[#This Row],[Sector (GICS Industry Group)]]</f>
        <v>Transportation</v>
      </c>
      <c r="AX173" s="212" t="e">
        <f>Table12118[[#This Row],[Percentage Impact]]*Table12118[[#This Row],[Amortised Limit A$ Balance]]</f>
        <v>#REF!</v>
      </c>
      <c r="AY173" s="212" t="e">
        <f>Table12118[[#This Row],[Amortised Limit A$ Balance]]*12%</f>
        <v>#REF!</v>
      </c>
      <c r="AZ173" s="212" t="b">
        <f>IF(Table12118[[#This Row],[Everest]]="Everest",Table12118[[#This Row],[Assetinsure Amount ]]*0.2)</f>
        <v>0</v>
      </c>
      <c r="BA173" s="212"/>
      <c r="BB173" s="212" t="e">
        <f>MIN(Table12118[[#This Row],[Assetinsure Amount ]]-Table12118[[#This Row],[Reinsurance Everest Re]],Table12118[[#This Row],[Total Amount]])</f>
        <v>#REF!</v>
      </c>
      <c r="BC173" s="212">
        <f t="shared" si="20"/>
        <v>0</v>
      </c>
      <c r="BD173" s="291"/>
      <c r="BG173" s="18">
        <v>0</v>
      </c>
      <c r="BH173" s="212">
        <v>0</v>
      </c>
      <c r="BI173" s="11">
        <v>0</v>
      </c>
      <c r="BJ173" s="212">
        <v>0</v>
      </c>
      <c r="BK173" s="212">
        <v>0</v>
      </c>
      <c r="BL173" s="212">
        <v>0</v>
      </c>
      <c r="BM173" s="212">
        <v>0</v>
      </c>
      <c r="BP173" s="154"/>
      <c r="BQ173" s="72" t="s">
        <v>1151</v>
      </c>
      <c r="BS173" s="373"/>
    </row>
    <row r="174" spans="1:72" ht="32.25" customHeight="1" x14ac:dyDescent="0.2">
      <c r="A174" s="132" t="s">
        <v>1152</v>
      </c>
      <c r="B174" s="337" t="s">
        <v>67</v>
      </c>
      <c r="C174" s="340" t="s">
        <v>243</v>
      </c>
      <c r="D174" s="133" t="s">
        <v>89</v>
      </c>
      <c r="E174" s="131" t="s">
        <v>542</v>
      </c>
      <c r="F174" s="145" t="s">
        <v>89</v>
      </c>
      <c r="G174" s="131" t="s">
        <v>891</v>
      </c>
      <c r="H174" s="131" t="s">
        <v>167</v>
      </c>
      <c r="I174" s="145" t="s">
        <v>167</v>
      </c>
      <c r="J174" s="133" t="s">
        <v>60</v>
      </c>
      <c r="K174" s="131" t="s">
        <v>220</v>
      </c>
      <c r="L174" s="300" t="s">
        <v>140</v>
      </c>
      <c r="M174" s="194" t="s">
        <v>191</v>
      </c>
      <c r="N174" s="134" t="s">
        <v>59</v>
      </c>
      <c r="O174" s="167" t="s">
        <v>43</v>
      </c>
      <c r="P174" s="65">
        <v>3</v>
      </c>
      <c r="Q174" s="167" t="s">
        <v>538</v>
      </c>
      <c r="R174" s="167" t="s">
        <v>534</v>
      </c>
      <c r="S174" s="135" t="s">
        <v>59</v>
      </c>
      <c r="T174" s="320" t="e">
        <f>11000/EUR</f>
        <v>#REF!</v>
      </c>
      <c r="U174" s="73">
        <v>11000</v>
      </c>
      <c r="V174" s="136" t="e">
        <f>Table12118[[#This Row],[Amortised Limit in Original Currency]]/EUR</f>
        <v>#REF!</v>
      </c>
      <c r="W174" s="136" t="e">
        <f>335000/EUR</f>
        <v>#REF!</v>
      </c>
      <c r="X174" s="136" t="e">
        <f>869537.28/EUR</f>
        <v>#REF!</v>
      </c>
      <c r="Y174" s="62" t="s">
        <v>16</v>
      </c>
      <c r="Z174" s="366">
        <v>0</v>
      </c>
      <c r="AA174" s="147" t="s">
        <v>11</v>
      </c>
      <c r="AB174" s="185">
        <v>2.1000000000000001E-2</v>
      </c>
      <c r="AC174" s="185"/>
      <c r="AD174" s="137">
        <v>44985</v>
      </c>
      <c r="AE174" s="137">
        <v>47052</v>
      </c>
      <c r="AF174" s="137">
        <v>47455</v>
      </c>
      <c r="AG174" s="138">
        <f t="shared" si="23"/>
        <v>2471</v>
      </c>
      <c r="AH174" s="139" t="e">
        <f t="shared" si="24"/>
        <v>#REF!</v>
      </c>
      <c r="AI174" s="138" t="e">
        <f>AF174-#REF!</f>
        <v>#REF!</v>
      </c>
      <c r="AJ174" s="140" t="e">
        <f t="shared" si="18"/>
        <v>#REF!</v>
      </c>
      <c r="AK174" s="56"/>
      <c r="AL174" s="318" t="s">
        <v>1</v>
      </c>
      <c r="AM174" s="318" t="s">
        <v>1</v>
      </c>
      <c r="AN174" s="319" t="s">
        <v>0</v>
      </c>
      <c r="AO174" s="143" t="e">
        <f t="shared" si="19"/>
        <v>#REF!</v>
      </c>
      <c r="AP174" s="164" t="s">
        <v>271</v>
      </c>
      <c r="AQ174" s="188" t="s">
        <v>1162</v>
      </c>
      <c r="AR174" s="260"/>
      <c r="AS174" s="260"/>
      <c r="AT174" s="312" t="str">
        <f>Table12118[[#This Row],[Risk Location ]]</f>
        <v>Netherlands</v>
      </c>
      <c r="AU174" s="313" t="str">
        <f>Table12118[[#This Row],[Sector (GICS Industry Group)]]</f>
        <v>Information Technology - Hardware &amp; Equipment</v>
      </c>
      <c r="AX174" s="212" t="e">
        <f>Table12118[[#This Row],[Percentage Impact]]*Table12118[[#This Row],[Amortised Limit A$ Balance]]</f>
        <v>#REF!</v>
      </c>
      <c r="AY174" s="212" t="e">
        <f>Table12118[[#This Row],[Amortised Limit A$ Balance]]*12%</f>
        <v>#REF!</v>
      </c>
      <c r="AZ174" s="212" t="b">
        <f>IF(Table12118[[#This Row],[Everest]]="Everest",Table12118[[#This Row],[Assetinsure Amount ]]*0.2)</f>
        <v>0</v>
      </c>
      <c r="BA174" s="212"/>
      <c r="BB174" s="212" t="e">
        <f>MIN(Table12118[[#This Row],[Assetinsure Amount ]]-Table12118[[#This Row],[Reinsurance Everest Re]],Table12118[[#This Row],[Total Amount]])</f>
        <v>#REF!</v>
      </c>
      <c r="BC174" s="212">
        <f t="shared" si="20"/>
        <v>0</v>
      </c>
      <c r="BD174" s="260"/>
      <c r="BG174" s="18">
        <v>0</v>
      </c>
      <c r="BH174" s="212">
        <v>0</v>
      </c>
      <c r="BI174" s="11">
        <v>0</v>
      </c>
      <c r="BJ174" s="212">
        <v>0</v>
      </c>
      <c r="BK174" s="212">
        <v>0</v>
      </c>
      <c r="BL174" s="212">
        <v>0</v>
      </c>
      <c r="BM174" s="212">
        <v>0</v>
      </c>
      <c r="BP174" s="154"/>
      <c r="BQ174" s="72" t="s">
        <v>1153</v>
      </c>
      <c r="BS174" s="373"/>
    </row>
    <row r="175" spans="1:72" ht="32.25" customHeight="1" x14ac:dyDescent="0.2">
      <c r="A175" s="132" t="s">
        <v>1166</v>
      </c>
      <c r="B175" s="337" t="s">
        <v>243</v>
      </c>
      <c r="C175" s="340" t="s">
        <v>243</v>
      </c>
      <c r="D175" s="133" t="s">
        <v>38</v>
      </c>
      <c r="E175" s="131" t="s">
        <v>499</v>
      </c>
      <c r="F175" s="145" t="s">
        <v>162</v>
      </c>
      <c r="G175" s="131" t="s">
        <v>892</v>
      </c>
      <c r="H175" s="131" t="s">
        <v>259</v>
      </c>
      <c r="I175" s="145" t="s">
        <v>258</v>
      </c>
      <c r="J175" s="133" t="s">
        <v>142</v>
      </c>
      <c r="K175" s="133" t="s">
        <v>218</v>
      </c>
      <c r="L175" s="231" t="s">
        <v>209</v>
      </c>
      <c r="M175" s="194" t="s">
        <v>191</v>
      </c>
      <c r="N175" s="134" t="s">
        <v>323</v>
      </c>
      <c r="O175" s="167" t="s">
        <v>43</v>
      </c>
      <c r="P175" s="65">
        <v>2</v>
      </c>
      <c r="Q175" s="167" t="s">
        <v>538</v>
      </c>
      <c r="R175" s="167" t="s">
        <v>534</v>
      </c>
      <c r="S175" s="135" t="s">
        <v>9</v>
      </c>
      <c r="T175" s="320" t="e">
        <f>7500/USD</f>
        <v>#REF!</v>
      </c>
      <c r="U175" s="73">
        <v>7500</v>
      </c>
      <c r="V175" s="136" t="e">
        <f>Table12118[[#This Row],[Amortised Limit in Original Currency]]/USD</f>
        <v>#REF!</v>
      </c>
      <c r="W175" s="136" t="e">
        <f>25000/USD</f>
        <v>#REF!</v>
      </c>
      <c r="X175" s="136" t="e">
        <f>745939.23/USD</f>
        <v>#REF!</v>
      </c>
      <c r="Y175" s="62" t="s">
        <v>16</v>
      </c>
      <c r="Z175" s="366">
        <v>0</v>
      </c>
      <c r="AA175" s="147" t="s">
        <v>11</v>
      </c>
      <c r="AB175" s="185">
        <v>4.2500000000000003E-2</v>
      </c>
      <c r="AC175" s="185"/>
      <c r="AD175" s="137">
        <v>44985</v>
      </c>
      <c r="AE175" s="137">
        <v>46727</v>
      </c>
      <c r="AF175" s="137">
        <v>46756</v>
      </c>
      <c r="AG175" s="138">
        <f t="shared" si="23"/>
        <v>1772</v>
      </c>
      <c r="AH175" s="139" t="e">
        <f t="shared" si="24"/>
        <v>#REF!</v>
      </c>
      <c r="AI175" s="138" t="e">
        <f>AF175-#REF!</f>
        <v>#REF!</v>
      </c>
      <c r="AJ175" s="140" t="e">
        <f t="shared" si="18"/>
        <v>#REF!</v>
      </c>
      <c r="AK175" s="56"/>
      <c r="AL175" s="318" t="s">
        <v>1</v>
      </c>
      <c r="AM175" s="318" t="s">
        <v>1</v>
      </c>
      <c r="AN175" s="319" t="s">
        <v>1155</v>
      </c>
      <c r="AO175" s="143" t="e">
        <f t="shared" si="19"/>
        <v>#REF!</v>
      </c>
      <c r="AP175" s="164" t="s">
        <v>271</v>
      </c>
      <c r="AQ175" s="188" t="s">
        <v>1169</v>
      </c>
      <c r="AR175" s="260"/>
      <c r="AS175" s="260"/>
      <c r="AT175" s="312" t="str">
        <f>Table12118[[#This Row],[Risk Location ]]</f>
        <v>United States</v>
      </c>
      <c r="AU175" s="313" t="str">
        <f>Table12118[[#This Row],[Sector (GICS Industry Group)]]</f>
        <v>Information Technology - Software &amp; Services</v>
      </c>
      <c r="AX175" s="212" t="e">
        <f>Table12118[[#This Row],[Percentage Impact]]*Table12118[[#This Row],[Amortised Limit A$ Balance]]</f>
        <v>#REF!</v>
      </c>
      <c r="AY175" s="212" t="e">
        <f>Table12118[[#This Row],[Amortised Limit A$ Balance]]*12%</f>
        <v>#REF!</v>
      </c>
      <c r="AZ175" s="212" t="b">
        <f>IF(Table12118[[#This Row],[Everest]]="Everest",Table12118[[#This Row],[Assetinsure Amount ]]*0.2)</f>
        <v>0</v>
      </c>
      <c r="BA175" s="212"/>
      <c r="BB175" s="212" t="e">
        <f>MIN(Table12118[[#This Row],[Assetinsure Amount ]]-Table12118[[#This Row],[Reinsurance Everest Re]],Table12118[[#This Row],[Total Amount]])</f>
        <v>#REF!</v>
      </c>
      <c r="BC175" s="212">
        <f t="shared" si="20"/>
        <v>0</v>
      </c>
      <c r="BD175" s="260"/>
      <c r="BG175" s="18">
        <v>0</v>
      </c>
      <c r="BH175" s="212">
        <v>0</v>
      </c>
      <c r="BI175" s="11">
        <v>0</v>
      </c>
      <c r="BJ175" s="212">
        <v>0</v>
      </c>
      <c r="BK175" s="212">
        <v>0</v>
      </c>
      <c r="BL175" s="212">
        <v>0</v>
      </c>
      <c r="BM175" s="212">
        <v>0</v>
      </c>
      <c r="BP175" s="154"/>
      <c r="BQ175" s="72" t="s">
        <v>1154</v>
      </c>
      <c r="BS175" s="373"/>
    </row>
    <row r="176" spans="1:72" ht="32.25" customHeight="1" x14ac:dyDescent="0.2">
      <c r="A176" s="132" t="s">
        <v>1159</v>
      </c>
      <c r="B176" s="337" t="s">
        <v>51</v>
      </c>
      <c r="C176" s="340" t="s">
        <v>1144</v>
      </c>
      <c r="D176" s="133" t="s">
        <v>746</v>
      </c>
      <c r="E176" s="131" t="s">
        <v>542</v>
      </c>
      <c r="F176" s="133" t="s">
        <v>746</v>
      </c>
      <c r="G176" s="131" t="s">
        <v>544</v>
      </c>
      <c r="H176" s="131" t="s">
        <v>178</v>
      </c>
      <c r="I176" s="145" t="s">
        <v>454</v>
      </c>
      <c r="J176" s="133" t="s">
        <v>1156</v>
      </c>
      <c r="K176" s="133" t="s">
        <v>220</v>
      </c>
      <c r="L176" s="231" t="s">
        <v>29</v>
      </c>
      <c r="M176" s="194" t="s">
        <v>191</v>
      </c>
      <c r="N176" s="134" t="s">
        <v>59</v>
      </c>
      <c r="O176" s="167" t="s">
        <v>43</v>
      </c>
      <c r="P176" s="65">
        <v>3</v>
      </c>
      <c r="Q176" s="167" t="s">
        <v>538</v>
      </c>
      <c r="R176" s="167" t="s">
        <v>534</v>
      </c>
      <c r="S176" s="135" t="s">
        <v>59</v>
      </c>
      <c r="T176" s="320" t="e">
        <f>20000/EUR</f>
        <v>#REF!</v>
      </c>
      <c r="U176" s="73">
        <v>20000</v>
      </c>
      <c r="V176" s="136" t="e">
        <f>Table12118[[#This Row],[Amortised Limit in Original Currency]]/EUR</f>
        <v>#REF!</v>
      </c>
      <c r="W176" s="136" t="e">
        <f>50200/EUR</f>
        <v>#REF!</v>
      </c>
      <c r="X176" s="136" t="e">
        <f>1940836.82/EUR</f>
        <v>#REF!</v>
      </c>
      <c r="Y176" s="62" t="s">
        <v>16</v>
      </c>
      <c r="Z176" s="366">
        <v>0</v>
      </c>
      <c r="AA176" s="147" t="s">
        <v>11</v>
      </c>
      <c r="AB176" s="185">
        <v>3.5475E-2</v>
      </c>
      <c r="AC176" s="185"/>
      <c r="AD176" s="137">
        <v>44985</v>
      </c>
      <c r="AE176" s="137">
        <v>47074</v>
      </c>
      <c r="AF176" s="137">
        <v>47104</v>
      </c>
      <c r="AG176" s="138">
        <f t="shared" si="23"/>
        <v>2120</v>
      </c>
      <c r="AH176" s="139" t="e">
        <f t="shared" si="24"/>
        <v>#REF!</v>
      </c>
      <c r="AI176" s="138" t="e">
        <f>AF176-#REF!</f>
        <v>#REF!</v>
      </c>
      <c r="AJ176" s="140" t="e">
        <f t="shared" si="18"/>
        <v>#REF!</v>
      </c>
      <c r="AK176" s="56" t="s">
        <v>436</v>
      </c>
      <c r="AL176" s="318" t="s">
        <v>1</v>
      </c>
      <c r="AM176" s="318" t="s">
        <v>1</v>
      </c>
      <c r="AN176" s="319" t="s">
        <v>1160</v>
      </c>
      <c r="AO176" s="143" t="e">
        <f t="shared" si="19"/>
        <v>#REF!</v>
      </c>
      <c r="AP176" s="164" t="s">
        <v>271</v>
      </c>
      <c r="AQ176" s="188" t="s">
        <v>1157</v>
      </c>
      <c r="AR176" s="260"/>
      <c r="AS176" s="260"/>
      <c r="AT176" s="312" t="str">
        <f>Table12118[[#This Row],[Risk Location ]]</f>
        <v>Czech Republic</v>
      </c>
      <c r="AU176" s="313" t="str">
        <f>Table12118[[#This Row],[Sector (GICS Industry Group)]]</f>
        <v>Consumer Discretionary</v>
      </c>
      <c r="AX176" s="212" t="e">
        <f>Table12118[[#This Row],[Percentage Impact]]*Table12118[[#This Row],[Amortised Limit A$ Balance]]</f>
        <v>#REF!</v>
      </c>
      <c r="AY176" s="212" t="e">
        <f>Table12118[[#This Row],[Amortised Limit A$ Balance]]*12%</f>
        <v>#REF!</v>
      </c>
      <c r="AZ176" s="212" t="e">
        <f>IF(Table12118[[#This Row],[Everest]]="Everest",Table12118[[#This Row],[Assetinsure Amount ]]*0.2)</f>
        <v>#REF!</v>
      </c>
      <c r="BA176" s="212"/>
      <c r="BB176" s="212" t="e">
        <f>MIN(Table12118[[#This Row],[Assetinsure Amount ]]-Table12118[[#This Row],[Reinsurance Everest Re]],Table12118[[#This Row],[Total Amount]])</f>
        <v>#REF!</v>
      </c>
      <c r="BC176" s="212">
        <f t="shared" si="20"/>
        <v>0</v>
      </c>
      <c r="BD176" s="260"/>
      <c r="BG176" s="18">
        <v>0</v>
      </c>
      <c r="BH176" s="212">
        <v>0</v>
      </c>
      <c r="BI176" s="11">
        <v>0</v>
      </c>
      <c r="BJ176" s="212">
        <v>0</v>
      </c>
      <c r="BK176" s="212">
        <v>0</v>
      </c>
      <c r="BL176" s="212">
        <v>0</v>
      </c>
      <c r="BM176" s="212">
        <v>0</v>
      </c>
      <c r="BP176" s="154"/>
      <c r="BQ176" s="72" t="s">
        <v>1158</v>
      </c>
      <c r="BS176" s="373"/>
    </row>
    <row r="177" spans="1:71" ht="32.25" customHeight="1" x14ac:dyDescent="0.2">
      <c r="A177" s="132" t="s">
        <v>1167</v>
      </c>
      <c r="B177" s="337" t="s">
        <v>243</v>
      </c>
      <c r="C177" s="337" t="s">
        <v>243</v>
      </c>
      <c r="D177" s="133" t="s">
        <v>38</v>
      </c>
      <c r="E177" s="131" t="s">
        <v>499</v>
      </c>
      <c r="F177" s="145" t="s">
        <v>162</v>
      </c>
      <c r="G177" s="131" t="s">
        <v>892</v>
      </c>
      <c r="H177" s="131" t="s">
        <v>259</v>
      </c>
      <c r="I177" s="145" t="s">
        <v>258</v>
      </c>
      <c r="J177" s="133" t="s">
        <v>1088</v>
      </c>
      <c r="K177" s="133" t="s">
        <v>687</v>
      </c>
      <c r="L177" s="231" t="s">
        <v>209</v>
      </c>
      <c r="M177" s="194" t="s">
        <v>191</v>
      </c>
      <c r="N177" s="134" t="s">
        <v>323</v>
      </c>
      <c r="O177" s="167" t="s">
        <v>43</v>
      </c>
      <c r="P177" s="65">
        <v>2</v>
      </c>
      <c r="Q177" s="167" t="s">
        <v>538</v>
      </c>
      <c r="R177" s="167" t="s">
        <v>534</v>
      </c>
      <c r="S177" s="135" t="s">
        <v>9</v>
      </c>
      <c r="T177" s="320" t="e">
        <f>7500/USD</f>
        <v>#REF!</v>
      </c>
      <c r="U177" s="73">
        <v>7500</v>
      </c>
      <c r="V177" s="136" t="e">
        <f>Table12118[[#This Row],[Amortised Limit in Original Currency]]/USD</f>
        <v>#REF!</v>
      </c>
      <c r="W177" s="136" t="e">
        <f>25000/USD</f>
        <v>#REF!</v>
      </c>
      <c r="X177" s="136" t="e">
        <f>891064.53/USD</f>
        <v>#REF!</v>
      </c>
      <c r="Y177" s="136"/>
      <c r="Z177" s="365"/>
      <c r="AA177" s="147" t="s">
        <v>11</v>
      </c>
      <c r="AB177" s="185">
        <v>4.2500000000000003E-2</v>
      </c>
      <c r="AC177" s="185"/>
      <c r="AD177" s="137">
        <v>44987</v>
      </c>
      <c r="AE177" s="137">
        <v>46773</v>
      </c>
      <c r="AF177" s="137">
        <v>46773</v>
      </c>
      <c r="AG177" s="138">
        <f t="shared" si="23"/>
        <v>1787</v>
      </c>
      <c r="AH177" s="139" t="e">
        <f t="shared" si="24"/>
        <v>#REF!</v>
      </c>
      <c r="AI177" s="138" t="e">
        <f>AF177-#REF!</f>
        <v>#REF!</v>
      </c>
      <c r="AJ177" s="140" t="e">
        <f t="shared" si="18"/>
        <v>#REF!</v>
      </c>
      <c r="AK177" s="56"/>
      <c r="AL177" s="318" t="s">
        <v>1</v>
      </c>
      <c r="AM177" s="318" t="s">
        <v>1</v>
      </c>
      <c r="AN177" s="319" t="s">
        <v>1164</v>
      </c>
      <c r="AO177" s="143" t="e">
        <f t="shared" si="19"/>
        <v>#REF!</v>
      </c>
      <c r="AP177" s="164" t="s">
        <v>271</v>
      </c>
      <c r="AQ177" s="188" t="s">
        <v>1168</v>
      </c>
      <c r="AR177" s="260"/>
      <c r="AS177" s="260"/>
      <c r="AT177" s="312" t="str">
        <f>Table12118[[#This Row],[Risk Location ]]</f>
        <v>United States</v>
      </c>
      <c r="AU177" s="313" t="str">
        <f>Table12118[[#This Row],[Sector (GICS Industry Group)]]</f>
        <v>Information Technology - Software &amp; Services</v>
      </c>
      <c r="AX177" s="212" t="e">
        <f>Table12118[[#This Row],[Percentage Impact]]*Table12118[[#This Row],[Amortised Limit A$ Balance]]</f>
        <v>#REF!</v>
      </c>
      <c r="AY177" s="212" t="e">
        <f>Table12118[[#This Row],[Amortised Limit A$ Balance]]*12%</f>
        <v>#REF!</v>
      </c>
      <c r="AZ177" s="212" t="b">
        <f>IF(Table12118[[#This Row],[Everest]]="Everest",Table12118[[#This Row],[Assetinsure Amount ]]*0.2)</f>
        <v>0</v>
      </c>
      <c r="BA177" s="212"/>
      <c r="BB177" s="212" t="e">
        <f>MIN(Table12118[[#This Row],[Assetinsure Amount ]]-Table12118[[#This Row],[Reinsurance Everest Re]],Table12118[[#This Row],[Total Amount]])</f>
        <v>#REF!</v>
      </c>
      <c r="BC177" s="212">
        <f t="shared" si="20"/>
        <v>0</v>
      </c>
      <c r="BD177" s="260"/>
      <c r="BG177" s="18">
        <v>0</v>
      </c>
      <c r="BH177" s="212">
        <v>0</v>
      </c>
      <c r="BI177" s="11">
        <v>0</v>
      </c>
      <c r="BJ177" s="212">
        <v>0</v>
      </c>
      <c r="BK177" s="212">
        <v>0</v>
      </c>
      <c r="BL177" s="212">
        <v>0</v>
      </c>
      <c r="BM177" s="212">
        <v>0</v>
      </c>
      <c r="BP177" s="154"/>
      <c r="BQ177" s="72" t="s">
        <v>1165</v>
      </c>
      <c r="BS177" s="373"/>
    </row>
    <row r="178" spans="1:71" ht="32.25" customHeight="1" x14ac:dyDescent="0.2">
      <c r="A178" s="132" t="s">
        <v>1171</v>
      </c>
      <c r="B178" s="337" t="s">
        <v>1333</v>
      </c>
      <c r="C178" s="337" t="s">
        <v>243</v>
      </c>
      <c r="D178" s="133" t="s">
        <v>38</v>
      </c>
      <c r="E178" s="131" t="s">
        <v>541</v>
      </c>
      <c r="F178" s="145" t="s">
        <v>38</v>
      </c>
      <c r="G178" s="14" t="s">
        <v>102</v>
      </c>
      <c r="H178" s="14" t="s">
        <v>102</v>
      </c>
      <c r="I178" s="66" t="s">
        <v>110</v>
      </c>
      <c r="J178" s="133" t="s">
        <v>142</v>
      </c>
      <c r="K178" s="133" t="s">
        <v>218</v>
      </c>
      <c r="L178" s="231" t="s">
        <v>101</v>
      </c>
      <c r="M178" s="194" t="s">
        <v>191</v>
      </c>
      <c r="N178" s="134" t="s">
        <v>323</v>
      </c>
      <c r="O178" s="167" t="s">
        <v>43</v>
      </c>
      <c r="P178" s="65">
        <v>3</v>
      </c>
      <c r="Q178" s="167" t="s">
        <v>531</v>
      </c>
      <c r="R178" s="167" t="s">
        <v>534</v>
      </c>
      <c r="S178" s="135" t="s">
        <v>1175</v>
      </c>
      <c r="T178" s="320" t="e">
        <f>5000/USD+12500/SGD</f>
        <v>#REF!</v>
      </c>
      <c r="U178" s="73">
        <f>5000+12500</f>
        <v>17500</v>
      </c>
      <c r="V178" s="320" t="e">
        <f>5000/USD+12500/SGD</f>
        <v>#REF!</v>
      </c>
      <c r="W178" s="136" t="e">
        <f>63000/USD</f>
        <v>#REF!</v>
      </c>
      <c r="X178" s="136" t="e">
        <f>304106.27/USD+178559.04/SGD</f>
        <v>#REF!</v>
      </c>
      <c r="Y178" s="62" t="s">
        <v>16</v>
      </c>
      <c r="Z178" s="366">
        <v>0</v>
      </c>
      <c r="AA178" s="147" t="s">
        <v>11</v>
      </c>
      <c r="AB178" s="185">
        <v>6.1249999999999999E-2</v>
      </c>
      <c r="AC178" s="185"/>
      <c r="AD178" s="137">
        <v>44992</v>
      </c>
      <c r="AE178" s="137">
        <v>45626</v>
      </c>
      <c r="AF178" s="137">
        <v>45626</v>
      </c>
      <c r="AG178" s="138">
        <f t="shared" si="23"/>
        <v>635</v>
      </c>
      <c r="AH178" s="139" t="e">
        <f t="shared" si="24"/>
        <v>#REF!</v>
      </c>
      <c r="AI178" s="138" t="e">
        <f>AF178-#REF!</f>
        <v>#REF!</v>
      </c>
      <c r="AJ178" s="140" t="e">
        <f t="shared" si="18"/>
        <v>#REF!</v>
      </c>
      <c r="AK178" s="56"/>
      <c r="AL178" s="318" t="s">
        <v>1</v>
      </c>
      <c r="AM178" s="318" t="s">
        <v>1</v>
      </c>
      <c r="AN178" s="319" t="s">
        <v>1174</v>
      </c>
      <c r="AO178" s="143" t="e">
        <f t="shared" si="19"/>
        <v>#REF!</v>
      </c>
      <c r="AP178" s="164" t="s">
        <v>271</v>
      </c>
      <c r="AQ178" s="188" t="s">
        <v>1173</v>
      </c>
      <c r="AR178" s="260"/>
      <c r="AS178" s="260"/>
      <c r="AT178" s="312" t="str">
        <f>Table12118[[#This Row],[Risk Location ]]</f>
        <v>Singapore</v>
      </c>
      <c r="AU178" s="313" t="str">
        <f>Table12118[[#This Row],[Sector (GICS Industry Group)]]</f>
        <v>Real Estate Investment</v>
      </c>
      <c r="AX178" s="212" t="e">
        <f>Table12118[[#This Row],[Percentage Impact]]*Table12118[[#This Row],[Amortised Limit A$ Balance]]</f>
        <v>#REF!</v>
      </c>
      <c r="AY178" s="212" t="e">
        <f>Table12118[[#This Row],[Amortised Limit A$ Balance]]*12%</f>
        <v>#REF!</v>
      </c>
      <c r="AZ178" s="212" t="b">
        <f>IF(Table12118[[#This Row],[Everest]]="Everest",Table12118[[#This Row],[Assetinsure Amount ]]*0.2)</f>
        <v>0</v>
      </c>
      <c r="BA178" s="212"/>
      <c r="BB178" s="212" t="e">
        <f>MIN(Table12118[[#This Row],[Assetinsure Amount ]]-Table12118[[#This Row],[Reinsurance Everest Re]],Table12118[[#This Row],[Total Amount]])</f>
        <v>#REF!</v>
      </c>
      <c r="BC178" s="212">
        <f t="shared" si="20"/>
        <v>0</v>
      </c>
      <c r="BD178" s="260"/>
      <c r="BG178" s="18">
        <v>0</v>
      </c>
      <c r="BH178" s="212">
        <v>0</v>
      </c>
      <c r="BI178" s="11">
        <v>0</v>
      </c>
      <c r="BJ178" s="212">
        <v>0</v>
      </c>
      <c r="BK178" s="212">
        <v>0</v>
      </c>
      <c r="BL178" s="212">
        <v>0</v>
      </c>
      <c r="BM178" s="212">
        <v>0</v>
      </c>
      <c r="BP178" s="154"/>
      <c r="BQ178" s="72" t="s">
        <v>1172</v>
      </c>
      <c r="BS178" s="373"/>
    </row>
    <row r="179" spans="1:71" ht="32.25" customHeight="1" x14ac:dyDescent="0.2">
      <c r="A179" s="132" t="s">
        <v>1210</v>
      </c>
      <c r="B179" s="337" t="s">
        <v>1247</v>
      </c>
      <c r="C179" s="337" t="s">
        <v>1143</v>
      </c>
      <c r="D179" s="133" t="s">
        <v>34</v>
      </c>
      <c r="E179" s="131" t="s">
        <v>34</v>
      </c>
      <c r="F179" s="145" t="s">
        <v>34</v>
      </c>
      <c r="G179" s="131" t="s">
        <v>475</v>
      </c>
      <c r="H179" s="66" t="s">
        <v>227</v>
      </c>
      <c r="I179" s="131" t="s">
        <v>827</v>
      </c>
      <c r="J179" s="133" t="s">
        <v>1213</v>
      </c>
      <c r="K179" s="131" t="s">
        <v>1113</v>
      </c>
      <c r="L179" s="300" t="s">
        <v>29</v>
      </c>
      <c r="M179" s="194" t="s">
        <v>191</v>
      </c>
      <c r="N179" s="134" t="s">
        <v>323</v>
      </c>
      <c r="O179" s="167" t="s">
        <v>43</v>
      </c>
      <c r="P179" s="65">
        <v>3</v>
      </c>
      <c r="Q179" s="167" t="s">
        <v>538</v>
      </c>
      <c r="R179" s="167" t="s">
        <v>534</v>
      </c>
      <c r="S179" s="135" t="s">
        <v>8</v>
      </c>
      <c r="T179" s="320">
        <v>20000</v>
      </c>
      <c r="U179" s="73">
        <v>20000</v>
      </c>
      <c r="V179" s="136">
        <f>Table12118[[#This Row],[Amortised Limit in Original Currency]]</f>
        <v>20000</v>
      </c>
      <c r="W179" s="136">
        <v>92500</v>
      </c>
      <c r="X179" s="136">
        <v>583810.96</v>
      </c>
      <c r="Y179" s="136"/>
      <c r="Z179" s="365"/>
      <c r="AA179" s="147" t="s">
        <v>11</v>
      </c>
      <c r="AB179" s="185">
        <v>1.06E-2</v>
      </c>
      <c r="AC179" s="185"/>
      <c r="AD179" s="137">
        <v>44988</v>
      </c>
      <c r="AE179" s="137">
        <v>46113</v>
      </c>
      <c r="AF179" s="137">
        <v>46173</v>
      </c>
      <c r="AG179" s="138">
        <f t="shared" si="23"/>
        <v>1186</v>
      </c>
      <c r="AH179" s="139" t="e">
        <f t="shared" si="24"/>
        <v>#REF!</v>
      </c>
      <c r="AI179" s="138" t="e">
        <f>AF179-#REF!</f>
        <v>#REF!</v>
      </c>
      <c r="AJ179" s="140" t="e">
        <f>AI179/365</f>
        <v>#REF!</v>
      </c>
      <c r="AK179" s="56"/>
      <c r="AL179" s="318" t="s">
        <v>1</v>
      </c>
      <c r="AM179" s="318" t="s">
        <v>1</v>
      </c>
      <c r="AN179" s="319" t="s">
        <v>0</v>
      </c>
      <c r="AO179" s="143" t="e">
        <f>+IF(AF179-60&lt;$A$1, "SEND NOTICE", "N/A")</f>
        <v>#REF!</v>
      </c>
      <c r="AP179" s="164" t="s">
        <v>271</v>
      </c>
      <c r="AQ179" s="188" t="s">
        <v>1211</v>
      </c>
      <c r="AR179" s="260"/>
      <c r="AS179" s="260"/>
      <c r="AT179" s="312" t="str">
        <f>Table12118[[#This Row],[Risk Location ]]</f>
        <v>Australia</v>
      </c>
      <c r="AU179" s="313" t="str">
        <f>Table12118[[#This Row],[Sector (GICS Industry Group)]]</f>
        <v>Health Care</v>
      </c>
      <c r="AX179" s="212">
        <f>Table12118[[#This Row],[Percentage Impact]]*Table12118[[#This Row],[Amortised Limit A$ Balance]]</f>
        <v>0</v>
      </c>
      <c r="AY179" s="212">
        <f>Table12118[[#This Row],[Amortised Limit A$ Balance]]*12%</f>
        <v>2400</v>
      </c>
      <c r="AZ179" s="212" t="b">
        <f>IF(Table12118[[#This Row],[Everest]]="Everest",Table12118[[#This Row],[Assetinsure Amount ]]*0.2)</f>
        <v>0</v>
      </c>
      <c r="BA179" s="212"/>
      <c r="BB179" s="212">
        <f>MIN(Table12118[[#This Row],[Assetinsure Amount ]]-Table12118[[#This Row],[Reinsurance Everest Re]],Table12118[[#This Row],[Total Amount]])</f>
        <v>0</v>
      </c>
      <c r="BC179" s="212">
        <f t="shared" si="20"/>
        <v>0</v>
      </c>
      <c r="BD179" s="260"/>
      <c r="BG179" s="18">
        <v>0</v>
      </c>
      <c r="BH179" s="212">
        <v>0</v>
      </c>
      <c r="BI179" s="11">
        <v>0</v>
      </c>
      <c r="BJ179" s="212">
        <v>0</v>
      </c>
      <c r="BK179" s="212">
        <v>0</v>
      </c>
      <c r="BL179" s="212">
        <v>0</v>
      </c>
      <c r="BM179" s="212">
        <v>0</v>
      </c>
      <c r="BP179" s="154"/>
      <c r="BQ179" s="72" t="s">
        <v>1212</v>
      </c>
      <c r="BS179" s="373"/>
    </row>
    <row r="180" spans="1:71" ht="32.25" customHeight="1" x14ac:dyDescent="0.2">
      <c r="A180" s="132" t="s">
        <v>1176</v>
      </c>
      <c r="B180" s="337" t="s">
        <v>23</v>
      </c>
      <c r="C180" s="337" t="s">
        <v>1141</v>
      </c>
      <c r="D180" s="133" t="s">
        <v>34</v>
      </c>
      <c r="E180" s="131" t="s">
        <v>34</v>
      </c>
      <c r="F180" s="145" t="s">
        <v>34</v>
      </c>
      <c r="G180" s="131" t="s">
        <v>48</v>
      </c>
      <c r="H180" s="131" t="s">
        <v>95</v>
      </c>
      <c r="I180" s="130" t="s">
        <v>1179</v>
      </c>
      <c r="J180" s="66" t="s">
        <v>232</v>
      </c>
      <c r="K180" s="131" t="s">
        <v>21</v>
      </c>
      <c r="L180" s="300" t="s">
        <v>29</v>
      </c>
      <c r="M180" s="194" t="s">
        <v>191</v>
      </c>
      <c r="N180" s="134" t="s">
        <v>323</v>
      </c>
      <c r="O180" s="167" t="s">
        <v>43</v>
      </c>
      <c r="P180" s="65">
        <v>2</v>
      </c>
      <c r="Q180" s="167" t="s">
        <v>538</v>
      </c>
      <c r="R180" s="269" t="s">
        <v>548</v>
      </c>
      <c r="S180" s="135" t="s">
        <v>8</v>
      </c>
      <c r="T180" s="136">
        <v>15000</v>
      </c>
      <c r="U180" s="73">
        <v>15000</v>
      </c>
      <c r="V180" s="136">
        <f>Table12118[[#This Row],[Amortised Limit in Original Currency]]</f>
        <v>15000</v>
      </c>
      <c r="W180" s="136">
        <v>150000</v>
      </c>
      <c r="X180" s="136">
        <v>440833.34</v>
      </c>
      <c r="Y180" s="62" t="s">
        <v>16</v>
      </c>
      <c r="Z180" s="366">
        <v>0</v>
      </c>
      <c r="AA180" s="147" t="s">
        <v>11</v>
      </c>
      <c r="AB180" s="330">
        <v>1.9800000000000002E-2</v>
      </c>
      <c r="AC180" s="330"/>
      <c r="AD180" s="137">
        <v>44993</v>
      </c>
      <c r="AE180" s="137">
        <v>45972</v>
      </c>
      <c r="AF180" s="137">
        <v>46014</v>
      </c>
      <c r="AG180" s="138">
        <f t="shared" si="23"/>
        <v>1022</v>
      </c>
      <c r="AH180" s="139" t="e">
        <f t="shared" si="24"/>
        <v>#REF!</v>
      </c>
      <c r="AI180" s="138" t="e">
        <f>AF180-#REF!</f>
        <v>#REF!</v>
      </c>
      <c r="AJ180" s="140" t="e">
        <f t="shared" si="18"/>
        <v>#REF!</v>
      </c>
      <c r="AK180" s="56"/>
      <c r="AL180" s="318" t="s">
        <v>1</v>
      </c>
      <c r="AM180" s="318" t="s">
        <v>1</v>
      </c>
      <c r="AN180" s="319" t="s">
        <v>0</v>
      </c>
      <c r="AO180" s="143" t="e">
        <f t="shared" si="19"/>
        <v>#REF!</v>
      </c>
      <c r="AP180" s="164" t="s">
        <v>271</v>
      </c>
      <c r="AQ180" s="188" t="s">
        <v>1178</v>
      </c>
      <c r="AR180" s="260"/>
      <c r="AS180" s="260"/>
      <c r="AT180" s="312" t="str">
        <f>Table12118[[#This Row],[Risk Location ]]</f>
        <v>Australia</v>
      </c>
      <c r="AU180" s="313" t="str">
        <f>Table12118[[#This Row],[Sector (GICS Industry Group)]]</f>
        <v>Energy</v>
      </c>
      <c r="AX180" s="212">
        <f>Table12118[[#This Row],[Percentage Impact]]*Table12118[[#This Row],[Amortised Limit A$ Balance]]</f>
        <v>0</v>
      </c>
      <c r="AY180" s="212">
        <f>Table12118[[#This Row],[Amortised Limit A$ Balance]]*12%</f>
        <v>1800</v>
      </c>
      <c r="AZ180" s="212" t="b">
        <f>IF(Table12118[[#This Row],[Everest]]="Everest",Table12118[[#This Row],[Assetinsure Amount ]]*0.2)</f>
        <v>0</v>
      </c>
      <c r="BA180" s="212"/>
      <c r="BB180" s="212">
        <f>MIN(Table12118[[#This Row],[Assetinsure Amount ]]-Table12118[[#This Row],[Reinsurance Everest Re]],Table12118[[#This Row],[Total Amount]])</f>
        <v>0</v>
      </c>
      <c r="BC180" s="212">
        <f t="shared" si="20"/>
        <v>0</v>
      </c>
      <c r="BD180" s="260"/>
      <c r="BG180" s="18">
        <v>0</v>
      </c>
      <c r="BH180" s="212">
        <v>0</v>
      </c>
      <c r="BI180" s="11">
        <v>0</v>
      </c>
      <c r="BJ180" s="212">
        <v>0</v>
      </c>
      <c r="BK180" s="212">
        <v>0</v>
      </c>
      <c r="BL180" s="212">
        <v>0</v>
      </c>
      <c r="BM180" s="212">
        <v>0</v>
      </c>
      <c r="BP180" s="154"/>
      <c r="BQ180" s="72" t="s">
        <v>1177</v>
      </c>
      <c r="BS180" s="373"/>
    </row>
    <row r="181" spans="1:71" ht="32.25" customHeight="1" x14ac:dyDescent="0.2">
      <c r="A181" s="132" t="s">
        <v>1181</v>
      </c>
      <c r="B181" s="337" t="s">
        <v>1247</v>
      </c>
      <c r="C181" s="337" t="s">
        <v>1142</v>
      </c>
      <c r="D181" s="133" t="s">
        <v>38</v>
      </c>
      <c r="E181" s="131" t="s">
        <v>541</v>
      </c>
      <c r="F181" s="145" t="s">
        <v>38</v>
      </c>
      <c r="G181" s="188" t="s">
        <v>475</v>
      </c>
      <c r="H181" s="131" t="s">
        <v>138</v>
      </c>
      <c r="I181" s="66" t="s">
        <v>138</v>
      </c>
      <c r="J181" s="133" t="s">
        <v>638</v>
      </c>
      <c r="K181" s="133" t="s">
        <v>687</v>
      </c>
      <c r="L181" s="231" t="s">
        <v>209</v>
      </c>
      <c r="M181" s="194" t="s">
        <v>191</v>
      </c>
      <c r="N181" s="134" t="s">
        <v>323</v>
      </c>
      <c r="O181" s="167" t="s">
        <v>43</v>
      </c>
      <c r="P181" s="65">
        <v>2</v>
      </c>
      <c r="Q181" s="167" t="s">
        <v>538</v>
      </c>
      <c r="R181" s="167" t="s">
        <v>534</v>
      </c>
      <c r="S181" s="135" t="s">
        <v>9</v>
      </c>
      <c r="T181" s="320" t="e">
        <f>7500/USD</f>
        <v>#REF!</v>
      </c>
      <c r="U181" s="73">
        <v>7500</v>
      </c>
      <c r="V181" s="136" t="e">
        <f>Table12118[[#This Row],[Amortised Limit in Original Currency]]/USD</f>
        <v>#REF!</v>
      </c>
      <c r="W181" s="136" t="e">
        <f>20000/USD</f>
        <v>#REF!</v>
      </c>
      <c r="X181" s="136" t="e">
        <f>714747.86/USD</f>
        <v>#REF!</v>
      </c>
      <c r="Y181" s="136"/>
      <c r="Z181" s="365"/>
      <c r="AA181" s="147" t="s">
        <v>11</v>
      </c>
      <c r="AB181" s="185">
        <v>3.7499999999999999E-2</v>
      </c>
      <c r="AC181" s="185"/>
      <c r="AD181" s="137">
        <v>44995</v>
      </c>
      <c r="AE181" s="137">
        <v>46741</v>
      </c>
      <c r="AF181" s="137">
        <v>46774</v>
      </c>
      <c r="AG181" s="138">
        <f t="shared" si="23"/>
        <v>1780</v>
      </c>
      <c r="AH181" s="139" t="e">
        <f t="shared" si="24"/>
        <v>#REF!</v>
      </c>
      <c r="AI181" s="138" t="e">
        <f>AF181-#REF!</f>
        <v>#REF!</v>
      </c>
      <c r="AJ181" s="140" t="e">
        <f t="shared" ref="AJ181:AJ207" si="25">AI181/365</f>
        <v>#REF!</v>
      </c>
      <c r="AK181" s="56"/>
      <c r="AL181" s="318" t="s">
        <v>1</v>
      </c>
      <c r="AM181" s="318" t="s">
        <v>1</v>
      </c>
      <c r="AN181" s="319" t="s">
        <v>0</v>
      </c>
      <c r="AO181" s="143" t="e">
        <f t="shared" ref="AO181:AO207" si="26">+IF(AF181-60&lt;$A$1, "SEND NOTICE", "N/A")</f>
        <v>#REF!</v>
      </c>
      <c r="AP181" s="164" t="s">
        <v>271</v>
      </c>
      <c r="AQ181" s="188" t="s">
        <v>1182</v>
      </c>
      <c r="AR181" s="260"/>
      <c r="AS181" s="260"/>
      <c r="AT181" s="312" t="str">
        <f>Table12118[[#This Row],[Risk Location ]]</f>
        <v>Singapore</v>
      </c>
      <c r="AU181" s="313" t="str">
        <f>Table12118[[#This Row],[Sector (GICS Industry Group)]]</f>
        <v>Health Care</v>
      </c>
      <c r="AX181" s="212" t="e">
        <f>Table12118[[#This Row],[Percentage Impact]]*Table12118[[#This Row],[Amortised Limit A$ Balance]]</f>
        <v>#REF!</v>
      </c>
      <c r="AY181" s="212" t="e">
        <f>Table12118[[#This Row],[Amortised Limit A$ Balance]]*12%</f>
        <v>#REF!</v>
      </c>
      <c r="AZ181" s="212" t="b">
        <f>IF(Table12118[[#This Row],[Everest]]="Everest",Table12118[[#This Row],[Assetinsure Amount ]]*0.2)</f>
        <v>0</v>
      </c>
      <c r="BA181" s="212"/>
      <c r="BB181" s="212" t="e">
        <f>MIN(Table12118[[#This Row],[Assetinsure Amount ]]-Table12118[[#This Row],[Reinsurance Everest Re]],Table12118[[#This Row],[Total Amount]])</f>
        <v>#REF!</v>
      </c>
      <c r="BC181" s="212">
        <f t="shared" si="20"/>
        <v>0</v>
      </c>
      <c r="BD181" s="260"/>
      <c r="BG181" s="18">
        <v>0</v>
      </c>
      <c r="BH181" s="212">
        <v>0</v>
      </c>
      <c r="BI181" s="11">
        <v>0</v>
      </c>
      <c r="BJ181" s="212">
        <v>0</v>
      </c>
      <c r="BK181" s="212">
        <v>0</v>
      </c>
      <c r="BL181" s="212">
        <v>0</v>
      </c>
      <c r="BM181" s="212">
        <v>0</v>
      </c>
      <c r="BP181" s="154"/>
      <c r="BQ181" s="72" t="s">
        <v>1183</v>
      </c>
      <c r="BS181" s="373"/>
    </row>
    <row r="182" spans="1:71" ht="32.25" customHeight="1" x14ac:dyDescent="0.2">
      <c r="A182" s="132" t="s">
        <v>1184</v>
      </c>
      <c r="B182" s="337" t="s">
        <v>51</v>
      </c>
      <c r="C182" s="337" t="s">
        <v>1144</v>
      </c>
      <c r="D182" s="133" t="s">
        <v>127</v>
      </c>
      <c r="E182" s="131" t="s">
        <v>542</v>
      </c>
      <c r="F182" s="133" t="s">
        <v>127</v>
      </c>
      <c r="G182" s="14" t="s">
        <v>173</v>
      </c>
      <c r="H182" s="14" t="s">
        <v>174</v>
      </c>
      <c r="I182" s="14" t="s">
        <v>172</v>
      </c>
      <c r="J182" s="133" t="s">
        <v>165</v>
      </c>
      <c r="K182" s="131" t="s">
        <v>220</v>
      </c>
      <c r="L182" s="231" t="s">
        <v>209</v>
      </c>
      <c r="M182" s="194" t="s">
        <v>191</v>
      </c>
      <c r="N182" s="134" t="s">
        <v>59</v>
      </c>
      <c r="O182" s="167" t="s">
        <v>43</v>
      </c>
      <c r="P182" s="65">
        <v>2</v>
      </c>
      <c r="Q182" s="167" t="s">
        <v>533</v>
      </c>
      <c r="R182" s="269" t="s">
        <v>548</v>
      </c>
      <c r="S182" s="135" t="s">
        <v>59</v>
      </c>
      <c r="T182" s="320" t="e">
        <f>25000/EUR</f>
        <v>#REF!</v>
      </c>
      <c r="U182" s="73">
        <v>25000</v>
      </c>
      <c r="V182" s="136" t="e">
        <f>Table12118[[#This Row],[Amortised Limit in Original Currency]]/EUR</f>
        <v>#REF!</v>
      </c>
      <c r="W182" s="136" t="e">
        <f>1480000/EUR</f>
        <v>#REF!</v>
      </c>
      <c r="X182" s="136" t="e">
        <f>883076.39/EUR</f>
        <v>#REF!</v>
      </c>
      <c r="Y182" s="62" t="s">
        <v>16</v>
      </c>
      <c r="Z182" s="366">
        <v>0</v>
      </c>
      <c r="AA182" s="147" t="s">
        <v>11</v>
      </c>
      <c r="AB182" s="185">
        <v>6.0000000000000001E-3</v>
      </c>
      <c r="AC182" s="185"/>
      <c r="AD182" s="137">
        <v>44995</v>
      </c>
      <c r="AE182" s="137">
        <v>46648</v>
      </c>
      <c r="AF182" s="137">
        <v>46648</v>
      </c>
      <c r="AG182" s="138">
        <f t="shared" si="23"/>
        <v>1654</v>
      </c>
      <c r="AH182" s="139" t="e">
        <f t="shared" si="24"/>
        <v>#REF!</v>
      </c>
      <c r="AI182" s="138" t="e">
        <f>AF182-#REF!</f>
        <v>#REF!</v>
      </c>
      <c r="AJ182" s="140" t="e">
        <f t="shared" si="25"/>
        <v>#REF!</v>
      </c>
      <c r="AK182" s="56" t="s">
        <v>436</v>
      </c>
      <c r="AL182" s="318" t="s">
        <v>1</v>
      </c>
      <c r="AM182" s="318" t="s">
        <v>1</v>
      </c>
      <c r="AN182" s="319" t="s">
        <v>0</v>
      </c>
      <c r="AO182" s="143" t="e">
        <f t="shared" si="26"/>
        <v>#REF!</v>
      </c>
      <c r="AP182" s="164" t="s">
        <v>271</v>
      </c>
      <c r="AQ182" s="188" t="s">
        <v>1185</v>
      </c>
      <c r="AR182" s="260"/>
      <c r="AS182" s="260"/>
      <c r="AT182" s="312" t="str">
        <f>Table12118[[#This Row],[Risk Location ]]</f>
        <v>Germany</v>
      </c>
      <c r="AU182" s="313" t="str">
        <f>Table12118[[#This Row],[Sector (GICS Industry Group)]]</f>
        <v>Automobiles &amp; Components</v>
      </c>
      <c r="AX182" s="212" t="e">
        <f>Table12118[[#This Row],[Percentage Impact]]*Table12118[[#This Row],[Amortised Limit A$ Balance]]</f>
        <v>#REF!</v>
      </c>
      <c r="AY182" s="212" t="e">
        <f>Table12118[[#This Row],[Amortised Limit A$ Balance]]*12%</f>
        <v>#REF!</v>
      </c>
      <c r="AZ182" s="212" t="e">
        <f>IF(Table12118[[#This Row],[Everest]]="Everest",Table12118[[#This Row],[Assetinsure Amount ]]*0.2)</f>
        <v>#REF!</v>
      </c>
      <c r="BA182" s="212"/>
      <c r="BB182" s="212" t="e">
        <f>MIN(Table12118[[#This Row],[Assetinsure Amount ]]-Table12118[[#This Row],[Reinsurance Everest Re]],Table12118[[#This Row],[Total Amount]])</f>
        <v>#REF!</v>
      </c>
      <c r="BC182" s="212">
        <f t="shared" si="20"/>
        <v>0</v>
      </c>
      <c r="BD182" s="260"/>
      <c r="BG182" s="18">
        <v>0</v>
      </c>
      <c r="BH182" s="212">
        <v>0</v>
      </c>
      <c r="BI182" s="11">
        <v>0</v>
      </c>
      <c r="BJ182" s="212">
        <v>0</v>
      </c>
      <c r="BK182" s="212">
        <v>0</v>
      </c>
      <c r="BL182" s="212">
        <v>0</v>
      </c>
      <c r="BM182" s="212">
        <v>0</v>
      </c>
      <c r="BP182" s="154"/>
      <c r="BQ182" s="72" t="s">
        <v>1186</v>
      </c>
      <c r="BS182" s="373"/>
    </row>
    <row r="183" spans="1:71" ht="32.25" customHeight="1" x14ac:dyDescent="0.2">
      <c r="A183" s="132" t="s">
        <v>1189</v>
      </c>
      <c r="B183" s="337" t="s">
        <v>1248</v>
      </c>
      <c r="C183" s="337" t="s">
        <v>1142</v>
      </c>
      <c r="D183" s="133" t="s">
        <v>211</v>
      </c>
      <c r="E183" s="131" t="s">
        <v>542</v>
      </c>
      <c r="F183" s="145" t="s">
        <v>211</v>
      </c>
      <c r="G183" s="131" t="s">
        <v>233</v>
      </c>
      <c r="H183" s="131" t="s">
        <v>443</v>
      </c>
      <c r="I183" s="131" t="s">
        <v>234</v>
      </c>
      <c r="J183" s="133" t="s">
        <v>1190</v>
      </c>
      <c r="K183" s="133" t="s">
        <v>221</v>
      </c>
      <c r="L183" s="231" t="s">
        <v>209</v>
      </c>
      <c r="M183" s="194" t="s">
        <v>191</v>
      </c>
      <c r="N183" s="134" t="s">
        <v>59</v>
      </c>
      <c r="O183" s="167" t="s">
        <v>43</v>
      </c>
      <c r="P183" s="65">
        <v>2</v>
      </c>
      <c r="Q183" s="167" t="s">
        <v>538</v>
      </c>
      <c r="R183" s="167" t="s">
        <v>534</v>
      </c>
      <c r="S183" s="135" t="s">
        <v>59</v>
      </c>
      <c r="T183" s="320" t="e">
        <f>20000/EUR</f>
        <v>#REF!</v>
      </c>
      <c r="U183" s="73">
        <v>20000</v>
      </c>
      <c r="V183" s="136" t="e">
        <f>Table12118[[#This Row],[Amortised Limit in Original Currency]]/EUR</f>
        <v>#REF!</v>
      </c>
      <c r="W183" s="136" t="e">
        <f>300000/EUR</f>
        <v>#REF!</v>
      </c>
      <c r="X183" s="136" t="e">
        <f>1184983.83/EUR</f>
        <v>#REF!</v>
      </c>
      <c r="Y183" s="136"/>
      <c r="Z183" s="365"/>
      <c r="AA183" s="147" t="s">
        <v>11</v>
      </c>
      <c r="AB183" s="185">
        <v>3.2500000000000001E-2</v>
      </c>
      <c r="AC183" s="185"/>
      <c r="AD183" s="137">
        <v>45005</v>
      </c>
      <c r="AE183" s="137">
        <v>46678</v>
      </c>
      <c r="AF183" s="137">
        <v>46678</v>
      </c>
      <c r="AG183" s="138">
        <f t="shared" si="23"/>
        <v>1674</v>
      </c>
      <c r="AH183" s="139" t="e">
        <f t="shared" si="24"/>
        <v>#REF!</v>
      </c>
      <c r="AI183" s="138" t="e">
        <f>AF183-#REF!</f>
        <v>#REF!</v>
      </c>
      <c r="AJ183" s="140" t="e">
        <f t="shared" si="25"/>
        <v>#REF!</v>
      </c>
      <c r="AK183" s="56" t="s">
        <v>436</v>
      </c>
      <c r="AL183" s="318" t="s">
        <v>1</v>
      </c>
      <c r="AM183" s="318" t="s">
        <v>1</v>
      </c>
      <c r="AN183" s="319" t="s">
        <v>1191</v>
      </c>
      <c r="AO183" s="143" t="e">
        <f t="shared" si="26"/>
        <v>#REF!</v>
      </c>
      <c r="AP183" s="164" t="s">
        <v>271</v>
      </c>
      <c r="AQ183" s="188" t="s">
        <v>1188</v>
      </c>
      <c r="AR183" s="260"/>
      <c r="AS183" s="260"/>
      <c r="AT183" s="312" t="str">
        <f>Table12118[[#This Row],[Risk Location ]]</f>
        <v>Spain</v>
      </c>
      <c r="AU183" s="313" t="str">
        <f>Table12118[[#This Row],[Sector (GICS Industry Group)]]</f>
        <v>Telecommunication Services</v>
      </c>
      <c r="AX183" s="212" t="e">
        <f>Table12118[[#This Row],[Percentage Impact]]*Table12118[[#This Row],[Amortised Limit A$ Balance]]</f>
        <v>#REF!</v>
      </c>
      <c r="AY183" s="212" t="e">
        <f>Table12118[[#This Row],[Amortised Limit A$ Balance]]*12%</f>
        <v>#REF!</v>
      </c>
      <c r="AZ183" s="212" t="e">
        <f>IF(Table12118[[#This Row],[Everest]]="Everest",Table12118[[#This Row],[Assetinsure Amount ]]*0.2)</f>
        <v>#REF!</v>
      </c>
      <c r="BA183" s="212"/>
      <c r="BB183" s="212" t="e">
        <f>MIN(Table12118[[#This Row],[Assetinsure Amount ]]-Table12118[[#This Row],[Reinsurance Everest Re]],Table12118[[#This Row],[Total Amount]])</f>
        <v>#REF!</v>
      </c>
      <c r="BC183" s="212">
        <f t="shared" si="20"/>
        <v>0</v>
      </c>
      <c r="BD183" s="260"/>
      <c r="BG183" s="18">
        <v>0</v>
      </c>
      <c r="BH183" s="212">
        <v>0</v>
      </c>
      <c r="BI183" s="11">
        <v>0</v>
      </c>
      <c r="BJ183" s="212">
        <v>0</v>
      </c>
      <c r="BK183" s="212">
        <v>0</v>
      </c>
      <c r="BL183" s="212">
        <v>0</v>
      </c>
      <c r="BM183" s="212">
        <v>0</v>
      </c>
      <c r="BP183" s="154"/>
      <c r="BQ183" s="72" t="s">
        <v>1187</v>
      </c>
      <c r="BS183" s="373"/>
    </row>
    <row r="184" spans="1:71" ht="32.25" customHeight="1" x14ac:dyDescent="0.2">
      <c r="A184" s="132" t="s">
        <v>1192</v>
      </c>
      <c r="B184" s="337" t="s">
        <v>1335</v>
      </c>
      <c r="C184" s="337" t="s">
        <v>1144</v>
      </c>
      <c r="D184" s="133" t="s">
        <v>127</v>
      </c>
      <c r="E184" s="131" t="s">
        <v>542</v>
      </c>
      <c r="F184" s="133" t="s">
        <v>127</v>
      </c>
      <c r="G184" s="131" t="s">
        <v>233</v>
      </c>
      <c r="H184" s="131" t="s">
        <v>443</v>
      </c>
      <c r="I184" s="131" t="s">
        <v>234</v>
      </c>
      <c r="J184" s="133" t="s">
        <v>165</v>
      </c>
      <c r="K184" s="131" t="s">
        <v>220</v>
      </c>
      <c r="L184" s="300" t="s">
        <v>140</v>
      </c>
      <c r="M184" s="194" t="s">
        <v>191</v>
      </c>
      <c r="N184" s="134" t="s">
        <v>59</v>
      </c>
      <c r="O184" s="167" t="s">
        <v>43</v>
      </c>
      <c r="P184" s="65">
        <v>3</v>
      </c>
      <c r="Q184" s="167" t="s">
        <v>538</v>
      </c>
      <c r="R184" s="167" t="s">
        <v>534</v>
      </c>
      <c r="S184" s="135" t="s">
        <v>59</v>
      </c>
      <c r="T184" s="320" t="e">
        <f>15000/EUR</f>
        <v>#REF!</v>
      </c>
      <c r="U184" s="73">
        <v>15000</v>
      </c>
      <c r="V184" s="136" t="e">
        <f>Table12118[[#This Row],[Amortised Limit in Original Currency]]/EUR</f>
        <v>#REF!</v>
      </c>
      <c r="W184" s="136" t="e">
        <f>114000/EUR</f>
        <v>#REF!</v>
      </c>
      <c r="X184" s="136" t="e">
        <f>1211206.92/EUR</f>
        <v>#REF!</v>
      </c>
      <c r="Y184" s="62" t="s">
        <v>16</v>
      </c>
      <c r="Z184" s="366">
        <v>0</v>
      </c>
      <c r="AA184" s="147" t="s">
        <v>11</v>
      </c>
      <c r="AB184" s="185">
        <v>2.1000000000000001E-2</v>
      </c>
      <c r="AC184" s="185"/>
      <c r="AD184" s="137">
        <v>45016</v>
      </c>
      <c r="AE184" s="137">
        <v>47472</v>
      </c>
      <c r="AF184" s="137">
        <v>47503</v>
      </c>
      <c r="AG184" s="138">
        <f t="shared" si="23"/>
        <v>2488</v>
      </c>
      <c r="AH184" s="139" t="e">
        <f t="shared" si="24"/>
        <v>#REF!</v>
      </c>
      <c r="AI184" s="138" t="e">
        <f>AF184-#REF!</f>
        <v>#REF!</v>
      </c>
      <c r="AJ184" s="140" t="e">
        <f t="shared" si="25"/>
        <v>#REF!</v>
      </c>
      <c r="AK184" s="56"/>
      <c r="AL184" s="318" t="s">
        <v>1</v>
      </c>
      <c r="AM184" s="318" t="s">
        <v>1</v>
      </c>
      <c r="AN184" s="319" t="s">
        <v>0</v>
      </c>
      <c r="AO184" s="143" t="e">
        <f t="shared" si="26"/>
        <v>#REF!</v>
      </c>
      <c r="AP184" s="164" t="s">
        <v>271</v>
      </c>
      <c r="AQ184" s="188" t="s">
        <v>1193</v>
      </c>
      <c r="AR184" s="260"/>
      <c r="AS184" s="260"/>
      <c r="AT184" s="312" t="str">
        <f>Table12118[[#This Row],[Risk Location ]]</f>
        <v>Germany</v>
      </c>
      <c r="AU184" s="313" t="str">
        <f>Table12118[[#This Row],[Sector (GICS Industry Group)]]</f>
        <v>Telecommunication Services</v>
      </c>
      <c r="AX184" s="212" t="e">
        <f>Table12118[[#This Row],[Percentage Impact]]*Table12118[[#This Row],[Amortised Limit A$ Balance]]</f>
        <v>#REF!</v>
      </c>
      <c r="AY184" s="212" t="e">
        <f>Table12118[[#This Row],[Amortised Limit A$ Balance]]*12%</f>
        <v>#REF!</v>
      </c>
      <c r="AZ184" s="212" t="b">
        <f>IF(Table12118[[#This Row],[Everest]]="Everest",Table12118[[#This Row],[Assetinsure Amount ]]*0.2)</f>
        <v>0</v>
      </c>
      <c r="BA184" s="212"/>
      <c r="BB184" s="212" t="e">
        <f>MIN(Table12118[[#This Row],[Assetinsure Amount ]]-Table12118[[#This Row],[Reinsurance Everest Re]],Table12118[[#This Row],[Total Amount]])</f>
        <v>#REF!</v>
      </c>
      <c r="BC184" s="212">
        <f t="shared" si="20"/>
        <v>0</v>
      </c>
      <c r="BD184" s="260"/>
      <c r="BG184" s="18">
        <v>0</v>
      </c>
      <c r="BH184" s="212">
        <v>0</v>
      </c>
      <c r="BI184" s="11">
        <v>0</v>
      </c>
      <c r="BJ184" s="212">
        <v>0</v>
      </c>
      <c r="BK184" s="212">
        <v>0</v>
      </c>
      <c r="BL184" s="212">
        <v>0</v>
      </c>
      <c r="BM184" s="212">
        <v>0</v>
      </c>
      <c r="BP184" s="154"/>
      <c r="BQ184" s="72" t="s">
        <v>1194</v>
      </c>
      <c r="BS184" s="373"/>
    </row>
    <row r="185" spans="1:71" ht="32.25" customHeight="1" x14ac:dyDescent="0.2">
      <c r="A185" s="132" t="s">
        <v>1197</v>
      </c>
      <c r="B185" s="337" t="s">
        <v>23</v>
      </c>
      <c r="C185" s="337" t="s">
        <v>1141</v>
      </c>
      <c r="D185" s="133" t="s">
        <v>588</v>
      </c>
      <c r="E185" s="131" t="s">
        <v>499</v>
      </c>
      <c r="F185" s="145" t="s">
        <v>162</v>
      </c>
      <c r="G185" s="14" t="s">
        <v>102</v>
      </c>
      <c r="H185" s="14" t="s">
        <v>102</v>
      </c>
      <c r="I185" s="66" t="s">
        <v>122</v>
      </c>
      <c r="J185" s="133" t="s">
        <v>1080</v>
      </c>
      <c r="K185" s="133" t="s">
        <v>33</v>
      </c>
      <c r="L185" s="231" t="s">
        <v>101</v>
      </c>
      <c r="M185" s="194" t="s">
        <v>191</v>
      </c>
      <c r="N185" s="134" t="s">
        <v>59</v>
      </c>
      <c r="O185" s="167" t="s">
        <v>43</v>
      </c>
      <c r="P185" s="65">
        <v>2</v>
      </c>
      <c r="Q185" s="167" t="s">
        <v>533</v>
      </c>
      <c r="R185" s="167" t="s">
        <v>534</v>
      </c>
      <c r="S185" s="135" t="s">
        <v>9</v>
      </c>
      <c r="T185" s="320" t="e">
        <f>15000/USD</f>
        <v>#REF!</v>
      </c>
      <c r="U185" s="73">
        <v>15000</v>
      </c>
      <c r="V185" s="136" t="e">
        <f>Table12118[[#This Row],[Amortised Limit in Original Currency]]/USD</f>
        <v>#REF!</v>
      </c>
      <c r="W185" s="136" t="e">
        <f>562000/USD</f>
        <v>#REF!</v>
      </c>
      <c r="X185" s="136" t="e">
        <f>612968.14/USD</f>
        <v>#REF!</v>
      </c>
      <c r="Y185" s="136"/>
      <c r="Z185" s="365"/>
      <c r="AA185" s="147" t="s">
        <v>11</v>
      </c>
      <c r="AB185" s="185">
        <v>0.03</v>
      </c>
      <c r="AC185" s="185"/>
      <c r="AD185" s="137">
        <v>45016</v>
      </c>
      <c r="AE185" s="137">
        <v>45747</v>
      </c>
      <c r="AF185" s="137">
        <v>45747</v>
      </c>
      <c r="AG185" s="138">
        <f t="shared" si="23"/>
        <v>732</v>
      </c>
      <c r="AH185" s="139" t="e">
        <f t="shared" si="24"/>
        <v>#REF!</v>
      </c>
      <c r="AI185" s="138" t="e">
        <f>AF185-#REF!</f>
        <v>#REF!</v>
      </c>
      <c r="AJ185" s="140" t="e">
        <f t="shared" si="25"/>
        <v>#REF!</v>
      </c>
      <c r="AK185" s="56"/>
      <c r="AL185" s="318" t="s">
        <v>1</v>
      </c>
      <c r="AM185" s="318" t="s">
        <v>1</v>
      </c>
      <c r="AN185" s="319" t="s">
        <v>0</v>
      </c>
      <c r="AO185" s="143" t="e">
        <f t="shared" si="26"/>
        <v>#REF!</v>
      </c>
      <c r="AP185" s="164" t="s">
        <v>271</v>
      </c>
      <c r="AQ185" s="188" t="s">
        <v>1196</v>
      </c>
      <c r="AR185" s="260"/>
      <c r="AS185" s="260"/>
      <c r="AT185" s="312" t="str">
        <f>Table12118[[#This Row],[Risk Location ]]</f>
        <v>United States</v>
      </c>
      <c r="AU185" s="313" t="str">
        <f>Table12118[[#This Row],[Sector (GICS Industry Group)]]</f>
        <v>Real Estate Investment</v>
      </c>
      <c r="AX185" s="212" t="e">
        <f>Table12118[[#This Row],[Percentage Impact]]*Table12118[[#This Row],[Amortised Limit A$ Balance]]</f>
        <v>#REF!</v>
      </c>
      <c r="AY185" s="212" t="e">
        <f>Table12118[[#This Row],[Amortised Limit A$ Balance]]*12%</f>
        <v>#REF!</v>
      </c>
      <c r="AZ185" s="212" t="b">
        <f>IF(Table12118[[#This Row],[Everest]]="Everest",Table12118[[#This Row],[Assetinsure Amount ]]*0.2)</f>
        <v>0</v>
      </c>
      <c r="BA185" s="212"/>
      <c r="BB185" s="212" t="e">
        <f>MIN(Table12118[[#This Row],[Assetinsure Amount ]]-Table12118[[#This Row],[Reinsurance Everest Re]],Table12118[[#This Row],[Total Amount]])</f>
        <v>#REF!</v>
      </c>
      <c r="BC185" s="212">
        <f t="shared" si="20"/>
        <v>0</v>
      </c>
      <c r="BD185" s="260"/>
      <c r="BG185" s="18">
        <v>0</v>
      </c>
      <c r="BH185" s="212">
        <v>0</v>
      </c>
      <c r="BI185" s="11">
        <v>0</v>
      </c>
      <c r="BJ185" s="212">
        <v>0</v>
      </c>
      <c r="BK185" s="212">
        <v>0</v>
      </c>
      <c r="BL185" s="212">
        <v>0</v>
      </c>
      <c r="BM185" s="212">
        <v>0</v>
      </c>
      <c r="BP185" s="154"/>
      <c r="BQ185" s="72" t="s">
        <v>1195</v>
      </c>
      <c r="BS185" s="373"/>
    </row>
    <row r="186" spans="1:71" ht="32.25" customHeight="1" x14ac:dyDescent="0.2">
      <c r="A186" s="132" t="s">
        <v>1199</v>
      </c>
      <c r="B186" s="337" t="s">
        <v>51</v>
      </c>
      <c r="C186" s="337" t="s">
        <v>1142</v>
      </c>
      <c r="D186" s="133" t="s">
        <v>38</v>
      </c>
      <c r="E186" s="131" t="s">
        <v>541</v>
      </c>
      <c r="F186" s="145" t="s">
        <v>38</v>
      </c>
      <c r="G186" s="131" t="s">
        <v>547</v>
      </c>
      <c r="H186" s="131" t="s">
        <v>124</v>
      </c>
      <c r="I186" s="130" t="s">
        <v>123</v>
      </c>
      <c r="J186" s="133" t="s">
        <v>1112</v>
      </c>
      <c r="K186" s="131" t="s">
        <v>1113</v>
      </c>
      <c r="L186" s="300" t="s">
        <v>29</v>
      </c>
      <c r="M186" s="194" t="s">
        <v>191</v>
      </c>
      <c r="N186" s="134" t="s">
        <v>323</v>
      </c>
      <c r="O186" s="167" t="s">
        <v>43</v>
      </c>
      <c r="P186" s="65">
        <v>2</v>
      </c>
      <c r="Q186" s="167" t="s">
        <v>533</v>
      </c>
      <c r="R186" s="269" t="s">
        <v>548</v>
      </c>
      <c r="S186" s="135" t="s">
        <v>9</v>
      </c>
      <c r="T186" s="136" t="e">
        <f>15000/USD</f>
        <v>#REF!</v>
      </c>
      <c r="U186" s="73">
        <v>15000</v>
      </c>
      <c r="V186" s="136" t="e">
        <f>Table12118[[#This Row],[Amortised Limit in Original Currency]]/USD</f>
        <v>#REF!</v>
      </c>
      <c r="W186" s="136" t="e">
        <f>100000/USD</f>
        <v>#REF!</v>
      </c>
      <c r="X186" s="136" t="e">
        <f>182974.99/USD</f>
        <v>#REF!</v>
      </c>
      <c r="Y186" s="136"/>
      <c r="Z186" s="365"/>
      <c r="AA186" s="147" t="s">
        <v>11</v>
      </c>
      <c r="AB186" s="185">
        <v>0.01</v>
      </c>
      <c r="AC186" s="185"/>
      <c r="AD186" s="137">
        <v>45016</v>
      </c>
      <c r="AE186" s="137">
        <v>45923</v>
      </c>
      <c r="AF186" s="137">
        <v>45923</v>
      </c>
      <c r="AG186" s="138">
        <f t="shared" si="23"/>
        <v>908</v>
      </c>
      <c r="AH186" s="139" t="e">
        <f t="shared" si="24"/>
        <v>#REF!</v>
      </c>
      <c r="AI186" s="138" t="e">
        <f>AF186-#REF!</f>
        <v>#REF!</v>
      </c>
      <c r="AJ186" s="140" t="e">
        <f t="shared" si="25"/>
        <v>#REF!</v>
      </c>
      <c r="AK186" s="56"/>
      <c r="AL186" s="318" t="s">
        <v>1</v>
      </c>
      <c r="AM186" s="318" t="s">
        <v>1</v>
      </c>
      <c r="AN186" s="319" t="s">
        <v>0</v>
      </c>
      <c r="AO186" s="143" t="e">
        <f t="shared" si="26"/>
        <v>#REF!</v>
      </c>
      <c r="AP186" s="164" t="s">
        <v>271</v>
      </c>
      <c r="AQ186" s="188" t="s">
        <v>1114</v>
      </c>
      <c r="AR186" s="260"/>
      <c r="AS186" s="260"/>
      <c r="AT186" s="312" t="str">
        <f>Table12118[[#This Row],[Risk Location ]]</f>
        <v>Singapore</v>
      </c>
      <c r="AU186" s="313" t="str">
        <f>Table12118[[#This Row],[Sector (GICS Industry Group)]]</f>
        <v>Consumer Staples</v>
      </c>
      <c r="AX186" s="212" t="e">
        <f>Table12118[[#This Row],[Percentage Impact]]*Table12118[[#This Row],[Amortised Limit A$ Balance]]</f>
        <v>#REF!</v>
      </c>
      <c r="AY186" s="212" t="e">
        <f>Table12118[[#This Row],[Amortised Limit A$ Balance]]*12%</f>
        <v>#REF!</v>
      </c>
      <c r="AZ186" s="212" t="b">
        <f>IF(Table12118[[#This Row],[Everest]]="Everest",Table12118[[#This Row],[Assetinsure Amount ]]*0.2)</f>
        <v>0</v>
      </c>
      <c r="BA186" s="212"/>
      <c r="BB186" s="212" t="e">
        <f>MIN(Table12118[[#This Row],[Assetinsure Amount ]]-Table12118[[#This Row],[Reinsurance Everest Re]],Table12118[[#This Row],[Total Amount]])</f>
        <v>#REF!</v>
      </c>
      <c r="BC186" s="212">
        <f t="shared" si="20"/>
        <v>0</v>
      </c>
      <c r="BD186" s="260"/>
      <c r="BG186" s="18">
        <v>0</v>
      </c>
      <c r="BH186" s="212">
        <v>0</v>
      </c>
      <c r="BI186" s="11">
        <v>0</v>
      </c>
      <c r="BJ186" s="212">
        <v>0</v>
      </c>
      <c r="BK186" s="212">
        <v>0</v>
      </c>
      <c r="BL186" s="212">
        <v>0</v>
      </c>
      <c r="BM186" s="212">
        <v>0</v>
      </c>
      <c r="BP186" s="154"/>
      <c r="BQ186" s="72" t="s">
        <v>1198</v>
      </c>
      <c r="BR186" s="154"/>
      <c r="BS186" s="373"/>
    </row>
    <row r="187" spans="1:71" ht="32.25" customHeight="1" x14ac:dyDescent="0.2">
      <c r="A187" s="132" t="s">
        <v>1226</v>
      </c>
      <c r="B187" s="337" t="s">
        <v>307</v>
      </c>
      <c r="C187" s="337" t="s">
        <v>243</v>
      </c>
      <c r="D187" s="133" t="s">
        <v>588</v>
      </c>
      <c r="E187" s="131" t="s">
        <v>499</v>
      </c>
      <c r="F187" s="145" t="s">
        <v>162</v>
      </c>
      <c r="G187" s="131" t="s">
        <v>233</v>
      </c>
      <c r="H187" s="131" t="s">
        <v>443</v>
      </c>
      <c r="I187" s="131" t="s">
        <v>234</v>
      </c>
      <c r="J187" s="14" t="s">
        <v>298</v>
      </c>
      <c r="K187" s="133" t="s">
        <v>218</v>
      </c>
      <c r="L187" s="231" t="s">
        <v>209</v>
      </c>
      <c r="M187" s="194" t="s">
        <v>191</v>
      </c>
      <c r="N187" s="134" t="s">
        <v>59</v>
      </c>
      <c r="O187" s="167" t="s">
        <v>43</v>
      </c>
      <c r="P187" s="65">
        <v>3</v>
      </c>
      <c r="Q187" s="167" t="s">
        <v>531</v>
      </c>
      <c r="R187" s="167" t="s">
        <v>534</v>
      </c>
      <c r="S187" s="135" t="s">
        <v>9</v>
      </c>
      <c r="T187" s="136" t="e">
        <f>10000/USD</f>
        <v>#REF!</v>
      </c>
      <c r="U187" s="73">
        <v>9975</v>
      </c>
      <c r="V187" s="136" t="e">
        <f>Table12118[[#This Row],[Amortised Limit in Original Currency]]/USD</f>
        <v>#REF!</v>
      </c>
      <c r="W187" s="136" t="e">
        <f>20000/USD</f>
        <v>#REF!</v>
      </c>
      <c r="X187" s="136" t="e">
        <f>693719.07/USD</f>
        <v>#REF!</v>
      </c>
      <c r="Y187" s="62" t="s">
        <v>16</v>
      </c>
      <c r="Z187" s="366">
        <v>0</v>
      </c>
      <c r="AA187" s="147" t="s">
        <v>11</v>
      </c>
      <c r="AB187" s="185">
        <v>0.06</v>
      </c>
      <c r="AC187" s="185"/>
      <c r="AD187" s="137">
        <v>45030</v>
      </c>
      <c r="AE187" s="137">
        <v>46609</v>
      </c>
      <c r="AF187" s="137">
        <v>46623</v>
      </c>
      <c r="AG187" s="138">
        <f t="shared" si="23"/>
        <v>1594</v>
      </c>
      <c r="AH187" s="139" t="e">
        <f t="shared" si="24"/>
        <v>#REF!</v>
      </c>
      <c r="AI187" s="138" t="e">
        <f>AF187-#REF!</f>
        <v>#REF!</v>
      </c>
      <c r="AJ187" s="140" t="e">
        <f t="shared" si="25"/>
        <v>#REF!</v>
      </c>
      <c r="AK187" s="56"/>
      <c r="AL187" s="318" t="s">
        <v>1</v>
      </c>
      <c r="AM187" s="318" t="s">
        <v>1</v>
      </c>
      <c r="AN187" s="319" t="s">
        <v>1228</v>
      </c>
      <c r="AO187" s="143" t="e">
        <f t="shared" si="26"/>
        <v>#REF!</v>
      </c>
      <c r="AP187" s="229" t="s">
        <v>271</v>
      </c>
      <c r="AQ187" s="188" t="s">
        <v>1222</v>
      </c>
      <c r="AR187" s="260"/>
      <c r="AS187" s="260"/>
      <c r="AT187" s="312" t="str">
        <f>Table12118[[#This Row],[Risk Location ]]</f>
        <v>United States</v>
      </c>
      <c r="AU187" s="313" t="str">
        <f>Table12118[[#This Row],[Sector (GICS Industry Group)]]</f>
        <v>Telecommunication Services</v>
      </c>
      <c r="AX187" s="212" t="e">
        <f>Table12118[[#This Row],[Percentage Impact]]*Table12118[[#This Row],[Amortised Limit A$ Balance]]</f>
        <v>#REF!</v>
      </c>
      <c r="AY187" s="212" t="e">
        <f>Table12118[[#This Row],[Amortised Limit A$ Balance]]*12%</f>
        <v>#REF!</v>
      </c>
      <c r="AZ187" s="212" t="b">
        <f>IF(Table12118[[#This Row],[Everest]]="Everest",Table12118[[#This Row],[Assetinsure Amount ]]*0.2)</f>
        <v>0</v>
      </c>
      <c r="BA187" s="212"/>
      <c r="BB187" s="212" t="e">
        <f>MIN(Table12118[[#This Row],[Assetinsure Amount ]]-Table12118[[#This Row],[Reinsurance Everest Re]],Table12118[[#This Row],[Total Amount]])</f>
        <v>#REF!</v>
      </c>
      <c r="BC187" s="212">
        <f t="shared" si="20"/>
        <v>0</v>
      </c>
      <c r="BD187" s="260"/>
      <c r="BG187" s="18">
        <v>0</v>
      </c>
      <c r="BH187" s="212">
        <v>0</v>
      </c>
      <c r="BI187" s="11">
        <v>0</v>
      </c>
      <c r="BJ187" s="212">
        <v>0</v>
      </c>
      <c r="BK187" s="212">
        <v>0</v>
      </c>
      <c r="BL187" s="212">
        <v>0</v>
      </c>
      <c r="BM187" s="212">
        <v>0</v>
      </c>
      <c r="BP187" s="154"/>
      <c r="BQ187" s="72" t="s">
        <v>1227</v>
      </c>
      <c r="BR187" s="154"/>
      <c r="BS187" s="373"/>
    </row>
    <row r="188" spans="1:71" ht="32.25" customHeight="1" x14ac:dyDescent="0.2">
      <c r="A188" s="132" t="s">
        <v>1229</v>
      </c>
      <c r="B188" s="337" t="s">
        <v>51</v>
      </c>
      <c r="C188" s="337" t="s">
        <v>1144</v>
      </c>
      <c r="D188" s="133" t="s">
        <v>746</v>
      </c>
      <c r="E188" s="131" t="s">
        <v>542</v>
      </c>
      <c r="F188" s="145" t="s">
        <v>746</v>
      </c>
      <c r="G188" s="133" t="s">
        <v>106</v>
      </c>
      <c r="H188" s="133" t="s">
        <v>106</v>
      </c>
      <c r="I188" s="131" t="s">
        <v>263</v>
      </c>
      <c r="J188" s="133" t="s">
        <v>747</v>
      </c>
      <c r="K188" s="192" t="s">
        <v>221</v>
      </c>
      <c r="L188" s="168" t="s">
        <v>101</v>
      </c>
      <c r="M188" s="194" t="s">
        <v>191</v>
      </c>
      <c r="N188" s="134" t="s">
        <v>59</v>
      </c>
      <c r="O188" s="167" t="s">
        <v>43</v>
      </c>
      <c r="P188" s="65">
        <v>2</v>
      </c>
      <c r="Q188" s="167" t="s">
        <v>531</v>
      </c>
      <c r="R188" s="270" t="s">
        <v>534</v>
      </c>
      <c r="S188" s="135" t="s">
        <v>59</v>
      </c>
      <c r="T188" s="136" t="e">
        <f>9938.19771/EUR</f>
        <v>#REF!</v>
      </c>
      <c r="U188" s="62">
        <v>9938.1977100000004</v>
      </c>
      <c r="V188" s="136" t="e">
        <f>Table12118[[#This Row],[Amortised Limit in Original Currency]]/EUR</f>
        <v>#REF!</v>
      </c>
      <c r="W188" s="136" t="e">
        <f>89443.77939/EUR</f>
        <v>#REF!</v>
      </c>
      <c r="X188" s="136" t="e">
        <f>382192.19/EUR</f>
        <v>#REF!</v>
      </c>
      <c r="Y188" s="136"/>
      <c r="Z188" s="365"/>
      <c r="AA188" s="147" t="s">
        <v>11</v>
      </c>
      <c r="AB188" s="185">
        <v>1.7500000000000002E-2</v>
      </c>
      <c r="AC188" s="185"/>
      <c r="AD188" s="137">
        <v>45028</v>
      </c>
      <c r="AE188" s="137">
        <v>47223</v>
      </c>
      <c r="AF188" s="137">
        <v>47223</v>
      </c>
      <c r="AG188" s="138">
        <f t="shared" si="23"/>
        <v>2196</v>
      </c>
      <c r="AH188" s="139" t="e">
        <f t="shared" si="24"/>
        <v>#REF!</v>
      </c>
      <c r="AI188" s="138" t="e">
        <f>AF188-#REF!</f>
        <v>#REF!</v>
      </c>
      <c r="AJ188" s="140" t="e">
        <f t="shared" si="25"/>
        <v>#REF!</v>
      </c>
      <c r="AK188" s="56"/>
      <c r="AL188" s="318" t="s">
        <v>1</v>
      </c>
      <c r="AM188" s="318" t="s">
        <v>1</v>
      </c>
      <c r="AN188" s="187" t="s">
        <v>1232</v>
      </c>
      <c r="AO188" s="143" t="e">
        <f t="shared" si="26"/>
        <v>#REF!</v>
      </c>
      <c r="AP188" s="229" t="s">
        <v>271</v>
      </c>
      <c r="AQ188" s="188" t="s">
        <v>1230</v>
      </c>
      <c r="AR188" s="260"/>
      <c r="AS188" s="260"/>
      <c r="AT188" s="312" t="str">
        <f>Table12118[[#This Row],[Risk Location ]]</f>
        <v>Czech Republic</v>
      </c>
      <c r="AU188" s="313" t="str">
        <f>Table12118[[#This Row],[Sector (GICS Industry Group)]]</f>
        <v>Real Estate Management &amp; Development</v>
      </c>
      <c r="AX188" s="212" t="e">
        <f>Table12118[[#This Row],[Percentage Impact]]*Table12118[[#This Row],[Amortised Limit A$ Balance]]</f>
        <v>#REF!</v>
      </c>
      <c r="AY188" s="212" t="e">
        <f>Table12118[[#This Row],[Amortised Limit A$ Balance]]*12%</f>
        <v>#REF!</v>
      </c>
      <c r="AZ188" s="212" t="b">
        <f>IF(Table12118[[#This Row],[Everest]]="Everest",Table12118[[#This Row],[Assetinsure Amount ]]*0.2)</f>
        <v>0</v>
      </c>
      <c r="BA188" s="212"/>
      <c r="BB188" s="212" t="e">
        <f>MIN(Table12118[[#This Row],[Assetinsure Amount ]]-Table12118[[#This Row],[Reinsurance Everest Re]],Table12118[[#This Row],[Total Amount]])</f>
        <v>#REF!</v>
      </c>
      <c r="BC188" s="212">
        <f t="shared" si="20"/>
        <v>0</v>
      </c>
      <c r="BD188" s="260"/>
      <c r="BG188" s="18">
        <v>0</v>
      </c>
      <c r="BH188" s="212">
        <v>0</v>
      </c>
      <c r="BI188" s="11">
        <v>0</v>
      </c>
      <c r="BJ188" s="212">
        <v>0</v>
      </c>
      <c r="BK188" s="212">
        <v>0</v>
      </c>
      <c r="BL188" s="212">
        <v>0</v>
      </c>
      <c r="BM188" s="212">
        <v>0</v>
      </c>
      <c r="BP188" s="154"/>
      <c r="BQ188" s="72" t="s">
        <v>1231</v>
      </c>
      <c r="BR188" s="154"/>
      <c r="BS188" s="373"/>
    </row>
    <row r="189" spans="1:71" ht="32.25" customHeight="1" x14ac:dyDescent="0.2">
      <c r="A189" s="132" t="s">
        <v>1234</v>
      </c>
      <c r="B189" s="337" t="s">
        <v>23</v>
      </c>
      <c r="C189" s="337" t="s">
        <v>1141</v>
      </c>
      <c r="D189" s="133" t="s">
        <v>88</v>
      </c>
      <c r="E189" s="131" t="s">
        <v>542</v>
      </c>
      <c r="F189" s="145" t="s">
        <v>88</v>
      </c>
      <c r="G189" s="14" t="s">
        <v>104</v>
      </c>
      <c r="H189" s="66" t="s">
        <v>105</v>
      </c>
      <c r="I189" s="14" t="s">
        <v>285</v>
      </c>
      <c r="J189" s="14" t="s">
        <v>286</v>
      </c>
      <c r="K189" s="14" t="s">
        <v>220</v>
      </c>
      <c r="L189" s="231" t="s">
        <v>29</v>
      </c>
      <c r="M189" s="194" t="s">
        <v>191</v>
      </c>
      <c r="N189" s="134" t="s">
        <v>59</v>
      </c>
      <c r="O189" s="167" t="s">
        <v>43</v>
      </c>
      <c r="P189" s="65">
        <v>3</v>
      </c>
      <c r="Q189" s="167" t="s">
        <v>531</v>
      </c>
      <c r="R189" s="167" t="s">
        <v>534</v>
      </c>
      <c r="S189" s="135" t="s">
        <v>59</v>
      </c>
      <c r="T189" s="136" t="e">
        <f>7500/EUR</f>
        <v>#REF!</v>
      </c>
      <c r="U189" s="62">
        <v>7500</v>
      </c>
      <c r="V189" s="136" t="e">
        <f>Table12118[[#This Row],[Amortised Limit in Original Currency]]/EUR</f>
        <v>#REF!</v>
      </c>
      <c r="W189" s="136" t="e">
        <f>60000/EUR</f>
        <v>#REF!</v>
      </c>
      <c r="X189" s="136" t="e">
        <f>1088897.88/EUR</f>
        <v>#REF!</v>
      </c>
      <c r="Y189" s="62" t="s">
        <v>16</v>
      </c>
      <c r="Z189" s="366">
        <v>0</v>
      </c>
      <c r="AA189" s="147" t="s">
        <v>11</v>
      </c>
      <c r="AB189" s="185">
        <v>2.75E-2</v>
      </c>
      <c r="AC189" s="185"/>
      <c r="AD189" s="137">
        <v>45036</v>
      </c>
      <c r="AE189" s="137">
        <v>50221</v>
      </c>
      <c r="AF189" s="137">
        <v>50221</v>
      </c>
      <c r="AG189" s="138">
        <f t="shared" si="23"/>
        <v>5186</v>
      </c>
      <c r="AH189" s="139" t="e">
        <f t="shared" si="24"/>
        <v>#REF!</v>
      </c>
      <c r="AI189" s="138" t="e">
        <f>AF189-#REF!</f>
        <v>#REF!</v>
      </c>
      <c r="AJ189" s="140" t="e">
        <f t="shared" si="25"/>
        <v>#REF!</v>
      </c>
      <c r="AK189" s="56"/>
      <c r="AL189" s="318" t="s">
        <v>1</v>
      </c>
      <c r="AM189" s="318" t="s">
        <v>1</v>
      </c>
      <c r="AN189" s="319" t="s">
        <v>1235</v>
      </c>
      <c r="AO189" s="143" t="e">
        <f t="shared" si="26"/>
        <v>#REF!</v>
      </c>
      <c r="AP189" s="229" t="s">
        <v>271</v>
      </c>
      <c r="AQ189" s="188" t="s">
        <v>1223</v>
      </c>
      <c r="AR189" s="260"/>
      <c r="AS189" s="260"/>
      <c r="AT189" s="312" t="str">
        <f>Table12118[[#This Row],[Risk Location ]]</f>
        <v>Belgium</v>
      </c>
      <c r="AU189" s="313" t="str">
        <f>Table12118[[#This Row],[Sector (GICS Industry Group)]]</f>
        <v>Materials</v>
      </c>
      <c r="AX189" s="212" t="e">
        <f>Table12118[[#This Row],[Percentage Impact]]*Table12118[[#This Row],[Amortised Limit A$ Balance]]</f>
        <v>#REF!</v>
      </c>
      <c r="AY189" s="212" t="e">
        <f>Table12118[[#This Row],[Amortised Limit A$ Balance]]*12%</f>
        <v>#REF!</v>
      </c>
      <c r="AZ189" s="212" t="b">
        <f>IF(Table12118[[#This Row],[Everest]]="Everest",Table12118[[#This Row],[Assetinsure Amount ]]*0.2)</f>
        <v>0</v>
      </c>
      <c r="BA189" s="212"/>
      <c r="BB189" s="212" t="e">
        <f>MIN(Table12118[[#This Row],[Assetinsure Amount ]]-Table12118[[#This Row],[Reinsurance Everest Re]],Table12118[[#This Row],[Total Amount]])</f>
        <v>#REF!</v>
      </c>
      <c r="BC189" s="212">
        <f t="shared" si="20"/>
        <v>0</v>
      </c>
      <c r="BD189" s="260"/>
      <c r="BG189" s="18">
        <v>0</v>
      </c>
      <c r="BH189" s="212">
        <v>0</v>
      </c>
      <c r="BI189" s="11">
        <v>0</v>
      </c>
      <c r="BJ189" s="212">
        <v>0</v>
      </c>
      <c r="BK189" s="212">
        <v>0</v>
      </c>
      <c r="BL189" s="212">
        <v>0</v>
      </c>
      <c r="BM189" s="212">
        <v>0</v>
      </c>
      <c r="BP189" s="154"/>
      <c r="BQ189" s="72" t="s">
        <v>1233</v>
      </c>
      <c r="BR189" s="154"/>
      <c r="BS189" s="373"/>
    </row>
    <row r="190" spans="1:71" ht="32.25" customHeight="1" x14ac:dyDescent="0.2">
      <c r="A190" s="132" t="s">
        <v>1236</v>
      </c>
      <c r="B190" s="337" t="s">
        <v>1336</v>
      </c>
      <c r="C190" s="337" t="s">
        <v>1144</v>
      </c>
      <c r="D190" s="133" t="s">
        <v>211</v>
      </c>
      <c r="E190" s="131" t="s">
        <v>542</v>
      </c>
      <c r="F190" s="145" t="s">
        <v>211</v>
      </c>
      <c r="G190" s="131" t="s">
        <v>102</v>
      </c>
      <c r="H190" s="131" t="s">
        <v>102</v>
      </c>
      <c r="I190" s="130" t="s">
        <v>473</v>
      </c>
      <c r="J190" s="133" t="s">
        <v>1238</v>
      </c>
      <c r="K190" s="133" t="s">
        <v>222</v>
      </c>
      <c r="L190" s="231" t="s">
        <v>101</v>
      </c>
      <c r="M190" s="194" t="s">
        <v>191</v>
      </c>
      <c r="N190" s="134" t="s">
        <v>59</v>
      </c>
      <c r="O190" s="167" t="s">
        <v>43</v>
      </c>
      <c r="P190" s="65">
        <v>1</v>
      </c>
      <c r="Q190" s="167" t="s">
        <v>533</v>
      </c>
      <c r="R190" s="167" t="s">
        <v>548</v>
      </c>
      <c r="S190" s="135" t="s">
        <v>59</v>
      </c>
      <c r="T190" s="136" t="e">
        <f>17500/EUR</f>
        <v>#REF!</v>
      </c>
      <c r="U190" s="62">
        <v>17500</v>
      </c>
      <c r="V190" s="136" t="e">
        <f>Table12118[[#This Row],[Amortised Limit in Original Currency]]/EUR</f>
        <v>#REF!</v>
      </c>
      <c r="W190" s="136" t="e">
        <f>100000/EUR</f>
        <v>#REF!</v>
      </c>
      <c r="X190" s="136" t="e">
        <f>539760.62/EUR</f>
        <v>#REF!</v>
      </c>
      <c r="Y190" s="136"/>
      <c r="Z190" s="365"/>
      <c r="AA190" s="147" t="s">
        <v>11</v>
      </c>
      <c r="AB190" s="185">
        <v>1.2999999999999999E-2</v>
      </c>
      <c r="AC190" s="185"/>
      <c r="AD190" s="137">
        <v>45036</v>
      </c>
      <c r="AE190" s="137">
        <v>46868</v>
      </c>
      <c r="AF190" s="137">
        <v>46868</v>
      </c>
      <c r="AG190" s="138">
        <f t="shared" si="23"/>
        <v>1833</v>
      </c>
      <c r="AH190" s="139" t="e">
        <f t="shared" si="24"/>
        <v>#REF!</v>
      </c>
      <c r="AI190" s="138" t="e">
        <f>AF190-#REF!</f>
        <v>#REF!</v>
      </c>
      <c r="AJ190" s="140" t="e">
        <f t="shared" si="25"/>
        <v>#REF!</v>
      </c>
      <c r="AK190" s="56" t="s">
        <v>436</v>
      </c>
      <c r="AL190" s="318" t="s">
        <v>1</v>
      </c>
      <c r="AM190" s="318" t="s">
        <v>1</v>
      </c>
      <c r="AN190" s="319" t="s">
        <v>0</v>
      </c>
      <c r="AO190" s="143" t="e">
        <f t="shared" si="26"/>
        <v>#REF!</v>
      </c>
      <c r="AP190" s="229" t="s">
        <v>271</v>
      </c>
      <c r="AQ190" s="188" t="s">
        <v>1224</v>
      </c>
      <c r="AR190" s="260"/>
      <c r="AS190" s="260"/>
      <c r="AT190" s="312" t="str">
        <f>Table12118[[#This Row],[Risk Location ]]</f>
        <v>Spain</v>
      </c>
      <c r="AU190" s="313" t="str">
        <f>Table12118[[#This Row],[Sector (GICS Industry Group)]]</f>
        <v>Real Estate Investment</v>
      </c>
      <c r="AX190" s="212" t="e">
        <f>Table12118[[#This Row],[Percentage Impact]]*Table12118[[#This Row],[Amortised Limit A$ Balance]]</f>
        <v>#REF!</v>
      </c>
      <c r="AY190" s="212" t="e">
        <f>Table12118[[#This Row],[Amortised Limit A$ Balance]]*12%</f>
        <v>#REF!</v>
      </c>
      <c r="AZ190" s="212" t="e">
        <f>IF(Table12118[[#This Row],[Everest]]="Everest",Table12118[[#This Row],[Assetinsure Amount ]]*0.2)</f>
        <v>#REF!</v>
      </c>
      <c r="BA190" s="212"/>
      <c r="BB190" s="212" t="e">
        <f>MIN(Table12118[[#This Row],[Assetinsure Amount ]]-Table12118[[#This Row],[Reinsurance Everest Re]],Table12118[[#This Row],[Total Amount]])</f>
        <v>#REF!</v>
      </c>
      <c r="BC190" s="212">
        <f t="shared" si="20"/>
        <v>0</v>
      </c>
      <c r="BD190" s="260"/>
      <c r="BG190" s="18">
        <v>0</v>
      </c>
      <c r="BH190" s="212">
        <v>0</v>
      </c>
      <c r="BI190" s="11">
        <v>0</v>
      </c>
      <c r="BJ190" s="212">
        <v>0</v>
      </c>
      <c r="BK190" s="212">
        <v>0</v>
      </c>
      <c r="BL190" s="212">
        <v>0</v>
      </c>
      <c r="BM190" s="212">
        <v>0</v>
      </c>
      <c r="BP190" s="154"/>
      <c r="BQ190" s="72" t="s">
        <v>1237</v>
      </c>
      <c r="BR190" s="154"/>
      <c r="BS190" s="373"/>
    </row>
    <row r="191" spans="1:71" ht="32.25" customHeight="1" x14ac:dyDescent="0.2">
      <c r="A191" s="132" t="s">
        <v>1241</v>
      </c>
      <c r="B191" s="337" t="s">
        <v>23</v>
      </c>
      <c r="C191" s="337" t="s">
        <v>1142</v>
      </c>
      <c r="D191" s="133" t="s">
        <v>87</v>
      </c>
      <c r="E191" s="131" t="s">
        <v>542</v>
      </c>
      <c r="F191" s="145" t="s">
        <v>127</v>
      </c>
      <c r="G191" s="131" t="s">
        <v>233</v>
      </c>
      <c r="H191" s="131" t="s">
        <v>443</v>
      </c>
      <c r="I191" s="131" t="s">
        <v>234</v>
      </c>
      <c r="J191" s="133" t="s">
        <v>1242</v>
      </c>
      <c r="K191" s="133" t="s">
        <v>221</v>
      </c>
      <c r="L191" s="231" t="s">
        <v>140</v>
      </c>
      <c r="M191" s="194" t="s">
        <v>191</v>
      </c>
      <c r="N191" s="134" t="s">
        <v>59</v>
      </c>
      <c r="O191" s="167" t="s">
        <v>43</v>
      </c>
      <c r="P191" s="65">
        <v>3</v>
      </c>
      <c r="Q191" s="167" t="s">
        <v>531</v>
      </c>
      <c r="R191" s="270" t="s">
        <v>534</v>
      </c>
      <c r="S191" s="135" t="s">
        <v>59</v>
      </c>
      <c r="T191" s="136" t="e">
        <f>20000/EUR</f>
        <v>#REF!</v>
      </c>
      <c r="U191" s="62">
        <v>20000</v>
      </c>
      <c r="V191" s="136" t="e">
        <f>Table12118[[#This Row],[Amortised Limit in Original Currency]]/EUR</f>
        <v>#REF!</v>
      </c>
      <c r="W191" s="136" t="e">
        <f>300000/EUR</f>
        <v>#REF!</v>
      </c>
      <c r="X191" s="136" t="e">
        <f>1557154.76/EUR</f>
        <v>#REF!</v>
      </c>
      <c r="Y191" s="136"/>
      <c r="Z191" s="365"/>
      <c r="AA191" s="147" t="s">
        <v>11</v>
      </c>
      <c r="AB191" s="330">
        <v>2.5000000000000001E-2</v>
      </c>
      <c r="AC191" s="330"/>
      <c r="AD191" s="137">
        <v>44988</v>
      </c>
      <c r="AE191" s="137">
        <v>47664</v>
      </c>
      <c r="AF191" s="137">
        <v>47679</v>
      </c>
      <c r="AG191" s="138">
        <f t="shared" si="23"/>
        <v>2692</v>
      </c>
      <c r="AH191" s="139" t="e">
        <f t="shared" si="24"/>
        <v>#REF!</v>
      </c>
      <c r="AI191" s="138" t="e">
        <f>AF191-#REF!</f>
        <v>#REF!</v>
      </c>
      <c r="AJ191" s="140" t="e">
        <f t="shared" si="25"/>
        <v>#REF!</v>
      </c>
      <c r="AK191" s="56" t="s">
        <v>436</v>
      </c>
      <c r="AL191" s="318" t="s">
        <v>1</v>
      </c>
      <c r="AM191" s="318" t="s">
        <v>1</v>
      </c>
      <c r="AN191" s="319" t="s">
        <v>0</v>
      </c>
      <c r="AO191" s="143" t="e">
        <f t="shared" si="26"/>
        <v>#REF!</v>
      </c>
      <c r="AP191" s="229" t="s">
        <v>563</v>
      </c>
      <c r="AQ191" s="188" t="s">
        <v>1225</v>
      </c>
      <c r="AR191" s="260"/>
      <c r="AS191" s="260"/>
      <c r="AT191" s="312" t="str">
        <f>Table12118[[#This Row],[Risk Location ]]</f>
        <v>Germany</v>
      </c>
      <c r="AU191" s="313" t="str">
        <f>Table12118[[#This Row],[Sector (GICS Industry Group)]]</f>
        <v>Telecommunication Services</v>
      </c>
      <c r="AX191" s="212" t="e">
        <f>Table12118[[#This Row],[Percentage Impact]]*Table12118[[#This Row],[Amortised Limit A$ Balance]]</f>
        <v>#REF!</v>
      </c>
      <c r="AY191" s="212" t="e">
        <f>Table12118[[#This Row],[Amortised Limit A$ Balance]]*12%</f>
        <v>#REF!</v>
      </c>
      <c r="AZ191" s="212" t="e">
        <f>IF(Table12118[[#This Row],[Everest]]="Everest",Table12118[[#This Row],[Assetinsure Amount ]]*0.2)</f>
        <v>#REF!</v>
      </c>
      <c r="BA191" s="212"/>
      <c r="BB191" s="212" t="e">
        <f>MIN(Table12118[[#This Row],[Assetinsure Amount ]]-Table12118[[#This Row],[Reinsurance Everest Re]],Table12118[[#This Row],[Total Amount]])</f>
        <v>#REF!</v>
      </c>
      <c r="BC191" s="212">
        <f t="shared" si="20"/>
        <v>0</v>
      </c>
      <c r="BD191" s="260"/>
      <c r="BG191" s="18">
        <v>0</v>
      </c>
      <c r="BH191" s="212">
        <v>0</v>
      </c>
      <c r="BI191" s="11">
        <v>0</v>
      </c>
      <c r="BJ191" s="212">
        <v>0</v>
      </c>
      <c r="BK191" s="212">
        <v>0</v>
      </c>
      <c r="BL191" s="212">
        <v>0</v>
      </c>
      <c r="BM191" s="212">
        <v>0</v>
      </c>
      <c r="BP191" s="154"/>
      <c r="BQ191" s="72" t="s">
        <v>1240</v>
      </c>
      <c r="BR191" s="154"/>
      <c r="BS191" s="373"/>
    </row>
    <row r="192" spans="1:71" ht="32.25" customHeight="1" x14ac:dyDescent="0.2">
      <c r="A192" s="132" t="s">
        <v>1243</v>
      </c>
      <c r="B192" s="337" t="s">
        <v>307</v>
      </c>
      <c r="C192" s="339" t="s">
        <v>1142</v>
      </c>
      <c r="D192" s="133" t="s">
        <v>87</v>
      </c>
      <c r="E192" s="131" t="s">
        <v>542</v>
      </c>
      <c r="F192" s="145" t="s">
        <v>87</v>
      </c>
      <c r="G192" s="14" t="s">
        <v>102</v>
      </c>
      <c r="H192" s="14" t="s">
        <v>102</v>
      </c>
      <c r="I192" s="66" t="s">
        <v>122</v>
      </c>
      <c r="J192" s="133" t="s">
        <v>181</v>
      </c>
      <c r="K192" s="133" t="s">
        <v>33</v>
      </c>
      <c r="L192" s="231" t="s">
        <v>101</v>
      </c>
      <c r="M192" s="194" t="s">
        <v>191</v>
      </c>
      <c r="N192" s="134" t="s">
        <v>59</v>
      </c>
      <c r="O192" s="167" t="s">
        <v>43</v>
      </c>
      <c r="P192" s="65">
        <v>2</v>
      </c>
      <c r="Q192" s="167" t="s">
        <v>531</v>
      </c>
      <c r="R192" s="167" t="s">
        <v>534</v>
      </c>
      <c r="S192" s="135" t="s">
        <v>156</v>
      </c>
      <c r="T192" s="136" t="e">
        <f>14200/GBP</f>
        <v>#REF!</v>
      </c>
      <c r="U192" s="73">
        <v>14200</v>
      </c>
      <c r="V192" s="136" t="e">
        <f>Table12118[[#This Row],[Amortised Limit in Original Currency]]/GBP</f>
        <v>#REF!</v>
      </c>
      <c r="W192" s="136" t="e">
        <f>99200/GBP</f>
        <v>#REF!</v>
      </c>
      <c r="X192" s="136" t="e">
        <f>741105.33/GBP</f>
        <v>#REF!</v>
      </c>
      <c r="Y192" s="136"/>
      <c r="Z192" s="365"/>
      <c r="AA192" s="147" t="s">
        <v>11</v>
      </c>
      <c r="AB192" s="185">
        <v>2.35E-2</v>
      </c>
      <c r="AC192" s="185"/>
      <c r="AD192" s="137">
        <v>45043</v>
      </c>
      <c r="AE192" s="137">
        <v>46021</v>
      </c>
      <c r="AF192" s="137">
        <v>46751</v>
      </c>
      <c r="AG192" s="138">
        <f t="shared" si="23"/>
        <v>1709</v>
      </c>
      <c r="AH192" s="139" t="e">
        <f t="shared" si="24"/>
        <v>#REF!</v>
      </c>
      <c r="AI192" s="138" t="e">
        <f>AF192-#REF!</f>
        <v>#REF!</v>
      </c>
      <c r="AJ192" s="140" t="e">
        <f t="shared" si="25"/>
        <v>#REF!</v>
      </c>
      <c r="AK192" s="56" t="s">
        <v>436</v>
      </c>
      <c r="AL192" s="318" t="s">
        <v>1</v>
      </c>
      <c r="AM192" s="318" t="s">
        <v>1</v>
      </c>
      <c r="AN192" s="319" t="s">
        <v>0</v>
      </c>
      <c r="AO192" s="143" t="e">
        <f t="shared" si="26"/>
        <v>#REF!</v>
      </c>
      <c r="AP192" s="229" t="s">
        <v>271</v>
      </c>
      <c r="AQ192" s="188" t="s">
        <v>1244</v>
      </c>
      <c r="AR192" s="260"/>
      <c r="AS192" s="260"/>
      <c r="AT192" s="312" t="str">
        <f>Table12118[[#This Row],[Risk Location ]]</f>
        <v>United Kingdom</v>
      </c>
      <c r="AU192" s="313" t="str">
        <f>Table12118[[#This Row],[Sector (GICS Industry Group)]]</f>
        <v>Real Estate Investment</v>
      </c>
      <c r="AX192" s="212" t="e">
        <f>Table12118[[#This Row],[Percentage Impact]]*Table12118[[#This Row],[Amortised Limit A$ Balance]]</f>
        <v>#REF!</v>
      </c>
      <c r="AY192" s="212" t="e">
        <f>Table12118[[#This Row],[Amortised Limit A$ Balance]]*12%</f>
        <v>#REF!</v>
      </c>
      <c r="AZ192" s="212" t="e">
        <f>IF(Table12118[[#This Row],[Everest]]="Everest",Table12118[[#This Row],[Assetinsure Amount ]]*0.2)</f>
        <v>#REF!</v>
      </c>
      <c r="BA192" s="212"/>
      <c r="BB192" s="212" t="e">
        <f>MIN(Table12118[[#This Row],[Assetinsure Amount ]]-Table12118[[#This Row],[Reinsurance Everest Re]],Table12118[[#This Row],[Total Amount]])</f>
        <v>#REF!</v>
      </c>
      <c r="BC192" s="212">
        <f t="shared" si="20"/>
        <v>0</v>
      </c>
      <c r="BD192" s="260"/>
      <c r="BG192" s="18">
        <v>0</v>
      </c>
      <c r="BH192" s="212">
        <v>0</v>
      </c>
      <c r="BI192" s="11">
        <v>0</v>
      </c>
      <c r="BJ192" s="212">
        <v>0</v>
      </c>
      <c r="BK192" s="212">
        <v>0</v>
      </c>
      <c r="BL192" s="212">
        <v>0</v>
      </c>
      <c r="BM192" s="212">
        <v>0</v>
      </c>
      <c r="BP192" s="154"/>
      <c r="BQ192" s="72" t="s">
        <v>1245</v>
      </c>
      <c r="BR192" s="154"/>
      <c r="BS192" s="373"/>
    </row>
    <row r="193" spans="1:71" ht="32.25" customHeight="1" x14ac:dyDescent="0.2">
      <c r="A193" s="132" t="s">
        <v>1249</v>
      </c>
      <c r="B193" s="132" t="s">
        <v>51</v>
      </c>
      <c r="C193" s="134" t="s">
        <v>1144</v>
      </c>
      <c r="D193" s="133" t="s">
        <v>89</v>
      </c>
      <c r="E193" s="131" t="s">
        <v>542</v>
      </c>
      <c r="F193" s="145" t="s">
        <v>86</v>
      </c>
      <c r="G193" s="131" t="s">
        <v>547</v>
      </c>
      <c r="H193" s="131" t="s">
        <v>124</v>
      </c>
      <c r="I193" s="130" t="s">
        <v>1250</v>
      </c>
      <c r="J193" s="133" t="s">
        <v>60</v>
      </c>
      <c r="K193" s="133" t="s">
        <v>220</v>
      </c>
      <c r="L193" s="343" t="s">
        <v>29</v>
      </c>
      <c r="M193" s="194" t="s">
        <v>191</v>
      </c>
      <c r="N193" s="134" t="s">
        <v>59</v>
      </c>
      <c r="O193" s="167" t="s">
        <v>43</v>
      </c>
      <c r="P193" s="65">
        <v>2</v>
      </c>
      <c r="Q193" s="167" t="s">
        <v>538</v>
      </c>
      <c r="R193" s="167" t="s">
        <v>534</v>
      </c>
      <c r="S193" s="135" t="s">
        <v>59</v>
      </c>
      <c r="T193" s="136" t="e">
        <f>15000/EUR</f>
        <v>#REF!</v>
      </c>
      <c r="U193" s="62">
        <v>15000</v>
      </c>
      <c r="V193" s="136" t="e">
        <f>Table12118[[#This Row],[Amortised Limit in Original Currency]]/EUR</f>
        <v>#REF!</v>
      </c>
      <c r="W193" s="136" t="e">
        <f>66090/EUR</f>
        <v>#REF!</v>
      </c>
      <c r="X193" s="136" t="e">
        <f>1087914.84/EUR</f>
        <v>#REF!</v>
      </c>
      <c r="Y193" s="62" t="s">
        <v>16</v>
      </c>
      <c r="Z193" s="366">
        <v>0</v>
      </c>
      <c r="AA193" s="147" t="s">
        <v>11</v>
      </c>
      <c r="AB193" s="185">
        <v>2.2499999999999999E-2</v>
      </c>
      <c r="AC193" s="185"/>
      <c r="AD193" s="137">
        <v>45054</v>
      </c>
      <c r="AE193" s="137">
        <v>48550</v>
      </c>
      <c r="AF193" s="137">
        <v>48581</v>
      </c>
      <c r="AG193" s="138">
        <f t="shared" si="23"/>
        <v>3528</v>
      </c>
      <c r="AH193" s="139" t="e">
        <f t="shared" si="24"/>
        <v>#REF!</v>
      </c>
      <c r="AI193" s="138" t="e">
        <f>AF193-#REF!</f>
        <v>#REF!</v>
      </c>
      <c r="AJ193" s="140" t="e">
        <f t="shared" si="25"/>
        <v>#REF!</v>
      </c>
      <c r="AK193" s="56"/>
      <c r="AL193" s="318" t="s">
        <v>1</v>
      </c>
      <c r="AM193" s="318" t="s">
        <v>1</v>
      </c>
      <c r="AN193" s="319" t="s">
        <v>1251</v>
      </c>
      <c r="AO193" s="143" t="e">
        <f t="shared" si="26"/>
        <v>#REF!</v>
      </c>
      <c r="AP193" s="229" t="s">
        <v>271</v>
      </c>
      <c r="AQ193" s="188" t="s">
        <v>1252</v>
      </c>
      <c r="AR193" s="260"/>
      <c r="AS193" s="260"/>
      <c r="AT193" s="312" t="str">
        <f>Table12118[[#This Row],[Risk Location ]]</f>
        <v>Ireland</v>
      </c>
      <c r="AU193" s="313" t="str">
        <f>Table12118[[#This Row],[Sector (GICS Industry Group)]]</f>
        <v>Consumer Staples</v>
      </c>
      <c r="AX193" s="212" t="e">
        <f>Table12118[[#This Row],[Percentage Impact]]*Table12118[[#This Row],[Amortised Limit A$ Balance]]</f>
        <v>#REF!</v>
      </c>
      <c r="AY193" s="212" t="e">
        <f>Table12118[[#This Row],[Amortised Limit A$ Balance]]*12%</f>
        <v>#REF!</v>
      </c>
      <c r="AZ193" s="212" t="b">
        <f>IF(Table12118[[#This Row],[Everest]]="Everest",Table12118[[#This Row],[Assetinsure Amount ]]*0.2)</f>
        <v>0</v>
      </c>
      <c r="BA193" s="212"/>
      <c r="BB193" s="212" t="e">
        <f>MIN(Table12118[[#This Row],[Assetinsure Amount ]]-Table12118[[#This Row],[Reinsurance Everest Re]],Table12118[[#This Row],[Total Amount]])</f>
        <v>#REF!</v>
      </c>
      <c r="BC193" s="212">
        <f t="shared" si="20"/>
        <v>0</v>
      </c>
      <c r="BD193" s="260"/>
      <c r="BG193" s="18">
        <v>0</v>
      </c>
      <c r="BH193" s="212">
        <v>0</v>
      </c>
      <c r="BI193" s="11">
        <v>0</v>
      </c>
      <c r="BJ193" s="212">
        <v>0</v>
      </c>
      <c r="BK193" s="212">
        <v>0</v>
      </c>
      <c r="BL193" s="212">
        <v>0</v>
      </c>
      <c r="BM193" s="212">
        <v>0</v>
      </c>
      <c r="BP193" s="154"/>
      <c r="BQ193" s="72" t="s">
        <v>1276</v>
      </c>
      <c r="BR193" s="154"/>
      <c r="BS193" s="374"/>
    </row>
    <row r="194" spans="1:71" ht="32.25" customHeight="1" x14ac:dyDescent="0.2">
      <c r="A194" s="132" t="s">
        <v>1253</v>
      </c>
      <c r="B194" s="132" t="s">
        <v>51</v>
      </c>
      <c r="C194" s="134" t="s">
        <v>1144</v>
      </c>
      <c r="D194" s="133" t="s">
        <v>89</v>
      </c>
      <c r="E194" s="131" t="s">
        <v>542</v>
      </c>
      <c r="F194" s="145" t="s">
        <v>89</v>
      </c>
      <c r="G194" s="131" t="s">
        <v>475</v>
      </c>
      <c r="H194" s="131" t="s">
        <v>441</v>
      </c>
      <c r="I194" s="131" t="s">
        <v>441</v>
      </c>
      <c r="J194" s="133" t="s">
        <v>60</v>
      </c>
      <c r="K194" s="133" t="s">
        <v>220</v>
      </c>
      <c r="L194" s="343" t="s">
        <v>209</v>
      </c>
      <c r="M194" s="194" t="s">
        <v>191</v>
      </c>
      <c r="N194" s="134" t="s">
        <v>59</v>
      </c>
      <c r="O194" s="167" t="s">
        <v>43</v>
      </c>
      <c r="P194" s="65">
        <v>2</v>
      </c>
      <c r="Q194" s="167" t="s">
        <v>533</v>
      </c>
      <c r="R194" s="167" t="s">
        <v>534</v>
      </c>
      <c r="S194" s="135" t="s">
        <v>59</v>
      </c>
      <c r="T194" s="136" t="e">
        <f>10000/EUR</f>
        <v>#REF!</v>
      </c>
      <c r="U194" s="62">
        <v>9974.7999999999993</v>
      </c>
      <c r="V194" s="136" t="e">
        <f>Table12118[[#This Row],[Amortised Limit in Original Currency]]/EUR</f>
        <v>#REF!</v>
      </c>
      <c r="W194" s="136" t="e">
        <f>88030/EUR</f>
        <v>#REF!</v>
      </c>
      <c r="X194" s="136" t="e">
        <f>373170.62/EUR</f>
        <v>#REF!</v>
      </c>
      <c r="Y194" s="62" t="s">
        <v>16</v>
      </c>
      <c r="Z194" s="366">
        <v>0</v>
      </c>
      <c r="AA194" s="147" t="s">
        <v>11</v>
      </c>
      <c r="AB194" s="185">
        <v>1.4999999999999999E-2</v>
      </c>
      <c r="AC194" s="185"/>
      <c r="AD194" s="137">
        <v>45054</v>
      </c>
      <c r="AE194" s="137">
        <v>46617</v>
      </c>
      <c r="AF194" s="137">
        <v>46648</v>
      </c>
      <c r="AG194" s="138">
        <f t="shared" si="23"/>
        <v>1595</v>
      </c>
      <c r="AH194" s="139" t="e">
        <f t="shared" si="24"/>
        <v>#REF!</v>
      </c>
      <c r="AI194" s="138" t="e">
        <f>AF194-#REF!</f>
        <v>#REF!</v>
      </c>
      <c r="AJ194" s="140" t="e">
        <f t="shared" si="25"/>
        <v>#REF!</v>
      </c>
      <c r="AK194" s="56"/>
      <c r="AL194" s="318" t="s">
        <v>1</v>
      </c>
      <c r="AM194" s="318" t="s">
        <v>1</v>
      </c>
      <c r="AN194" s="319" t="s">
        <v>1254</v>
      </c>
      <c r="AO194" s="143" t="e">
        <f t="shared" si="26"/>
        <v>#REF!</v>
      </c>
      <c r="AP194" s="229" t="s">
        <v>271</v>
      </c>
      <c r="AQ194" s="188" t="s">
        <v>1255</v>
      </c>
      <c r="AR194" s="260"/>
      <c r="AS194" s="260"/>
      <c r="AT194" s="312" t="str">
        <f>Table12118[[#This Row],[Risk Location ]]</f>
        <v>Netherlands</v>
      </c>
      <c r="AU194" s="313" t="str">
        <f>Table12118[[#This Row],[Sector (GICS Industry Group)]]</f>
        <v>Health Care</v>
      </c>
      <c r="AX194" s="212" t="e">
        <f>Table12118[[#This Row],[Percentage Impact]]*Table12118[[#This Row],[Amortised Limit A$ Balance]]</f>
        <v>#REF!</v>
      </c>
      <c r="AY194" s="212" t="e">
        <f>Table12118[[#This Row],[Amortised Limit A$ Balance]]*12%</f>
        <v>#REF!</v>
      </c>
      <c r="AZ194" s="212" t="b">
        <f>IF(Table12118[[#This Row],[Everest]]="Everest",Table12118[[#This Row],[Assetinsure Amount ]]*0.2)</f>
        <v>0</v>
      </c>
      <c r="BA194" s="212"/>
      <c r="BB194" s="212" t="e">
        <f>MIN(Table12118[[#This Row],[Assetinsure Amount ]]-Table12118[[#This Row],[Reinsurance Everest Re]],Table12118[[#This Row],[Total Amount]])</f>
        <v>#REF!</v>
      </c>
      <c r="BC194" s="212">
        <f t="shared" si="20"/>
        <v>0</v>
      </c>
      <c r="BD194" s="260"/>
      <c r="BG194" s="18">
        <v>0</v>
      </c>
      <c r="BH194" s="212">
        <v>0</v>
      </c>
      <c r="BI194" s="11">
        <v>0</v>
      </c>
      <c r="BJ194" s="212">
        <v>0</v>
      </c>
      <c r="BK194" s="212">
        <v>0</v>
      </c>
      <c r="BL194" s="212">
        <v>0</v>
      </c>
      <c r="BM194" s="212">
        <v>0</v>
      </c>
      <c r="BP194" s="154"/>
      <c r="BQ194" s="72" t="s">
        <v>1256</v>
      </c>
      <c r="BR194" s="154"/>
      <c r="BS194" s="374"/>
    </row>
    <row r="195" spans="1:71" ht="32.25" customHeight="1" x14ac:dyDescent="0.2">
      <c r="A195" s="132" t="s">
        <v>1257</v>
      </c>
      <c r="B195" s="337" t="s">
        <v>307</v>
      </c>
      <c r="C195" s="134" t="s">
        <v>1144</v>
      </c>
      <c r="D195" s="133" t="s">
        <v>560</v>
      </c>
      <c r="E195" s="131" t="s">
        <v>499</v>
      </c>
      <c r="F195" s="145" t="s">
        <v>162</v>
      </c>
      <c r="G195" s="66" t="s">
        <v>106</v>
      </c>
      <c r="H195" s="66" t="s">
        <v>106</v>
      </c>
      <c r="I195" s="66" t="s">
        <v>107</v>
      </c>
      <c r="J195" s="133" t="s">
        <v>1258</v>
      </c>
      <c r="K195" s="133" t="s">
        <v>33</v>
      </c>
      <c r="L195" s="231" t="s">
        <v>101</v>
      </c>
      <c r="M195" s="194" t="s">
        <v>191</v>
      </c>
      <c r="N195" s="134" t="s">
        <v>59</v>
      </c>
      <c r="O195" s="167" t="s">
        <v>43</v>
      </c>
      <c r="P195" s="65">
        <v>2</v>
      </c>
      <c r="Q195" s="167" t="s">
        <v>533</v>
      </c>
      <c r="R195" s="167" t="s">
        <v>534</v>
      </c>
      <c r="S195" s="135" t="s">
        <v>9</v>
      </c>
      <c r="T195" s="320" t="e">
        <f>15000/USD</f>
        <v>#REF!</v>
      </c>
      <c r="U195" s="73">
        <v>15000</v>
      </c>
      <c r="V195" s="136" t="e">
        <f>Table12118[[#This Row],[Amortised Limit in Original Currency]]/USD</f>
        <v>#REF!</v>
      </c>
      <c r="W195" s="136" t="e">
        <f>75000/USD</f>
        <v>#REF!</v>
      </c>
      <c r="X195" s="136" t="e">
        <f>753546.27/USD</f>
        <v>#REF!</v>
      </c>
      <c r="Y195" s="136"/>
      <c r="Z195" s="365"/>
      <c r="AA195" s="147" t="s">
        <v>11</v>
      </c>
      <c r="AB195" s="185">
        <v>2.7E-2</v>
      </c>
      <c r="AC195" s="185"/>
      <c r="AD195" s="137">
        <v>45049</v>
      </c>
      <c r="AE195" s="137">
        <v>46380</v>
      </c>
      <c r="AF195" s="137">
        <v>46380</v>
      </c>
      <c r="AG195" s="138">
        <f t="shared" si="23"/>
        <v>1332</v>
      </c>
      <c r="AH195" s="139" t="e">
        <f t="shared" si="24"/>
        <v>#REF!</v>
      </c>
      <c r="AI195" s="138" t="e">
        <f>AF195-#REF!</f>
        <v>#REF!</v>
      </c>
      <c r="AJ195" s="140" t="e">
        <f t="shared" si="25"/>
        <v>#REF!</v>
      </c>
      <c r="AK195" s="56"/>
      <c r="AL195" s="318" t="s">
        <v>1</v>
      </c>
      <c r="AM195" s="318" t="s">
        <v>1</v>
      </c>
      <c r="AN195" s="319" t="s">
        <v>0</v>
      </c>
      <c r="AO195" s="143" t="e">
        <f t="shared" si="26"/>
        <v>#REF!</v>
      </c>
      <c r="AP195" s="229" t="s">
        <v>563</v>
      </c>
      <c r="AQ195" s="188" t="s">
        <v>1259</v>
      </c>
      <c r="AR195" s="260"/>
      <c r="AS195" s="260"/>
      <c r="AT195" s="312" t="str">
        <f>Table12118[[#This Row],[Risk Location ]]</f>
        <v>United States</v>
      </c>
      <c r="AU195" s="313" t="str">
        <f>Table12118[[#This Row],[Sector (GICS Industry Group)]]</f>
        <v>Real Estate Management &amp; Development</v>
      </c>
      <c r="AX195" s="212" t="e">
        <f>Table12118[[#This Row],[Percentage Impact]]*Table12118[[#This Row],[Amortised Limit A$ Balance]]</f>
        <v>#REF!</v>
      </c>
      <c r="AY195" s="212" t="e">
        <f>Table12118[[#This Row],[Amortised Limit A$ Balance]]*12%</f>
        <v>#REF!</v>
      </c>
      <c r="AZ195" s="212" t="b">
        <f>IF(Table12118[[#This Row],[Everest]]="Everest",Table12118[[#This Row],[Assetinsure Amount ]]*0.2)</f>
        <v>0</v>
      </c>
      <c r="BA195" s="212"/>
      <c r="BB195" s="212" t="e">
        <f>MIN(Table12118[[#This Row],[Assetinsure Amount ]]-Table12118[[#This Row],[Reinsurance Everest Re]],Table12118[[#This Row],[Total Amount]])</f>
        <v>#REF!</v>
      </c>
      <c r="BC195" s="212">
        <f t="shared" si="20"/>
        <v>0</v>
      </c>
      <c r="BD195" s="260"/>
      <c r="BG195" s="18">
        <v>0</v>
      </c>
      <c r="BH195" s="212">
        <v>0</v>
      </c>
      <c r="BI195" s="11">
        <v>0</v>
      </c>
      <c r="BJ195" s="212">
        <v>0</v>
      </c>
      <c r="BK195" s="212">
        <v>0</v>
      </c>
      <c r="BL195" s="212">
        <v>0</v>
      </c>
      <c r="BM195" s="212">
        <v>0</v>
      </c>
      <c r="BP195" s="154"/>
      <c r="BQ195" s="72" t="s">
        <v>1260</v>
      </c>
      <c r="BR195" s="154"/>
      <c r="BS195" s="372" t="s">
        <v>103</v>
      </c>
    </row>
    <row r="196" spans="1:71" ht="32.25" customHeight="1" x14ac:dyDescent="0.2">
      <c r="A196" s="132" t="s">
        <v>1261</v>
      </c>
      <c r="B196" s="337" t="s">
        <v>307</v>
      </c>
      <c r="C196" s="134" t="s">
        <v>1141</v>
      </c>
      <c r="D196" s="133" t="s">
        <v>87</v>
      </c>
      <c r="E196" s="131" t="s">
        <v>542</v>
      </c>
      <c r="F196" s="145" t="s">
        <v>87</v>
      </c>
      <c r="G196" s="14" t="s">
        <v>102</v>
      </c>
      <c r="H196" s="14" t="s">
        <v>102</v>
      </c>
      <c r="I196" s="66" t="s">
        <v>122</v>
      </c>
      <c r="J196" s="131" t="s">
        <v>1262</v>
      </c>
      <c r="K196" s="133" t="s">
        <v>222</v>
      </c>
      <c r="L196" s="343" t="s">
        <v>101</v>
      </c>
      <c r="M196" s="194" t="s">
        <v>191</v>
      </c>
      <c r="N196" s="134" t="s">
        <v>59</v>
      </c>
      <c r="O196" s="167" t="s">
        <v>43</v>
      </c>
      <c r="P196" s="65">
        <v>2</v>
      </c>
      <c r="Q196" s="167" t="s">
        <v>539</v>
      </c>
      <c r="R196" s="167" t="s">
        <v>534</v>
      </c>
      <c r="S196" s="135" t="s">
        <v>156</v>
      </c>
      <c r="T196" s="136" t="e">
        <f>10000/GBP</f>
        <v>#REF!</v>
      </c>
      <c r="U196" s="73">
        <v>10000</v>
      </c>
      <c r="V196" s="136" t="e">
        <f>Table12118[[#This Row],[Amortised Limit in Original Currency]]/GBP</f>
        <v>#REF!</v>
      </c>
      <c r="W196" s="136" t="e">
        <f>42390/GBP</f>
        <v>#REF!</v>
      </c>
      <c r="X196" s="136" t="e">
        <f>371390.62/GBP</f>
        <v>#REF!</v>
      </c>
      <c r="Y196" s="136"/>
      <c r="Z196" s="365"/>
      <c r="AA196" s="147" t="s">
        <v>11</v>
      </c>
      <c r="AB196" s="185">
        <v>2.35E-2</v>
      </c>
      <c r="AC196" s="185"/>
      <c r="AD196" s="137">
        <v>45061</v>
      </c>
      <c r="AE196" s="137">
        <v>46208</v>
      </c>
      <c r="AF196" s="137">
        <v>46208</v>
      </c>
      <c r="AG196" s="138">
        <f t="shared" si="23"/>
        <v>1148</v>
      </c>
      <c r="AH196" s="139" t="e">
        <f t="shared" si="24"/>
        <v>#REF!</v>
      </c>
      <c r="AI196" s="138" t="e">
        <f>AF196-#REF!</f>
        <v>#REF!</v>
      </c>
      <c r="AJ196" s="140" t="e">
        <f t="shared" si="25"/>
        <v>#REF!</v>
      </c>
      <c r="AK196" s="56"/>
      <c r="AL196" s="318" t="s">
        <v>1</v>
      </c>
      <c r="AM196" s="318" t="s">
        <v>1</v>
      </c>
      <c r="AN196" s="319" t="s">
        <v>0</v>
      </c>
      <c r="AO196" s="143" t="e">
        <f t="shared" si="26"/>
        <v>#REF!</v>
      </c>
      <c r="AP196" s="229" t="s">
        <v>563</v>
      </c>
      <c r="AQ196" s="188" t="s">
        <v>1282</v>
      </c>
      <c r="AR196" s="260"/>
      <c r="AS196" s="260"/>
      <c r="AT196" s="312" t="str">
        <f>Table12118[[#This Row],[Risk Location ]]</f>
        <v>United Kingdom</v>
      </c>
      <c r="AU196" s="313" t="str">
        <f>Table12118[[#This Row],[Sector (GICS Industry Group)]]</f>
        <v>Real Estate Investment</v>
      </c>
      <c r="AX196" s="212" t="e">
        <f>Table12118[[#This Row],[Percentage Impact]]*Table12118[[#This Row],[Amortised Limit A$ Balance]]</f>
        <v>#REF!</v>
      </c>
      <c r="AY196" s="212" t="e">
        <f>Table12118[[#This Row],[Amortised Limit A$ Balance]]*12%</f>
        <v>#REF!</v>
      </c>
      <c r="AZ196" s="212" t="b">
        <f>IF(Table12118[[#This Row],[Everest]]="Everest",Table12118[[#This Row],[Assetinsure Amount ]]*0.2)</f>
        <v>0</v>
      </c>
      <c r="BA196" s="212"/>
      <c r="BB196" s="212" t="e">
        <f>MIN(Table12118[[#This Row],[Assetinsure Amount ]]-Table12118[[#This Row],[Reinsurance Everest Re]],Table12118[[#This Row],[Total Amount]])</f>
        <v>#REF!</v>
      </c>
      <c r="BC196" s="212">
        <f t="shared" si="20"/>
        <v>0</v>
      </c>
      <c r="BD196" s="260"/>
      <c r="BG196" s="18">
        <v>0</v>
      </c>
      <c r="BH196" s="212">
        <v>0</v>
      </c>
      <c r="BI196" s="11">
        <v>0</v>
      </c>
      <c r="BJ196" s="212">
        <v>0</v>
      </c>
      <c r="BK196" s="212">
        <v>0</v>
      </c>
      <c r="BL196" s="212">
        <v>0</v>
      </c>
      <c r="BM196" s="212">
        <v>0</v>
      </c>
      <c r="BP196" s="154"/>
      <c r="BQ196" s="325" t="s">
        <v>1264</v>
      </c>
      <c r="BR196" s="277"/>
      <c r="BS196" s="374"/>
    </row>
    <row r="197" spans="1:71" ht="32.25" customHeight="1" x14ac:dyDescent="0.2">
      <c r="A197" s="132" t="s">
        <v>1265</v>
      </c>
      <c r="B197" s="337" t="s">
        <v>307</v>
      </c>
      <c r="C197" s="134" t="s">
        <v>1142</v>
      </c>
      <c r="D197" s="133" t="s">
        <v>588</v>
      </c>
      <c r="E197" s="131" t="s">
        <v>499</v>
      </c>
      <c r="F197" s="145" t="s">
        <v>162</v>
      </c>
      <c r="G197" s="14" t="s">
        <v>892</v>
      </c>
      <c r="H197" s="131" t="s">
        <v>259</v>
      </c>
      <c r="I197" s="130" t="s">
        <v>461</v>
      </c>
      <c r="J197" s="14" t="s">
        <v>298</v>
      </c>
      <c r="K197" s="133" t="s">
        <v>218</v>
      </c>
      <c r="L197" s="343" t="s">
        <v>139</v>
      </c>
      <c r="M197" s="194" t="s">
        <v>191</v>
      </c>
      <c r="N197" s="134" t="s">
        <v>59</v>
      </c>
      <c r="O197" s="167" t="s">
        <v>43</v>
      </c>
      <c r="P197" s="167">
        <v>3</v>
      </c>
      <c r="Q197" s="167" t="s">
        <v>538</v>
      </c>
      <c r="R197" s="167" t="s">
        <v>534</v>
      </c>
      <c r="S197" s="135" t="s">
        <v>9</v>
      </c>
      <c r="T197" s="320" t="e">
        <f>15000/USD</f>
        <v>#REF!</v>
      </c>
      <c r="U197" s="73">
        <v>15000</v>
      </c>
      <c r="V197" s="136" t="e">
        <f>Table12118[[#This Row],[Amortised Limit in Original Currency]]/USD</f>
        <v>#REF!</v>
      </c>
      <c r="W197" s="136" t="e">
        <f>82250/USD</f>
        <v>#REF!</v>
      </c>
      <c r="X197" s="136" t="e">
        <f>1118181.83/USD</f>
        <v>#REF!</v>
      </c>
      <c r="Y197" s="62" t="s">
        <v>16</v>
      </c>
      <c r="Z197" s="366">
        <v>0</v>
      </c>
      <c r="AA197" s="147" t="s">
        <v>11</v>
      </c>
      <c r="AB197" s="185">
        <v>0.06</v>
      </c>
      <c r="AC197" s="185"/>
      <c r="AD197" s="137">
        <v>45057</v>
      </c>
      <c r="AE197" s="137">
        <v>46784</v>
      </c>
      <c r="AF197" s="137">
        <v>46710</v>
      </c>
      <c r="AG197" s="138">
        <f t="shared" si="23"/>
        <v>1654</v>
      </c>
      <c r="AH197" s="139" t="e">
        <f t="shared" si="24"/>
        <v>#REF!</v>
      </c>
      <c r="AI197" s="138" t="e">
        <f>AF197-#REF!</f>
        <v>#REF!</v>
      </c>
      <c r="AJ197" s="140" t="e">
        <f t="shared" si="25"/>
        <v>#REF!</v>
      </c>
      <c r="AK197" s="56"/>
      <c r="AL197" s="318" t="s">
        <v>1</v>
      </c>
      <c r="AM197" s="318" t="s">
        <v>1</v>
      </c>
      <c r="AN197" s="319" t="s">
        <v>0</v>
      </c>
      <c r="AO197" s="143" t="e">
        <f t="shared" si="26"/>
        <v>#REF!</v>
      </c>
      <c r="AP197" s="229" t="s">
        <v>563</v>
      </c>
      <c r="AQ197" s="188" t="s">
        <v>1266</v>
      </c>
      <c r="AR197" s="260"/>
      <c r="AS197" s="260"/>
      <c r="AT197" s="312" t="str">
        <f>Table12118[[#This Row],[Risk Location ]]</f>
        <v>United States</v>
      </c>
      <c r="AU197" s="313" t="str">
        <f>Table12118[[#This Row],[Sector (GICS Industry Group)]]</f>
        <v>Information Technology - Software &amp; Services</v>
      </c>
      <c r="AX197" s="212" t="e">
        <f>Table12118[[#This Row],[Percentage Impact]]*Table12118[[#This Row],[Amortised Limit A$ Balance]]</f>
        <v>#REF!</v>
      </c>
      <c r="AY197" s="212" t="e">
        <f>Table12118[[#This Row],[Amortised Limit A$ Balance]]*12%</f>
        <v>#REF!</v>
      </c>
      <c r="AZ197" s="212" t="b">
        <f>IF(Table12118[[#This Row],[Everest]]="Everest",Table12118[[#This Row],[Assetinsure Amount ]]*0.2)</f>
        <v>0</v>
      </c>
      <c r="BA197" s="212"/>
      <c r="BB197" s="212" t="e">
        <f>MIN(Table12118[[#This Row],[Assetinsure Amount ]]-Table12118[[#This Row],[Reinsurance Everest Re]],Table12118[[#This Row],[Total Amount]])</f>
        <v>#REF!</v>
      </c>
      <c r="BC197" s="212">
        <f t="shared" ref="BC197:BC210" si="27">+BH197</f>
        <v>0</v>
      </c>
      <c r="BD197" s="260"/>
      <c r="BG197" s="18">
        <v>0</v>
      </c>
      <c r="BH197" s="212">
        <v>0</v>
      </c>
      <c r="BI197" s="11">
        <v>0</v>
      </c>
      <c r="BJ197" s="212">
        <v>0</v>
      </c>
      <c r="BK197" s="212">
        <v>0</v>
      </c>
      <c r="BL197" s="212">
        <v>0</v>
      </c>
      <c r="BM197" s="212">
        <v>0</v>
      </c>
      <c r="BP197" s="154"/>
      <c r="BQ197" s="72" t="s">
        <v>1267</v>
      </c>
      <c r="BR197" s="154"/>
      <c r="BS197" s="374"/>
    </row>
    <row r="198" spans="1:71" ht="32.25" customHeight="1" x14ac:dyDescent="0.2">
      <c r="A198" s="132" t="s">
        <v>1279</v>
      </c>
      <c r="B198" s="132" t="s">
        <v>67</v>
      </c>
      <c r="C198" s="134" t="s">
        <v>243</v>
      </c>
      <c r="D198" s="133" t="s">
        <v>89</v>
      </c>
      <c r="E198" s="131" t="s">
        <v>542</v>
      </c>
      <c r="F198" s="145" t="s">
        <v>127</v>
      </c>
      <c r="G198" s="131" t="s">
        <v>891</v>
      </c>
      <c r="H198" s="131" t="s">
        <v>167</v>
      </c>
      <c r="I198" s="145" t="s">
        <v>167</v>
      </c>
      <c r="J198" s="133" t="s">
        <v>60</v>
      </c>
      <c r="K198" s="133" t="s">
        <v>220</v>
      </c>
      <c r="L198" s="343" t="s">
        <v>140</v>
      </c>
      <c r="M198" s="194" t="s">
        <v>191</v>
      </c>
      <c r="N198" s="134" t="s">
        <v>59</v>
      </c>
      <c r="O198" s="167" t="s">
        <v>43</v>
      </c>
      <c r="P198" s="167">
        <v>2</v>
      </c>
      <c r="Q198" s="167" t="s">
        <v>531</v>
      </c>
      <c r="R198" s="167" t="s">
        <v>534</v>
      </c>
      <c r="S198" s="135" t="s">
        <v>59</v>
      </c>
      <c r="T198" s="136" t="e">
        <f>15000/EUR</f>
        <v>#REF!</v>
      </c>
      <c r="U198" s="62">
        <v>15000</v>
      </c>
      <c r="V198" s="136" t="e">
        <f>Table12118[[#This Row],[Amortised Limit in Original Currency]]/EUR</f>
        <v>#REF!</v>
      </c>
      <c r="W198" s="136" t="e">
        <f>120000/EUR</f>
        <v>#REF!</v>
      </c>
      <c r="X198" s="136" t="e">
        <f>1573206.12/EUR</f>
        <v>#REF!</v>
      </c>
      <c r="Y198" s="62" t="s">
        <v>16</v>
      </c>
      <c r="Z198" s="366">
        <v>0</v>
      </c>
      <c r="AA198" s="147" t="s">
        <v>11</v>
      </c>
      <c r="AB198" s="185">
        <v>3.2500000000000001E-2</v>
      </c>
      <c r="AC198" s="185"/>
      <c r="AD198" s="137">
        <v>45065</v>
      </c>
      <c r="AE198" s="137">
        <v>47472</v>
      </c>
      <c r="AF198" s="137">
        <v>47515</v>
      </c>
      <c r="AG198" s="138">
        <f t="shared" si="23"/>
        <v>2451</v>
      </c>
      <c r="AH198" s="139" t="e">
        <f t="shared" si="24"/>
        <v>#REF!</v>
      </c>
      <c r="AI198" s="138" t="e">
        <f>AF198-#REF!</f>
        <v>#REF!</v>
      </c>
      <c r="AJ198" s="140" t="e">
        <f t="shared" si="25"/>
        <v>#REF!</v>
      </c>
      <c r="AK198" s="56"/>
      <c r="AL198" s="318" t="s">
        <v>1</v>
      </c>
      <c r="AM198" s="318" t="s">
        <v>1</v>
      </c>
      <c r="AN198" s="319" t="s">
        <v>0</v>
      </c>
      <c r="AO198" s="143" t="e">
        <f t="shared" si="26"/>
        <v>#REF!</v>
      </c>
      <c r="AP198" s="229" t="s">
        <v>271</v>
      </c>
      <c r="AQ198" s="188" t="s">
        <v>1268</v>
      </c>
      <c r="AR198" s="260"/>
      <c r="AS198" s="260"/>
      <c r="AT198" s="312" t="str">
        <f>Table12118[[#This Row],[Risk Location ]]</f>
        <v>Germany</v>
      </c>
      <c r="AU198" s="313" t="str">
        <f>Table12118[[#This Row],[Sector (GICS Industry Group)]]</f>
        <v>Information Technology - Hardware &amp; Equipment</v>
      </c>
      <c r="AX198" s="212" t="e">
        <f>Table12118[[#This Row],[Percentage Impact]]*Table12118[[#This Row],[Amortised Limit A$ Balance]]</f>
        <v>#REF!</v>
      </c>
      <c r="AY198" s="212" t="e">
        <f>Table12118[[#This Row],[Amortised Limit A$ Balance]]*12%</f>
        <v>#REF!</v>
      </c>
      <c r="AZ198" s="212" t="b">
        <f>IF(Table12118[[#This Row],[Everest]]="Everest",Table12118[[#This Row],[Assetinsure Amount ]]*0.2)</f>
        <v>0</v>
      </c>
      <c r="BA198" s="212"/>
      <c r="BB198" s="212" t="e">
        <f>MIN(Table12118[[#This Row],[Assetinsure Amount ]]-Table12118[[#This Row],[Reinsurance Everest Re]],Table12118[[#This Row],[Total Amount]])</f>
        <v>#REF!</v>
      </c>
      <c r="BC198" s="212">
        <f t="shared" si="27"/>
        <v>0</v>
      </c>
      <c r="BD198" s="260"/>
      <c r="BG198" s="18">
        <v>0</v>
      </c>
      <c r="BH198" s="212">
        <v>0</v>
      </c>
      <c r="BI198" s="11">
        <v>0</v>
      </c>
      <c r="BJ198" s="212">
        <v>0</v>
      </c>
      <c r="BK198" s="212">
        <v>0</v>
      </c>
      <c r="BL198" s="212">
        <v>0</v>
      </c>
      <c r="BM198" s="212">
        <v>0</v>
      </c>
      <c r="BP198" s="154"/>
      <c r="BQ198" s="72" t="s">
        <v>1269</v>
      </c>
      <c r="BR198" s="154"/>
      <c r="BS198" s="374"/>
    </row>
    <row r="199" spans="1:71" ht="32.25" customHeight="1" x14ac:dyDescent="0.2">
      <c r="A199" s="132" t="s">
        <v>1278</v>
      </c>
      <c r="B199" s="132" t="s">
        <v>243</v>
      </c>
      <c r="C199" s="134" t="s">
        <v>243</v>
      </c>
      <c r="D199" s="133" t="s">
        <v>588</v>
      </c>
      <c r="E199" s="131" t="s">
        <v>499</v>
      </c>
      <c r="F199" s="145" t="s">
        <v>877</v>
      </c>
      <c r="G199" s="131" t="s">
        <v>891</v>
      </c>
      <c r="H199" s="131" t="s">
        <v>167</v>
      </c>
      <c r="I199" s="145" t="s">
        <v>167</v>
      </c>
      <c r="J199" s="14" t="s">
        <v>298</v>
      </c>
      <c r="K199" s="133" t="s">
        <v>218</v>
      </c>
      <c r="L199" s="343" t="s">
        <v>209</v>
      </c>
      <c r="M199" s="194" t="s">
        <v>191</v>
      </c>
      <c r="N199" s="134" t="s">
        <v>59</v>
      </c>
      <c r="O199" s="167" t="s">
        <v>43</v>
      </c>
      <c r="P199" s="167">
        <v>2</v>
      </c>
      <c r="Q199" s="167" t="s">
        <v>538</v>
      </c>
      <c r="R199" s="167" t="s">
        <v>534</v>
      </c>
      <c r="S199" s="135" t="s">
        <v>9</v>
      </c>
      <c r="T199" s="320" t="e">
        <f>15000/USD</f>
        <v>#REF!</v>
      </c>
      <c r="U199" s="73">
        <v>15000</v>
      </c>
      <c r="V199" s="136" t="e">
        <f>Table12118[[#This Row],[Amortised Limit in Original Currency]]/USD</f>
        <v>#REF!</v>
      </c>
      <c r="W199" s="136" t="e">
        <f>200000/USD</f>
        <v>#REF!</v>
      </c>
      <c r="X199" s="136" t="e">
        <f>1249623.12/USD</f>
        <v>#REF!</v>
      </c>
      <c r="Y199" s="62" t="s">
        <v>16</v>
      </c>
      <c r="Z199" s="366">
        <v>0</v>
      </c>
      <c r="AA199" s="147" t="s">
        <v>11</v>
      </c>
      <c r="AB199" s="185">
        <v>3.5000000000000003E-2</v>
      </c>
      <c r="AC199" s="185"/>
      <c r="AD199" s="137">
        <v>45072</v>
      </c>
      <c r="AE199" s="137">
        <v>46889</v>
      </c>
      <c r="AF199" s="137">
        <v>46910</v>
      </c>
      <c r="AG199" s="138">
        <f t="shared" si="23"/>
        <v>1839</v>
      </c>
      <c r="AH199" s="139" t="e">
        <f t="shared" si="24"/>
        <v>#REF!</v>
      </c>
      <c r="AI199" s="138" t="e">
        <f>AF199-#REF!</f>
        <v>#REF!</v>
      </c>
      <c r="AJ199" s="140" t="e">
        <f t="shared" si="25"/>
        <v>#REF!</v>
      </c>
      <c r="AK199" s="56"/>
      <c r="AL199" s="318" t="s">
        <v>1</v>
      </c>
      <c r="AM199" s="318" t="s">
        <v>1</v>
      </c>
      <c r="AN199" s="319" t="s">
        <v>0</v>
      </c>
      <c r="AO199" s="143" t="e">
        <f t="shared" si="26"/>
        <v>#REF!</v>
      </c>
      <c r="AP199" s="229" t="s">
        <v>271</v>
      </c>
      <c r="AQ199" s="188" t="s">
        <v>1270</v>
      </c>
      <c r="AR199" s="260"/>
      <c r="AS199" s="260"/>
      <c r="AT199" s="312" t="str">
        <f>Table12118[[#This Row],[Risk Location ]]</f>
        <v>Brazil</v>
      </c>
      <c r="AU199" s="313" t="str">
        <f>Table12118[[#This Row],[Sector (GICS Industry Group)]]</f>
        <v>Information Technology - Hardware &amp; Equipment</v>
      </c>
      <c r="AX199" s="212" t="e">
        <f>Table12118[[#This Row],[Percentage Impact]]*Table12118[[#This Row],[Amortised Limit A$ Balance]]</f>
        <v>#REF!</v>
      </c>
      <c r="AY199" s="212" t="e">
        <f>Table12118[[#This Row],[Amortised Limit A$ Balance]]*12%</f>
        <v>#REF!</v>
      </c>
      <c r="AZ199" s="212" t="b">
        <f>IF(Table12118[[#This Row],[Everest]]="Everest",Table12118[[#This Row],[Assetinsure Amount ]]*0.2)</f>
        <v>0</v>
      </c>
      <c r="BA199" s="212"/>
      <c r="BB199" s="212" t="e">
        <f>MIN(Table12118[[#This Row],[Assetinsure Amount ]]-Table12118[[#This Row],[Reinsurance Everest Re]],Table12118[[#This Row],[Total Amount]])</f>
        <v>#REF!</v>
      </c>
      <c r="BC199" s="212">
        <f t="shared" si="27"/>
        <v>0</v>
      </c>
      <c r="BD199" s="260"/>
      <c r="BG199" s="18">
        <v>0</v>
      </c>
      <c r="BH199" s="212">
        <v>0</v>
      </c>
      <c r="BI199" s="11">
        <v>0</v>
      </c>
      <c r="BJ199" s="212">
        <v>0</v>
      </c>
      <c r="BK199" s="212">
        <v>0</v>
      </c>
      <c r="BL199" s="212">
        <v>0</v>
      </c>
      <c r="BM199" s="212">
        <v>0</v>
      </c>
      <c r="BP199" s="154"/>
      <c r="BQ199" s="72" t="s">
        <v>1271</v>
      </c>
      <c r="BR199" s="154"/>
      <c r="BS199" s="374"/>
    </row>
    <row r="200" spans="1:71" ht="32.25" customHeight="1" x14ac:dyDescent="0.2">
      <c r="A200" s="132" t="s">
        <v>1280</v>
      </c>
      <c r="B200" s="132" t="s">
        <v>243</v>
      </c>
      <c r="C200" s="134" t="s">
        <v>243</v>
      </c>
      <c r="D200" s="133" t="s">
        <v>588</v>
      </c>
      <c r="E200" s="131" t="s">
        <v>499</v>
      </c>
      <c r="F200" s="145" t="s">
        <v>162</v>
      </c>
      <c r="G200" s="131" t="s">
        <v>891</v>
      </c>
      <c r="H200" s="131" t="s">
        <v>167</v>
      </c>
      <c r="I200" s="145" t="s">
        <v>167</v>
      </c>
      <c r="J200" s="14" t="s">
        <v>298</v>
      </c>
      <c r="K200" s="133" t="s">
        <v>218</v>
      </c>
      <c r="L200" s="343" t="s">
        <v>140</v>
      </c>
      <c r="M200" s="194" t="s">
        <v>191</v>
      </c>
      <c r="N200" s="134" t="s">
        <v>59</v>
      </c>
      <c r="O200" s="167" t="s">
        <v>43</v>
      </c>
      <c r="P200" s="167">
        <v>2</v>
      </c>
      <c r="Q200" s="167" t="s">
        <v>531</v>
      </c>
      <c r="R200" s="167" t="s">
        <v>534</v>
      </c>
      <c r="S200" s="135" t="s">
        <v>9</v>
      </c>
      <c r="T200" s="320" t="e">
        <f>7500/USD</f>
        <v>#REF!</v>
      </c>
      <c r="U200" s="73">
        <v>7500</v>
      </c>
      <c r="V200" s="136" t="e">
        <f>Table12118[[#This Row],[Amortised Limit in Original Currency]]/USD</f>
        <v>#REF!</v>
      </c>
      <c r="W200" s="136" t="e">
        <f>200000/USD</f>
        <v>#REF!</v>
      </c>
      <c r="X200" s="136" t="e">
        <f>2050923.2/USD</f>
        <v>#REF!</v>
      </c>
      <c r="Y200" s="62" t="s">
        <v>16</v>
      </c>
      <c r="Z200" s="366">
        <v>0</v>
      </c>
      <c r="AA200" s="147" t="s">
        <v>11</v>
      </c>
      <c r="AB200" s="185">
        <v>0.115</v>
      </c>
      <c r="AC200" s="185"/>
      <c r="AD200" s="137">
        <v>45072</v>
      </c>
      <c r="AE200" s="137">
        <v>46870</v>
      </c>
      <c r="AF200" s="137">
        <v>46870</v>
      </c>
      <c r="AG200" s="138">
        <f t="shared" si="23"/>
        <v>1799</v>
      </c>
      <c r="AH200" s="139" t="e">
        <f t="shared" si="24"/>
        <v>#REF!</v>
      </c>
      <c r="AI200" s="138" t="e">
        <f>AF200-#REF!</f>
        <v>#REF!</v>
      </c>
      <c r="AJ200" s="140" t="e">
        <f t="shared" si="25"/>
        <v>#REF!</v>
      </c>
      <c r="AK200" s="56" t="s">
        <v>436</v>
      </c>
      <c r="AL200" s="318" t="s">
        <v>1</v>
      </c>
      <c r="AM200" s="318" t="s">
        <v>1</v>
      </c>
      <c r="AN200" s="319" t="s">
        <v>0</v>
      </c>
      <c r="AO200" s="143" t="e">
        <f t="shared" si="26"/>
        <v>#REF!</v>
      </c>
      <c r="AP200" s="229" t="s">
        <v>271</v>
      </c>
      <c r="AQ200" s="188" t="s">
        <v>1274</v>
      </c>
      <c r="AR200" s="260"/>
      <c r="AS200" s="260"/>
      <c r="AT200" s="312" t="str">
        <f>Table12118[[#This Row],[Risk Location ]]</f>
        <v>United States</v>
      </c>
      <c r="AU200" s="313" t="str">
        <f>Table12118[[#This Row],[Sector (GICS Industry Group)]]</f>
        <v>Information Technology - Hardware &amp; Equipment</v>
      </c>
      <c r="AX200" s="212" t="e">
        <f>Table12118[[#This Row],[Percentage Impact]]*Table12118[[#This Row],[Amortised Limit A$ Balance]]</f>
        <v>#REF!</v>
      </c>
      <c r="AY200" s="212" t="e">
        <f>Table12118[[#This Row],[Amortised Limit A$ Balance]]*12%</f>
        <v>#REF!</v>
      </c>
      <c r="AZ200" s="212" t="e">
        <f>IF(Table12118[[#This Row],[Everest]]="Everest",Table12118[[#This Row],[Assetinsure Amount ]]*0.2)</f>
        <v>#REF!</v>
      </c>
      <c r="BA200" s="212"/>
      <c r="BB200" s="212" t="e">
        <f>MIN(Table12118[[#This Row],[Assetinsure Amount ]]-Table12118[[#This Row],[Reinsurance Everest Re]],Table12118[[#This Row],[Total Amount]])</f>
        <v>#REF!</v>
      </c>
      <c r="BC200" s="212">
        <f t="shared" si="27"/>
        <v>0</v>
      </c>
      <c r="BD200" s="260"/>
      <c r="BG200" s="18">
        <v>0</v>
      </c>
      <c r="BH200" s="212">
        <v>0</v>
      </c>
      <c r="BI200" s="11">
        <v>0</v>
      </c>
      <c r="BJ200" s="212">
        <v>0</v>
      </c>
      <c r="BK200" s="212">
        <v>0</v>
      </c>
      <c r="BL200" s="212">
        <v>0</v>
      </c>
      <c r="BM200" s="212">
        <v>0</v>
      </c>
      <c r="BP200" s="154"/>
      <c r="BQ200" s="72" t="s">
        <v>1272</v>
      </c>
      <c r="BR200" s="154"/>
      <c r="BS200" s="374"/>
    </row>
    <row r="201" spans="1:71" ht="25.5" x14ac:dyDescent="0.2">
      <c r="A201" s="134" t="s">
        <v>1281</v>
      </c>
      <c r="B201" s="344" t="s">
        <v>243</v>
      </c>
      <c r="C201" s="345" t="s">
        <v>243</v>
      </c>
      <c r="D201" s="190" t="s">
        <v>588</v>
      </c>
      <c r="E201" s="211" t="s">
        <v>499</v>
      </c>
      <c r="F201" s="305" t="s">
        <v>162</v>
      </c>
      <c r="G201" s="211" t="s">
        <v>891</v>
      </c>
      <c r="H201" s="211" t="s">
        <v>167</v>
      </c>
      <c r="I201" s="305" t="s">
        <v>167</v>
      </c>
      <c r="J201" s="211" t="s">
        <v>298</v>
      </c>
      <c r="K201" s="190" t="s">
        <v>218</v>
      </c>
      <c r="L201" s="343" t="s">
        <v>140</v>
      </c>
      <c r="M201" s="347" t="s">
        <v>191</v>
      </c>
      <c r="N201" s="347" t="s">
        <v>59</v>
      </c>
      <c r="O201" s="346" t="s">
        <v>43</v>
      </c>
      <c r="P201" s="341">
        <v>2</v>
      </c>
      <c r="Q201" s="341" t="s">
        <v>531</v>
      </c>
      <c r="R201" s="346" t="s">
        <v>534</v>
      </c>
      <c r="S201" s="348" t="s">
        <v>9</v>
      </c>
      <c r="T201" s="320" t="e">
        <f>15000/USD</f>
        <v>#REF!</v>
      </c>
      <c r="U201" s="73">
        <v>15000</v>
      </c>
      <c r="V201" s="342" t="e">
        <f>+U201/USD</f>
        <v>#REF!</v>
      </c>
      <c r="W201" s="136" t="e">
        <f>125000/USD</f>
        <v>#REF!</v>
      </c>
      <c r="X201" s="349" t="e">
        <f>1091435.74/USD</f>
        <v>#REF!</v>
      </c>
      <c r="Y201" s="62" t="s">
        <v>16</v>
      </c>
      <c r="Z201" s="366">
        <v>0</v>
      </c>
      <c r="AA201" s="147" t="s">
        <v>11</v>
      </c>
      <c r="AB201" s="185">
        <v>0.115</v>
      </c>
      <c r="AC201" s="185"/>
      <c r="AD201" s="137">
        <v>45072</v>
      </c>
      <c r="AE201" s="137">
        <v>46870</v>
      </c>
      <c r="AF201" s="137">
        <v>46870</v>
      </c>
      <c r="AG201" s="138">
        <f t="shared" si="23"/>
        <v>1799</v>
      </c>
      <c r="AH201" s="139" t="e">
        <f t="shared" si="24"/>
        <v>#REF!</v>
      </c>
      <c r="AI201" s="138" t="e">
        <f>AF201-#REF!</f>
        <v>#REF!</v>
      </c>
      <c r="AJ201" s="140" t="e">
        <f t="shared" si="25"/>
        <v>#REF!</v>
      </c>
      <c r="AK201" s="56" t="s">
        <v>436</v>
      </c>
      <c r="AL201" s="318" t="s">
        <v>1</v>
      </c>
      <c r="AM201" s="318" t="s">
        <v>1</v>
      </c>
      <c r="AN201" s="319" t="s">
        <v>0</v>
      </c>
      <c r="AO201" s="143" t="e">
        <f t="shared" si="26"/>
        <v>#REF!</v>
      </c>
      <c r="AP201" s="229" t="s">
        <v>271</v>
      </c>
      <c r="AQ201" s="168" t="s">
        <v>1275</v>
      </c>
      <c r="AR201" s="260"/>
      <c r="AS201" s="260"/>
      <c r="AT201" s="312" t="str">
        <f>Table12118[[#This Row],[Risk Location ]]</f>
        <v>United States</v>
      </c>
      <c r="AU201" s="313" t="str">
        <f>Table12118[[#This Row],[Sector (GICS Industry Group)]]</f>
        <v>Information Technology - Hardware &amp; Equipment</v>
      </c>
      <c r="AX201" s="212" t="e">
        <f>Table12118[[#This Row],[Percentage Impact]]*Table12118[[#This Row],[Amortised Limit A$ Balance]]</f>
        <v>#REF!</v>
      </c>
      <c r="AY201" s="212" t="e">
        <f>Table12118[[#This Row],[Amortised Limit A$ Balance]]*12%</f>
        <v>#REF!</v>
      </c>
      <c r="AZ201" s="212" t="e">
        <f>IF(Table12118[[#This Row],[Everest]]="Everest",Table12118[[#This Row],[Assetinsure Amount ]]*0.2)</f>
        <v>#REF!</v>
      </c>
      <c r="BA201" s="212"/>
      <c r="BB201" s="212" t="e">
        <f>MIN(Table12118[[#This Row],[Assetinsure Amount ]]-Table12118[[#This Row],[Reinsurance Everest Re]],Table12118[[#This Row],[Total Amount]])</f>
        <v>#REF!</v>
      </c>
      <c r="BC201" s="212">
        <f t="shared" si="27"/>
        <v>0</v>
      </c>
      <c r="BD201" s="260"/>
      <c r="BG201" s="18">
        <v>0</v>
      </c>
      <c r="BH201" s="212">
        <v>0</v>
      </c>
      <c r="BI201" s="11">
        <v>0</v>
      </c>
      <c r="BJ201" s="212">
        <v>0</v>
      </c>
      <c r="BK201" s="212">
        <v>0</v>
      </c>
      <c r="BL201" s="212">
        <v>0</v>
      </c>
      <c r="BM201" s="212">
        <v>0</v>
      </c>
      <c r="BQ201" s="72" t="s">
        <v>1273</v>
      </c>
      <c r="BS201" s="374"/>
    </row>
    <row r="202" spans="1:71" ht="24.95" customHeight="1" x14ac:dyDescent="0.2">
      <c r="A202" s="132" t="s">
        <v>1288</v>
      </c>
      <c r="B202" s="167" t="s">
        <v>67</v>
      </c>
      <c r="C202" s="134" t="s">
        <v>1144</v>
      </c>
      <c r="D202" s="192" t="s">
        <v>166</v>
      </c>
      <c r="E202" s="131" t="s">
        <v>542</v>
      </c>
      <c r="F202" s="352" t="s">
        <v>127</v>
      </c>
      <c r="G202" s="66" t="s">
        <v>233</v>
      </c>
      <c r="H202" s="66" t="s">
        <v>906</v>
      </c>
      <c r="I202" s="66" t="s">
        <v>906</v>
      </c>
      <c r="J202" s="131" t="s">
        <v>1291</v>
      </c>
      <c r="K202" s="370" t="s">
        <v>222</v>
      </c>
      <c r="L202" s="300" t="s">
        <v>209</v>
      </c>
      <c r="M202" s="347" t="s">
        <v>191</v>
      </c>
      <c r="N202" s="347" t="s">
        <v>59</v>
      </c>
      <c r="O202" s="346" t="s">
        <v>43</v>
      </c>
      <c r="P202" s="167">
        <v>3</v>
      </c>
      <c r="Q202" s="167" t="s">
        <v>538</v>
      </c>
      <c r="R202" s="167" t="s">
        <v>534</v>
      </c>
      <c r="S202" s="353" t="s">
        <v>59</v>
      </c>
      <c r="T202" s="136" t="e">
        <f>15000/EUR</f>
        <v>#REF!</v>
      </c>
      <c r="U202" s="62">
        <v>15000</v>
      </c>
      <c r="V202" s="136" t="e">
        <f>Table12118[[#This Row],[Amortised Limit in Original Currency]]/EUR</f>
        <v>#REF!</v>
      </c>
      <c r="W202" s="136" t="e">
        <f>609250.236/EUR</f>
        <v>#REF!</v>
      </c>
      <c r="X202" s="136" t="e">
        <f>1148166.07/EUR</f>
        <v>#REF!</v>
      </c>
      <c r="Y202" s="136" t="s">
        <v>1295</v>
      </c>
      <c r="Z202" s="365">
        <v>0.2</v>
      </c>
      <c r="AA202" s="147" t="s">
        <v>11</v>
      </c>
      <c r="AB202" s="185">
        <v>2.1499999999999998E-2</v>
      </c>
      <c r="AC202" s="185">
        <f>+Table12118[[#This Row],[Facility Gross Margin]]*60%</f>
        <v>1.2899999999999998E-2</v>
      </c>
      <c r="AD202" s="137">
        <v>45086</v>
      </c>
      <c r="AE202" s="137">
        <v>47544</v>
      </c>
      <c r="AF202" s="137">
        <v>47562</v>
      </c>
      <c r="AG202" s="138">
        <f t="shared" si="23"/>
        <v>2477</v>
      </c>
      <c r="AH202" s="139" t="e">
        <f t="shared" si="24"/>
        <v>#REF!</v>
      </c>
      <c r="AI202" s="138" t="e">
        <f>AF202-#REF!</f>
        <v>#REF!</v>
      </c>
      <c r="AJ202" s="140" t="e">
        <f t="shared" si="25"/>
        <v>#REF!</v>
      </c>
      <c r="AK202" s="56"/>
      <c r="AL202" s="318" t="s">
        <v>1</v>
      </c>
      <c r="AM202" s="318" t="s">
        <v>1</v>
      </c>
      <c r="AN202" s="319" t="s">
        <v>0</v>
      </c>
      <c r="AO202" s="143" t="e">
        <f t="shared" si="26"/>
        <v>#REF!</v>
      </c>
      <c r="AP202" s="229" t="s">
        <v>271</v>
      </c>
      <c r="AQ202" s="188" t="s">
        <v>1289</v>
      </c>
      <c r="AR202" s="260"/>
      <c r="AS202" s="260"/>
      <c r="AT202" s="312" t="str">
        <f>Table12118[[#This Row],[Risk Location ]]</f>
        <v>Germany</v>
      </c>
      <c r="AU202" s="313" t="str">
        <f>Table12118[[#This Row],[Sector (GICS Industry Group)]]</f>
        <v>Telecommunication Services</v>
      </c>
      <c r="AX202" s="212" t="e">
        <f>Table12118[[#This Row],[Percentage Impact]]*Table12118[[#This Row],[Amortised Limit A$ Balance]]</f>
        <v>#REF!</v>
      </c>
      <c r="AY202" s="212" t="e">
        <f>Table12118[[#This Row],[Amortised Limit A$ Balance]]*12%</f>
        <v>#REF!</v>
      </c>
      <c r="AZ202" s="212" t="b">
        <f>IF(Table12118[[#This Row],[Everest]]="Everest",Table12118[[#This Row],[Assetinsure Amount ]]*0.2)</f>
        <v>0</v>
      </c>
      <c r="BA202" s="212"/>
      <c r="BB202" s="212" t="e">
        <f>MIN(Table12118[[#This Row],[Assetinsure Amount ]]-Table12118[[#This Row],[Reinsurance Everest Re]],Table12118[[#This Row],[Total Amount]])</f>
        <v>#REF!</v>
      </c>
      <c r="BC202" s="212">
        <f t="shared" si="27"/>
        <v>0</v>
      </c>
      <c r="BD202" s="260"/>
      <c r="BG202" s="18">
        <v>0</v>
      </c>
      <c r="BH202" s="212">
        <v>0</v>
      </c>
      <c r="BI202" s="11">
        <v>0</v>
      </c>
      <c r="BJ202" s="212">
        <v>0</v>
      </c>
      <c r="BK202" s="212">
        <v>0</v>
      </c>
      <c r="BL202" s="212">
        <v>0</v>
      </c>
      <c r="BM202" s="212">
        <v>0</v>
      </c>
      <c r="BQ202" s="72" t="s">
        <v>1290</v>
      </c>
      <c r="BS202" s="375"/>
    </row>
    <row r="203" spans="1:71" ht="24.95" customHeight="1" x14ac:dyDescent="0.2">
      <c r="A203" s="132" t="s">
        <v>1296</v>
      </c>
      <c r="B203" s="167" t="s">
        <v>67</v>
      </c>
      <c r="C203" s="134" t="s">
        <v>1142</v>
      </c>
      <c r="D203" s="192" t="s">
        <v>588</v>
      </c>
      <c r="E203" s="131" t="s">
        <v>499</v>
      </c>
      <c r="F203" s="145" t="s">
        <v>162</v>
      </c>
      <c r="G203" s="131" t="s">
        <v>891</v>
      </c>
      <c r="H203" s="131" t="s">
        <v>167</v>
      </c>
      <c r="I203" s="145" t="s">
        <v>167</v>
      </c>
      <c r="J203" s="14" t="s">
        <v>298</v>
      </c>
      <c r="K203" s="131" t="s">
        <v>218</v>
      </c>
      <c r="L203" s="300" t="s">
        <v>140</v>
      </c>
      <c r="M203" s="347" t="s">
        <v>191</v>
      </c>
      <c r="N203" s="347" t="s">
        <v>59</v>
      </c>
      <c r="O203" s="346" t="s">
        <v>43</v>
      </c>
      <c r="P203" s="167">
        <v>2</v>
      </c>
      <c r="Q203" s="167" t="s">
        <v>538</v>
      </c>
      <c r="R203" s="167" t="s">
        <v>534</v>
      </c>
      <c r="S203" s="348" t="s">
        <v>9</v>
      </c>
      <c r="T203" s="320" t="e">
        <f>5000/USD</f>
        <v>#REF!</v>
      </c>
      <c r="U203" s="73">
        <v>5000</v>
      </c>
      <c r="V203" s="342" t="e">
        <f>+U203/USD</f>
        <v>#REF!</v>
      </c>
      <c r="W203" s="136" t="e">
        <f>10000/USD</f>
        <v>#REF!</v>
      </c>
      <c r="X203" s="349" t="e">
        <f>912664.98/USD</f>
        <v>#REF!</v>
      </c>
      <c r="Y203" s="62" t="s">
        <v>16</v>
      </c>
      <c r="Z203" s="366">
        <v>0</v>
      </c>
      <c r="AA203" s="147" t="s">
        <v>11</v>
      </c>
      <c r="AB203" s="185">
        <v>0.08</v>
      </c>
      <c r="AC203" s="185">
        <f>+Table12118[[#This Row],[Facility Gross Margin]]*50%</f>
        <v>0.04</v>
      </c>
      <c r="AD203" s="137">
        <v>45091</v>
      </c>
      <c r="AE203" s="137">
        <v>46869</v>
      </c>
      <c r="AF203" s="137">
        <v>46891</v>
      </c>
      <c r="AG203" s="138">
        <f t="shared" si="23"/>
        <v>1801</v>
      </c>
      <c r="AH203" s="139" t="e">
        <f t="shared" si="24"/>
        <v>#REF!</v>
      </c>
      <c r="AI203" s="138" t="e">
        <f>AF203-#REF!</f>
        <v>#REF!</v>
      </c>
      <c r="AJ203" s="140" t="e">
        <f t="shared" si="25"/>
        <v>#REF!</v>
      </c>
      <c r="AK203" s="56" t="s">
        <v>436</v>
      </c>
      <c r="AL203" s="318" t="s">
        <v>1</v>
      </c>
      <c r="AM203" s="318" t="s">
        <v>1</v>
      </c>
      <c r="AN203" s="319" t="s">
        <v>0</v>
      </c>
      <c r="AO203" s="143" t="e">
        <f t="shared" si="26"/>
        <v>#REF!</v>
      </c>
      <c r="AP203" s="229" t="s">
        <v>271</v>
      </c>
      <c r="AQ203" s="188" t="s">
        <v>1298</v>
      </c>
      <c r="AR203" s="260"/>
      <c r="AS203" s="260"/>
      <c r="AT203" s="312" t="str">
        <f>Table12118[[#This Row],[Risk Location ]]</f>
        <v>United States</v>
      </c>
      <c r="AU203" s="313" t="str">
        <f>Table12118[[#This Row],[Sector (GICS Industry Group)]]</f>
        <v>Information Technology - Hardware &amp; Equipment</v>
      </c>
      <c r="AX203" s="212" t="e">
        <f>Table12118[[#This Row],[Percentage Impact]]*Table12118[[#This Row],[Amortised Limit A$ Balance]]</f>
        <v>#REF!</v>
      </c>
      <c r="AY203" s="212" t="e">
        <f>Table12118[[#This Row],[Amortised Limit A$ Balance]]*12%</f>
        <v>#REF!</v>
      </c>
      <c r="AZ203" s="212" t="e">
        <f>IF(Table12118[[#This Row],[Everest]]="Everest",Table12118[[#This Row],[Assetinsure Amount ]]*0.2)</f>
        <v>#REF!</v>
      </c>
      <c r="BA203" s="212"/>
      <c r="BB203" s="212" t="e">
        <f>MIN(Table12118[[#This Row],[Assetinsure Amount ]]-Table12118[[#This Row],[Reinsurance Everest Re]],Table12118[[#This Row],[Total Amount]])</f>
        <v>#REF!</v>
      </c>
      <c r="BC203" s="212">
        <f t="shared" si="27"/>
        <v>0</v>
      </c>
      <c r="BD203" s="260"/>
      <c r="BG203" s="18">
        <v>0</v>
      </c>
      <c r="BH203" s="212">
        <v>0</v>
      </c>
      <c r="BI203" s="11">
        <v>0</v>
      </c>
      <c r="BJ203" s="212">
        <v>0</v>
      </c>
      <c r="BK203" s="212">
        <v>0</v>
      </c>
      <c r="BL203" s="212">
        <v>0</v>
      </c>
      <c r="BM203" s="212">
        <v>0</v>
      </c>
      <c r="BQ203" s="72" t="s">
        <v>1301</v>
      </c>
      <c r="BS203" s="375"/>
    </row>
    <row r="204" spans="1:71" ht="24.95" customHeight="1" x14ac:dyDescent="0.2">
      <c r="A204" s="132" t="s">
        <v>1297</v>
      </c>
      <c r="B204" s="167" t="s">
        <v>67</v>
      </c>
      <c r="C204" s="134" t="s">
        <v>1142</v>
      </c>
      <c r="D204" s="192" t="s">
        <v>588</v>
      </c>
      <c r="E204" s="211" t="s">
        <v>499</v>
      </c>
      <c r="F204" s="305" t="s">
        <v>162</v>
      </c>
      <c r="G204" s="131" t="s">
        <v>891</v>
      </c>
      <c r="H204" s="131" t="s">
        <v>167</v>
      </c>
      <c r="I204" s="145" t="s">
        <v>167</v>
      </c>
      <c r="J204" s="14" t="s">
        <v>298</v>
      </c>
      <c r="K204" s="131" t="s">
        <v>218</v>
      </c>
      <c r="L204" s="300" t="s">
        <v>140</v>
      </c>
      <c r="M204" s="347" t="s">
        <v>191</v>
      </c>
      <c r="N204" s="347" t="s">
        <v>59</v>
      </c>
      <c r="O204" s="346" t="s">
        <v>43</v>
      </c>
      <c r="P204" s="167">
        <v>2</v>
      </c>
      <c r="Q204" s="167" t="s">
        <v>538</v>
      </c>
      <c r="R204" s="167" t="s">
        <v>534</v>
      </c>
      <c r="S204" s="348" t="s">
        <v>9</v>
      </c>
      <c r="T204" s="320" t="e">
        <f>20000/USD</f>
        <v>#REF!</v>
      </c>
      <c r="U204" s="73">
        <v>20000</v>
      </c>
      <c r="V204" s="342" t="e">
        <f>+U204/USD</f>
        <v>#REF!</v>
      </c>
      <c r="W204" s="136" t="e">
        <f>40000/USD</f>
        <v>#REF!</v>
      </c>
      <c r="X204" s="349" t="e">
        <f>1363708.11/USD</f>
        <v>#REF!</v>
      </c>
      <c r="Y204" s="62" t="s">
        <v>16</v>
      </c>
      <c r="Z204" s="366">
        <v>0</v>
      </c>
      <c r="AA204" s="147" t="s">
        <v>11</v>
      </c>
      <c r="AB204" s="185">
        <v>0.03</v>
      </c>
      <c r="AC204" s="185">
        <f>+Table12118[[#This Row],[Facility Gross Margin]]*50%</f>
        <v>1.4999999999999999E-2</v>
      </c>
      <c r="AD204" s="137">
        <v>45091</v>
      </c>
      <c r="AE204" s="137">
        <v>46869</v>
      </c>
      <c r="AF204" s="137">
        <v>46891</v>
      </c>
      <c r="AG204" s="138">
        <f t="shared" si="23"/>
        <v>1801</v>
      </c>
      <c r="AH204" s="139" t="e">
        <f t="shared" si="24"/>
        <v>#REF!</v>
      </c>
      <c r="AI204" s="138" t="e">
        <f>AF204-#REF!</f>
        <v>#REF!</v>
      </c>
      <c r="AJ204" s="140" t="e">
        <f t="shared" si="25"/>
        <v>#REF!</v>
      </c>
      <c r="AK204" s="56" t="s">
        <v>436</v>
      </c>
      <c r="AL204" s="318" t="s">
        <v>1</v>
      </c>
      <c r="AM204" s="318" t="s">
        <v>1</v>
      </c>
      <c r="AN204" s="319" t="s">
        <v>0</v>
      </c>
      <c r="AO204" s="143" t="e">
        <f t="shared" si="26"/>
        <v>#REF!</v>
      </c>
      <c r="AP204" s="229" t="s">
        <v>271</v>
      </c>
      <c r="AQ204" s="188" t="s">
        <v>1299</v>
      </c>
      <c r="AR204" s="260"/>
      <c r="AS204" s="260"/>
      <c r="AT204" s="312" t="str">
        <f>Table12118[[#This Row],[Risk Location ]]</f>
        <v>United States</v>
      </c>
      <c r="AU204" s="313" t="str">
        <f>Table12118[[#This Row],[Sector (GICS Industry Group)]]</f>
        <v>Information Technology - Hardware &amp; Equipment</v>
      </c>
      <c r="AX204" s="212" t="e">
        <f>Table12118[[#This Row],[Percentage Impact]]*Table12118[[#This Row],[Amortised Limit A$ Balance]]</f>
        <v>#REF!</v>
      </c>
      <c r="AY204" s="212" t="e">
        <f>Table12118[[#This Row],[Amortised Limit A$ Balance]]*12%</f>
        <v>#REF!</v>
      </c>
      <c r="AZ204" s="212" t="e">
        <f>IF(Table12118[[#This Row],[Everest]]="Everest",Table12118[[#This Row],[Assetinsure Amount ]]*0.2)</f>
        <v>#REF!</v>
      </c>
      <c r="BA204" s="212"/>
      <c r="BB204" s="212" t="e">
        <f>MIN(Table12118[[#This Row],[Assetinsure Amount ]]-Table12118[[#This Row],[Reinsurance Everest Re]],Table12118[[#This Row],[Total Amount]])</f>
        <v>#REF!</v>
      </c>
      <c r="BC204" s="212">
        <f t="shared" si="27"/>
        <v>0</v>
      </c>
      <c r="BD204" s="260"/>
      <c r="BG204" s="18">
        <v>0</v>
      </c>
      <c r="BH204" s="212">
        <v>0</v>
      </c>
      <c r="BI204" s="11">
        <v>0</v>
      </c>
      <c r="BJ204" s="212">
        <v>0</v>
      </c>
      <c r="BK204" s="212">
        <v>0</v>
      </c>
      <c r="BL204" s="212">
        <v>0</v>
      </c>
      <c r="BM204" s="212">
        <v>0</v>
      </c>
      <c r="BQ204" s="72" t="s">
        <v>1300</v>
      </c>
      <c r="BS204" s="375"/>
    </row>
    <row r="205" spans="1:71" ht="24.95" customHeight="1" x14ac:dyDescent="0.2">
      <c r="A205" s="132" t="s">
        <v>1302</v>
      </c>
      <c r="B205" s="337" t="s">
        <v>307</v>
      </c>
      <c r="C205" s="134" t="s">
        <v>1144</v>
      </c>
      <c r="D205" s="192" t="s">
        <v>560</v>
      </c>
      <c r="E205" s="211" t="s">
        <v>499</v>
      </c>
      <c r="F205" s="305" t="s">
        <v>162</v>
      </c>
      <c r="G205" s="14" t="s">
        <v>102</v>
      </c>
      <c r="H205" s="14" t="s">
        <v>102</v>
      </c>
      <c r="I205" s="66" t="s">
        <v>122</v>
      </c>
      <c r="J205" s="14" t="s">
        <v>1303</v>
      </c>
      <c r="K205" s="131" t="s">
        <v>218</v>
      </c>
      <c r="L205" s="300" t="s">
        <v>101</v>
      </c>
      <c r="M205" s="347" t="s">
        <v>191</v>
      </c>
      <c r="N205" s="347" t="s">
        <v>59</v>
      </c>
      <c r="O205" s="346" t="s">
        <v>43</v>
      </c>
      <c r="P205" s="167">
        <v>2</v>
      </c>
      <c r="Q205" s="167" t="s">
        <v>531</v>
      </c>
      <c r="R205" s="167" t="s">
        <v>534</v>
      </c>
      <c r="S205" s="353" t="s">
        <v>9</v>
      </c>
      <c r="T205" s="320" t="e">
        <f>15000/USD</f>
        <v>#REF!</v>
      </c>
      <c r="U205" s="73">
        <v>15000</v>
      </c>
      <c r="V205" s="342" t="e">
        <f>+U205/USD</f>
        <v>#REF!</v>
      </c>
      <c r="W205" s="136" t="e">
        <f>30000/USD</f>
        <v>#REF!</v>
      </c>
      <c r="X205" s="349" t="e">
        <f>639208.35/USD</f>
        <v>#REF!</v>
      </c>
      <c r="Y205" s="62" t="s">
        <v>16</v>
      </c>
      <c r="Z205" s="366">
        <v>0</v>
      </c>
      <c r="AA205" s="147" t="s">
        <v>11</v>
      </c>
      <c r="AB205" s="185">
        <v>2.3E-2</v>
      </c>
      <c r="AC205" s="185">
        <f>+Table12118[[#This Row],[Facility Gross Margin]]*50%</f>
        <v>1.15E-2</v>
      </c>
      <c r="AD205" s="137">
        <v>45091</v>
      </c>
      <c r="AE205" s="137">
        <v>46424</v>
      </c>
      <c r="AF205" s="137">
        <v>46444</v>
      </c>
      <c r="AG205" s="138">
        <f t="shared" si="23"/>
        <v>1354</v>
      </c>
      <c r="AH205" s="139" t="e">
        <f t="shared" si="24"/>
        <v>#REF!</v>
      </c>
      <c r="AI205" s="138" t="e">
        <f>AF205-#REF!</f>
        <v>#REF!</v>
      </c>
      <c r="AJ205" s="140" t="e">
        <f t="shared" si="25"/>
        <v>#REF!</v>
      </c>
      <c r="AK205" s="56"/>
      <c r="AL205" s="318" t="s">
        <v>1</v>
      </c>
      <c r="AM205" s="318" t="s">
        <v>1</v>
      </c>
      <c r="AN205" s="319" t="s">
        <v>0</v>
      </c>
      <c r="AO205" s="143" t="e">
        <f t="shared" si="26"/>
        <v>#REF!</v>
      </c>
      <c r="AP205" s="229" t="s">
        <v>271</v>
      </c>
      <c r="AQ205" s="188" t="s">
        <v>1305</v>
      </c>
      <c r="AR205" s="260"/>
      <c r="AS205" s="260"/>
      <c r="AT205" s="312" t="str">
        <f>Table12118[[#This Row],[Risk Location ]]</f>
        <v>United States</v>
      </c>
      <c r="AU205" s="313" t="str">
        <f>Table12118[[#This Row],[Sector (GICS Industry Group)]]</f>
        <v>Real Estate Investment</v>
      </c>
      <c r="AX205" s="212" t="e">
        <f>Table12118[[#This Row],[Percentage Impact]]*Table12118[[#This Row],[Amortised Limit A$ Balance]]</f>
        <v>#REF!</v>
      </c>
      <c r="AY205" s="212" t="e">
        <f>Table12118[[#This Row],[Amortised Limit A$ Balance]]*12%</f>
        <v>#REF!</v>
      </c>
      <c r="AZ205" s="212" t="b">
        <f>IF(Table12118[[#This Row],[Everest]]="Everest",Table12118[[#This Row],[Assetinsure Amount ]]*0.2)</f>
        <v>0</v>
      </c>
      <c r="BA205" s="212"/>
      <c r="BB205" s="212" t="e">
        <f>MIN(Table12118[[#This Row],[Assetinsure Amount ]]-Table12118[[#This Row],[Reinsurance Everest Re]],Table12118[[#This Row],[Total Amount]])</f>
        <v>#REF!</v>
      </c>
      <c r="BC205" s="212">
        <f t="shared" si="27"/>
        <v>0</v>
      </c>
      <c r="BD205" s="260"/>
      <c r="BG205" s="18">
        <v>0</v>
      </c>
      <c r="BH205" s="212">
        <v>0</v>
      </c>
      <c r="BI205" s="11">
        <v>0</v>
      </c>
      <c r="BJ205" s="212">
        <v>0</v>
      </c>
      <c r="BK205" s="212">
        <v>0</v>
      </c>
      <c r="BL205" s="212">
        <v>0</v>
      </c>
      <c r="BM205" s="212">
        <v>0</v>
      </c>
      <c r="BQ205" s="72" t="s">
        <v>1304</v>
      </c>
      <c r="BS205" s="375"/>
    </row>
    <row r="206" spans="1:71" ht="24.95" customHeight="1" x14ac:dyDescent="0.2">
      <c r="A206" s="132" t="s">
        <v>1306</v>
      </c>
      <c r="B206" s="167" t="s">
        <v>23</v>
      </c>
      <c r="C206" s="134" t="s">
        <v>1142</v>
      </c>
      <c r="D206" s="192" t="s">
        <v>162</v>
      </c>
      <c r="E206" s="211" t="s">
        <v>499</v>
      </c>
      <c r="F206" s="305" t="s">
        <v>162</v>
      </c>
      <c r="G206" s="14" t="s">
        <v>48</v>
      </c>
      <c r="H206" s="66" t="s">
        <v>95</v>
      </c>
      <c r="I206" s="14" t="s">
        <v>275</v>
      </c>
      <c r="J206" s="192" t="s">
        <v>1310</v>
      </c>
      <c r="K206" s="188" t="s">
        <v>1309</v>
      </c>
      <c r="L206" s="300" t="s">
        <v>140</v>
      </c>
      <c r="M206" s="347" t="s">
        <v>191</v>
      </c>
      <c r="N206" s="347" t="s">
        <v>59</v>
      </c>
      <c r="O206" s="346" t="s">
        <v>43</v>
      </c>
      <c r="P206" s="167">
        <v>4</v>
      </c>
      <c r="Q206" s="167" t="s">
        <v>533</v>
      </c>
      <c r="R206" s="167" t="s">
        <v>534</v>
      </c>
      <c r="S206" s="353" t="s">
        <v>9</v>
      </c>
      <c r="T206" s="320" t="e">
        <f>30000/USD</f>
        <v>#REF!</v>
      </c>
      <c r="U206" s="73">
        <v>30000</v>
      </c>
      <c r="V206" s="342" t="e">
        <f>+U206/USD</f>
        <v>#REF!</v>
      </c>
      <c r="W206" s="136" t="e">
        <f>150000/USD</f>
        <v>#REF!</v>
      </c>
      <c r="X206" s="349" t="e">
        <f>1366059.54/USD</f>
        <v>#REF!</v>
      </c>
      <c r="Y206" s="136" t="s">
        <v>1295</v>
      </c>
      <c r="Z206" s="369">
        <v>0.15</v>
      </c>
      <c r="AA206" s="147" t="s">
        <v>11</v>
      </c>
      <c r="AB206" s="185">
        <v>0.02</v>
      </c>
      <c r="AC206" s="185">
        <f>61%*Table12118[[#This Row],[Facility Gross Margin]]</f>
        <v>1.2200000000000001E-2</v>
      </c>
      <c r="AD206" s="137">
        <v>45107</v>
      </c>
      <c r="AE206" s="137">
        <v>47263</v>
      </c>
      <c r="AF206" s="137">
        <v>47263</v>
      </c>
      <c r="AG206" s="138">
        <f t="shared" si="23"/>
        <v>2157</v>
      </c>
      <c r="AH206" s="139" t="e">
        <f t="shared" si="24"/>
        <v>#REF!</v>
      </c>
      <c r="AI206" s="138" t="e">
        <f>AF206-#REF!</f>
        <v>#REF!</v>
      </c>
      <c r="AJ206" s="140" t="e">
        <f t="shared" si="25"/>
        <v>#REF!</v>
      </c>
      <c r="AK206" s="56" t="s">
        <v>436</v>
      </c>
      <c r="AL206" s="318" t="s">
        <v>1</v>
      </c>
      <c r="AM206" s="318" t="s">
        <v>1</v>
      </c>
      <c r="AN206" s="319" t="s">
        <v>0</v>
      </c>
      <c r="AO206" s="143" t="e">
        <f t="shared" si="26"/>
        <v>#REF!</v>
      </c>
      <c r="AP206" s="229" t="s">
        <v>271</v>
      </c>
      <c r="AQ206" s="188" t="s">
        <v>1307</v>
      </c>
      <c r="AR206" s="260"/>
      <c r="AS206" s="260"/>
      <c r="AT206" s="312" t="str">
        <f>Table12118[[#This Row],[Risk Location ]]</f>
        <v>United States</v>
      </c>
      <c r="AU206" s="313" t="str">
        <f>Table12118[[#This Row],[Sector (GICS Industry Group)]]</f>
        <v>Energy</v>
      </c>
      <c r="AX206" s="212" t="e">
        <f>Table12118[[#This Row],[Percentage Impact]]*Table12118[[#This Row],[Amortised Limit A$ Balance]]</f>
        <v>#REF!</v>
      </c>
      <c r="AY206" s="212" t="e">
        <f>Table12118[[#This Row],[Amortised Limit A$ Balance]]*12%</f>
        <v>#REF!</v>
      </c>
      <c r="AZ206" s="212" t="e">
        <f>IF(Table12118[[#This Row],[Everest]]="Everest",Table12118[[#This Row],[Assetinsure Amount ]]*0.2)</f>
        <v>#REF!</v>
      </c>
      <c r="BA206" s="212"/>
      <c r="BB206" s="212" t="e">
        <f>MIN(Table12118[[#This Row],[Assetinsure Amount ]]-Table12118[[#This Row],[Reinsurance Everest Re]],Table12118[[#This Row],[Total Amount]])</f>
        <v>#REF!</v>
      </c>
      <c r="BC206" s="212">
        <f t="shared" si="27"/>
        <v>0</v>
      </c>
      <c r="BD206" s="260"/>
      <c r="BG206" s="18">
        <v>0</v>
      </c>
      <c r="BH206" s="212">
        <v>0</v>
      </c>
      <c r="BI206" s="11">
        <v>0</v>
      </c>
      <c r="BJ206" s="212">
        <v>0</v>
      </c>
      <c r="BK206" s="212">
        <v>0</v>
      </c>
      <c r="BL206" s="212">
        <v>0</v>
      </c>
      <c r="BM206" s="212">
        <v>0</v>
      </c>
      <c r="BQ206" s="72" t="s">
        <v>1308</v>
      </c>
      <c r="BS206" s="375"/>
    </row>
    <row r="207" spans="1:71" ht="24.95" customHeight="1" x14ac:dyDescent="0.2">
      <c r="A207" s="132" t="s">
        <v>1331</v>
      </c>
      <c r="B207" s="167" t="s">
        <v>51</v>
      </c>
      <c r="C207" s="134" t="s">
        <v>1142</v>
      </c>
      <c r="D207" s="192" t="s">
        <v>211</v>
      </c>
      <c r="E207" s="131" t="s">
        <v>542</v>
      </c>
      <c r="F207" s="352" t="s">
        <v>87</v>
      </c>
      <c r="G207" s="131" t="s">
        <v>547</v>
      </c>
      <c r="H207" s="131" t="s">
        <v>265</v>
      </c>
      <c r="I207" s="131" t="s">
        <v>266</v>
      </c>
      <c r="J207" s="192" t="s">
        <v>1312</v>
      </c>
      <c r="K207" s="188" t="s">
        <v>1313</v>
      </c>
      <c r="L207" s="300" t="s">
        <v>209</v>
      </c>
      <c r="M207" s="347" t="s">
        <v>191</v>
      </c>
      <c r="N207" s="347" t="s">
        <v>59</v>
      </c>
      <c r="O207" s="346" t="s">
        <v>43</v>
      </c>
      <c r="P207" s="167">
        <v>2</v>
      </c>
      <c r="Q207" s="167" t="s">
        <v>538</v>
      </c>
      <c r="R207" s="167" t="s">
        <v>534</v>
      </c>
      <c r="S207" s="353" t="s">
        <v>59</v>
      </c>
      <c r="T207" s="136" t="e">
        <f>4965.581/EUR</f>
        <v>#REF!</v>
      </c>
      <c r="U207" s="62">
        <v>4965.5810000000001</v>
      </c>
      <c r="V207" s="136" t="e">
        <f>Table12118[[#This Row],[Amortised Limit in Original Currency]]/EUR</f>
        <v>#REF!</v>
      </c>
      <c r="W207" s="136" t="e">
        <f>35000/EUR</f>
        <v>#REF!</v>
      </c>
      <c r="X207" s="136" t="e">
        <f>283836.36/EUR</f>
        <v>#REF!</v>
      </c>
      <c r="Y207" s="136" t="s">
        <v>16</v>
      </c>
      <c r="Z207" s="369">
        <v>0</v>
      </c>
      <c r="AA207" s="147" t="s">
        <v>11</v>
      </c>
      <c r="AB207" s="185">
        <v>3.2500000000000001E-2</v>
      </c>
      <c r="AC207" s="185">
        <f>+Table12118[[#This Row],[Facility Gross Margin]]*70%</f>
        <v>2.2749999999999999E-2</v>
      </c>
      <c r="AD207" s="137">
        <v>45107</v>
      </c>
      <c r="AE207" s="137">
        <v>46675</v>
      </c>
      <c r="AF207" s="137">
        <v>46681</v>
      </c>
      <c r="AG207" s="138">
        <f t="shared" si="23"/>
        <v>1575</v>
      </c>
      <c r="AH207" s="139" t="e">
        <f t="shared" si="24"/>
        <v>#REF!</v>
      </c>
      <c r="AI207" s="138" t="e">
        <f>AF207-#REF!</f>
        <v>#REF!</v>
      </c>
      <c r="AJ207" s="140" t="e">
        <f t="shared" si="25"/>
        <v>#REF!</v>
      </c>
      <c r="AK207" s="56"/>
      <c r="AL207" s="318" t="s">
        <v>1</v>
      </c>
      <c r="AM207" s="318" t="s">
        <v>1</v>
      </c>
      <c r="AN207" s="319" t="s">
        <v>0</v>
      </c>
      <c r="AO207" s="143" t="e">
        <f t="shared" si="26"/>
        <v>#REF!</v>
      </c>
      <c r="AP207" s="229" t="s">
        <v>271</v>
      </c>
      <c r="AQ207" s="188" t="s">
        <v>1332</v>
      </c>
      <c r="AR207" s="260"/>
      <c r="AS207" s="260"/>
      <c r="AT207" s="312" t="str">
        <f>Table12118[[#This Row],[Risk Location ]]</f>
        <v>United Kingdom</v>
      </c>
      <c r="AU207" s="313" t="str">
        <f>Table12118[[#This Row],[Sector (GICS Industry Group)]]</f>
        <v>Consumer Staples</v>
      </c>
      <c r="AX207" s="212" t="e">
        <f>Table12118[[#This Row],[Percentage Impact]]*Table12118[[#This Row],[Amortised Limit A$ Balance]]</f>
        <v>#REF!</v>
      </c>
      <c r="AY207" s="212" t="e">
        <f>Table12118[[#This Row],[Amortised Limit A$ Balance]]*12%</f>
        <v>#REF!</v>
      </c>
      <c r="AZ207" s="212" t="b">
        <f>IF(Table12118[[#This Row],[Everest]]="Everest",Table12118[[#This Row],[Assetinsure Amount ]]*0.2)</f>
        <v>0</v>
      </c>
      <c r="BA207" s="212"/>
      <c r="BB207" s="212" t="e">
        <f>MIN(Table12118[[#This Row],[Assetinsure Amount ]]-Table12118[[#This Row],[Reinsurance Everest Re]],Table12118[[#This Row],[Total Amount]])</f>
        <v>#REF!</v>
      </c>
      <c r="BC207" s="212">
        <f t="shared" si="27"/>
        <v>0</v>
      </c>
      <c r="BD207" s="260"/>
      <c r="BG207" s="18">
        <v>0</v>
      </c>
      <c r="BH207" s="212">
        <v>0</v>
      </c>
      <c r="BI207" s="11">
        <v>0</v>
      </c>
      <c r="BJ207" s="212">
        <v>0</v>
      </c>
      <c r="BK207" s="212">
        <v>0</v>
      </c>
      <c r="BL207" s="212">
        <v>0</v>
      </c>
      <c r="BM207" s="212">
        <v>0</v>
      </c>
      <c r="BQ207" s="72" t="s">
        <v>1311</v>
      </c>
      <c r="BS207" s="375"/>
    </row>
    <row r="208" spans="1:71" ht="24.95" customHeight="1" x14ac:dyDescent="0.2">
      <c r="A208" s="132" t="s">
        <v>1314</v>
      </c>
      <c r="B208" s="167" t="s">
        <v>51</v>
      </c>
      <c r="C208" s="134" t="s">
        <v>243</v>
      </c>
      <c r="D208" s="192" t="s">
        <v>295</v>
      </c>
      <c r="E208" s="188" t="s">
        <v>34</v>
      </c>
      <c r="F208" s="352" t="s">
        <v>295</v>
      </c>
      <c r="G208" s="131" t="s">
        <v>106</v>
      </c>
      <c r="H208" s="131" t="s">
        <v>106</v>
      </c>
      <c r="I208" s="66" t="s">
        <v>107</v>
      </c>
      <c r="J208" s="192" t="s">
        <v>296</v>
      </c>
      <c r="K208" s="14" t="s">
        <v>687</v>
      </c>
      <c r="L208" s="300" t="s">
        <v>101</v>
      </c>
      <c r="M208" s="347" t="s">
        <v>191</v>
      </c>
      <c r="N208" s="194" t="s">
        <v>323</v>
      </c>
      <c r="O208" s="346" t="s">
        <v>43</v>
      </c>
      <c r="P208" s="167">
        <v>2</v>
      </c>
      <c r="Q208" s="167" t="s">
        <v>531</v>
      </c>
      <c r="R208" s="167" t="s">
        <v>534</v>
      </c>
      <c r="S208" s="353" t="s">
        <v>297</v>
      </c>
      <c r="T208" s="136" t="e">
        <f>25000/NZD</f>
        <v>#REF!</v>
      </c>
      <c r="U208" s="62">
        <v>25000</v>
      </c>
      <c r="V208" s="136" t="e">
        <f>Table12118[[#This Row],[Amortised Limit in Original Currency]]/NZD</f>
        <v>#REF!</v>
      </c>
      <c r="W208" s="136" t="e">
        <f>85362/NZD</f>
        <v>#REF!</v>
      </c>
      <c r="X208" s="136" t="e">
        <f>366184.13/NZD</f>
        <v>#REF!</v>
      </c>
      <c r="Y208" s="136" t="s">
        <v>16</v>
      </c>
      <c r="Z208" s="369">
        <v>0</v>
      </c>
      <c r="AA208" s="147" t="s">
        <v>11</v>
      </c>
      <c r="AB208" s="185">
        <v>2.75E-2</v>
      </c>
      <c r="AC208" s="185">
        <f>+Table12118[[#This Row],[Facility Gross Margin]]*60%</f>
        <v>1.6500000000000001E-2</v>
      </c>
      <c r="AD208" s="137">
        <v>45105</v>
      </c>
      <c r="AE208" s="137">
        <v>45710</v>
      </c>
      <c r="AF208" s="137">
        <v>45747</v>
      </c>
      <c r="AG208" s="138">
        <f t="shared" si="23"/>
        <v>643</v>
      </c>
      <c r="AH208" s="139" t="e">
        <f t="shared" si="24"/>
        <v>#REF!</v>
      </c>
      <c r="AI208" s="138" t="e">
        <f>AF208-#REF!</f>
        <v>#REF!</v>
      </c>
      <c r="AJ208" s="140" t="e">
        <f>AI208/365</f>
        <v>#REF!</v>
      </c>
      <c r="AK208" s="56" t="s">
        <v>436</v>
      </c>
      <c r="AL208" s="318" t="s">
        <v>1</v>
      </c>
      <c r="AM208" s="318" t="s">
        <v>1</v>
      </c>
      <c r="AN208" s="319" t="s">
        <v>0</v>
      </c>
      <c r="AO208" s="143" t="e">
        <f>+IF(AF208-60&lt;$A$1, "SEND NOTICE", "N/A")</f>
        <v>#REF!</v>
      </c>
      <c r="AP208" s="229" t="s">
        <v>271</v>
      </c>
      <c r="AQ208" s="188" t="s">
        <v>1315</v>
      </c>
      <c r="AR208" s="260"/>
      <c r="AS208" s="260"/>
      <c r="AT208" s="312" t="str">
        <f>Table12118[[#This Row],[Risk Location ]]</f>
        <v>New Zealand</v>
      </c>
      <c r="AU208" s="313" t="str">
        <f>Table12118[[#This Row],[Sector (GICS Industry Group)]]</f>
        <v>Real Estate Management &amp; Development</v>
      </c>
      <c r="AX208" s="212" t="e">
        <f>Table12118[[#This Row],[Percentage Impact]]*Table12118[[#This Row],[Amortised Limit A$ Balance]]</f>
        <v>#REF!</v>
      </c>
      <c r="AY208" s="212" t="e">
        <f>Table12118[[#This Row],[Amortised Limit A$ Balance]]*12%</f>
        <v>#REF!</v>
      </c>
      <c r="AZ208" s="212" t="e">
        <f>IF(Table12118[[#This Row],[Everest]]="Everest",Table12118[[#This Row],[Assetinsure Amount ]]*0.2)</f>
        <v>#REF!</v>
      </c>
      <c r="BA208" s="212"/>
      <c r="BB208" s="212" t="e">
        <f>MIN(Table12118[[#This Row],[Assetinsure Amount ]]-Table12118[[#This Row],[Reinsurance Everest Re]],Table12118[[#This Row],[Total Amount]])</f>
        <v>#REF!</v>
      </c>
      <c r="BC208" s="212">
        <f t="shared" si="27"/>
        <v>0</v>
      </c>
      <c r="BD208" s="260"/>
      <c r="BG208" s="18">
        <v>0</v>
      </c>
      <c r="BH208" s="212">
        <v>0</v>
      </c>
      <c r="BI208" s="11">
        <v>0</v>
      </c>
      <c r="BJ208" s="212">
        <v>0</v>
      </c>
      <c r="BK208" s="212">
        <v>0</v>
      </c>
      <c r="BL208" s="212">
        <v>0</v>
      </c>
      <c r="BM208" s="212">
        <v>0</v>
      </c>
      <c r="BQ208" s="72" t="s">
        <v>1316</v>
      </c>
      <c r="BS208" s="372" t="s">
        <v>476</v>
      </c>
    </row>
    <row r="209" spans="1:71" ht="24.95" customHeight="1" x14ac:dyDescent="0.2">
      <c r="A209" s="132" t="s">
        <v>1317</v>
      </c>
      <c r="B209" s="337" t="s">
        <v>307</v>
      </c>
      <c r="C209" s="134" t="s">
        <v>1142</v>
      </c>
      <c r="D209" s="192" t="s">
        <v>162</v>
      </c>
      <c r="E209" s="131" t="s">
        <v>499</v>
      </c>
      <c r="F209" s="145" t="s">
        <v>162</v>
      </c>
      <c r="G209" s="66" t="s">
        <v>106</v>
      </c>
      <c r="H209" s="66" t="s">
        <v>106</v>
      </c>
      <c r="I209" s="14" t="s">
        <v>245</v>
      </c>
      <c r="J209" s="192" t="s">
        <v>1320</v>
      </c>
      <c r="K209" s="188" t="s">
        <v>680</v>
      </c>
      <c r="L209" s="300" t="s">
        <v>101</v>
      </c>
      <c r="M209" s="347" t="s">
        <v>191</v>
      </c>
      <c r="N209" s="347" t="s">
        <v>59</v>
      </c>
      <c r="O209" s="346" t="s">
        <v>43</v>
      </c>
      <c r="P209" s="167">
        <v>2</v>
      </c>
      <c r="Q209" s="167" t="s">
        <v>539</v>
      </c>
      <c r="R209" s="167" t="s">
        <v>534</v>
      </c>
      <c r="S209" s="353" t="s">
        <v>9</v>
      </c>
      <c r="T209" s="320" t="e">
        <f>20000/USD</f>
        <v>#REF!</v>
      </c>
      <c r="U209" s="73">
        <v>20000</v>
      </c>
      <c r="V209" s="342" t="e">
        <f>+U209/USD</f>
        <v>#REF!</v>
      </c>
      <c r="W209" s="136" t="e">
        <f>225000/USD</f>
        <v>#REF!</v>
      </c>
      <c r="X209" s="349" t="e">
        <f>2385701.83/USD</f>
        <v>#REF!</v>
      </c>
      <c r="Y209" s="136" t="s">
        <v>1321</v>
      </c>
      <c r="Z209" s="369">
        <v>0.15</v>
      </c>
      <c r="AA209" s="147" t="s">
        <v>11</v>
      </c>
      <c r="AB209" s="185">
        <v>5.5E-2</v>
      </c>
      <c r="AC209" s="185">
        <f>+Table12118[[#This Row],[Facility Gross Margin]]*65%</f>
        <v>3.5750000000000004E-2</v>
      </c>
      <c r="AD209" s="137">
        <v>45093</v>
      </c>
      <c r="AE209" s="137">
        <v>47285</v>
      </c>
      <c r="AF209" s="137">
        <v>47285</v>
      </c>
      <c r="AG209" s="138">
        <f t="shared" si="23"/>
        <v>2193</v>
      </c>
      <c r="AH209" s="139" t="e">
        <f t="shared" si="24"/>
        <v>#REF!</v>
      </c>
      <c r="AI209" s="138" t="e">
        <f>AF209-#REF!</f>
        <v>#REF!</v>
      </c>
      <c r="AJ209" s="140" t="e">
        <f>AI209/365</f>
        <v>#REF!</v>
      </c>
      <c r="AK209" s="56" t="s">
        <v>436</v>
      </c>
      <c r="AL209" s="318" t="s">
        <v>1</v>
      </c>
      <c r="AM209" s="318" t="s">
        <v>1</v>
      </c>
      <c r="AN209" s="319" t="s">
        <v>0</v>
      </c>
      <c r="AO209" s="143" t="e">
        <f>+IF(AF209-60&lt;$A$1, "SEND NOTICE", "N/A")</f>
        <v>#REF!</v>
      </c>
      <c r="AP209" s="229" t="s">
        <v>271</v>
      </c>
      <c r="AQ209" s="188" t="s">
        <v>1318</v>
      </c>
      <c r="AR209" s="260"/>
      <c r="AS209" s="260"/>
      <c r="AT209" s="312" t="str">
        <f>Table12118[[#This Row],[Risk Location ]]</f>
        <v>United States</v>
      </c>
      <c r="AU209" s="313" t="str">
        <f>Table12118[[#This Row],[Sector (GICS Industry Group)]]</f>
        <v>Real Estate Management &amp; Development</v>
      </c>
      <c r="AX209" s="212" t="e">
        <f>Table12118[[#This Row],[Percentage Impact]]*Table12118[[#This Row],[Amortised Limit A$ Balance]]</f>
        <v>#REF!</v>
      </c>
      <c r="AY209" s="212" t="e">
        <f>Table12118[[#This Row],[Amortised Limit A$ Balance]]*12%</f>
        <v>#REF!</v>
      </c>
      <c r="AZ209" s="212" t="e">
        <f>IF(Table12118[[#This Row],[Everest]]="Everest",Table12118[[#This Row],[Assetinsure Amount ]]*0.2)</f>
        <v>#REF!</v>
      </c>
      <c r="BA209" s="212"/>
      <c r="BB209" s="212" t="e">
        <f>MIN(Table12118[[#This Row],[Assetinsure Amount ]]-Table12118[[#This Row],[Reinsurance Everest Re]],Table12118[[#This Row],[Total Amount]])</f>
        <v>#REF!</v>
      </c>
      <c r="BC209" s="212">
        <f t="shared" si="27"/>
        <v>0</v>
      </c>
      <c r="BD209" s="260"/>
      <c r="BG209" s="18">
        <v>0</v>
      </c>
      <c r="BH209" s="212">
        <v>0</v>
      </c>
      <c r="BI209" s="11">
        <v>0</v>
      </c>
      <c r="BJ209" s="212">
        <v>0</v>
      </c>
      <c r="BK209" s="212">
        <v>0</v>
      </c>
      <c r="BL209" s="212">
        <v>0</v>
      </c>
      <c r="BM209" s="212">
        <v>0</v>
      </c>
      <c r="BQ209" s="72" t="s">
        <v>1319</v>
      </c>
      <c r="BS209" s="311"/>
    </row>
    <row r="210" spans="1:71" ht="24.95" customHeight="1" x14ac:dyDescent="0.2">
      <c r="A210" s="132" t="s">
        <v>1322</v>
      </c>
      <c r="B210" s="337" t="s">
        <v>307</v>
      </c>
      <c r="C210" s="134" t="s">
        <v>1144</v>
      </c>
      <c r="D210" s="192" t="s">
        <v>162</v>
      </c>
      <c r="E210" s="131" t="s">
        <v>499</v>
      </c>
      <c r="F210" s="145" t="s">
        <v>162</v>
      </c>
      <c r="G210" s="14" t="s">
        <v>102</v>
      </c>
      <c r="H210" s="14" t="s">
        <v>102</v>
      </c>
      <c r="I210" s="66" t="s">
        <v>122</v>
      </c>
      <c r="J210" s="370" t="s">
        <v>509</v>
      </c>
      <c r="K210" s="370" t="s">
        <v>222</v>
      </c>
      <c r="L210" s="300" t="s">
        <v>101</v>
      </c>
      <c r="M210" s="347" t="s">
        <v>191</v>
      </c>
      <c r="N210" s="347" t="s">
        <v>59</v>
      </c>
      <c r="O210" s="346" t="s">
        <v>43</v>
      </c>
      <c r="P210" s="167">
        <v>2</v>
      </c>
      <c r="Q210" s="167" t="s">
        <v>538</v>
      </c>
      <c r="R210" s="167" t="s">
        <v>534</v>
      </c>
      <c r="S210" s="353" t="s">
        <v>9</v>
      </c>
      <c r="T210" s="320" t="e">
        <f>15000/USD</f>
        <v>#REF!</v>
      </c>
      <c r="U210" s="73">
        <v>15000</v>
      </c>
      <c r="V210" s="342" t="e">
        <f>+U210/USD</f>
        <v>#REF!</v>
      </c>
      <c r="W210" s="136" t="e">
        <f>80000/USD</f>
        <v>#REF!</v>
      </c>
      <c r="X210" s="349" t="e">
        <f>874461.45/USD</f>
        <v>#REF!</v>
      </c>
      <c r="Y210" s="136" t="s">
        <v>1295</v>
      </c>
      <c r="Z210" s="369">
        <v>0.15</v>
      </c>
      <c r="AA210" s="147" t="s">
        <v>11</v>
      </c>
      <c r="AB210" s="185">
        <v>2.5355200000000001E-2</v>
      </c>
      <c r="AC210" s="185">
        <v>1.32043E-2</v>
      </c>
      <c r="AD210" s="137">
        <v>45107</v>
      </c>
      <c r="AE210" s="137">
        <v>46814</v>
      </c>
      <c r="AF210" s="137">
        <v>46845</v>
      </c>
      <c r="AG210" s="138">
        <f t="shared" si="23"/>
        <v>1739</v>
      </c>
      <c r="AH210" s="139" t="e">
        <f t="shared" si="24"/>
        <v>#REF!</v>
      </c>
      <c r="AI210" s="138" t="e">
        <f>AF210-#REF!</f>
        <v>#REF!</v>
      </c>
      <c r="AJ210" s="140" t="e">
        <f>AI210/365</f>
        <v>#REF!</v>
      </c>
      <c r="AK210" s="56"/>
      <c r="AL210" s="318" t="s">
        <v>1</v>
      </c>
      <c r="AM210" s="318" t="s">
        <v>1</v>
      </c>
      <c r="AN210" s="319" t="s">
        <v>0</v>
      </c>
      <c r="AO210" s="143" t="e">
        <f>+IF(AF210-60&lt;$A$1, "SEND NOTICE", "N/A")</f>
        <v>#REF!</v>
      </c>
      <c r="AP210" s="229" t="s">
        <v>271</v>
      </c>
      <c r="AQ210" s="188" t="s">
        <v>1323</v>
      </c>
      <c r="AR210" s="260"/>
      <c r="AS210" s="260"/>
      <c r="AT210" s="312" t="str">
        <f>Table12118[[#This Row],[Risk Location ]]</f>
        <v>United States</v>
      </c>
      <c r="AU210" s="313" t="str">
        <f>Table12118[[#This Row],[Sector (GICS Industry Group)]]</f>
        <v>Real Estate Investment</v>
      </c>
      <c r="AX210" s="212" t="e">
        <f>Table12118[[#This Row],[Percentage Impact]]*Table12118[[#This Row],[Amortised Limit A$ Balance]]</f>
        <v>#REF!</v>
      </c>
      <c r="AY210" s="212" t="e">
        <f>Table12118[[#This Row],[Amortised Limit A$ Balance]]*12%</f>
        <v>#REF!</v>
      </c>
      <c r="AZ210" s="212" t="b">
        <f>IF(Table12118[[#This Row],[Everest]]="Everest",Table12118[[#This Row],[Assetinsure Amount ]]*0.2)</f>
        <v>0</v>
      </c>
      <c r="BA210" s="212"/>
      <c r="BB210" s="212" t="e">
        <f>MIN(Table12118[[#This Row],[Assetinsure Amount ]]-Table12118[[#This Row],[Reinsurance Everest Re]],Table12118[[#This Row],[Total Amount]])</f>
        <v>#REF!</v>
      </c>
      <c r="BC210" s="212">
        <f t="shared" si="27"/>
        <v>0</v>
      </c>
      <c r="BD210" s="260"/>
      <c r="BG210" s="18">
        <v>0</v>
      </c>
      <c r="BH210" s="212">
        <v>0</v>
      </c>
      <c r="BI210" s="11">
        <v>0</v>
      </c>
      <c r="BJ210" s="212">
        <v>0</v>
      </c>
      <c r="BK210" s="212">
        <v>0</v>
      </c>
      <c r="BL210" s="212">
        <v>0</v>
      </c>
      <c r="BM210" s="212">
        <v>0</v>
      </c>
      <c r="BQ210" s="72" t="s">
        <v>1324</v>
      </c>
      <c r="BS210" s="311"/>
    </row>
    <row r="211" spans="1:71" x14ac:dyDescent="0.2">
      <c r="A211" s="129"/>
      <c r="B211" s="129"/>
      <c r="C211" s="129"/>
      <c r="D211" s="129"/>
      <c r="E211" s="234"/>
      <c r="F211" s="129"/>
      <c r="G211" s="129"/>
      <c r="H211" s="129"/>
      <c r="I211" s="129"/>
      <c r="J211" s="129"/>
      <c r="K211" s="129"/>
      <c r="L211" s="129"/>
      <c r="M211" s="129"/>
      <c r="N211" s="129"/>
      <c r="O211" s="127"/>
      <c r="P211" s="127"/>
      <c r="Q211" s="127"/>
      <c r="R211" s="127"/>
      <c r="S211" s="51" t="s">
        <v>428</v>
      </c>
      <c r="T211" s="50" t="e">
        <f>SUMIFS(Table12118[[#All],[Original Limit (A$)]],Table12118[[#All],[Treaty]],"HDI GS")</f>
        <v>#REF!</v>
      </c>
      <c r="U211" s="50"/>
      <c r="V211" s="50" t="e">
        <f>SUMIFS(Table12118[[#All],[Amortised Limit A$ Balance]],Table12118[[#All],[Treaty]],"HDI GS")</f>
        <v>#REF!</v>
      </c>
      <c r="W211" s="50" t="e">
        <f>SUMIFS(Table12118[[#All],[Approx. Debt /  Facilities outstanding (Bank Limit) (A$)]],Table12118[[#All],[Treaty]],"HDI GS")</f>
        <v>#REF!</v>
      </c>
      <c r="X211" s="50" t="e">
        <f>SUMIFS(Table12118[[#All],[Gross Written Premium (pre-tax premium paid to HDI GS) (A$)]],Table12118[[#All],[Treaty]],"HDI GS")</f>
        <v>#REF!</v>
      </c>
      <c r="Y211" s="50"/>
      <c r="Z211" s="355"/>
      <c r="AA211" s="49"/>
      <c r="AB211" s="183" t="e">
        <f>SUMPRODUCT(Table12118[[#All],[Facility Gross Margin]], Table12118[[#All],[Amortised Limit A$ Balance]])/SUM(Table12118[[#All],[Amortised Limit A$ Balance]])</f>
        <v>#REF!</v>
      </c>
      <c r="AC211" s="183"/>
      <c r="AD211" s="48"/>
      <c r="AE211" s="48"/>
      <c r="AF211" s="48" t="s">
        <v>495</v>
      </c>
      <c r="AG211" s="189" t="e">
        <f>SUMPRODUCT(Table12118[[Original Tenor ]],Table12118[Original Limit (A$)])/T211</f>
        <v>#REF!</v>
      </c>
      <c r="AH211" s="47" t="e">
        <f>AG211/365</f>
        <v>#REF!</v>
      </c>
      <c r="AI211" s="189" t="e">
        <f>SUMPRODUCT(Table12118[Tenor Remaining Days],Table12118[Amortised Limit A$ Balance])/V211</f>
        <v>#REF!</v>
      </c>
      <c r="AJ211" s="46" t="e">
        <f t="shared" ref="AJ211:AJ212" si="28">AI211/365</f>
        <v>#REF!</v>
      </c>
      <c r="AK211" s="45"/>
      <c r="AL211" s="28"/>
      <c r="AM211" s="28"/>
      <c r="AN211" s="44"/>
      <c r="AO211" s="28"/>
      <c r="AP211" s="28"/>
      <c r="AQ211" s="28"/>
      <c r="AR211" s="28"/>
      <c r="AS211" s="28"/>
      <c r="AT211" s="28"/>
      <c r="AU211" s="28"/>
      <c r="AV211" s="28"/>
      <c r="AW211" s="28"/>
      <c r="AX211" s="28"/>
      <c r="AY211" s="28"/>
      <c r="AZ211" s="28"/>
      <c r="BA211" s="28"/>
      <c r="BB211" s="314" t="e">
        <f>SUM(BB3:BB210)</f>
        <v>#REF!</v>
      </c>
      <c r="BC211" s="314">
        <f>SUM(BC3:BC210)</f>
        <v>15506.322894785933</v>
      </c>
      <c r="BD211" s="28"/>
      <c r="BG211" s="212">
        <f>SUM(BG3:BG210)</f>
        <v>15418.303099794633</v>
      </c>
      <c r="BH211" s="212">
        <f>SUM(BH3:BH210)</f>
        <v>15506.322894785933</v>
      </c>
      <c r="BI211" s="212">
        <f>SUM(BI3:BI210)</f>
        <v>15420.252904779845</v>
      </c>
      <c r="BJ211" s="212">
        <f>SUM(BJ3:BJ210)</f>
        <v>14094.522089831502</v>
      </c>
      <c r="BQ211" s="28"/>
    </row>
    <row r="212" spans="1:71" x14ac:dyDescent="0.2">
      <c r="A212" s="37"/>
      <c r="B212" s="37"/>
      <c r="C212" s="37"/>
      <c r="D212" s="35"/>
      <c r="E212" s="235"/>
      <c r="F212" s="35"/>
      <c r="G212" s="28"/>
      <c r="H212" s="28"/>
      <c r="I212" s="28"/>
      <c r="J212" s="36"/>
      <c r="K212" s="28"/>
      <c r="L212" s="28"/>
      <c r="M212" s="28"/>
      <c r="N212" s="35"/>
      <c r="O212" s="28"/>
      <c r="P212" s="28"/>
      <c r="Q212" s="28"/>
      <c r="R212" s="28"/>
      <c r="S212" s="42" t="s">
        <v>429</v>
      </c>
      <c r="T212" s="41">
        <f>SUMIFS(Table12118[[#All],[Original Limit (A$)]],Table12118[[#All],[Treaty]],"AI - Direct")</f>
        <v>541.01</v>
      </c>
      <c r="U212" s="41"/>
      <c r="V212" s="41">
        <f>SUMIFS(Table12118[[#All],[Amortised Limit A$ Balance]],Table12118[[#All],[Treaty]],"AI - DIrect")</f>
        <v>541.01</v>
      </c>
      <c r="W212" s="41">
        <f>SUMIFS(Table12118[[#All],[Approx. Debt /  Facilities outstanding (Bank Limit) (A$)]],Table12118[[#All],[Treaty]],"AI - Direct")</f>
        <v>541.01</v>
      </c>
      <c r="X212" s="41">
        <f>SUMIFS(Table12118[[#All],[Gross Written Premium (pre-tax premium paid to HDI GS) (A$)]],Table12118[[#All],[Treaty]],"AI - Direct")</f>
        <v>14877.779999999999</v>
      </c>
      <c r="Y212" s="50"/>
      <c r="Z212" s="354"/>
      <c r="AA212" s="30"/>
      <c r="AB212" s="30"/>
      <c r="AC212" s="30"/>
      <c r="AD212" s="30"/>
      <c r="AE212" s="28"/>
      <c r="AF212" s="40" t="s">
        <v>242</v>
      </c>
      <c r="AG212" s="38" t="e">
        <f>SUMPRODUCT($AG$27:$AG$60,$T$27:$T$60)/AG214</f>
        <v>#REF!</v>
      </c>
      <c r="AH212" s="39"/>
      <c r="AI212" s="38" t="e">
        <f>SUMPRODUCT($AI$27:$AI$60,$T$27:$T$60)/AG214</f>
        <v>#REF!</v>
      </c>
      <c r="AJ212" s="38" t="e">
        <f t="shared" si="28"/>
        <v>#REF!</v>
      </c>
      <c r="AK212" s="29"/>
      <c r="AL212" s="28"/>
      <c r="AM212" s="28"/>
      <c r="AN212" s="28"/>
      <c r="AO212" s="28"/>
      <c r="AP212" s="28"/>
      <c r="AQ212" s="28"/>
      <c r="AR212" s="28"/>
      <c r="AS212" s="28"/>
      <c r="AT212" s="28"/>
      <c r="AU212" s="28"/>
      <c r="AV212" s="28"/>
      <c r="AW212" s="28"/>
      <c r="AX212" s="28"/>
      <c r="AY212" s="28"/>
      <c r="AZ212" s="28"/>
      <c r="BA212" s="28"/>
      <c r="BB212" s="28"/>
      <c r="BC212" s="28"/>
      <c r="BD212" s="28"/>
      <c r="BQ212" s="28"/>
    </row>
    <row r="213" spans="1:71" x14ac:dyDescent="0.2">
      <c r="A213" s="37"/>
      <c r="B213" s="37"/>
      <c r="C213" s="37"/>
      <c r="D213" s="35"/>
      <c r="E213" s="235"/>
      <c r="F213" s="35"/>
      <c r="G213" s="28"/>
      <c r="H213" s="28"/>
      <c r="I213" s="28"/>
      <c r="J213" s="36"/>
      <c r="K213" s="28"/>
      <c r="L213" s="28"/>
      <c r="M213" s="28"/>
      <c r="N213" s="35"/>
      <c r="O213" s="28"/>
      <c r="P213" s="28"/>
      <c r="Q213" s="28"/>
      <c r="R213" s="28"/>
      <c r="S213" s="34" t="s">
        <v>6</v>
      </c>
      <c r="T213" s="33" t="e">
        <f>SUM(T211:T212)</f>
        <v>#REF!</v>
      </c>
      <c r="U213" s="33"/>
      <c r="V213" s="32" t="e">
        <f>SUM(V211:V212)</f>
        <v>#REF!</v>
      </c>
      <c r="W213" s="31" t="e">
        <f>SUM(W211:W212)</f>
        <v>#REF!</v>
      </c>
      <c r="X213" s="355" t="e">
        <f>SUM(X211:X212)</f>
        <v>#REF!</v>
      </c>
      <c r="Y213" s="50"/>
      <c r="Z213" s="31"/>
      <c r="AA213" s="30"/>
      <c r="AB213" s="30"/>
      <c r="AC213" s="30"/>
      <c r="AD213" s="30"/>
      <c r="AE213" s="28"/>
      <c r="AF213" s="28"/>
      <c r="AG213" s="28"/>
      <c r="AH213" s="29"/>
      <c r="AI213" s="28"/>
      <c r="AJ213" s="28"/>
      <c r="AK213" s="29"/>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row>
    <row r="214" spans="1:71" x14ac:dyDescent="0.2">
      <c r="S214" s="160"/>
      <c r="T214" s="24"/>
      <c r="U214" s="24"/>
      <c r="V214" s="26"/>
      <c r="AA214" s="23"/>
      <c r="AB214" s="23"/>
      <c r="AC214" s="23"/>
      <c r="AD214" s="23"/>
      <c r="AE214" s="11"/>
      <c r="AF214" s="11" t="s">
        <v>437</v>
      </c>
      <c r="AG214" s="22">
        <v>1037868.6626063626</v>
      </c>
    </row>
    <row r="215" spans="1:71" x14ac:dyDescent="0.2">
      <c r="F215" s="11">
        <f>COUNT(Table12118[[#All],[Amortised Limit A$ Balance]])</f>
        <v>35</v>
      </c>
      <c r="J215" s="11"/>
      <c r="S215" s="25"/>
      <c r="X215" s="359"/>
      <c r="Y215" s="362"/>
      <c r="Z215" s="24"/>
      <c r="AA215" s="23"/>
      <c r="AB215" s="23"/>
      <c r="AC215" s="23"/>
      <c r="AD215" s="23"/>
      <c r="AE215" s="11"/>
      <c r="AL215" s="22"/>
    </row>
    <row r="216" spans="1:71" x14ac:dyDescent="0.2">
      <c r="E216" s="12" t="s">
        <v>495</v>
      </c>
      <c r="J216" s="11"/>
      <c r="S216" s="160"/>
      <c r="T216" s="19"/>
      <c r="U216" s="25"/>
      <c r="V216" s="19"/>
      <c r="W216" s="19"/>
      <c r="X216" s="360"/>
      <c r="Y216" s="363"/>
      <c r="Z216" s="19"/>
      <c r="AA216" s="19"/>
      <c r="AB216" s="19"/>
      <c r="AC216" s="19"/>
    </row>
    <row r="217" spans="1:71" x14ac:dyDescent="0.2">
      <c r="H217" s="262"/>
      <c r="J217" s="11"/>
      <c r="S217" s="25"/>
    </row>
    <row r="218" spans="1:71" x14ac:dyDescent="0.2">
      <c r="H218" s="262"/>
      <c r="J218" s="11"/>
      <c r="S218" s="160"/>
    </row>
    <row r="219" spans="1:71" x14ac:dyDescent="0.2">
      <c r="A219" s="290"/>
      <c r="H219" s="262"/>
      <c r="J219" s="11"/>
      <c r="S219" s="25"/>
      <c r="V219" s="19"/>
    </row>
    <row r="220" spans="1:71" x14ac:dyDescent="0.2">
      <c r="I220" s="18"/>
      <c r="J220" s="11"/>
      <c r="S220" s="160"/>
      <c r="V220" s="19"/>
    </row>
    <row r="221" spans="1:71" x14ac:dyDescent="0.2">
      <c r="J221" s="11"/>
      <c r="S221" s="25"/>
      <c r="V221" s="19"/>
    </row>
    <row r="222" spans="1:71" x14ac:dyDescent="0.2">
      <c r="J222" s="11"/>
      <c r="S222" s="268"/>
      <c r="V222" s="19"/>
    </row>
    <row r="223" spans="1:71" x14ac:dyDescent="0.2">
      <c r="J223" s="11"/>
      <c r="S223" s="25"/>
      <c r="V223" s="19"/>
    </row>
    <row r="224" spans="1:71" x14ac:dyDescent="0.2">
      <c r="J224" s="11"/>
      <c r="S224" s="160"/>
      <c r="V224" s="19"/>
    </row>
    <row r="225" spans="10:22" x14ac:dyDescent="0.2">
      <c r="J225" s="11"/>
      <c r="S225" s="25"/>
      <c r="V225" s="19"/>
    </row>
    <row r="226" spans="10:22" x14ac:dyDescent="0.2">
      <c r="J226" s="11"/>
      <c r="S226" s="160"/>
    </row>
    <row r="227" spans="10:22" x14ac:dyDescent="0.2">
      <c r="J227" s="11"/>
      <c r="S227" s="25"/>
    </row>
    <row r="228" spans="10:22" x14ac:dyDescent="0.2">
      <c r="J228" s="11"/>
      <c r="S228" s="160"/>
    </row>
    <row r="229" spans="10:22" x14ac:dyDescent="0.2">
      <c r="J229" s="11"/>
    </row>
    <row r="230" spans="10:22" x14ac:dyDescent="0.2">
      <c r="J230" s="11"/>
    </row>
    <row r="231" spans="10:22" x14ac:dyDescent="0.2">
      <c r="J231" s="11"/>
    </row>
    <row r="232" spans="10:22" x14ac:dyDescent="0.2">
      <c r="J232" s="11"/>
    </row>
    <row r="233" spans="10:22" x14ac:dyDescent="0.2">
      <c r="J233" s="11"/>
    </row>
    <row r="234" spans="10:22" x14ac:dyDescent="0.2">
      <c r="J234" s="11"/>
    </row>
    <row r="235" spans="10:22" x14ac:dyDescent="0.2">
      <c r="J235" s="11"/>
    </row>
  </sheetData>
  <autoFilter ref="BI2:BQ201" xr:uid="{F1FEB45D-14C6-4740-82D4-F835EF27DBFD}"/>
  <conditionalFormatting sqref="AO98:AO107 AO118:AO141 AO157:AO162 AO164:AO173 AO3:AO13 AO16:AO96">
    <cfRule type="containsText" dxfId="180" priority="181" operator="containsText" text="SEND NOTICE">
      <formula>NOT(ISERROR(SEARCH("SEND NOTICE",AO3)))</formula>
    </cfRule>
  </conditionalFormatting>
  <conditionalFormatting sqref="M60 O59:O60 J59:M59 AD59:AJ59 AD60:AG60 A59:A60 S59:T59 V59:X59 V62:AA62 V65:X65 T160 T61:T65 AG61:AG64 AD61:AF65 AI60:AJ65 BQ59:BQ65 D59:D60 Q59:Q60 V61:X61 AA59:AA61 V64:AA64 V63:X63 AA63">
    <cfRule type="cellIs" dxfId="179" priority="180" operator="equal">
      <formula>#REF!</formula>
    </cfRule>
  </conditionalFormatting>
  <conditionalFormatting sqref="S60:T60 V60:X60">
    <cfRule type="cellIs" dxfId="178" priority="179" operator="equal">
      <formula>#REF!</formula>
    </cfRule>
  </conditionalFormatting>
  <conditionalFormatting sqref="F59">
    <cfRule type="cellIs" dxfId="177" priority="178" operator="equal">
      <formula>#REF!</formula>
    </cfRule>
  </conditionalFormatting>
  <conditionalFormatting sqref="S64 T162:T164 X162:Z162 AA162:AA185 T166:T168 X164:Z164 X163 X167:Z167 X165:X166">
    <cfRule type="cellIs" dxfId="176" priority="177" operator="equal">
      <formula>#REF!</formula>
    </cfRule>
  </conditionalFormatting>
  <conditionalFormatting sqref="K60">
    <cfRule type="cellIs" dxfId="175" priority="176" operator="equal">
      <formula>#REF!</formula>
    </cfRule>
  </conditionalFormatting>
  <conditionalFormatting sqref="AP15">
    <cfRule type="containsText" dxfId="174" priority="175" operator="containsText" text="SEND NOTICE">
      <formula>NOT(ISERROR(SEARCH("SEND NOTICE",AP15)))</formula>
    </cfRule>
  </conditionalFormatting>
  <conditionalFormatting sqref="AO89">
    <cfRule type="containsText" dxfId="173" priority="174" operator="containsText" text="SEND NOTICE">
      <formula>NOT(ISERROR(SEARCH("SEND NOTICE",AO89)))</formula>
    </cfRule>
  </conditionalFormatting>
  <conditionalFormatting sqref="AO90:AO91">
    <cfRule type="containsText" dxfId="172" priority="173" operator="containsText" text="SEND NOTICE">
      <formula>NOT(ISERROR(SEARCH("SEND NOTICE",AO90)))</formula>
    </cfRule>
  </conditionalFormatting>
  <conditionalFormatting sqref="AO90:AO91">
    <cfRule type="containsText" dxfId="171" priority="172" operator="containsText" text="SEND NOTICE">
      <formula>NOT(ISERROR(SEARCH("SEND NOTICE",AO90)))</formula>
    </cfRule>
  </conditionalFormatting>
  <conditionalFormatting sqref="AO92:AO95">
    <cfRule type="containsText" dxfId="170" priority="171" operator="containsText" text="SEND NOTICE">
      <formula>NOT(ISERROR(SEARCH("SEND NOTICE",AO92)))</formula>
    </cfRule>
  </conditionalFormatting>
  <conditionalFormatting sqref="AO92:AO95">
    <cfRule type="containsText" dxfId="169" priority="170" operator="containsText" text="SEND NOTICE">
      <formula>NOT(ISERROR(SEARCH("SEND NOTICE",AO92)))</formula>
    </cfRule>
  </conditionalFormatting>
  <conditionalFormatting sqref="AO92:AO95">
    <cfRule type="containsText" dxfId="168" priority="169" operator="containsText" text="SEND NOTICE">
      <formula>NOT(ISERROR(SEARCH("SEND NOTICE",AO92)))</formula>
    </cfRule>
  </conditionalFormatting>
  <conditionalFormatting sqref="AO96">
    <cfRule type="containsText" dxfId="167" priority="168" operator="containsText" text="SEND NOTICE">
      <formula>NOT(ISERROR(SEARCH("SEND NOTICE",AO96)))</formula>
    </cfRule>
  </conditionalFormatting>
  <conditionalFormatting sqref="AO96">
    <cfRule type="containsText" dxfId="166" priority="167" operator="containsText" text="SEND NOTICE">
      <formula>NOT(ISERROR(SEARCH("SEND NOTICE",AO96)))</formula>
    </cfRule>
  </conditionalFormatting>
  <conditionalFormatting sqref="AO96">
    <cfRule type="containsText" dxfId="165" priority="166" operator="containsText" text="SEND NOTICE">
      <formula>NOT(ISERROR(SEARCH("SEND NOTICE",AO96)))</formula>
    </cfRule>
  </conditionalFormatting>
  <conditionalFormatting sqref="AO96">
    <cfRule type="containsText" dxfId="164" priority="165" operator="containsText" text="SEND NOTICE">
      <formula>NOT(ISERROR(SEARCH("SEND NOTICE",AO96)))</formula>
    </cfRule>
  </conditionalFormatting>
  <conditionalFormatting sqref="AO97">
    <cfRule type="containsText" dxfId="163" priority="164" operator="containsText" text="SEND NOTICE">
      <formula>NOT(ISERROR(SEARCH("SEND NOTICE",AO97)))</formula>
    </cfRule>
  </conditionalFormatting>
  <conditionalFormatting sqref="AO15">
    <cfRule type="containsText" dxfId="162" priority="163" operator="containsText" text="SEND NOTICE">
      <formula>NOT(ISERROR(SEARCH("SEND NOTICE",AO15)))</formula>
    </cfRule>
  </conditionalFormatting>
  <conditionalFormatting sqref="AP14">
    <cfRule type="containsText" dxfId="161" priority="162" operator="containsText" text="SEND NOTICE">
      <formula>NOT(ISERROR(SEARCH("SEND NOTICE",AP14)))</formula>
    </cfRule>
  </conditionalFormatting>
  <conditionalFormatting sqref="AO14">
    <cfRule type="containsText" dxfId="160" priority="161" operator="containsText" text="SEND NOTICE">
      <formula>NOT(ISERROR(SEARCH("SEND NOTICE",AO14)))</formula>
    </cfRule>
  </conditionalFormatting>
  <conditionalFormatting sqref="AO108:AO110">
    <cfRule type="containsText" dxfId="159" priority="160" operator="containsText" text="SEND NOTICE">
      <formula>NOT(ISERROR(SEARCH("SEND NOTICE",AO108)))</formula>
    </cfRule>
  </conditionalFormatting>
  <conditionalFormatting sqref="AO109">
    <cfRule type="containsText" dxfId="158" priority="159" operator="containsText" text="SEND NOTICE">
      <formula>NOT(ISERROR(SEARCH("SEND NOTICE",AO109)))</formula>
    </cfRule>
  </conditionalFormatting>
  <conditionalFormatting sqref="AO111">
    <cfRule type="containsText" dxfId="157" priority="158" operator="containsText" text="SEND NOTICE">
      <formula>NOT(ISERROR(SEARCH("SEND NOTICE",AO111)))</formula>
    </cfRule>
  </conditionalFormatting>
  <conditionalFormatting sqref="AO112">
    <cfRule type="containsText" dxfId="156" priority="157" operator="containsText" text="SEND NOTICE">
      <formula>NOT(ISERROR(SEARCH("SEND NOTICE",AO112)))</formula>
    </cfRule>
  </conditionalFormatting>
  <conditionalFormatting sqref="AO113:AO117">
    <cfRule type="containsText" dxfId="155" priority="156" operator="containsText" text="SEND NOTICE">
      <formula>NOT(ISERROR(SEARCH("SEND NOTICE",AO113)))</formula>
    </cfRule>
  </conditionalFormatting>
  <conditionalFormatting sqref="AO142">
    <cfRule type="containsText" dxfId="154" priority="155" operator="containsText" text="SEND NOTICE">
      <formula>NOT(ISERROR(SEARCH("SEND NOTICE",AO142)))</formula>
    </cfRule>
  </conditionalFormatting>
  <conditionalFormatting sqref="AO143">
    <cfRule type="containsText" dxfId="153" priority="154" operator="containsText" text="SEND NOTICE">
      <formula>NOT(ISERROR(SEARCH("SEND NOTICE",AO143)))</formula>
    </cfRule>
  </conditionalFormatting>
  <conditionalFormatting sqref="AO144">
    <cfRule type="containsText" dxfId="152" priority="153" operator="containsText" text="SEND NOTICE">
      <formula>NOT(ISERROR(SEARCH("SEND NOTICE",AO144)))</formula>
    </cfRule>
  </conditionalFormatting>
  <conditionalFormatting sqref="AO145">
    <cfRule type="containsText" dxfId="151" priority="152" operator="containsText" text="SEND NOTICE">
      <formula>NOT(ISERROR(SEARCH("SEND NOTICE",AO145)))</formula>
    </cfRule>
  </conditionalFormatting>
  <conditionalFormatting sqref="AO146">
    <cfRule type="containsText" dxfId="150" priority="151" operator="containsText" text="SEND NOTICE">
      <formula>NOT(ISERROR(SEARCH("SEND NOTICE",AO146)))</formula>
    </cfRule>
  </conditionalFormatting>
  <conditionalFormatting sqref="AO147">
    <cfRule type="containsText" dxfId="149" priority="150" operator="containsText" text="SEND NOTICE">
      <formula>NOT(ISERROR(SEARCH("SEND NOTICE",AO147)))</formula>
    </cfRule>
  </conditionalFormatting>
  <conditionalFormatting sqref="AN15">
    <cfRule type="containsText" dxfId="148" priority="149" operator="containsText" text="SEND NOTICE">
      <formula>NOT(ISERROR(SEARCH("SEND NOTICE",AN15)))</formula>
    </cfRule>
  </conditionalFormatting>
  <conditionalFormatting sqref="AN14">
    <cfRule type="containsText" dxfId="147" priority="148" operator="containsText" text="SEND NOTICE">
      <formula>NOT(ISERROR(SEARCH("SEND NOTICE",AN14)))</formula>
    </cfRule>
  </conditionalFormatting>
  <conditionalFormatting sqref="T66">
    <cfRule type="cellIs" dxfId="146" priority="147" operator="equal">
      <formula>#REF!</formula>
    </cfRule>
  </conditionalFormatting>
  <conditionalFormatting sqref="V66">
    <cfRule type="cellIs" dxfId="145" priority="146" operator="equal">
      <formula>#REF!</formula>
    </cfRule>
  </conditionalFormatting>
  <conditionalFormatting sqref="AO148:AO151 AO153:AO156">
    <cfRule type="containsText" dxfId="144" priority="145" operator="containsText" text="SEND NOTICE">
      <formula>NOT(ISERROR(SEARCH("SEND NOTICE",AO148)))</formula>
    </cfRule>
  </conditionalFormatting>
  <conditionalFormatting sqref="AO152">
    <cfRule type="containsText" dxfId="143" priority="144" operator="containsText" text="SEND NOTICE">
      <formula>NOT(ISERROR(SEARCH("SEND NOTICE",AO152)))</formula>
    </cfRule>
  </conditionalFormatting>
  <conditionalFormatting sqref="T152 V152 X152 AA152">
    <cfRule type="cellIs" dxfId="142" priority="143" operator="equal">
      <formula>#REF!</formula>
    </cfRule>
  </conditionalFormatting>
  <conditionalFormatting sqref="T153 V153">
    <cfRule type="cellIs" dxfId="141" priority="142" operator="equal">
      <formula>#REF!</formula>
    </cfRule>
  </conditionalFormatting>
  <conditionalFormatting sqref="T154 V154">
    <cfRule type="cellIs" dxfId="140" priority="141" operator="equal">
      <formula>#REF!</formula>
    </cfRule>
  </conditionalFormatting>
  <conditionalFormatting sqref="AA153:AA154">
    <cfRule type="cellIs" dxfId="139" priority="140" operator="equal">
      <formula>#REF!</formula>
    </cfRule>
  </conditionalFormatting>
  <conditionalFormatting sqref="X153:Z153">
    <cfRule type="cellIs" dxfId="138" priority="139" operator="equal">
      <formula>#REF!</formula>
    </cfRule>
  </conditionalFormatting>
  <conditionalFormatting sqref="X154:Z154">
    <cfRule type="cellIs" dxfId="137" priority="138" operator="equal">
      <formula>#REF!</formula>
    </cfRule>
  </conditionalFormatting>
  <conditionalFormatting sqref="T155 V155">
    <cfRule type="cellIs" dxfId="136" priority="137" operator="equal">
      <formula>#REF!</formula>
    </cfRule>
  </conditionalFormatting>
  <conditionalFormatting sqref="AA155">
    <cfRule type="cellIs" dxfId="135" priority="136" operator="equal">
      <formula>#REF!</formula>
    </cfRule>
  </conditionalFormatting>
  <conditionalFormatting sqref="X155:Z155">
    <cfRule type="cellIs" dxfId="134" priority="135" operator="equal">
      <formula>#REF!</formula>
    </cfRule>
  </conditionalFormatting>
  <conditionalFormatting sqref="T156 V156">
    <cfRule type="cellIs" dxfId="133" priority="134" operator="equal">
      <formula>#REF!</formula>
    </cfRule>
  </conditionalFormatting>
  <conditionalFormatting sqref="X156">
    <cfRule type="cellIs" dxfId="132" priority="133" operator="equal">
      <formula>#REF!</formula>
    </cfRule>
  </conditionalFormatting>
  <conditionalFormatting sqref="AA156">
    <cfRule type="cellIs" dxfId="131" priority="132" operator="equal">
      <formula>#REF!</formula>
    </cfRule>
  </conditionalFormatting>
  <conditionalFormatting sqref="X66">
    <cfRule type="cellIs" dxfId="130" priority="131" operator="equal">
      <formula>#REF!</formula>
    </cfRule>
  </conditionalFormatting>
  <conditionalFormatting sqref="AE66:AF66">
    <cfRule type="cellIs" dxfId="129" priority="130" operator="equal">
      <formula>#REF!</formula>
    </cfRule>
  </conditionalFormatting>
  <conditionalFormatting sqref="T157:T158">
    <cfRule type="cellIs" dxfId="128" priority="129" operator="equal">
      <formula>#REF!</formula>
    </cfRule>
  </conditionalFormatting>
  <conditionalFormatting sqref="X158:Z158 X157">
    <cfRule type="cellIs" dxfId="127" priority="128" operator="equal">
      <formula>#REF!</formula>
    </cfRule>
  </conditionalFormatting>
  <conditionalFormatting sqref="V157">
    <cfRule type="cellIs" dxfId="126" priority="127" operator="equal">
      <formula>#REF!</formula>
    </cfRule>
  </conditionalFormatting>
  <conditionalFormatting sqref="AA157">
    <cfRule type="cellIs" dxfId="125" priority="126" operator="equal">
      <formula>#REF!</formula>
    </cfRule>
  </conditionalFormatting>
  <conditionalFormatting sqref="V158">
    <cfRule type="cellIs" dxfId="124" priority="125" operator="equal">
      <formula>#REF!</formula>
    </cfRule>
  </conditionalFormatting>
  <conditionalFormatting sqref="AA158">
    <cfRule type="cellIs" dxfId="123" priority="124" operator="equal">
      <formula>#REF!</formula>
    </cfRule>
  </conditionalFormatting>
  <conditionalFormatting sqref="T159">
    <cfRule type="cellIs" dxfId="122" priority="123" operator="equal">
      <formula>#REF!</formula>
    </cfRule>
  </conditionalFormatting>
  <conditionalFormatting sqref="X159:Z159">
    <cfRule type="cellIs" dxfId="121" priority="122" operator="equal">
      <formula>#REF!</formula>
    </cfRule>
  </conditionalFormatting>
  <conditionalFormatting sqref="V159">
    <cfRule type="cellIs" dxfId="120" priority="121" operator="equal">
      <formula>#REF!</formula>
    </cfRule>
  </conditionalFormatting>
  <conditionalFormatting sqref="AA159">
    <cfRule type="cellIs" dxfId="119" priority="120" operator="equal">
      <formula>#REF!</formula>
    </cfRule>
  </conditionalFormatting>
  <conditionalFormatting sqref="AA161">
    <cfRule type="cellIs" dxfId="118" priority="119" operator="equal">
      <formula>#REF!</formula>
    </cfRule>
  </conditionalFormatting>
  <conditionalFormatting sqref="X160">
    <cfRule type="cellIs" dxfId="117" priority="118" operator="equal">
      <formula>#REF!</formula>
    </cfRule>
  </conditionalFormatting>
  <conditionalFormatting sqref="V160">
    <cfRule type="cellIs" dxfId="116" priority="117" operator="equal">
      <formula>#REF!</formula>
    </cfRule>
  </conditionalFormatting>
  <conditionalFormatting sqref="AA160">
    <cfRule type="cellIs" dxfId="115" priority="116" operator="equal">
      <formula>#REF!</formula>
    </cfRule>
  </conditionalFormatting>
  <conditionalFormatting sqref="U60">
    <cfRule type="cellIs" dxfId="114" priority="115" operator="equal">
      <formula>#REF!</formula>
    </cfRule>
  </conditionalFormatting>
  <conditionalFormatting sqref="V162:V163">
    <cfRule type="cellIs" dxfId="113" priority="114" operator="equal">
      <formula>#REF!</formula>
    </cfRule>
  </conditionalFormatting>
  <conditionalFormatting sqref="AO163">
    <cfRule type="containsText" dxfId="112" priority="113" operator="containsText" text="SEND NOTICE">
      <formula>NOT(ISERROR(SEARCH("SEND NOTICE",AO163)))</formula>
    </cfRule>
  </conditionalFormatting>
  <conditionalFormatting sqref="V164">
    <cfRule type="cellIs" dxfId="111" priority="112" operator="equal">
      <formula>#REF!</formula>
    </cfRule>
  </conditionalFormatting>
  <conditionalFormatting sqref="V166">
    <cfRule type="cellIs" dxfId="110" priority="111" operator="equal">
      <formula>#REF!</formula>
    </cfRule>
  </conditionalFormatting>
  <conditionalFormatting sqref="V167:V168">
    <cfRule type="cellIs" dxfId="109" priority="110" operator="equal">
      <formula>#REF!</formula>
    </cfRule>
  </conditionalFormatting>
  <conditionalFormatting sqref="T169">
    <cfRule type="cellIs" dxfId="108" priority="109" operator="equal">
      <formula>#REF!</formula>
    </cfRule>
  </conditionalFormatting>
  <conditionalFormatting sqref="X169">
    <cfRule type="cellIs" dxfId="107" priority="108" operator="equal">
      <formula>#REF!</formula>
    </cfRule>
  </conditionalFormatting>
  <conditionalFormatting sqref="V169">
    <cfRule type="cellIs" dxfId="106" priority="107" operator="equal">
      <formula>#REF!</formula>
    </cfRule>
  </conditionalFormatting>
  <conditionalFormatting sqref="T170">
    <cfRule type="cellIs" dxfId="105" priority="106" operator="equal">
      <formula>#REF!</formula>
    </cfRule>
  </conditionalFormatting>
  <conditionalFormatting sqref="X170">
    <cfRule type="cellIs" dxfId="104" priority="105" operator="equal">
      <formula>#REF!</formula>
    </cfRule>
  </conditionalFormatting>
  <conditionalFormatting sqref="V170">
    <cfRule type="cellIs" dxfId="103" priority="104" operator="equal">
      <formula>#REF!</formula>
    </cfRule>
  </conditionalFormatting>
  <conditionalFormatting sqref="T171:T174">
    <cfRule type="cellIs" dxfId="102" priority="103" operator="equal">
      <formula>#REF!</formula>
    </cfRule>
  </conditionalFormatting>
  <conditionalFormatting sqref="X172:Z172 X171 X173:X174">
    <cfRule type="cellIs" dxfId="101" priority="102" operator="equal">
      <formula>#REF!</formula>
    </cfRule>
  </conditionalFormatting>
  <conditionalFormatting sqref="V171">
    <cfRule type="cellIs" dxfId="100" priority="101" operator="equal">
      <formula>#REF!</formula>
    </cfRule>
  </conditionalFormatting>
  <conditionalFormatting sqref="U172:U174">
    <cfRule type="cellIs" dxfId="99" priority="100" operator="equal">
      <formula>#REF!</formula>
    </cfRule>
  </conditionalFormatting>
  <conditionalFormatting sqref="V172">
    <cfRule type="cellIs" dxfId="98" priority="99" operator="equal">
      <formula>#REF!</formula>
    </cfRule>
  </conditionalFormatting>
  <conditionalFormatting sqref="V173:V174">
    <cfRule type="cellIs" dxfId="97" priority="98" operator="equal">
      <formula>#REF!</formula>
    </cfRule>
  </conditionalFormatting>
  <conditionalFormatting sqref="AO174:AO209">
    <cfRule type="containsText" dxfId="96" priority="97" operator="containsText" text="SEND NOTICE">
      <formula>NOT(ISERROR(SEARCH("SEND NOTICE",AO174)))</formula>
    </cfRule>
  </conditionalFormatting>
  <conditionalFormatting sqref="T175">
    <cfRule type="cellIs" dxfId="95" priority="96" operator="equal">
      <formula>#REF!</formula>
    </cfRule>
  </conditionalFormatting>
  <conditionalFormatting sqref="X175">
    <cfRule type="cellIs" dxfId="94" priority="95" operator="equal">
      <formula>#REF!</formula>
    </cfRule>
  </conditionalFormatting>
  <conditionalFormatting sqref="U175">
    <cfRule type="cellIs" dxfId="93" priority="94" operator="equal">
      <formula>#REF!</formula>
    </cfRule>
  </conditionalFormatting>
  <conditionalFormatting sqref="V175">
    <cfRule type="cellIs" dxfId="92" priority="93" operator="equal">
      <formula>#REF!</formula>
    </cfRule>
  </conditionalFormatting>
  <conditionalFormatting sqref="T176">
    <cfRule type="cellIs" dxfId="91" priority="92" operator="equal">
      <formula>#REF!</formula>
    </cfRule>
  </conditionalFormatting>
  <conditionalFormatting sqref="X177:Z177 X176 X179:Z179 X178 X180">
    <cfRule type="cellIs" dxfId="90" priority="91" operator="equal">
      <formula>#REF!</formula>
    </cfRule>
  </conditionalFormatting>
  <conditionalFormatting sqref="U176">
    <cfRule type="cellIs" dxfId="89" priority="90" operator="equal">
      <formula>#REF!</formula>
    </cfRule>
  </conditionalFormatting>
  <conditionalFormatting sqref="V176">
    <cfRule type="cellIs" dxfId="88" priority="89" operator="equal">
      <formula>#REF!</formula>
    </cfRule>
  </conditionalFormatting>
  <conditionalFormatting sqref="T177:T179">
    <cfRule type="cellIs" dxfId="87" priority="88" operator="equal">
      <formula>#REF!</formula>
    </cfRule>
  </conditionalFormatting>
  <conditionalFormatting sqref="U177:U179">
    <cfRule type="cellIs" dxfId="86" priority="87" operator="equal">
      <formula>#REF!</formula>
    </cfRule>
  </conditionalFormatting>
  <conditionalFormatting sqref="V177">
    <cfRule type="cellIs" dxfId="85" priority="86" operator="equal">
      <formula>#REF!</formula>
    </cfRule>
  </conditionalFormatting>
  <conditionalFormatting sqref="V178">
    <cfRule type="cellIs" dxfId="84" priority="85" operator="equal">
      <formula>#REF!</formula>
    </cfRule>
  </conditionalFormatting>
  <conditionalFormatting sqref="T180">
    <cfRule type="cellIs" dxfId="83" priority="84" operator="equal">
      <formula>#REF!</formula>
    </cfRule>
  </conditionalFormatting>
  <conditionalFormatting sqref="V180">
    <cfRule type="cellIs" dxfId="82" priority="83" operator="equal">
      <formula>#REF!</formula>
    </cfRule>
  </conditionalFormatting>
  <conditionalFormatting sqref="X181:Z181">
    <cfRule type="cellIs" dxfId="81" priority="82" operator="equal">
      <formula>#REF!</formula>
    </cfRule>
  </conditionalFormatting>
  <conditionalFormatting sqref="T181">
    <cfRule type="cellIs" dxfId="80" priority="81" operator="equal">
      <formula>#REF!</formula>
    </cfRule>
  </conditionalFormatting>
  <conditionalFormatting sqref="U181">
    <cfRule type="cellIs" dxfId="79" priority="80" operator="equal">
      <formula>#REF!</formula>
    </cfRule>
  </conditionalFormatting>
  <conditionalFormatting sqref="V181">
    <cfRule type="cellIs" dxfId="78" priority="79" operator="equal">
      <formula>#REF!</formula>
    </cfRule>
  </conditionalFormatting>
  <conditionalFormatting sqref="T182">
    <cfRule type="cellIs" dxfId="77" priority="78" operator="equal">
      <formula>#REF!</formula>
    </cfRule>
  </conditionalFormatting>
  <conditionalFormatting sqref="X182">
    <cfRule type="cellIs" dxfId="76" priority="77" operator="equal">
      <formula>#REF!</formula>
    </cfRule>
  </conditionalFormatting>
  <conditionalFormatting sqref="U182">
    <cfRule type="cellIs" dxfId="75" priority="76" operator="equal">
      <formula>#REF!</formula>
    </cfRule>
  </conditionalFormatting>
  <conditionalFormatting sqref="V182">
    <cfRule type="cellIs" dxfId="74" priority="75" operator="equal">
      <formula>#REF!</formula>
    </cfRule>
  </conditionalFormatting>
  <conditionalFormatting sqref="T183">
    <cfRule type="cellIs" dxfId="73" priority="74" operator="equal">
      <formula>#REF!</formula>
    </cfRule>
  </conditionalFormatting>
  <conditionalFormatting sqref="X183:Z183">
    <cfRule type="cellIs" dxfId="72" priority="73" operator="equal">
      <formula>#REF!</formula>
    </cfRule>
  </conditionalFormatting>
  <conditionalFormatting sqref="U183">
    <cfRule type="cellIs" dxfId="71" priority="72" operator="equal">
      <formula>#REF!</formula>
    </cfRule>
  </conditionalFormatting>
  <conditionalFormatting sqref="V183">
    <cfRule type="cellIs" dxfId="70" priority="71" operator="equal">
      <formula>#REF!</formula>
    </cfRule>
  </conditionalFormatting>
  <conditionalFormatting sqref="T184">
    <cfRule type="cellIs" dxfId="69" priority="70" operator="equal">
      <formula>#REF!</formula>
    </cfRule>
  </conditionalFormatting>
  <conditionalFormatting sqref="X184">
    <cfRule type="cellIs" dxfId="68" priority="69" operator="equal">
      <formula>#REF!</formula>
    </cfRule>
  </conditionalFormatting>
  <conditionalFormatting sqref="U184">
    <cfRule type="cellIs" dxfId="67" priority="68" operator="equal">
      <formula>#REF!</formula>
    </cfRule>
  </conditionalFormatting>
  <conditionalFormatting sqref="V184">
    <cfRule type="cellIs" dxfId="66" priority="67" operator="equal">
      <formula>#REF!</formula>
    </cfRule>
  </conditionalFormatting>
  <conditionalFormatting sqref="X185:Z185">
    <cfRule type="cellIs" dxfId="65" priority="66" operator="equal">
      <formula>#REF!</formula>
    </cfRule>
  </conditionalFormatting>
  <conditionalFormatting sqref="T185">
    <cfRule type="cellIs" dxfId="64" priority="65" operator="equal">
      <formula>#REF!</formula>
    </cfRule>
  </conditionalFormatting>
  <conditionalFormatting sqref="U185">
    <cfRule type="cellIs" dxfId="63" priority="64" operator="equal">
      <formula>#REF!</formula>
    </cfRule>
  </conditionalFormatting>
  <conditionalFormatting sqref="V185">
    <cfRule type="cellIs" dxfId="62" priority="63" operator="equal">
      <formula>#REF!</formula>
    </cfRule>
  </conditionalFormatting>
  <conditionalFormatting sqref="T186">
    <cfRule type="cellIs" dxfId="61" priority="62" operator="equal">
      <formula>#REF!</formula>
    </cfRule>
  </conditionalFormatting>
  <conditionalFormatting sqref="AA186 AA190 AA192">
    <cfRule type="cellIs" dxfId="60" priority="61" operator="equal">
      <formula>#REF!</formula>
    </cfRule>
  </conditionalFormatting>
  <conditionalFormatting sqref="V186">
    <cfRule type="cellIs" dxfId="59" priority="60" operator="equal">
      <formula>#REF!</formula>
    </cfRule>
  </conditionalFormatting>
  <conditionalFormatting sqref="V179">
    <cfRule type="cellIs" dxfId="58" priority="59" operator="equal">
      <formula>#REF!</formula>
    </cfRule>
  </conditionalFormatting>
  <conditionalFormatting sqref="T165">
    <cfRule type="cellIs" dxfId="57" priority="58" operator="equal">
      <formula>#REF!</formula>
    </cfRule>
  </conditionalFormatting>
  <conditionalFormatting sqref="V165">
    <cfRule type="cellIs" dxfId="56" priority="57" operator="equal">
      <formula>#REF!</formula>
    </cfRule>
  </conditionalFormatting>
  <conditionalFormatting sqref="T187">
    <cfRule type="cellIs" dxfId="55" priority="56" operator="equal">
      <formula>#REF!</formula>
    </cfRule>
  </conditionalFormatting>
  <conditionalFormatting sqref="AA187">
    <cfRule type="cellIs" dxfId="54" priority="55" operator="equal">
      <formula>#REF!</formula>
    </cfRule>
  </conditionalFormatting>
  <conditionalFormatting sqref="V187">
    <cfRule type="cellIs" dxfId="53" priority="54" operator="equal">
      <formula>#REF!</formula>
    </cfRule>
  </conditionalFormatting>
  <conditionalFormatting sqref="X192:Z192">
    <cfRule type="cellIs" dxfId="52" priority="53" operator="equal">
      <formula>#REF!</formula>
    </cfRule>
  </conditionalFormatting>
  <conditionalFormatting sqref="T192">
    <cfRule type="cellIs" dxfId="51" priority="52" operator="equal">
      <formula>#REF!</formula>
    </cfRule>
  </conditionalFormatting>
  <conditionalFormatting sqref="V192">
    <cfRule type="cellIs" dxfId="50" priority="51" operator="equal">
      <formula>#REF!</formula>
    </cfRule>
  </conditionalFormatting>
  <conditionalFormatting sqref="AA195">
    <cfRule type="cellIs" dxfId="49" priority="50" operator="equal">
      <formula>#REF!</formula>
    </cfRule>
  </conditionalFormatting>
  <conditionalFormatting sqref="X195:Z195">
    <cfRule type="cellIs" dxfId="48" priority="49" operator="equal">
      <formula>#REF!</formula>
    </cfRule>
  </conditionalFormatting>
  <conditionalFormatting sqref="T195">
    <cfRule type="cellIs" dxfId="47" priority="48" operator="equal">
      <formula>#REF!</formula>
    </cfRule>
  </conditionalFormatting>
  <conditionalFormatting sqref="U195">
    <cfRule type="cellIs" dxfId="46" priority="47" operator="equal">
      <formula>#REF!</formula>
    </cfRule>
  </conditionalFormatting>
  <conditionalFormatting sqref="V195">
    <cfRule type="cellIs" dxfId="45" priority="46" operator="equal">
      <formula>#REF!</formula>
    </cfRule>
  </conditionalFormatting>
  <conditionalFormatting sqref="AA196">
    <cfRule type="cellIs" dxfId="44" priority="45" operator="equal">
      <formula>#REF!</formula>
    </cfRule>
  </conditionalFormatting>
  <conditionalFormatting sqref="X196:Z196">
    <cfRule type="cellIs" dxfId="43" priority="44" operator="equal">
      <formula>#REF!</formula>
    </cfRule>
  </conditionalFormatting>
  <conditionalFormatting sqref="T196">
    <cfRule type="cellIs" dxfId="42" priority="43" operator="equal">
      <formula>#REF!</formula>
    </cfRule>
  </conditionalFormatting>
  <conditionalFormatting sqref="AA197">
    <cfRule type="cellIs" dxfId="41" priority="42" operator="equal">
      <formula>#REF!</formula>
    </cfRule>
  </conditionalFormatting>
  <conditionalFormatting sqref="X197">
    <cfRule type="cellIs" dxfId="40" priority="41" operator="equal">
      <formula>#REF!</formula>
    </cfRule>
  </conditionalFormatting>
  <conditionalFormatting sqref="T197">
    <cfRule type="cellIs" dxfId="39" priority="40" operator="equal">
      <formula>#REF!</formula>
    </cfRule>
  </conditionalFormatting>
  <conditionalFormatting sqref="U197">
    <cfRule type="cellIs" dxfId="38" priority="39" operator="equal">
      <formula>#REF!</formula>
    </cfRule>
  </conditionalFormatting>
  <conditionalFormatting sqref="V197">
    <cfRule type="cellIs" dxfId="37" priority="38" operator="equal">
      <formula>#REF!</formula>
    </cfRule>
  </conditionalFormatting>
  <conditionalFormatting sqref="X199">
    <cfRule type="cellIs" dxfId="36" priority="37" operator="equal">
      <formula>#REF!</formula>
    </cfRule>
  </conditionalFormatting>
  <conditionalFormatting sqref="T199">
    <cfRule type="cellIs" dxfId="35" priority="36" operator="equal">
      <formula>#REF!</formula>
    </cfRule>
  </conditionalFormatting>
  <conditionalFormatting sqref="U199">
    <cfRule type="cellIs" dxfId="34" priority="35" operator="equal">
      <formula>#REF!</formula>
    </cfRule>
  </conditionalFormatting>
  <conditionalFormatting sqref="V199">
    <cfRule type="cellIs" dxfId="33" priority="34" operator="equal">
      <formula>#REF!</formula>
    </cfRule>
  </conditionalFormatting>
  <conditionalFormatting sqref="X200">
    <cfRule type="cellIs" dxfId="32" priority="33" operator="equal">
      <formula>#REF!</formula>
    </cfRule>
  </conditionalFormatting>
  <conditionalFormatting sqref="T200">
    <cfRule type="cellIs" dxfId="31" priority="32" operator="equal">
      <formula>#REF!</formula>
    </cfRule>
  </conditionalFormatting>
  <conditionalFormatting sqref="U200">
    <cfRule type="cellIs" dxfId="30" priority="31" operator="equal">
      <formula>#REF!</formula>
    </cfRule>
  </conditionalFormatting>
  <conditionalFormatting sqref="V200">
    <cfRule type="cellIs" dxfId="29" priority="30" operator="equal">
      <formula>#REF!</formula>
    </cfRule>
  </conditionalFormatting>
  <conditionalFormatting sqref="T201">
    <cfRule type="cellIs" dxfId="28" priority="29" operator="equal">
      <formula>#REF!</formula>
    </cfRule>
  </conditionalFormatting>
  <conditionalFormatting sqref="U201">
    <cfRule type="cellIs" dxfId="27" priority="28" operator="equal">
      <formula>#REF!</formula>
    </cfRule>
  </conditionalFormatting>
  <conditionalFormatting sqref="V201">
    <cfRule type="cellIs" dxfId="26" priority="27" operator="equal">
      <formula>#REF!</formula>
    </cfRule>
  </conditionalFormatting>
  <conditionalFormatting sqref="X201 Y202:Z202 Y206:Z210">
    <cfRule type="cellIs" dxfId="25" priority="26" operator="equal">
      <formula>#REF!</formula>
    </cfRule>
  </conditionalFormatting>
  <conditionalFormatting sqref="T203">
    <cfRule type="cellIs" dxfId="24" priority="25" operator="equal">
      <formula>#REF!</formula>
    </cfRule>
  </conditionalFormatting>
  <conditionalFormatting sqref="U203">
    <cfRule type="cellIs" dxfId="23" priority="24" operator="equal">
      <formula>#REF!</formula>
    </cfRule>
  </conditionalFormatting>
  <conditionalFormatting sqref="V203">
    <cfRule type="cellIs" dxfId="22" priority="23" operator="equal">
      <formula>#REF!</formula>
    </cfRule>
  </conditionalFormatting>
  <conditionalFormatting sqref="X203">
    <cfRule type="cellIs" dxfId="21" priority="22" operator="equal">
      <formula>#REF!</formula>
    </cfRule>
  </conditionalFormatting>
  <conditionalFormatting sqref="T204">
    <cfRule type="cellIs" dxfId="20" priority="21" operator="equal">
      <formula>#REF!</formula>
    </cfRule>
  </conditionalFormatting>
  <conditionalFormatting sqref="U204">
    <cfRule type="cellIs" dxfId="19" priority="20" operator="equal">
      <formula>#REF!</formula>
    </cfRule>
  </conditionalFormatting>
  <conditionalFormatting sqref="V204">
    <cfRule type="cellIs" dxfId="18" priority="19" operator="equal">
      <formula>#REF!</formula>
    </cfRule>
  </conditionalFormatting>
  <conditionalFormatting sqref="X204">
    <cfRule type="cellIs" dxfId="17" priority="18" operator="equal">
      <formula>#REF!</formula>
    </cfRule>
  </conditionalFormatting>
  <conditionalFormatting sqref="T205">
    <cfRule type="cellIs" dxfId="16" priority="17" operator="equal">
      <formula>#REF!</formula>
    </cfRule>
  </conditionalFormatting>
  <conditionalFormatting sqref="U205">
    <cfRule type="cellIs" dxfId="15" priority="16" operator="equal">
      <formula>#REF!</formula>
    </cfRule>
  </conditionalFormatting>
  <conditionalFormatting sqref="V205">
    <cfRule type="cellIs" dxfId="14" priority="15" operator="equal">
      <formula>#REF!</formula>
    </cfRule>
  </conditionalFormatting>
  <conditionalFormatting sqref="X205">
    <cfRule type="cellIs" dxfId="13" priority="14" operator="equal">
      <formula>#REF!</formula>
    </cfRule>
  </conditionalFormatting>
  <conditionalFormatting sqref="T206">
    <cfRule type="cellIs" dxfId="12" priority="13" operator="equal">
      <formula>#REF!</formula>
    </cfRule>
  </conditionalFormatting>
  <conditionalFormatting sqref="U206">
    <cfRule type="cellIs" dxfId="11" priority="12" operator="equal">
      <formula>#REF!</formula>
    </cfRule>
  </conditionalFormatting>
  <conditionalFormatting sqref="V206">
    <cfRule type="cellIs" dxfId="10" priority="11" operator="equal">
      <formula>#REF!</formula>
    </cfRule>
  </conditionalFormatting>
  <conditionalFormatting sqref="X206">
    <cfRule type="cellIs" dxfId="9" priority="10" operator="equal">
      <formula>#REF!</formula>
    </cfRule>
  </conditionalFormatting>
  <conditionalFormatting sqref="T209">
    <cfRule type="cellIs" dxfId="8" priority="9" operator="equal">
      <formula>#REF!</formula>
    </cfRule>
  </conditionalFormatting>
  <conditionalFormatting sqref="U209">
    <cfRule type="cellIs" dxfId="7" priority="8" operator="equal">
      <formula>#REF!</formula>
    </cfRule>
  </conditionalFormatting>
  <conditionalFormatting sqref="V209">
    <cfRule type="cellIs" dxfId="6" priority="7" operator="equal">
      <formula>#REF!</formula>
    </cfRule>
  </conditionalFormatting>
  <conditionalFormatting sqref="X209">
    <cfRule type="cellIs" dxfId="5" priority="6" operator="equal">
      <formula>#REF!</formula>
    </cfRule>
  </conditionalFormatting>
  <conditionalFormatting sqref="T210">
    <cfRule type="cellIs" dxfId="4" priority="5" operator="equal">
      <formula>#REF!</formula>
    </cfRule>
  </conditionalFormatting>
  <conditionalFormatting sqref="U210">
    <cfRule type="cellIs" dxfId="3" priority="4" operator="equal">
      <formula>#REF!</formula>
    </cfRule>
  </conditionalFormatting>
  <conditionalFormatting sqref="V210">
    <cfRule type="cellIs" dxfId="2" priority="3" operator="equal">
      <formula>#REF!</formula>
    </cfRule>
  </conditionalFormatting>
  <conditionalFormatting sqref="X210">
    <cfRule type="cellIs" dxfId="1" priority="2" operator="equal">
      <formula>#REF!</formula>
    </cfRule>
  </conditionalFormatting>
  <conditionalFormatting sqref="AO210">
    <cfRule type="containsText" dxfId="0" priority="1" operator="containsText" text="SEND NOTICE">
      <formula>NOT(ISERROR(SEARCH("SEND NOTICE",AO210)))</formula>
    </cfRule>
  </conditionalFormatting>
  <pageMargins left="0.25" right="0.25" top="0.75" bottom="0.75" header="0.3" footer="0.3"/>
  <pageSetup paperSize="9" scale="15" orientation="portrait"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7B7963-7961-474F-8366-0428D29341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Policies Outstanding DEC23</vt:lpstr>
      <vt:lpstr>Charts Currency</vt:lpstr>
      <vt:lpstr>Progress Log</vt:lpstr>
      <vt:lpstr>ICRC - June 21</vt:lpstr>
      <vt:lpstr>ICRC - Sep 21</vt:lpstr>
      <vt:lpstr>ICRC - Dec 21</vt:lpstr>
      <vt:lpstr>ICRC - Mar 22</vt:lpstr>
      <vt:lpstr>ICRC - Jun 22</vt:lpstr>
      <vt:lpstr>ICRC - Sep 22</vt:lpstr>
      <vt:lpstr>ICRC - Dec 22</vt:lpstr>
      <vt:lpstr>ICRC - Mar 23</vt:lpstr>
      <vt:lpstr>ICRC - Jun 23</vt:lpstr>
    </vt:vector>
  </TitlesOfParts>
  <Company>Assetinsure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Logan</dc:creator>
  <cp:lastModifiedBy>Joseph Day</cp:lastModifiedBy>
  <cp:lastPrinted>2024-01-17T04:17:54Z</cp:lastPrinted>
  <dcterms:created xsi:type="dcterms:W3CDTF">2006-09-05T00:01:26Z</dcterms:created>
  <dcterms:modified xsi:type="dcterms:W3CDTF">2024-01-18T05:38:20Z</dcterms:modified>
</cp:coreProperties>
</file>